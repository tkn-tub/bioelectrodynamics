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bioelectrodynamics\code\NN_chemical_CAR_T\Step_1_Abstract_Chemical_Reactions\"/>
    </mc:Choice>
  </mc:AlternateContent>
  <xr:revisionPtr revIDLastSave="0" documentId="13_ncr:1_{B77B0FF1-9397-4850-B921-A1F6632142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lues" sheetId="1" r:id="rId1"/>
    <sheet name="KM details" sheetId="2" r:id="rId2"/>
    <sheet name="SA MW 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J28" i="1" s="1"/>
  <c r="H27" i="1"/>
  <c r="L27" i="1" s="1"/>
  <c r="H26" i="1"/>
  <c r="M25" i="1" s="1"/>
  <c r="H25" i="1"/>
  <c r="H24" i="1"/>
  <c r="J24" i="1" s="1"/>
  <c r="H23" i="1"/>
  <c r="J23" i="1" s="1"/>
  <c r="H22" i="1"/>
  <c r="J22" i="1" s="1"/>
  <c r="M21" i="1"/>
  <c r="H21" i="1"/>
  <c r="J21" i="1" s="1"/>
  <c r="H20" i="1"/>
  <c r="J20" i="1" s="1"/>
  <c r="H19" i="1"/>
  <c r="J19" i="1" s="1"/>
  <c r="H18" i="1"/>
  <c r="L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M8" i="1"/>
  <c r="H8" i="1"/>
  <c r="J8" i="1" s="1"/>
  <c r="H7" i="1"/>
  <c r="J7" i="1" s="1"/>
  <c r="H6" i="1"/>
  <c r="M5" i="1" s="1"/>
  <c r="H5" i="1"/>
  <c r="M4" i="1" s="1"/>
  <c r="H4" i="1"/>
  <c r="M3" i="1" s="1"/>
  <c r="H3" i="1"/>
  <c r="L3" i="1" s="1"/>
  <c r="M2" i="1"/>
  <c r="H2" i="1"/>
  <c r="J2" i="1" s="1"/>
  <c r="L23" i="1" l="1"/>
  <c r="M18" i="1"/>
  <c r="M23" i="1"/>
  <c r="J27" i="1"/>
  <c r="L5" i="1"/>
  <c r="L25" i="1"/>
  <c r="M9" i="1"/>
  <c r="M10" i="1"/>
  <c r="L9" i="1"/>
  <c r="L10" i="1"/>
  <c r="M13" i="1"/>
  <c r="L13" i="1"/>
  <c r="M6" i="1"/>
  <c r="M7" i="1"/>
  <c r="L7" i="1"/>
  <c r="M14" i="1"/>
  <c r="L14" i="1"/>
  <c r="M15" i="1"/>
  <c r="L15" i="1"/>
  <c r="J18" i="1"/>
  <c r="J26" i="1"/>
  <c r="L2" i="1"/>
  <c r="L4" i="1"/>
  <c r="L8" i="1"/>
  <c r="L21" i="1"/>
  <c r="J6" i="1"/>
  <c r="L6" i="1" s="1"/>
  <c r="J4" i="1"/>
  <c r="J3" i="1"/>
  <c r="J5" i="1"/>
  <c r="J25" i="1"/>
  <c r="M27" i="1"/>
</calcChain>
</file>

<file path=xl/sharedStrings.xml><?xml version="1.0" encoding="utf-8"?>
<sst xmlns="http://schemas.openxmlformats.org/spreadsheetml/2006/main" count="629" uniqueCount="222">
  <si>
    <t>Reaction pair</t>
  </si>
  <si>
    <t>Enzyme</t>
  </si>
  <si>
    <t>EC code</t>
  </si>
  <si>
    <t>K_M [mM]</t>
  </si>
  <si>
    <t>SA [μmol/min/mg]</t>
  </si>
  <si>
    <t>MW [mg/μmol]</t>
  </si>
  <si>
    <t>k_cat [s^-1]</t>
  </si>
  <si>
    <t>[E] [mM]</t>
  </si>
  <si>
    <t>k = k_cat [E] / K_M [s^-1]</t>
  </si>
  <si>
    <t>Removed by (* = K_M there is for another substrate)</t>
  </si>
  <si>
    <t>G</t>
  </si>
  <si>
    <t>τ [s]</t>
  </si>
  <si>
    <t>Notes</t>
  </si>
  <si>
    <t>cAMP Input Adapter</t>
  </si>
  <si>
    <t>Adapter 1</t>
  </si>
  <si>
    <t>3', 5'-Cyclic-Nucleotide Phosphodiesterase</t>
  </si>
  <si>
    <t>3.1.4.17</t>
  </si>
  <si>
    <t>Adapter 2</t>
  </si>
  <si>
    <t>K_M for 3,5-Cyclic Adenosine Monophosphate: Homo sapiens (n=14) | SA: other organisms (n=6) | MW: Homo sapiens, subunit (n=12)</t>
  </si>
  <si>
    <t>5'-Nucleotidase (AMP)</t>
  </si>
  <si>
    <t>3.1.3.5</t>
  </si>
  <si>
    <t>Adapter 3</t>
  </si>
  <si>
    <t>K_M for Adenosine Monophosphate: Homo sapiens (n=9) | SA: Homo sapiens (n=3) | MW: Homo sapiens, subunit (n=10)</t>
  </si>
  <si>
    <t>Purine-Nucleoside Phosphorylase (Adenosine)</t>
  </si>
  <si>
    <t>2.4.2.1</t>
  </si>
  <si>
    <t>Adapter 4</t>
  </si>
  <si>
    <t>EC CORRECTED: the model annotation says 3.4.2.1, which is wrong for this reaction; purine-nucleoside phosphorylase is 2.4.2.1. Values in this row are for the corrected EC | K_M for Adenosine: other organisms (n=11) | SA: Homo sapiens (n=10) | MW: Homo sapiens, subunit (n=7)</t>
  </si>
  <si>
    <t>Phosphopentomutase</t>
  </si>
  <si>
    <t>5.4.2.7</t>
  </si>
  <si>
    <t>Adapter 5</t>
  </si>
  <si>
    <t>K_M for Alpha-D-Ribose 1-Phosphate: other organisms (n=4) | SA: other organisms (n=9) | MW: other organisms, subunit (n=9)</t>
  </si>
  <si>
    <t>Transketolase</t>
  </si>
  <si>
    <t>2.2.1.1</t>
  </si>
  <si>
    <t>Adapter 6, r_No</t>
  </si>
  <si>
    <t>K_M for Alpha-D-Ribose 5-Phosphate: Homo sapiens (n=6) | SA: Homo sapiens (n=6) | MW: Homo sapiens, subunit (n=5)</t>
  </si>
  <si>
    <t>Adapter 6</t>
  </si>
  <si>
    <t>Transaldolase</t>
  </si>
  <si>
    <t>2.2.1.2</t>
  </si>
  <si>
    <t>r_S1, r_F</t>
  </si>
  <si>
    <t>K_M for Glyceraldehyde 3-Phosphate: other organisms (n=4) | SA: Homo sapiens (n=1) | MW: Homo sapiens, subunit (n=1)</t>
  </si>
  <si>
    <t>Chemical Differentiator 1</t>
  </si>
  <si>
    <t>r_S1</t>
  </si>
  <si>
    <t>Sedoheptulose 1, 7-Bisphosphate D-Glyceraldehyde-3-Phosphate-Lyase Carbon Fixation</t>
  </si>
  <si>
    <t>4.1.2.13</t>
  </si>
  <si>
    <t>r_S2</t>
  </si>
  <si>
    <t>K_M for D-Erythrose 4-Phosphate: Homo sapiens, OTHER SUBSTRATES (n=32) | SA: Homo sapiens (n=5) | MW: Homo sapiens, subunit (n=4)</t>
  </si>
  <si>
    <t>UTP:Sedoheptulose 7-Phosphate 1-Phosphotransferase</t>
  </si>
  <si>
    <t>2.7.1.11</t>
  </si>
  <si>
    <t>K_M for Sedoheptulose 1,7-Bisphosphate: Homo sapiens, OTHER SUBSTRATES (n=16) | SA: Homo sapiens (n=2) | MW: Homo sapiens, subunit (n=1)</t>
  </si>
  <si>
    <t>r_F</t>
  </si>
  <si>
    <t>K_M for D-Erythrose 4-Phosphate: Homo sapiens (n=1) | SA: Homo sapiens (n=6) | MW: Homo sapiens, subunit (n=5)</t>
  </si>
  <si>
    <t>r_I</t>
  </si>
  <si>
    <t>UTP:D-Fructose-6-Phosphate 1-Phosphotransferase</t>
  </si>
  <si>
    <t>K_M for D-Fructose 6-Phosphate: Homo sapiens (n=4) | SA: Homo sapiens (n=2) | MW: Homo sapiens, subunit (n=1)</t>
  </si>
  <si>
    <t>r_R</t>
  </si>
  <si>
    <t>6-Phosphofructo-2-Kinase</t>
  </si>
  <si>
    <t>2.7.1.105</t>
  </si>
  <si>
    <t>K_M for D-Fructose 6-Phosphate: Homo sapiens (n=7) | SA: Homo sapiens (n=4) | MW: Homo sapiens, subunit (n=1)</t>
  </si>
  <si>
    <t>Chemical Differentiator 2</t>
  </si>
  <si>
    <t>r_S1_2</t>
  </si>
  <si>
    <t>Cytidylate Kinase (CMP, UTP)</t>
  </si>
  <si>
    <t>2.7.4.14</t>
  </si>
  <si>
    <t>K_M for Uridine-5'-TrIphosphate: Homo sapiens, OTHER SUBSTRATES (n=80) | SA: Homo sapiens (n=1) | MW: Homo sapiens, subunit (n=1)</t>
  </si>
  <si>
    <t>r_S2_2</t>
  </si>
  <si>
    <t>Ribonucleoside-Diphosphate Reductase (CDP)</t>
  </si>
  <si>
    <t>1.17.4.1</t>
  </si>
  <si>
    <t>r_I2*, r_R2</t>
  </si>
  <si>
    <t>EC CORRECTED: the model annotation says 1.7.14.1, which is wrong for this reaction; ribonucleoside-diphosphate reductase is 1.17.4.1. Values in this row are for the corrected EC | K_M for Cytidine-5'-DIphosphate: other organisms (n=14) | SA: other organisms (n=38) | MW: Homo sapiens, subunit (n=3)</t>
  </si>
  <si>
    <t>r_F2</t>
  </si>
  <si>
    <t>Cytidylate Kinase (dCMP, UTP)</t>
  </si>
  <si>
    <t>r_I2</t>
  </si>
  <si>
    <t>Cytidylate Kinase (dCMP)</t>
  </si>
  <si>
    <t>K_M for Cytidine-5'-DIphosphate: Homo sapiens, OTHER SUBSTRATES (n=80) | SA: Homo sapiens (n=1) | MW: Homo sapiens, subunit (n=1)</t>
  </si>
  <si>
    <t>r_R2</t>
  </si>
  <si>
    <t>Nucleoside-Diphosphate Kinase (ATP:dCDP)</t>
  </si>
  <si>
    <t>2.7.4.6</t>
  </si>
  <si>
    <t>K_M for Deoxycytidine-5'-Diphosphate: other organisms (n=5) | SA: Homo sapiens (n=4) | MW: Homo sapiens, subunit (n=2)</t>
  </si>
  <si>
    <t>Counter</t>
  </si>
  <si>
    <t>r_Cp</t>
  </si>
  <si>
    <t>Aspartate-Glutamate Mitochondrial Shuttle</t>
  </si>
  <si>
    <t>4.1.1.15</t>
  </si>
  <si>
    <t>r_Cg</t>
  </si>
  <si>
    <t>EC 4.1.1.15 FROM THE MODEL ANNOTATION IS WRONG for this reaction: this is a transporter with no EC number (4.1.1.15 is glutamate decarboxylase). Values in this row are not for this enzyme | K_M for L-Aspartate: Homo sapiens, OTHER SUBSTRATES (n=13) | SA: Homo sapiens (n=7) | MW: Homo sapiens, subunit (n=2)</t>
  </si>
  <si>
    <t>Asparagine Synthase (Glutamine-Hydrolysing)</t>
  </si>
  <si>
    <t>6.3.5.4</t>
  </si>
  <si>
    <t>K_M for L-Aspartate: Homo sapiens (n=1) | SA: other organisms (n=6) | MW: Homo sapiens, subunit (n=3)</t>
  </si>
  <si>
    <t>r_Cr</t>
  </si>
  <si>
    <t>Glutamine Phosphoribosyldiphosphate Amidotransferase</t>
  </si>
  <si>
    <t>2.4.2.14</t>
  </si>
  <si>
    <t>K_M for L-Glutamine: Homo sapiens (n=5) | SA: Homo sapiens (n=4) | MW: other organisms, subunit (n=12)</t>
  </si>
  <si>
    <t>Neural Network</t>
  </si>
  <si>
    <t>r_Ni</t>
  </si>
  <si>
    <t>Formate-Tetrahydrofolate Ligase</t>
  </si>
  <si>
    <t>6.3.2.17</t>
  </si>
  <si>
    <t>r_NiDecay</t>
  </si>
  <si>
    <t>EC 6.3.2.17 FROM THE MODEL ANNOTATION IS WRONG for this reaction: formate-tetrahydrofolate ligase is 6.3.4.3 (6.3.2.17 is folylpolyglutamate synthase). Values in this row are not for this enzyme | K_M for Adenosine Triphosphate: Homo sapiens (n=3) | SA: Homo sapiens (n=13) | MW: Homo sapiens, subunit (n=2)</t>
  </si>
  <si>
    <t>Phosphoribosylaminoimidazolecarboxamide Formyltransferase</t>
  </si>
  <si>
    <t>2.1.2.3</t>
  </si>
  <si>
    <t>K_M for 10-Formyltetrahydrofolate: Homo sapiens (n=1) | SA: Homo sapiens (n=2) | MW: Homo sapiens, subunit (n=3)</t>
  </si>
  <si>
    <t>r_Na</t>
  </si>
  <si>
    <t>Propane-1, 2-Diol:NAD+ 1-Oxidoreductase</t>
  </si>
  <si>
    <t>1.1.1.21</t>
  </si>
  <si>
    <t>r_NaDecay</t>
  </si>
  <si>
    <t>K_M for (S)-Lactaldehyde: Homo sapiens, OTHER SUBSTRATES (n=104) | SA: Homo sapiens (n=7) | MW: Homo sapiens, subunit (n=7)</t>
  </si>
  <si>
    <t>Alcohol Dehydrogenase (D-1, 2-Propanediol)</t>
  </si>
  <si>
    <t>1.1.1.1</t>
  </si>
  <si>
    <t>K_M for (R)-Propane-1,2-Diol: other organisms (n=3) | SA: Homo sapiens (n=5) | MW: Homo sapiens, subunit (n=14)</t>
  </si>
  <si>
    <t>r_Nb</t>
  </si>
  <si>
    <t>Aldose Reductase (Acetol)</t>
  </si>
  <si>
    <t>r_NbDecay</t>
  </si>
  <si>
    <t>K_M for Hydroxyacetone: Homo sapiens, OTHER SUBSTRATES (n=104) | SA: Homo sapiens (n=7) | MW: Homo sapiens, subunit (n=7)</t>
  </si>
  <si>
    <t>Alcohol Dehydrogenase (L-1, 2-Propanediol)</t>
  </si>
  <si>
    <t>K_M for (S)-Propane-1,2-Diol: other organisms (n=3) | SA: Homo sapiens (n=5) | MW: Homo sapiens, subunit (n=14)</t>
  </si>
  <si>
    <t>r_No</t>
  </si>
  <si>
    <t>Glyceraldehyde-3-Phosphate Dehydrogenase</t>
  </si>
  <si>
    <t>1.2.1.12</t>
  </si>
  <si>
    <t>r_NoDecay</t>
  </si>
  <si>
    <t>K_M for Glyceraldehyde 3-Phosphate: Homo sapiens (n=18) | SA: Homo sapiens (n=10) | MW: Homo sapiens, subunit (n=16)</t>
  </si>
  <si>
    <t>Acylphosphatase</t>
  </si>
  <si>
    <t>3.6.1.7</t>
  </si>
  <si>
    <t>K_M for 3-Phospho-D-Glyceroyl Phosphate: Homo sapiens (n=5) | SA: Homo sapiens (n=17) | MW: Homo sapiens, subunit (n=4)</t>
  </si>
  <si>
    <t>Reaction</t>
  </si>
  <si>
    <t>Reaction ID</t>
  </si>
  <si>
    <t>EC used</t>
  </si>
  <si>
    <t>Substrate</t>
  </si>
  <si>
    <t>On values sheet</t>
  </si>
  <si>
    <t>n</t>
  </si>
  <si>
    <t>min</t>
  </si>
  <si>
    <t>median</t>
  </si>
  <si>
    <t>max</t>
  </si>
  <si>
    <t>K_M taken from</t>
  </si>
  <si>
    <t>PDE1</t>
  </si>
  <si>
    <t>3,5-Cyclic Adenosine Monophosphate</t>
  </si>
  <si>
    <t>yes</t>
  </si>
  <si>
    <t>Homo sapiens</t>
  </si>
  <si>
    <t>NTD7</t>
  </si>
  <si>
    <t>Adenosine Monophosphate</t>
  </si>
  <si>
    <t>PUNP1</t>
  </si>
  <si>
    <t>Adenosine</t>
  </si>
  <si>
    <t>other organisms</t>
  </si>
  <si>
    <t>Orthophosphate</t>
  </si>
  <si>
    <t>PPM</t>
  </si>
  <si>
    <t>Alpha-D-Ribose 1-Phosphate</t>
  </si>
  <si>
    <t>TKT1</t>
  </si>
  <si>
    <t>Alpha-D-Ribose 5-Phosphate</t>
  </si>
  <si>
    <t>D-Xylulose 5-Phosphate</t>
  </si>
  <si>
    <t>TALA</t>
  </si>
  <si>
    <t>Glyceraldehyde 3-Phosphate</t>
  </si>
  <si>
    <t>Sedoheptulose 7-Phosphate</t>
  </si>
  <si>
    <t>r0407</t>
  </si>
  <si>
    <t>Dihydroxyacetone Phosphate</t>
  </si>
  <si>
    <t>D-Erythrose 4-Phosphate</t>
  </si>
  <si>
    <t>Homo sapiens, OTHER SUBSTRATES</t>
  </si>
  <si>
    <t>r0409</t>
  </si>
  <si>
    <t>Sedoheptulose 1,7-Bisphosphate</t>
  </si>
  <si>
    <t>Uridine Diphosphate</t>
  </si>
  <si>
    <t>TKT2</t>
  </si>
  <si>
    <t>r0191</t>
  </si>
  <si>
    <t>D-Fructose 6-Phosphate</t>
  </si>
  <si>
    <t>Uridine-5'-TrIphosphate</t>
  </si>
  <si>
    <t>PFK26</t>
  </si>
  <si>
    <t>Adenosine Triphosphate</t>
  </si>
  <si>
    <t>CYTK7</t>
  </si>
  <si>
    <t>Cytidine 5'-Monophosphate</t>
  </si>
  <si>
    <t>RNDR3</t>
  </si>
  <si>
    <t>Cytidine-5'-DIphosphate</t>
  </si>
  <si>
    <t>Reduced Thioredoxin</t>
  </si>
  <si>
    <t>CYTK14</t>
  </si>
  <si>
    <t>Deoxycytidylic Acid</t>
  </si>
  <si>
    <t>CYTK5</t>
  </si>
  <si>
    <t>Deoxycytidine-5'-Diphosphate</t>
  </si>
  <si>
    <t>NDPK7</t>
  </si>
  <si>
    <t>ASPGLUm</t>
  </si>
  <si>
    <t>L-Aspartate</t>
  </si>
  <si>
    <t>L-Glutamate</t>
  </si>
  <si>
    <t>ASNS1</t>
  </si>
  <si>
    <t>L-Glutamine</t>
  </si>
  <si>
    <t>GLUPRT</t>
  </si>
  <si>
    <t>5-Phospho-Alpha-D-Ribose 1-Diphosphate</t>
  </si>
  <si>
    <t>FTHFL</t>
  </si>
  <si>
    <t>Formate</t>
  </si>
  <si>
    <t>5,6,7,8-Tetrahydrofolate</t>
  </si>
  <si>
    <t>AICART</t>
  </si>
  <si>
    <t>10-Formyltetrahydrofolate</t>
  </si>
  <si>
    <t>5-Amino-1-(5-Phospho-D-Ribosyl)Imidazole-4-Carboxamide</t>
  </si>
  <si>
    <t>HMR_3855</t>
  </si>
  <si>
    <t>(S)-Lactaldehyde</t>
  </si>
  <si>
    <t>Nicotinamide Adenine Dinucleotide Phosphate - Reduced</t>
  </si>
  <si>
    <t>ALCD21_D</t>
  </si>
  <si>
    <t>(R)-Propane-1,2-Diol</t>
  </si>
  <si>
    <t>Nicotinamide Adenine Dinucleotide</t>
  </si>
  <si>
    <t>ALR3</t>
  </si>
  <si>
    <t>Hydroxyacetone</t>
  </si>
  <si>
    <t>ALCD21_L</t>
  </si>
  <si>
    <t>(S)-Propane-1,2-Diol</t>
  </si>
  <si>
    <t>GAPD</t>
  </si>
  <si>
    <t>ACYP</t>
  </si>
  <si>
    <t>3-Phospho-D-Glyceroyl Phosphate</t>
  </si>
  <si>
    <t>EC in model</t>
  </si>
  <si>
    <t>SA taken from</t>
  </si>
  <si>
    <t>MW [Da]</t>
  </si>
  <si>
    <t>MW taken from</t>
  </si>
  <si>
    <t>EC note</t>
  </si>
  <si>
    <t>Homo sapiens, subunit</t>
  </si>
  <si>
    <t>3.4.2.1</t>
  </si>
  <si>
    <t>EC CORRECTED: the model annotation says 3.4.2.1, which is wrong for this reaction; purine-nucleoside phosphorylase is 2.4.2.1. Values in this row are for the corrected EC</t>
  </si>
  <si>
    <t>other organisms, subunit</t>
  </si>
  <si>
    <t>1.7.14.1</t>
  </si>
  <si>
    <t>EC CORRECTED: the model annotation says 1.7.14.1, which is wrong for this reaction; ribonucleoside-diphosphate reductase is 1.17.4.1. Values in this row are for the corrected EC</t>
  </si>
  <si>
    <t>EC 4.1.1.15 FROM THE MODEL ANNOTATION IS WRONG for this reaction: this is a transporter with no EC number (4.1.1.15 is glutamate decarboxylase). Values in this row are not for this enzyme</t>
  </si>
  <si>
    <t>EC 6.3.2.17 FROM THE MODEL ANNOTATION IS WRONG for this reaction: formate-tetrahydrofolate ligase is 6.3.4.3 (6.3.2.17 is folylpolyglutamate synthase). Values in this row are not for this enzyme</t>
  </si>
  <si>
    <t>r_S</t>
  </si>
  <si>
    <t>r_Sr</t>
  </si>
  <si>
    <t>r_Fr</t>
  </si>
  <si>
    <t>r_S_2</t>
  </si>
  <si>
    <t>r_Sr_2</t>
  </si>
  <si>
    <t>r_F_2</t>
  </si>
  <si>
    <t>r_I_2</t>
  </si>
  <si>
    <t>r_Fr_2</t>
  </si>
  <si>
    <t>r_I, r_Fr</t>
  </si>
  <si>
    <t>r_I*, r_Sr, r_Fr</t>
  </si>
  <si>
    <t>r_Sr_2, r_I2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</si>
</sst>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pane ySplit="1" topLeftCell="A12" activePane="bottomLeft" state="frozen"/>
      <selection pane="bottomLeft" activeCell="K14" sqref="K14"/>
    </sheetView>
  </sheetViews>
  <sheetFormatPr defaultRowHeight="14.5" x14ac:dyDescent="0.35"/>
  <cols>
    <col min="1" max="1" width="26" customWidth="1"/>
    <col min="2" max="2" width="12" customWidth="1"/>
    <col min="3" max="3" width="44" customWidth="1"/>
    <col min="4" max="4" width="10" customWidth="1"/>
    <col min="5" max="5" width="11" customWidth="1"/>
    <col min="6" max="6" width="18" customWidth="1"/>
    <col min="7" max="7" width="15" customWidth="1"/>
    <col min="8" max="8" width="12" customWidth="1"/>
    <col min="9" max="9" width="10" customWidth="1"/>
    <col min="10" max="10" width="24" customWidth="1"/>
    <col min="11" max="11" width="30" customWidth="1"/>
    <col min="12" max="13" width="10" customWidth="1"/>
    <col min="14" max="14" width="70" customWidth="1"/>
  </cols>
  <sheetData>
    <row r="1" spans="1:14" x14ac:dyDescent="0.35">
      <c r="A1" s="6" t="s">
        <v>0</v>
      </c>
      <c r="B1" s="6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9" x14ac:dyDescent="0.35">
      <c r="A2" s="5" t="s">
        <v>13</v>
      </c>
      <c r="B2" t="s">
        <v>14</v>
      </c>
      <c r="C2" t="s">
        <v>15</v>
      </c>
      <c r="D2" t="s">
        <v>16</v>
      </c>
      <c r="E2">
        <v>2.8500000000000001E-3</v>
      </c>
      <c r="F2">
        <v>1.33</v>
      </c>
      <c r="G2">
        <v>65.900000000000006</v>
      </c>
      <c r="H2">
        <f t="shared" ref="H2:H28" si="0">IF(AND(ISNUMBER(F2),ISNUMBER(G2)),F2*G2/60,"")</f>
        <v>1.4607833333333333</v>
      </c>
      <c r="I2">
        <v>0</v>
      </c>
      <c r="J2">
        <f t="shared" ref="J2:J28" si="1">IF(AND(ISNUMBER(H2),ISNUMBER(I2),ISNUMBER(E2)),IF(E2&gt;0,H2*I2/E2,""),"")</f>
        <v>0</v>
      </c>
      <c r="K2" t="s">
        <v>17</v>
      </c>
      <c r="L2" t="str">
        <f>IFERROR((H2*I2*E3)/(H3*I3*E2),"")</f>
        <v/>
      </c>
      <c r="M2" t="str">
        <f>IFERROR(E3/(H3*I3),"")</f>
        <v/>
      </c>
      <c r="N2" s="3" t="s">
        <v>18</v>
      </c>
    </row>
    <row r="3" spans="1:14" ht="29" x14ac:dyDescent="0.35">
      <c r="A3" s="5"/>
      <c r="B3" t="s">
        <v>17</v>
      </c>
      <c r="C3" t="s">
        <v>19</v>
      </c>
      <c r="D3" t="s">
        <v>20</v>
      </c>
      <c r="E3">
        <v>2.4500000000000001E-2</v>
      </c>
      <c r="F3">
        <v>94</v>
      </c>
      <c r="G3">
        <v>57.65</v>
      </c>
      <c r="H3">
        <f t="shared" si="0"/>
        <v>90.318333333333328</v>
      </c>
      <c r="I3">
        <v>0</v>
      </c>
      <c r="J3">
        <f t="shared" si="1"/>
        <v>0</v>
      </c>
      <c r="K3" t="s">
        <v>21</v>
      </c>
      <c r="L3" t="str">
        <f>IFERROR((H3*I3*E4)/(H4*I4*E3),"")</f>
        <v/>
      </c>
      <c r="M3" t="str">
        <f>IFERROR(E4/(H4*I4),"")</f>
        <v/>
      </c>
      <c r="N3" s="3" t="s">
        <v>22</v>
      </c>
    </row>
    <row r="4" spans="1:14" ht="58" x14ac:dyDescent="0.35">
      <c r="A4" s="5"/>
      <c r="B4" t="s">
        <v>21</v>
      </c>
      <c r="C4" t="s">
        <v>23</v>
      </c>
      <c r="D4" t="s">
        <v>24</v>
      </c>
      <c r="E4">
        <v>8.3000000000000004E-2</v>
      </c>
      <c r="F4">
        <v>139</v>
      </c>
      <c r="G4">
        <v>30</v>
      </c>
      <c r="H4">
        <f t="shared" si="0"/>
        <v>69.5</v>
      </c>
      <c r="I4">
        <v>0</v>
      </c>
      <c r="J4">
        <f t="shared" si="1"/>
        <v>0</v>
      </c>
      <c r="K4" t="s">
        <v>25</v>
      </c>
      <c r="L4" t="str">
        <f>IFERROR((H4*I4*E5)/(H5*I5*E4),"")</f>
        <v/>
      </c>
      <c r="M4" t="str">
        <f>IFERROR(E5/(H5*I5),"")</f>
        <v/>
      </c>
      <c r="N4" s="3" t="s">
        <v>26</v>
      </c>
    </row>
    <row r="5" spans="1:14" ht="29" x14ac:dyDescent="0.35">
      <c r="A5" s="5"/>
      <c r="B5" t="s">
        <v>25</v>
      </c>
      <c r="C5" t="s">
        <v>27</v>
      </c>
      <c r="D5" t="s">
        <v>28</v>
      </c>
      <c r="E5">
        <v>0.44</v>
      </c>
      <c r="F5">
        <v>210</v>
      </c>
      <c r="G5">
        <v>43.734999999999999</v>
      </c>
      <c r="H5">
        <f t="shared" si="0"/>
        <v>153.07250000000002</v>
      </c>
      <c r="I5">
        <v>0</v>
      </c>
      <c r="J5">
        <f t="shared" si="1"/>
        <v>0</v>
      </c>
      <c r="K5" t="s">
        <v>29</v>
      </c>
      <c r="L5" t="str">
        <f>IFERROR((H5*I5*E6)/(H6*I6*E5),"")</f>
        <v/>
      </c>
      <c r="M5" t="str">
        <f>IFERROR(E6/(H6*I6),"")</f>
        <v/>
      </c>
      <c r="N5" s="3" t="s">
        <v>30</v>
      </c>
    </row>
    <row r="6" spans="1:14" ht="29" x14ac:dyDescent="0.35">
      <c r="A6" s="5"/>
      <c r="B6" t="s">
        <v>29</v>
      </c>
      <c r="C6" t="s">
        <v>31</v>
      </c>
      <c r="D6" t="s">
        <v>32</v>
      </c>
      <c r="E6">
        <v>0.505</v>
      </c>
      <c r="F6">
        <v>10.27</v>
      </c>
      <c r="G6">
        <v>67.900000000000006</v>
      </c>
      <c r="H6">
        <f t="shared" si="0"/>
        <v>11.622216666666668</v>
      </c>
      <c r="I6">
        <v>0</v>
      </c>
      <c r="J6">
        <f t="shared" si="1"/>
        <v>0</v>
      </c>
      <c r="K6" t="s">
        <v>33</v>
      </c>
      <c r="L6" t="str">
        <f>IFERROR(IF(COUNT(J7,J27)=2,J6/SUM(J7,J27),""),"")</f>
        <v/>
      </c>
      <c r="M6" t="str">
        <f>IFERROR(IF(COUNT(J7,J27)=2,1/SUM(J7,J27),""),"")</f>
        <v/>
      </c>
      <c r="N6" s="3" t="s">
        <v>34</v>
      </c>
    </row>
    <row r="7" spans="1:14" ht="29" x14ac:dyDescent="0.35">
      <c r="A7" s="5"/>
      <c r="B7" s="2" t="s">
        <v>35</v>
      </c>
      <c r="C7" s="2" t="s">
        <v>36</v>
      </c>
      <c r="D7" s="2" t="s">
        <v>37</v>
      </c>
      <c r="E7" s="2">
        <v>0.14599999999999999</v>
      </c>
      <c r="F7" s="2">
        <v>15</v>
      </c>
      <c r="G7" s="2">
        <v>38</v>
      </c>
      <c r="H7" s="2">
        <f t="shared" si="0"/>
        <v>9.5</v>
      </c>
      <c r="I7" s="2">
        <v>0</v>
      </c>
      <c r="J7" s="2">
        <f t="shared" si="1"/>
        <v>0</v>
      </c>
      <c r="K7" s="2" t="s">
        <v>38</v>
      </c>
      <c r="L7" s="2" t="str">
        <f>IFERROR(IF(COUNT(J8,J10)=2,J7/SUM(J8,J10),""),"")</f>
        <v/>
      </c>
      <c r="M7" s="2" t="str">
        <f>IFERROR(IF(COUNT(J8,J10)=2,1/SUM(J8,J10),""),"")</f>
        <v/>
      </c>
      <c r="N7" s="4" t="s">
        <v>39</v>
      </c>
    </row>
    <row r="8" spans="1:14" ht="29" x14ac:dyDescent="0.35">
      <c r="A8" s="5" t="s">
        <v>40</v>
      </c>
      <c r="B8" t="s">
        <v>211</v>
      </c>
      <c r="C8" t="s">
        <v>42</v>
      </c>
      <c r="D8" t="s">
        <v>43</v>
      </c>
      <c r="E8">
        <v>1.2500000000000001E-2</v>
      </c>
      <c r="F8">
        <v>22.3</v>
      </c>
      <c r="G8">
        <v>40</v>
      </c>
      <c r="H8">
        <f t="shared" si="0"/>
        <v>14.866666666666667</v>
      </c>
      <c r="I8">
        <v>0</v>
      </c>
      <c r="J8">
        <f t="shared" si="1"/>
        <v>0</v>
      </c>
      <c r="K8" t="s">
        <v>212</v>
      </c>
      <c r="L8" t="str">
        <f>IFERROR((H8*I8*E9)/(H9*I9*E8),"")</f>
        <v/>
      </c>
      <c r="M8" t="str">
        <f>IFERROR(E9/(H9*I9),"")</f>
        <v/>
      </c>
      <c r="N8" s="3" t="s">
        <v>45</v>
      </c>
    </row>
    <row r="9" spans="1:14" ht="29" x14ac:dyDescent="0.35">
      <c r="A9" s="5"/>
      <c r="B9" t="s">
        <v>212</v>
      </c>
      <c r="C9" t="s">
        <v>46</v>
      </c>
      <c r="D9" t="s">
        <v>47</v>
      </c>
      <c r="E9">
        <v>0.06</v>
      </c>
      <c r="F9">
        <v>99.5</v>
      </c>
      <c r="G9">
        <v>76</v>
      </c>
      <c r="H9">
        <f t="shared" si="0"/>
        <v>126.03333333333333</v>
      </c>
      <c r="I9">
        <v>0</v>
      </c>
      <c r="J9">
        <f t="shared" si="1"/>
        <v>0</v>
      </c>
      <c r="K9" t="s">
        <v>220</v>
      </c>
      <c r="L9" t="str">
        <f>IFERROR(IF(COUNT(J11,J13,J15)=3,J9/SUM(J11,J13,J15),""),"")</f>
        <v/>
      </c>
      <c r="M9" t="str">
        <f>IFERROR(IF(COUNT(J11,J13,J15)=3,1/SUM(J11,J13,J15),""),"")</f>
        <v/>
      </c>
      <c r="N9" s="3" t="s">
        <v>48</v>
      </c>
    </row>
    <row r="10" spans="1:14" ht="29" x14ac:dyDescent="0.35">
      <c r="A10" s="5"/>
      <c r="B10" t="s">
        <v>49</v>
      </c>
      <c r="C10" t="s">
        <v>31</v>
      </c>
      <c r="D10" t="s">
        <v>32</v>
      </c>
      <c r="E10">
        <v>0.36</v>
      </c>
      <c r="F10">
        <v>10.27</v>
      </c>
      <c r="G10">
        <v>67.900000000000006</v>
      </c>
      <c r="H10">
        <f t="shared" si="0"/>
        <v>11.622216666666668</v>
      </c>
      <c r="I10">
        <v>0</v>
      </c>
      <c r="J10">
        <f t="shared" si="1"/>
        <v>0</v>
      </c>
      <c r="K10" t="s">
        <v>219</v>
      </c>
      <c r="L10" t="str">
        <f>IFERROR(IF(COUNT(J11,J12)=2,J10/SUM(J11,J12),""),"")</f>
        <v/>
      </c>
      <c r="M10" t="str">
        <f>IFERROR(IF(COUNT(J11,J12)=2,1/SUM(J11,J12),""),"")</f>
        <v/>
      </c>
      <c r="N10" s="3" t="s">
        <v>50</v>
      </c>
    </row>
    <row r="11" spans="1:14" ht="29" x14ac:dyDescent="0.35">
      <c r="A11" s="5"/>
      <c r="B11" t="s">
        <v>51</v>
      </c>
      <c r="C11" t="s">
        <v>52</v>
      </c>
      <c r="D11" t="s">
        <v>47</v>
      </c>
      <c r="E11">
        <v>0.33</v>
      </c>
      <c r="F11">
        <v>99.5</v>
      </c>
      <c r="G11">
        <v>76</v>
      </c>
      <c r="H11">
        <f t="shared" si="0"/>
        <v>126.03333333333333</v>
      </c>
      <c r="I11">
        <v>0</v>
      </c>
      <c r="J11">
        <f t="shared" si="1"/>
        <v>0</v>
      </c>
      <c r="N11" s="3" t="s">
        <v>53</v>
      </c>
    </row>
    <row r="12" spans="1:14" ht="29" x14ac:dyDescent="0.35">
      <c r="A12" s="5"/>
      <c r="B12" s="2" t="s">
        <v>213</v>
      </c>
      <c r="C12" s="2" t="s">
        <v>55</v>
      </c>
      <c r="D12" s="2" t="s">
        <v>56</v>
      </c>
      <c r="E12" s="2">
        <v>0.02</v>
      </c>
      <c r="F12" s="2">
        <v>0.27700000000000002</v>
      </c>
      <c r="G12" s="2">
        <v>58</v>
      </c>
      <c r="H12" s="2">
        <f t="shared" si="0"/>
        <v>0.26776666666666671</v>
      </c>
      <c r="I12" s="2">
        <v>0</v>
      </c>
      <c r="J12" s="2">
        <f t="shared" si="1"/>
        <v>0</v>
      </c>
      <c r="K12" s="2"/>
      <c r="L12" s="2"/>
      <c r="M12" s="2"/>
      <c r="N12" s="4" t="s">
        <v>57</v>
      </c>
    </row>
    <row r="13" spans="1:14" ht="29" x14ac:dyDescent="0.35">
      <c r="A13" s="5" t="s">
        <v>58</v>
      </c>
      <c r="B13" t="s">
        <v>214</v>
      </c>
      <c r="C13" t="s">
        <v>60</v>
      </c>
      <c r="D13" t="s">
        <v>61</v>
      </c>
      <c r="E13">
        <v>0.36</v>
      </c>
      <c r="F13">
        <v>337</v>
      </c>
      <c r="G13">
        <v>22.222000000000001</v>
      </c>
      <c r="H13">
        <f t="shared" si="0"/>
        <v>124.81356666666667</v>
      </c>
      <c r="I13">
        <v>0</v>
      </c>
      <c r="J13">
        <f t="shared" si="1"/>
        <v>0</v>
      </c>
      <c r="K13" t="s">
        <v>221</v>
      </c>
      <c r="L13" t="str">
        <f>IFERROR(IF(COUNT(J14,J16)=2,J13/SUM(J14,J16),""),"")</f>
        <v/>
      </c>
      <c r="M13" t="str">
        <f>IFERROR(IF(COUNT(J14,J16)=2,1/SUM(J14,J16),""),"")</f>
        <v/>
      </c>
      <c r="N13" s="3" t="s">
        <v>62</v>
      </c>
    </row>
    <row r="14" spans="1:14" ht="58" x14ac:dyDescent="0.35">
      <c r="A14" s="5"/>
      <c r="B14" t="s">
        <v>215</v>
      </c>
      <c r="C14" t="s">
        <v>64</v>
      </c>
      <c r="D14" t="s">
        <v>65</v>
      </c>
      <c r="E14">
        <v>2.7E-2</v>
      </c>
      <c r="F14">
        <v>258000</v>
      </c>
      <c r="G14">
        <v>100</v>
      </c>
      <c r="H14">
        <f t="shared" si="0"/>
        <v>430000</v>
      </c>
      <c r="I14">
        <v>0</v>
      </c>
      <c r="J14">
        <f t="shared" si="1"/>
        <v>0</v>
      </c>
      <c r="K14" t="s">
        <v>66</v>
      </c>
      <c r="L14" t="str">
        <f>IFERROR(IF(COUNT(J16,J17)=2,J14/SUM(J16,J17),""),"")</f>
        <v/>
      </c>
      <c r="M14" t="str">
        <f>IFERROR(IF(COUNT(J16,J17)=2,1/SUM(J16,J17),""),"")</f>
        <v/>
      </c>
      <c r="N14" s="3" t="s">
        <v>67</v>
      </c>
    </row>
    <row r="15" spans="1:14" ht="29" x14ac:dyDescent="0.35">
      <c r="A15" s="5"/>
      <c r="B15" t="s">
        <v>216</v>
      </c>
      <c r="C15" t="s">
        <v>69</v>
      </c>
      <c r="D15" t="s">
        <v>61</v>
      </c>
      <c r="E15">
        <v>0.36</v>
      </c>
      <c r="F15">
        <v>337</v>
      </c>
      <c r="G15">
        <v>22.222000000000001</v>
      </c>
      <c r="H15">
        <f t="shared" si="0"/>
        <v>124.81356666666667</v>
      </c>
      <c r="I15">
        <v>0</v>
      </c>
      <c r="J15">
        <f t="shared" si="1"/>
        <v>0</v>
      </c>
      <c r="K15" t="s">
        <v>66</v>
      </c>
      <c r="L15" t="str">
        <f>IFERROR(IF(COUNT(J16,J17)=2,J15/SUM(J16,J17),""),"")</f>
        <v/>
      </c>
      <c r="M15" t="str">
        <f>IFERROR(IF(COUNT(J16,J17)=2,1/SUM(J16,J17),""),"")</f>
        <v/>
      </c>
      <c r="N15" s="3" t="s">
        <v>62</v>
      </c>
    </row>
    <row r="16" spans="1:14" ht="29" x14ac:dyDescent="0.35">
      <c r="A16" s="5"/>
      <c r="B16" t="s">
        <v>217</v>
      </c>
      <c r="C16" t="s">
        <v>71</v>
      </c>
      <c r="D16" t="s">
        <v>61</v>
      </c>
      <c r="E16">
        <v>0.36</v>
      </c>
      <c r="F16">
        <v>337</v>
      </c>
      <c r="G16">
        <v>22.222000000000001</v>
      </c>
      <c r="H16">
        <f t="shared" si="0"/>
        <v>124.81356666666667</v>
      </c>
      <c r="I16">
        <v>0</v>
      </c>
      <c r="J16">
        <f t="shared" si="1"/>
        <v>0</v>
      </c>
      <c r="N16" s="3" t="s">
        <v>72</v>
      </c>
    </row>
    <row r="17" spans="1:14" ht="29" x14ac:dyDescent="0.35">
      <c r="A17" s="5"/>
      <c r="B17" s="2" t="s">
        <v>218</v>
      </c>
      <c r="C17" s="2" t="s">
        <v>74</v>
      </c>
      <c r="D17" s="2" t="s">
        <v>75</v>
      </c>
      <c r="E17" s="2">
        <v>0.42</v>
      </c>
      <c r="F17" s="2">
        <v>800</v>
      </c>
      <c r="G17" s="2">
        <v>19.75</v>
      </c>
      <c r="H17" s="2">
        <f t="shared" si="0"/>
        <v>263.33333333333331</v>
      </c>
      <c r="I17" s="2">
        <v>0</v>
      </c>
      <c r="J17" s="2">
        <f t="shared" si="1"/>
        <v>0</v>
      </c>
      <c r="K17" s="2"/>
      <c r="L17" s="2"/>
      <c r="M17" s="2"/>
      <c r="N17" s="4" t="s">
        <v>76</v>
      </c>
    </row>
    <row r="18" spans="1:14" ht="58" x14ac:dyDescent="0.35">
      <c r="A18" s="5" t="s">
        <v>77</v>
      </c>
      <c r="B18" t="s">
        <v>78</v>
      </c>
      <c r="C18" t="s">
        <v>79</v>
      </c>
      <c r="D18" t="s">
        <v>80</v>
      </c>
      <c r="E18">
        <v>1.3</v>
      </c>
      <c r="F18">
        <v>2.956</v>
      </c>
      <c r="G18">
        <v>66</v>
      </c>
      <c r="H18">
        <f t="shared" si="0"/>
        <v>3.2516000000000003</v>
      </c>
      <c r="I18">
        <v>0</v>
      </c>
      <c r="J18">
        <f t="shared" si="1"/>
        <v>0</v>
      </c>
      <c r="K18" t="s">
        <v>81</v>
      </c>
      <c r="L18" t="str">
        <f>IFERROR((H18*I18*E19)/(H19*I19*E18),"")</f>
        <v/>
      </c>
      <c r="M18" t="str">
        <f>IFERROR(E19/(H19*I19),"")</f>
        <v/>
      </c>
      <c r="N18" s="3" t="s">
        <v>82</v>
      </c>
    </row>
    <row r="19" spans="1:14" ht="29" x14ac:dyDescent="0.35">
      <c r="A19" s="5"/>
      <c r="B19" t="s">
        <v>81</v>
      </c>
      <c r="C19" t="s">
        <v>83</v>
      </c>
      <c r="D19" t="s">
        <v>84</v>
      </c>
      <c r="E19">
        <v>1.3</v>
      </c>
      <c r="F19">
        <v>0.56999999999999995</v>
      </c>
      <c r="G19">
        <v>64</v>
      </c>
      <c r="H19">
        <f t="shared" si="0"/>
        <v>0.60799999999999998</v>
      </c>
      <c r="I19">
        <v>0</v>
      </c>
      <c r="J19">
        <f t="shared" si="1"/>
        <v>0</v>
      </c>
      <c r="N19" s="3" t="s">
        <v>85</v>
      </c>
    </row>
    <row r="20" spans="1:14" ht="29" x14ac:dyDescent="0.35">
      <c r="A20" s="5"/>
      <c r="B20" s="2" t="s">
        <v>86</v>
      </c>
      <c r="C20" s="2" t="s">
        <v>87</v>
      </c>
      <c r="D20" s="2" t="s">
        <v>88</v>
      </c>
      <c r="E20" s="2">
        <v>1.8</v>
      </c>
      <c r="F20" s="2">
        <v>5.4999999999999997E-3</v>
      </c>
      <c r="G20" s="2">
        <v>56.85</v>
      </c>
      <c r="H20" s="2">
        <f t="shared" si="0"/>
        <v>5.2112499999999997E-3</v>
      </c>
      <c r="I20" s="2">
        <v>0</v>
      </c>
      <c r="J20" s="2">
        <f t="shared" si="1"/>
        <v>0</v>
      </c>
      <c r="K20" s="2"/>
      <c r="L20" s="2"/>
      <c r="M20" s="2"/>
      <c r="N20" s="4" t="s">
        <v>89</v>
      </c>
    </row>
    <row r="21" spans="1:14" ht="58" x14ac:dyDescent="0.35">
      <c r="A21" s="5" t="s">
        <v>90</v>
      </c>
      <c r="B21" t="s">
        <v>91</v>
      </c>
      <c r="C21" t="s">
        <v>92</v>
      </c>
      <c r="D21" t="s">
        <v>93</v>
      </c>
      <c r="E21">
        <v>4.5999999999999999E-2</v>
      </c>
      <c r="F21">
        <v>0.85</v>
      </c>
      <c r="G21">
        <v>60.064</v>
      </c>
      <c r="H21">
        <f t="shared" si="0"/>
        <v>0.8509066666666667</v>
      </c>
      <c r="I21">
        <v>0</v>
      </c>
      <c r="J21">
        <f t="shared" si="1"/>
        <v>0</v>
      </c>
      <c r="K21" t="s">
        <v>94</v>
      </c>
      <c r="L21" t="str">
        <f>IFERROR((H21*I21*E22)/(H22*I22*E21),"")</f>
        <v/>
      </c>
      <c r="M21" t="str">
        <f>IFERROR(E22/(H22*I22),"")</f>
        <v/>
      </c>
      <c r="N21" s="3" t="s">
        <v>95</v>
      </c>
    </row>
    <row r="22" spans="1:14" ht="29" x14ac:dyDescent="0.35">
      <c r="A22" s="5"/>
      <c r="B22" t="s">
        <v>94</v>
      </c>
      <c r="C22" t="s">
        <v>96</v>
      </c>
      <c r="D22" t="s">
        <v>97</v>
      </c>
      <c r="E22">
        <v>0.01</v>
      </c>
      <c r="F22">
        <v>1.19</v>
      </c>
      <c r="G22">
        <v>64.424999999999997</v>
      </c>
      <c r="H22">
        <f t="shared" si="0"/>
        <v>1.2777624999999999</v>
      </c>
      <c r="I22">
        <v>0</v>
      </c>
      <c r="J22">
        <f t="shared" si="1"/>
        <v>0</v>
      </c>
      <c r="N22" s="3" t="s">
        <v>98</v>
      </c>
    </row>
    <row r="23" spans="1:14" ht="29" x14ac:dyDescent="0.35">
      <c r="A23" s="5"/>
      <c r="B23" t="s">
        <v>99</v>
      </c>
      <c r="C23" t="s">
        <v>100</v>
      </c>
      <c r="D23" t="s">
        <v>101</v>
      </c>
      <c r="E23">
        <v>9.4649999999999998E-2</v>
      </c>
      <c r="F23">
        <v>13.6</v>
      </c>
      <c r="G23">
        <v>35.726999999999997</v>
      </c>
      <c r="H23">
        <f t="shared" si="0"/>
        <v>8.0981199999999998</v>
      </c>
      <c r="I23">
        <v>0</v>
      </c>
      <c r="J23">
        <f t="shared" si="1"/>
        <v>0</v>
      </c>
      <c r="K23" t="s">
        <v>102</v>
      </c>
      <c r="L23" t="str">
        <f>IFERROR((H23*I23*E24)/(H24*I24*E23),"")</f>
        <v/>
      </c>
      <c r="M23" t="str">
        <f>IFERROR(E24/(H24*I24),"")</f>
        <v/>
      </c>
      <c r="N23" s="3" t="s">
        <v>103</v>
      </c>
    </row>
    <row r="24" spans="1:14" ht="29" x14ac:dyDescent="0.35">
      <c r="A24" s="5"/>
      <c r="B24" t="s">
        <v>102</v>
      </c>
      <c r="C24" t="s">
        <v>104</v>
      </c>
      <c r="D24" t="s">
        <v>105</v>
      </c>
      <c r="E24">
        <v>11.5</v>
      </c>
      <c r="F24">
        <v>3.3</v>
      </c>
      <c r="G24">
        <v>40</v>
      </c>
      <c r="H24">
        <f t="shared" si="0"/>
        <v>2.2000000000000002</v>
      </c>
      <c r="I24">
        <v>0</v>
      </c>
      <c r="J24">
        <f t="shared" si="1"/>
        <v>0</v>
      </c>
      <c r="N24" s="3" t="s">
        <v>106</v>
      </c>
    </row>
    <row r="25" spans="1:14" ht="29" x14ac:dyDescent="0.35">
      <c r="A25" s="5"/>
      <c r="B25" t="s">
        <v>107</v>
      </c>
      <c r="C25" t="s">
        <v>108</v>
      </c>
      <c r="D25" t="s">
        <v>101</v>
      </c>
      <c r="E25">
        <v>9.4649999999999998E-2</v>
      </c>
      <c r="F25">
        <v>13.6</v>
      </c>
      <c r="G25">
        <v>35.726999999999997</v>
      </c>
      <c r="H25">
        <f t="shared" si="0"/>
        <v>8.0981199999999998</v>
      </c>
      <c r="I25">
        <v>0</v>
      </c>
      <c r="J25">
        <f t="shared" si="1"/>
        <v>0</v>
      </c>
      <c r="K25" t="s">
        <v>109</v>
      </c>
      <c r="L25" t="str">
        <f>IFERROR((H25*I25*E26)/(H26*I26*E25),"")</f>
        <v/>
      </c>
      <c r="M25" t="str">
        <f>IFERROR(E26/(H26*I26),"")</f>
        <v/>
      </c>
      <c r="N25" s="3" t="s">
        <v>110</v>
      </c>
    </row>
    <row r="26" spans="1:14" ht="29" x14ac:dyDescent="0.35">
      <c r="A26" s="5"/>
      <c r="B26" t="s">
        <v>109</v>
      </c>
      <c r="C26" t="s">
        <v>111</v>
      </c>
      <c r="D26" t="s">
        <v>105</v>
      </c>
      <c r="E26">
        <v>11.5</v>
      </c>
      <c r="F26">
        <v>3.3</v>
      </c>
      <c r="G26">
        <v>40</v>
      </c>
      <c r="H26">
        <f t="shared" si="0"/>
        <v>2.2000000000000002</v>
      </c>
      <c r="I26">
        <v>0</v>
      </c>
      <c r="J26">
        <f t="shared" si="1"/>
        <v>0</v>
      </c>
      <c r="N26" s="3" t="s">
        <v>112</v>
      </c>
    </row>
    <row r="27" spans="1:14" ht="29" x14ac:dyDescent="0.35">
      <c r="A27" s="5"/>
      <c r="B27" t="s">
        <v>113</v>
      </c>
      <c r="C27" t="s">
        <v>114</v>
      </c>
      <c r="D27" t="s">
        <v>115</v>
      </c>
      <c r="E27">
        <v>0.1595</v>
      </c>
      <c r="F27">
        <v>620</v>
      </c>
      <c r="G27">
        <v>37.835999999999999</v>
      </c>
      <c r="H27">
        <f t="shared" si="0"/>
        <v>390.97199999999998</v>
      </c>
      <c r="I27">
        <v>0</v>
      </c>
      <c r="J27">
        <f t="shared" si="1"/>
        <v>0</v>
      </c>
      <c r="K27" t="s">
        <v>116</v>
      </c>
      <c r="L27" t="str">
        <f>IFERROR((H27*I27*E28)/(H28*I28*E27),"")</f>
        <v/>
      </c>
      <c r="M27" t="str">
        <f>IFERROR(E28/(H28*I28),"")</f>
        <v/>
      </c>
      <c r="N27" s="3" t="s">
        <v>117</v>
      </c>
    </row>
    <row r="28" spans="1:14" ht="29" x14ac:dyDescent="0.35">
      <c r="A28" s="5"/>
      <c r="B28" s="2" t="s">
        <v>116</v>
      </c>
      <c r="C28" s="2" t="s">
        <v>118</v>
      </c>
      <c r="D28" s="2" t="s">
        <v>119</v>
      </c>
      <c r="E28" s="2">
        <v>0.55000000000000004</v>
      </c>
      <c r="F28" s="2">
        <v>7500</v>
      </c>
      <c r="G28" s="2">
        <v>11.234999999999999</v>
      </c>
      <c r="H28" s="2">
        <f t="shared" si="0"/>
        <v>1404.375</v>
      </c>
      <c r="I28" s="2">
        <v>0</v>
      </c>
      <c r="J28" s="2">
        <f t="shared" si="1"/>
        <v>0</v>
      </c>
      <c r="K28" s="2"/>
      <c r="L28" s="2"/>
      <c r="M28" s="2"/>
      <c r="N28" s="4" t="s">
        <v>120</v>
      </c>
    </row>
  </sheetData>
  <mergeCells count="6">
    <mergeCell ref="A18:A20"/>
    <mergeCell ref="A21:A28"/>
    <mergeCell ref="A1:B1"/>
    <mergeCell ref="A2:A7"/>
    <mergeCell ref="A8:A12"/>
    <mergeCell ref="A13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workbookViewId="0"/>
  </sheetViews>
  <sheetFormatPr defaultRowHeight="14.5" x14ac:dyDescent="0.35"/>
  <cols>
    <col min="1" max="1" width="14" customWidth="1"/>
    <col min="2" max="2" width="12" customWidth="1"/>
    <col min="3" max="3" width="10" customWidth="1"/>
    <col min="4" max="4" width="48" customWidth="1"/>
    <col min="5" max="5" width="14" customWidth="1"/>
    <col min="6" max="6" width="11" customWidth="1"/>
    <col min="7" max="7" width="6" customWidth="1"/>
    <col min="8" max="10" width="11" customWidth="1"/>
    <col min="11" max="11" width="44" customWidth="1"/>
  </cols>
  <sheetData>
    <row r="1" spans="1:11" x14ac:dyDescent="0.3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</row>
    <row r="2" spans="1:11" x14ac:dyDescent="0.35">
      <c r="A2" t="s">
        <v>14</v>
      </c>
      <c r="B2" t="s">
        <v>131</v>
      </c>
      <c r="C2" t="s">
        <v>16</v>
      </c>
      <c r="D2" t="s">
        <v>132</v>
      </c>
      <c r="E2" t="s">
        <v>133</v>
      </c>
      <c r="F2">
        <v>2.8500000000000001E-3</v>
      </c>
      <c r="G2">
        <v>14</v>
      </c>
      <c r="H2">
        <v>7.8999999999999996E-5</v>
      </c>
      <c r="I2">
        <v>2.8500000000000001E-3</v>
      </c>
      <c r="J2">
        <v>1.6</v>
      </c>
      <c r="K2" t="s">
        <v>134</v>
      </c>
    </row>
    <row r="3" spans="1:11" x14ac:dyDescent="0.35">
      <c r="A3" t="s">
        <v>17</v>
      </c>
      <c r="B3" t="s">
        <v>135</v>
      </c>
      <c r="C3" t="s">
        <v>20</v>
      </c>
      <c r="D3" t="s">
        <v>136</v>
      </c>
      <c r="E3" t="s">
        <v>133</v>
      </c>
      <c r="F3">
        <v>2.4500000000000001E-2</v>
      </c>
      <c r="G3">
        <v>9</v>
      </c>
      <c r="H3">
        <v>3.8E-3</v>
      </c>
      <c r="I3">
        <v>2.4500000000000001E-2</v>
      </c>
      <c r="J3">
        <v>2.96</v>
      </c>
      <c r="K3" t="s">
        <v>134</v>
      </c>
    </row>
    <row r="4" spans="1:11" x14ac:dyDescent="0.35">
      <c r="A4" t="s">
        <v>21</v>
      </c>
      <c r="B4" t="s">
        <v>137</v>
      </c>
      <c r="C4" t="s">
        <v>24</v>
      </c>
      <c r="D4" t="s">
        <v>138</v>
      </c>
      <c r="E4" t="s">
        <v>133</v>
      </c>
      <c r="F4">
        <v>8.3000000000000004E-2</v>
      </c>
      <c r="G4">
        <v>11</v>
      </c>
      <c r="H4">
        <v>6.1000000000000004E-3</v>
      </c>
      <c r="I4">
        <v>8.3000000000000004E-2</v>
      </c>
      <c r="J4">
        <v>6.1</v>
      </c>
      <c r="K4" t="s">
        <v>139</v>
      </c>
    </row>
    <row r="5" spans="1:11" x14ac:dyDescent="0.35">
      <c r="A5" t="s">
        <v>21</v>
      </c>
      <c r="B5" t="s">
        <v>137</v>
      </c>
      <c r="C5" t="s">
        <v>24</v>
      </c>
      <c r="D5" t="s">
        <v>140</v>
      </c>
      <c r="F5">
        <v>0.54500000000000004</v>
      </c>
      <c r="G5">
        <v>10</v>
      </c>
      <c r="H5">
        <v>3.2000000000000001E-2</v>
      </c>
      <c r="I5">
        <v>0.54500000000000004</v>
      </c>
      <c r="J5">
        <v>13.1</v>
      </c>
      <c r="K5" t="s">
        <v>134</v>
      </c>
    </row>
    <row r="6" spans="1:11" x14ac:dyDescent="0.35">
      <c r="A6" t="s">
        <v>25</v>
      </c>
      <c r="B6" t="s">
        <v>141</v>
      </c>
      <c r="C6" t="s">
        <v>28</v>
      </c>
      <c r="D6" t="s">
        <v>142</v>
      </c>
      <c r="E6" t="s">
        <v>133</v>
      </c>
      <c r="F6">
        <v>0.44</v>
      </c>
      <c r="G6">
        <v>4</v>
      </c>
      <c r="H6">
        <v>4.2999999999999997E-2</v>
      </c>
      <c r="I6">
        <v>0.44</v>
      </c>
      <c r="J6">
        <v>1.75</v>
      </c>
      <c r="K6" t="s">
        <v>139</v>
      </c>
    </row>
    <row r="7" spans="1:11" x14ac:dyDescent="0.35">
      <c r="A7" t="s">
        <v>29</v>
      </c>
      <c r="B7" t="s">
        <v>143</v>
      </c>
      <c r="C7" t="s">
        <v>32</v>
      </c>
      <c r="D7" t="s">
        <v>144</v>
      </c>
      <c r="E7" t="s">
        <v>133</v>
      </c>
      <c r="F7">
        <v>0.505</v>
      </c>
      <c r="G7">
        <v>6</v>
      </c>
      <c r="H7">
        <v>6.3E-2</v>
      </c>
      <c r="I7">
        <v>0.505</v>
      </c>
      <c r="J7">
        <v>0.63</v>
      </c>
      <c r="K7" t="s">
        <v>134</v>
      </c>
    </row>
    <row r="8" spans="1:11" x14ac:dyDescent="0.35">
      <c r="A8" t="s">
        <v>29</v>
      </c>
      <c r="B8" t="s">
        <v>143</v>
      </c>
      <c r="C8" t="s">
        <v>32</v>
      </c>
      <c r="D8" t="s">
        <v>145</v>
      </c>
      <c r="F8">
        <v>0.19</v>
      </c>
      <c r="G8">
        <v>10</v>
      </c>
      <c r="H8">
        <v>1.0999999999999999E-2</v>
      </c>
      <c r="I8">
        <v>0.19</v>
      </c>
      <c r="J8">
        <v>0.49</v>
      </c>
      <c r="K8" t="s">
        <v>134</v>
      </c>
    </row>
    <row r="9" spans="1:11" x14ac:dyDescent="0.35">
      <c r="A9" t="s">
        <v>35</v>
      </c>
      <c r="B9" t="s">
        <v>146</v>
      </c>
      <c r="C9" t="s">
        <v>37</v>
      </c>
      <c r="D9" t="s">
        <v>147</v>
      </c>
      <c r="E9" t="s">
        <v>133</v>
      </c>
      <c r="F9">
        <v>0.14599999999999999</v>
      </c>
      <c r="G9">
        <v>4</v>
      </c>
      <c r="H9">
        <v>3.7999999999999999E-2</v>
      </c>
      <c r="I9">
        <v>0.14599999999999999</v>
      </c>
      <c r="J9">
        <v>1.9</v>
      </c>
      <c r="K9" t="s">
        <v>139</v>
      </c>
    </row>
    <row r="10" spans="1:11" x14ac:dyDescent="0.35">
      <c r="A10" t="s">
        <v>35</v>
      </c>
      <c r="B10" t="s">
        <v>146</v>
      </c>
      <c r="C10" t="s">
        <v>37</v>
      </c>
      <c r="D10" t="s">
        <v>148</v>
      </c>
      <c r="F10">
        <v>0.28499999999999998</v>
      </c>
      <c r="G10">
        <v>3</v>
      </c>
      <c r="H10">
        <v>0.18</v>
      </c>
      <c r="I10">
        <v>0.28499999999999998</v>
      </c>
      <c r="J10">
        <v>0.46</v>
      </c>
      <c r="K10" t="s">
        <v>139</v>
      </c>
    </row>
    <row r="11" spans="1:11" x14ac:dyDescent="0.35">
      <c r="A11" t="s">
        <v>41</v>
      </c>
      <c r="B11" t="s">
        <v>149</v>
      </c>
      <c r="C11" t="s">
        <v>43</v>
      </c>
      <c r="D11" t="s">
        <v>150</v>
      </c>
      <c r="F11">
        <v>0.29499999999999998</v>
      </c>
      <c r="G11">
        <v>8</v>
      </c>
      <c r="H11">
        <v>6.5000000000000002E-2</v>
      </c>
      <c r="I11">
        <v>0.29499999999999998</v>
      </c>
      <c r="J11">
        <v>2</v>
      </c>
      <c r="K11" t="s">
        <v>139</v>
      </c>
    </row>
    <row r="12" spans="1:11" x14ac:dyDescent="0.35">
      <c r="A12" t="s">
        <v>41</v>
      </c>
      <c r="B12" t="s">
        <v>149</v>
      </c>
      <c r="C12" t="s">
        <v>43</v>
      </c>
      <c r="D12" t="s">
        <v>151</v>
      </c>
      <c r="E12" t="s">
        <v>133</v>
      </c>
      <c r="F12">
        <v>1.2500000000000001E-2</v>
      </c>
      <c r="G12">
        <v>32</v>
      </c>
      <c r="H12">
        <v>1.6000000000000001E-3</v>
      </c>
      <c r="I12">
        <v>1.2500000000000001E-2</v>
      </c>
      <c r="J12">
        <v>27</v>
      </c>
      <c r="K12" t="s">
        <v>152</v>
      </c>
    </row>
    <row r="13" spans="1:11" x14ac:dyDescent="0.35">
      <c r="A13" t="s">
        <v>44</v>
      </c>
      <c r="B13" t="s">
        <v>153</v>
      </c>
      <c r="C13" t="s">
        <v>47</v>
      </c>
      <c r="D13" t="s">
        <v>154</v>
      </c>
      <c r="E13" t="s">
        <v>133</v>
      </c>
      <c r="F13">
        <v>0.06</v>
      </c>
      <c r="G13">
        <v>16</v>
      </c>
      <c r="H13">
        <v>0.02</v>
      </c>
      <c r="I13">
        <v>0.06</v>
      </c>
      <c r="J13">
        <v>0.45</v>
      </c>
      <c r="K13" t="s">
        <v>152</v>
      </c>
    </row>
    <row r="14" spans="1:11" x14ac:dyDescent="0.35">
      <c r="A14" t="s">
        <v>44</v>
      </c>
      <c r="B14" t="s">
        <v>153</v>
      </c>
      <c r="C14" t="s">
        <v>47</v>
      </c>
      <c r="D14" t="s">
        <v>155</v>
      </c>
      <c r="F14">
        <v>0.06</v>
      </c>
      <c r="G14">
        <v>16</v>
      </c>
      <c r="H14">
        <v>0.02</v>
      </c>
      <c r="I14">
        <v>0.06</v>
      </c>
      <c r="J14">
        <v>0.45</v>
      </c>
      <c r="K14" t="s">
        <v>152</v>
      </c>
    </row>
    <row r="15" spans="1:11" x14ac:dyDescent="0.35">
      <c r="A15" t="s">
        <v>49</v>
      </c>
      <c r="B15" t="s">
        <v>156</v>
      </c>
      <c r="C15" t="s">
        <v>32</v>
      </c>
      <c r="D15" t="s">
        <v>151</v>
      </c>
      <c r="E15" t="s">
        <v>133</v>
      </c>
      <c r="F15">
        <v>0.36</v>
      </c>
      <c r="G15">
        <v>1</v>
      </c>
      <c r="H15">
        <v>0.36</v>
      </c>
      <c r="I15">
        <v>0.36</v>
      </c>
      <c r="J15">
        <v>0.36</v>
      </c>
      <c r="K15" t="s">
        <v>134</v>
      </c>
    </row>
    <row r="16" spans="1:11" x14ac:dyDescent="0.35">
      <c r="A16" t="s">
        <v>49</v>
      </c>
      <c r="B16" t="s">
        <v>156</v>
      </c>
      <c r="C16" t="s">
        <v>32</v>
      </c>
      <c r="D16" t="s">
        <v>145</v>
      </c>
      <c r="F16">
        <v>0.19</v>
      </c>
      <c r="G16">
        <v>10</v>
      </c>
      <c r="H16">
        <v>1.0999999999999999E-2</v>
      </c>
      <c r="I16">
        <v>0.19</v>
      </c>
      <c r="J16">
        <v>0.49</v>
      </c>
      <c r="K16" t="s">
        <v>134</v>
      </c>
    </row>
    <row r="17" spans="1:11" x14ac:dyDescent="0.35">
      <c r="A17" t="s">
        <v>51</v>
      </c>
      <c r="B17" t="s">
        <v>157</v>
      </c>
      <c r="C17" t="s">
        <v>47</v>
      </c>
      <c r="D17" t="s">
        <v>158</v>
      </c>
      <c r="E17" t="s">
        <v>133</v>
      </c>
      <c r="F17">
        <v>0.33</v>
      </c>
      <c r="G17">
        <v>4</v>
      </c>
      <c r="H17">
        <v>4.7E-2</v>
      </c>
      <c r="I17">
        <v>0.33</v>
      </c>
      <c r="J17">
        <v>0.45</v>
      </c>
      <c r="K17" t="s">
        <v>134</v>
      </c>
    </row>
    <row r="18" spans="1:11" x14ac:dyDescent="0.35">
      <c r="A18" t="s">
        <v>51</v>
      </c>
      <c r="B18" t="s">
        <v>157</v>
      </c>
      <c r="C18" t="s">
        <v>47</v>
      </c>
      <c r="D18" t="s">
        <v>159</v>
      </c>
      <c r="F18">
        <v>2.5499999999999998E-2</v>
      </c>
      <c r="G18">
        <v>8</v>
      </c>
      <c r="H18">
        <v>8.9999999999999993E-3</v>
      </c>
      <c r="I18">
        <v>2.5499999999999998E-2</v>
      </c>
      <c r="J18">
        <v>5.0999999999999996</v>
      </c>
      <c r="K18" t="s">
        <v>139</v>
      </c>
    </row>
    <row r="19" spans="1:11" x14ac:dyDescent="0.35">
      <c r="A19" t="s">
        <v>54</v>
      </c>
      <c r="B19" t="s">
        <v>160</v>
      </c>
      <c r="C19" t="s">
        <v>56</v>
      </c>
      <c r="D19" t="s">
        <v>161</v>
      </c>
      <c r="F19">
        <v>0.31</v>
      </c>
      <c r="G19">
        <v>2</v>
      </c>
      <c r="H19">
        <v>0.22</v>
      </c>
      <c r="I19">
        <v>0.31</v>
      </c>
      <c r="J19">
        <v>0.4</v>
      </c>
      <c r="K19" t="s">
        <v>134</v>
      </c>
    </row>
    <row r="20" spans="1:11" x14ac:dyDescent="0.35">
      <c r="A20" t="s">
        <v>54</v>
      </c>
      <c r="B20" t="s">
        <v>160</v>
      </c>
      <c r="C20" t="s">
        <v>56</v>
      </c>
      <c r="D20" t="s">
        <v>158</v>
      </c>
      <c r="E20" t="s">
        <v>133</v>
      </c>
      <c r="F20">
        <v>0.02</v>
      </c>
      <c r="G20">
        <v>7</v>
      </c>
      <c r="H20">
        <v>7.1000000000000004E-3</v>
      </c>
      <c r="I20">
        <v>0.02</v>
      </c>
      <c r="J20">
        <v>1.05</v>
      </c>
      <c r="K20" t="s">
        <v>134</v>
      </c>
    </row>
    <row r="21" spans="1:11" x14ac:dyDescent="0.35">
      <c r="A21" t="s">
        <v>59</v>
      </c>
      <c r="B21" t="s">
        <v>162</v>
      </c>
      <c r="C21" t="s">
        <v>61</v>
      </c>
      <c r="D21" t="s">
        <v>163</v>
      </c>
      <c r="F21">
        <v>4.9000000000000002E-2</v>
      </c>
      <c r="G21">
        <v>10</v>
      </c>
      <c r="H21">
        <v>1.4999999999999999E-2</v>
      </c>
      <c r="I21">
        <v>4.9000000000000002E-2</v>
      </c>
      <c r="J21">
        <v>3.09</v>
      </c>
      <c r="K21" t="s">
        <v>134</v>
      </c>
    </row>
    <row r="22" spans="1:11" x14ac:dyDescent="0.35">
      <c r="A22" t="s">
        <v>59</v>
      </c>
      <c r="B22" t="s">
        <v>162</v>
      </c>
      <c r="C22" t="s">
        <v>61</v>
      </c>
      <c r="D22" t="s">
        <v>159</v>
      </c>
      <c r="E22" t="s">
        <v>133</v>
      </c>
      <c r="F22">
        <v>0.36</v>
      </c>
      <c r="G22">
        <v>80</v>
      </c>
      <c r="H22">
        <v>1.46E-2</v>
      </c>
      <c r="I22">
        <v>0.36</v>
      </c>
      <c r="J22">
        <v>6.3</v>
      </c>
      <c r="K22" t="s">
        <v>152</v>
      </c>
    </row>
    <row r="23" spans="1:11" x14ac:dyDescent="0.35">
      <c r="A23" t="s">
        <v>63</v>
      </c>
      <c r="B23" t="s">
        <v>164</v>
      </c>
      <c r="C23" t="s">
        <v>65</v>
      </c>
      <c r="D23" t="s">
        <v>165</v>
      </c>
      <c r="E23" t="s">
        <v>133</v>
      </c>
      <c r="F23">
        <v>2.7E-2</v>
      </c>
      <c r="G23">
        <v>14</v>
      </c>
      <c r="H23">
        <v>4.8999999999999998E-4</v>
      </c>
      <c r="I23">
        <v>2.7E-2</v>
      </c>
      <c r="J23">
        <v>0.31</v>
      </c>
      <c r="K23" t="s">
        <v>139</v>
      </c>
    </row>
    <row r="24" spans="1:11" x14ac:dyDescent="0.35">
      <c r="A24" t="s">
        <v>63</v>
      </c>
      <c r="B24" t="s">
        <v>164</v>
      </c>
      <c r="C24" t="s">
        <v>65</v>
      </c>
      <c r="D24" t="s">
        <v>166</v>
      </c>
      <c r="F24">
        <v>3.0000000000000001E-3</v>
      </c>
      <c r="G24">
        <v>1</v>
      </c>
      <c r="H24">
        <v>3.0000000000000001E-3</v>
      </c>
      <c r="I24">
        <v>3.0000000000000001E-3</v>
      </c>
      <c r="J24">
        <v>3.0000000000000001E-3</v>
      </c>
      <c r="K24" t="s">
        <v>139</v>
      </c>
    </row>
    <row r="25" spans="1:11" x14ac:dyDescent="0.35">
      <c r="A25" t="s">
        <v>68</v>
      </c>
      <c r="B25" t="s">
        <v>167</v>
      </c>
      <c r="C25" t="s">
        <v>61</v>
      </c>
      <c r="D25" t="s">
        <v>168</v>
      </c>
      <c r="F25">
        <v>0.4335</v>
      </c>
      <c r="G25">
        <v>10</v>
      </c>
      <c r="H25">
        <v>0.02</v>
      </c>
      <c r="I25">
        <v>0.4335</v>
      </c>
      <c r="J25">
        <v>1.31</v>
      </c>
      <c r="K25" t="s">
        <v>134</v>
      </c>
    </row>
    <row r="26" spans="1:11" x14ac:dyDescent="0.35">
      <c r="A26" t="s">
        <v>68</v>
      </c>
      <c r="B26" t="s">
        <v>167</v>
      </c>
      <c r="C26" t="s">
        <v>61</v>
      </c>
      <c r="D26" t="s">
        <v>159</v>
      </c>
      <c r="E26" t="s">
        <v>133</v>
      </c>
      <c r="F26">
        <v>0.36</v>
      </c>
      <c r="G26">
        <v>80</v>
      </c>
      <c r="H26">
        <v>1.46E-2</v>
      </c>
      <c r="I26">
        <v>0.36</v>
      </c>
      <c r="J26">
        <v>6.3</v>
      </c>
      <c r="K26" t="s">
        <v>152</v>
      </c>
    </row>
    <row r="27" spans="1:11" x14ac:dyDescent="0.35">
      <c r="A27" t="s">
        <v>70</v>
      </c>
      <c r="B27" t="s">
        <v>169</v>
      </c>
      <c r="C27" t="s">
        <v>61</v>
      </c>
      <c r="D27" t="s">
        <v>165</v>
      </c>
      <c r="E27" t="s">
        <v>133</v>
      </c>
      <c r="F27">
        <v>0.36</v>
      </c>
      <c r="G27">
        <v>80</v>
      </c>
      <c r="H27">
        <v>1.46E-2</v>
      </c>
      <c r="I27">
        <v>0.36</v>
      </c>
      <c r="J27">
        <v>6.3</v>
      </c>
      <c r="K27" t="s">
        <v>152</v>
      </c>
    </row>
    <row r="28" spans="1:11" x14ac:dyDescent="0.35">
      <c r="A28" t="s">
        <v>70</v>
      </c>
      <c r="B28" t="s">
        <v>169</v>
      </c>
      <c r="C28" t="s">
        <v>61</v>
      </c>
      <c r="D28" t="s">
        <v>170</v>
      </c>
      <c r="F28">
        <v>0.36</v>
      </c>
      <c r="G28">
        <v>80</v>
      </c>
      <c r="H28">
        <v>1.46E-2</v>
      </c>
      <c r="I28">
        <v>0.36</v>
      </c>
      <c r="J28">
        <v>6.3</v>
      </c>
      <c r="K28" t="s">
        <v>152</v>
      </c>
    </row>
    <row r="29" spans="1:11" x14ac:dyDescent="0.35">
      <c r="A29" t="s">
        <v>73</v>
      </c>
      <c r="B29" t="s">
        <v>171</v>
      </c>
      <c r="C29" t="s">
        <v>75</v>
      </c>
      <c r="D29" t="s">
        <v>161</v>
      </c>
      <c r="F29">
        <v>0.28999999999999998</v>
      </c>
      <c r="G29">
        <v>1</v>
      </c>
      <c r="H29">
        <v>0.28999999999999998</v>
      </c>
      <c r="I29">
        <v>0.28999999999999998</v>
      </c>
      <c r="J29">
        <v>0.28999999999999998</v>
      </c>
      <c r="K29" t="s">
        <v>134</v>
      </c>
    </row>
    <row r="30" spans="1:11" x14ac:dyDescent="0.35">
      <c r="A30" t="s">
        <v>73</v>
      </c>
      <c r="B30" t="s">
        <v>171</v>
      </c>
      <c r="C30" t="s">
        <v>75</v>
      </c>
      <c r="D30" t="s">
        <v>170</v>
      </c>
      <c r="E30" t="s">
        <v>133</v>
      </c>
      <c r="F30">
        <v>0.42</v>
      </c>
      <c r="G30">
        <v>5</v>
      </c>
      <c r="H30">
        <v>0.01</v>
      </c>
      <c r="I30">
        <v>0.42</v>
      </c>
      <c r="J30">
        <v>0.56000000000000005</v>
      </c>
      <c r="K30" t="s">
        <v>139</v>
      </c>
    </row>
    <row r="31" spans="1:11" x14ac:dyDescent="0.35">
      <c r="A31" t="s">
        <v>78</v>
      </c>
      <c r="B31" t="s">
        <v>172</v>
      </c>
      <c r="C31" t="s">
        <v>80</v>
      </c>
      <c r="D31" t="s">
        <v>173</v>
      </c>
      <c r="E31" t="s">
        <v>133</v>
      </c>
      <c r="F31">
        <v>1.3</v>
      </c>
      <c r="G31">
        <v>13</v>
      </c>
      <c r="H31">
        <v>0.67</v>
      </c>
      <c r="I31">
        <v>1.3</v>
      </c>
      <c r="J31">
        <v>2.9</v>
      </c>
      <c r="K31" t="s">
        <v>152</v>
      </c>
    </row>
    <row r="32" spans="1:11" x14ac:dyDescent="0.35">
      <c r="A32" t="s">
        <v>78</v>
      </c>
      <c r="B32" t="s">
        <v>172</v>
      </c>
      <c r="C32" t="s">
        <v>80</v>
      </c>
      <c r="D32" t="s">
        <v>174</v>
      </c>
      <c r="F32">
        <v>1.3</v>
      </c>
      <c r="G32">
        <v>13</v>
      </c>
      <c r="H32">
        <v>0.67</v>
      </c>
      <c r="I32">
        <v>1.3</v>
      </c>
      <c r="J32">
        <v>2.9</v>
      </c>
      <c r="K32" t="s">
        <v>134</v>
      </c>
    </row>
    <row r="33" spans="1:11" x14ac:dyDescent="0.35">
      <c r="A33" t="s">
        <v>81</v>
      </c>
      <c r="B33" t="s">
        <v>175</v>
      </c>
      <c r="C33" t="s">
        <v>84</v>
      </c>
      <c r="D33" t="s">
        <v>173</v>
      </c>
      <c r="E33" t="s">
        <v>133</v>
      </c>
      <c r="F33">
        <v>1.3</v>
      </c>
      <c r="G33">
        <v>1</v>
      </c>
      <c r="H33">
        <v>1.3</v>
      </c>
      <c r="I33">
        <v>1.3</v>
      </c>
      <c r="J33">
        <v>1.3</v>
      </c>
      <c r="K33" t="s">
        <v>134</v>
      </c>
    </row>
    <row r="34" spans="1:11" x14ac:dyDescent="0.35">
      <c r="A34" t="s">
        <v>81</v>
      </c>
      <c r="B34" t="s">
        <v>175</v>
      </c>
      <c r="C34" t="s">
        <v>84</v>
      </c>
      <c r="D34" t="s">
        <v>161</v>
      </c>
      <c r="F34">
        <v>9.5000000000000001E-2</v>
      </c>
      <c r="G34">
        <v>2</v>
      </c>
      <c r="H34">
        <v>0.08</v>
      </c>
      <c r="I34">
        <v>9.5000000000000001E-2</v>
      </c>
      <c r="J34">
        <v>0.11</v>
      </c>
      <c r="K34" t="s">
        <v>134</v>
      </c>
    </row>
    <row r="35" spans="1:11" x14ac:dyDescent="0.35">
      <c r="A35" t="s">
        <v>81</v>
      </c>
      <c r="B35" t="s">
        <v>175</v>
      </c>
      <c r="C35" t="s">
        <v>84</v>
      </c>
      <c r="D35" t="s">
        <v>176</v>
      </c>
      <c r="F35">
        <v>1.9</v>
      </c>
      <c r="G35">
        <v>1</v>
      </c>
      <c r="H35">
        <v>1.9</v>
      </c>
      <c r="I35">
        <v>1.9</v>
      </c>
      <c r="J35">
        <v>1.9</v>
      </c>
      <c r="K35" t="s">
        <v>134</v>
      </c>
    </row>
    <row r="36" spans="1:11" x14ac:dyDescent="0.35">
      <c r="A36" t="s">
        <v>86</v>
      </c>
      <c r="B36" t="s">
        <v>177</v>
      </c>
      <c r="C36" t="s">
        <v>88</v>
      </c>
      <c r="D36" t="s">
        <v>176</v>
      </c>
      <c r="E36" t="s">
        <v>133</v>
      </c>
      <c r="F36">
        <v>1.8</v>
      </c>
      <c r="G36">
        <v>5</v>
      </c>
      <c r="H36">
        <v>1.6</v>
      </c>
      <c r="I36">
        <v>1.8</v>
      </c>
      <c r="J36">
        <v>2.75</v>
      </c>
      <c r="K36" t="s">
        <v>134</v>
      </c>
    </row>
    <row r="37" spans="1:11" x14ac:dyDescent="0.35">
      <c r="A37" t="s">
        <v>86</v>
      </c>
      <c r="B37" t="s">
        <v>177</v>
      </c>
      <c r="C37" t="s">
        <v>88</v>
      </c>
      <c r="D37" t="s">
        <v>178</v>
      </c>
      <c r="F37">
        <v>0.47</v>
      </c>
      <c r="G37">
        <v>3</v>
      </c>
      <c r="H37">
        <v>0.31</v>
      </c>
      <c r="I37">
        <v>0.47</v>
      </c>
      <c r="J37">
        <v>0.48</v>
      </c>
      <c r="K37" t="s">
        <v>134</v>
      </c>
    </row>
    <row r="38" spans="1:11" x14ac:dyDescent="0.35">
      <c r="A38" t="s">
        <v>91</v>
      </c>
      <c r="B38" t="s">
        <v>179</v>
      </c>
      <c r="C38" t="s">
        <v>93</v>
      </c>
      <c r="D38" t="s">
        <v>161</v>
      </c>
      <c r="E38" t="s">
        <v>133</v>
      </c>
      <c r="F38">
        <v>4.5999999999999999E-2</v>
      </c>
      <c r="G38">
        <v>3</v>
      </c>
      <c r="H38">
        <v>4.5999999999999999E-2</v>
      </c>
      <c r="I38">
        <v>4.5999999999999999E-2</v>
      </c>
      <c r="J38">
        <v>0.25</v>
      </c>
      <c r="K38" t="s">
        <v>134</v>
      </c>
    </row>
    <row r="39" spans="1:11" x14ac:dyDescent="0.35">
      <c r="A39" t="s">
        <v>91</v>
      </c>
      <c r="B39" t="s">
        <v>179</v>
      </c>
      <c r="C39" t="s">
        <v>93</v>
      </c>
      <c r="D39" t="s">
        <v>180</v>
      </c>
      <c r="F39">
        <v>0.02</v>
      </c>
      <c r="G39">
        <v>63</v>
      </c>
      <c r="H39">
        <v>8.0999999999999996E-4</v>
      </c>
      <c r="I39">
        <v>0.02</v>
      </c>
      <c r="J39">
        <v>2.5</v>
      </c>
      <c r="K39" t="s">
        <v>152</v>
      </c>
    </row>
    <row r="40" spans="1:11" x14ac:dyDescent="0.35">
      <c r="A40" t="s">
        <v>91</v>
      </c>
      <c r="B40" t="s">
        <v>179</v>
      </c>
      <c r="C40" t="s">
        <v>93</v>
      </c>
      <c r="D40" t="s">
        <v>181</v>
      </c>
      <c r="F40">
        <v>9.6000000000000002E-4</v>
      </c>
      <c r="G40">
        <v>1</v>
      </c>
      <c r="H40">
        <v>9.6000000000000002E-4</v>
      </c>
      <c r="I40">
        <v>9.6000000000000002E-4</v>
      </c>
      <c r="J40">
        <v>9.6000000000000002E-4</v>
      </c>
      <c r="K40" t="s">
        <v>139</v>
      </c>
    </row>
    <row r="41" spans="1:11" x14ac:dyDescent="0.35">
      <c r="A41" t="s">
        <v>94</v>
      </c>
      <c r="B41" t="s">
        <v>182</v>
      </c>
      <c r="C41" t="s">
        <v>97</v>
      </c>
      <c r="D41" t="s">
        <v>183</v>
      </c>
      <c r="E41" t="s">
        <v>133</v>
      </c>
      <c r="F41">
        <v>0.01</v>
      </c>
      <c r="G41">
        <v>1</v>
      </c>
      <c r="H41">
        <v>0.01</v>
      </c>
      <c r="I41">
        <v>0.01</v>
      </c>
      <c r="J41">
        <v>0.01</v>
      </c>
      <c r="K41" t="s">
        <v>134</v>
      </c>
    </row>
    <row r="42" spans="1:11" x14ac:dyDescent="0.35">
      <c r="A42" t="s">
        <v>94</v>
      </c>
      <c r="B42" t="s">
        <v>182</v>
      </c>
      <c r="C42" t="s">
        <v>97</v>
      </c>
      <c r="D42" t="s">
        <v>184</v>
      </c>
      <c r="F42">
        <v>1.6E-2</v>
      </c>
      <c r="G42">
        <v>9</v>
      </c>
      <c r="H42">
        <v>1.5E-3</v>
      </c>
      <c r="I42">
        <v>1.6E-2</v>
      </c>
      <c r="J42">
        <v>1.9E-2</v>
      </c>
      <c r="K42" t="s">
        <v>134</v>
      </c>
    </row>
    <row r="43" spans="1:11" x14ac:dyDescent="0.35">
      <c r="A43" t="s">
        <v>99</v>
      </c>
      <c r="B43" t="s">
        <v>185</v>
      </c>
      <c r="C43" t="s">
        <v>101</v>
      </c>
      <c r="D43" t="s">
        <v>186</v>
      </c>
      <c r="E43" t="s">
        <v>133</v>
      </c>
      <c r="F43">
        <v>9.4649999999999998E-2</v>
      </c>
      <c r="G43">
        <v>104</v>
      </c>
      <c r="H43">
        <v>2.0000000000000001E-4</v>
      </c>
      <c r="I43">
        <v>9.4649999999999998E-2</v>
      </c>
      <c r="J43">
        <v>2630</v>
      </c>
      <c r="K43" t="s">
        <v>152</v>
      </c>
    </row>
    <row r="44" spans="1:11" x14ac:dyDescent="0.35">
      <c r="A44" t="s">
        <v>99</v>
      </c>
      <c r="B44" t="s">
        <v>185</v>
      </c>
      <c r="C44" t="s">
        <v>101</v>
      </c>
      <c r="D44" t="s">
        <v>187</v>
      </c>
      <c r="F44">
        <v>1.2500000000000001E-2</v>
      </c>
      <c r="G44">
        <v>5</v>
      </c>
      <c r="H44">
        <v>3.2000000000000002E-3</v>
      </c>
      <c r="I44">
        <v>1.2500000000000001E-2</v>
      </c>
      <c r="J44">
        <v>0.23200000000000001</v>
      </c>
      <c r="K44" t="s">
        <v>134</v>
      </c>
    </row>
    <row r="45" spans="1:11" x14ac:dyDescent="0.35">
      <c r="A45" t="s">
        <v>102</v>
      </c>
      <c r="B45" t="s">
        <v>188</v>
      </c>
      <c r="C45" t="s">
        <v>105</v>
      </c>
      <c r="D45" t="s">
        <v>189</v>
      </c>
      <c r="E45" t="s">
        <v>133</v>
      </c>
      <c r="F45">
        <v>11.5</v>
      </c>
      <c r="G45">
        <v>3</v>
      </c>
      <c r="H45">
        <v>1.65</v>
      </c>
      <c r="I45">
        <v>11.5</v>
      </c>
      <c r="J45">
        <v>15.84</v>
      </c>
      <c r="K45" t="s">
        <v>139</v>
      </c>
    </row>
    <row r="46" spans="1:11" x14ac:dyDescent="0.35">
      <c r="A46" t="s">
        <v>102</v>
      </c>
      <c r="B46" t="s">
        <v>188</v>
      </c>
      <c r="C46" t="s">
        <v>105</v>
      </c>
      <c r="D46" t="s">
        <v>190</v>
      </c>
      <c r="F46">
        <v>2.1999999999999999E-2</v>
      </c>
      <c r="G46">
        <v>17</v>
      </c>
      <c r="H46">
        <v>7.4000000000000003E-3</v>
      </c>
      <c r="I46">
        <v>2.1999999999999999E-2</v>
      </c>
      <c r="J46">
        <v>710</v>
      </c>
      <c r="K46" t="s">
        <v>134</v>
      </c>
    </row>
    <row r="47" spans="1:11" x14ac:dyDescent="0.35">
      <c r="A47" t="s">
        <v>107</v>
      </c>
      <c r="B47" t="s">
        <v>191</v>
      </c>
      <c r="C47" t="s">
        <v>101</v>
      </c>
      <c r="D47" t="s">
        <v>192</v>
      </c>
      <c r="E47" t="s">
        <v>133</v>
      </c>
      <c r="F47">
        <v>9.4649999999999998E-2</v>
      </c>
      <c r="G47">
        <v>104</v>
      </c>
      <c r="H47">
        <v>2.0000000000000001E-4</v>
      </c>
      <c r="I47">
        <v>9.4649999999999998E-2</v>
      </c>
      <c r="J47">
        <v>2630</v>
      </c>
      <c r="K47" t="s">
        <v>152</v>
      </c>
    </row>
    <row r="48" spans="1:11" x14ac:dyDescent="0.35">
      <c r="A48" t="s">
        <v>107</v>
      </c>
      <c r="B48" t="s">
        <v>191</v>
      </c>
      <c r="C48" t="s">
        <v>101</v>
      </c>
      <c r="D48" t="s">
        <v>187</v>
      </c>
      <c r="F48">
        <v>1.2500000000000001E-2</v>
      </c>
      <c r="G48">
        <v>5</v>
      </c>
      <c r="H48">
        <v>3.2000000000000002E-3</v>
      </c>
      <c r="I48">
        <v>1.2500000000000001E-2</v>
      </c>
      <c r="J48">
        <v>0.23200000000000001</v>
      </c>
      <c r="K48" t="s">
        <v>134</v>
      </c>
    </row>
    <row r="49" spans="1:11" x14ac:dyDescent="0.35">
      <c r="A49" t="s">
        <v>109</v>
      </c>
      <c r="B49" t="s">
        <v>193</v>
      </c>
      <c r="C49" t="s">
        <v>105</v>
      </c>
      <c r="D49" t="s">
        <v>194</v>
      </c>
      <c r="E49" t="s">
        <v>133</v>
      </c>
      <c r="F49">
        <v>11.5</v>
      </c>
      <c r="G49">
        <v>3</v>
      </c>
      <c r="H49">
        <v>1.65</v>
      </c>
      <c r="I49">
        <v>11.5</v>
      </c>
      <c r="J49">
        <v>15.84</v>
      </c>
      <c r="K49" t="s">
        <v>139</v>
      </c>
    </row>
    <row r="50" spans="1:11" x14ac:dyDescent="0.35">
      <c r="A50" t="s">
        <v>109</v>
      </c>
      <c r="B50" t="s">
        <v>193</v>
      </c>
      <c r="C50" t="s">
        <v>105</v>
      </c>
      <c r="D50" t="s">
        <v>190</v>
      </c>
      <c r="F50">
        <v>2.1999999999999999E-2</v>
      </c>
      <c r="G50">
        <v>17</v>
      </c>
      <c r="H50">
        <v>7.4000000000000003E-3</v>
      </c>
      <c r="I50">
        <v>2.1999999999999999E-2</v>
      </c>
      <c r="J50">
        <v>710</v>
      </c>
      <c r="K50" t="s">
        <v>134</v>
      </c>
    </row>
    <row r="51" spans="1:11" x14ac:dyDescent="0.35">
      <c r="A51" t="s">
        <v>113</v>
      </c>
      <c r="B51" t="s">
        <v>195</v>
      </c>
      <c r="C51" t="s">
        <v>115</v>
      </c>
      <c r="D51" t="s">
        <v>147</v>
      </c>
      <c r="E51" t="s">
        <v>133</v>
      </c>
      <c r="F51">
        <v>0.1595</v>
      </c>
      <c r="G51">
        <v>18</v>
      </c>
      <c r="H51">
        <v>2.5000000000000001E-4</v>
      </c>
      <c r="I51">
        <v>0.1595</v>
      </c>
      <c r="J51">
        <v>3.7</v>
      </c>
      <c r="K51" t="s">
        <v>134</v>
      </c>
    </row>
    <row r="52" spans="1:11" x14ac:dyDescent="0.35">
      <c r="A52" t="s">
        <v>113</v>
      </c>
      <c r="B52" t="s">
        <v>195</v>
      </c>
      <c r="C52" t="s">
        <v>115</v>
      </c>
      <c r="D52" t="s">
        <v>190</v>
      </c>
      <c r="F52">
        <v>5.6000000000000001E-2</v>
      </c>
      <c r="G52">
        <v>20</v>
      </c>
      <c r="H52">
        <v>0.01</v>
      </c>
      <c r="I52">
        <v>5.6000000000000001E-2</v>
      </c>
      <c r="J52">
        <v>100</v>
      </c>
      <c r="K52" t="s">
        <v>134</v>
      </c>
    </row>
    <row r="53" spans="1:11" x14ac:dyDescent="0.35">
      <c r="A53" t="s">
        <v>113</v>
      </c>
      <c r="B53" t="s">
        <v>195</v>
      </c>
      <c r="C53" t="s">
        <v>115</v>
      </c>
      <c r="D53" t="s">
        <v>140</v>
      </c>
      <c r="F53">
        <v>6.95</v>
      </c>
      <c r="G53">
        <v>2</v>
      </c>
      <c r="H53">
        <v>4</v>
      </c>
      <c r="I53">
        <v>6.95</v>
      </c>
      <c r="J53">
        <v>9.9</v>
      </c>
      <c r="K53" t="s">
        <v>134</v>
      </c>
    </row>
    <row r="54" spans="1:11" x14ac:dyDescent="0.35">
      <c r="A54" t="s">
        <v>116</v>
      </c>
      <c r="B54" t="s">
        <v>196</v>
      </c>
      <c r="C54" t="s">
        <v>119</v>
      </c>
      <c r="D54" t="s">
        <v>197</v>
      </c>
      <c r="E54" t="s">
        <v>133</v>
      </c>
      <c r="F54">
        <v>0.55000000000000004</v>
      </c>
      <c r="G54">
        <v>5</v>
      </c>
      <c r="H54">
        <v>0.12</v>
      </c>
      <c r="I54">
        <v>0.55000000000000004</v>
      </c>
      <c r="J54">
        <v>0.62</v>
      </c>
      <c r="K54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workbookViewId="0"/>
  </sheetViews>
  <sheetFormatPr defaultRowHeight="14.5" x14ac:dyDescent="0.35"/>
  <cols>
    <col min="1" max="1" width="14" customWidth="1"/>
    <col min="2" max="3" width="12" customWidth="1"/>
    <col min="4" max="4" width="10" customWidth="1"/>
    <col min="5" max="5" width="18" customWidth="1"/>
    <col min="6" max="6" width="6" customWidth="1"/>
    <col min="7" max="9" width="11" customWidth="1"/>
    <col min="10" max="10" width="30" customWidth="1"/>
    <col min="11" max="11" width="11" customWidth="1"/>
    <col min="12" max="12" width="6" customWidth="1"/>
    <col min="13" max="15" width="11" customWidth="1"/>
    <col min="16" max="16" width="40" customWidth="1"/>
    <col min="17" max="17" width="70" customWidth="1"/>
  </cols>
  <sheetData>
    <row r="1" spans="1:17" x14ac:dyDescent="0.35">
      <c r="A1" s="1" t="s">
        <v>121</v>
      </c>
      <c r="B1" s="1" t="s">
        <v>122</v>
      </c>
      <c r="C1" s="1" t="s">
        <v>198</v>
      </c>
      <c r="D1" s="1" t="s">
        <v>123</v>
      </c>
      <c r="E1" s="1" t="s">
        <v>4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199</v>
      </c>
      <c r="K1" s="1" t="s">
        <v>200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201</v>
      </c>
      <c r="Q1" s="1" t="s">
        <v>202</v>
      </c>
    </row>
    <row r="2" spans="1:17" x14ac:dyDescent="0.35">
      <c r="A2" t="s">
        <v>14</v>
      </c>
      <c r="B2" t="s">
        <v>131</v>
      </c>
      <c r="C2" t="s">
        <v>16</v>
      </c>
      <c r="D2" t="s">
        <v>16</v>
      </c>
      <c r="E2">
        <v>1.33</v>
      </c>
      <c r="F2">
        <v>6</v>
      </c>
      <c r="G2">
        <v>2.07E-2</v>
      </c>
      <c r="H2">
        <v>0.22800000000000001</v>
      </c>
      <c r="I2">
        <v>1.33</v>
      </c>
      <c r="J2" t="s">
        <v>139</v>
      </c>
      <c r="K2">
        <v>65900</v>
      </c>
      <c r="L2">
        <v>12</v>
      </c>
      <c r="M2">
        <v>55000</v>
      </c>
      <c r="N2">
        <v>65900</v>
      </c>
      <c r="O2">
        <v>105000</v>
      </c>
      <c r="P2" t="s">
        <v>203</v>
      </c>
    </row>
    <row r="3" spans="1:17" x14ac:dyDescent="0.35">
      <c r="A3" t="s">
        <v>17</v>
      </c>
      <c r="B3" t="s">
        <v>135</v>
      </c>
      <c r="C3" t="s">
        <v>20</v>
      </c>
      <c r="D3" t="s">
        <v>20</v>
      </c>
      <c r="E3">
        <v>94</v>
      </c>
      <c r="F3">
        <v>3</v>
      </c>
      <c r="G3">
        <v>14.4</v>
      </c>
      <c r="H3">
        <v>17.100000000000001</v>
      </c>
      <c r="I3">
        <v>94</v>
      </c>
      <c r="J3" t="s">
        <v>134</v>
      </c>
      <c r="K3">
        <v>57650</v>
      </c>
      <c r="L3">
        <v>10</v>
      </c>
      <c r="M3">
        <v>47700</v>
      </c>
      <c r="N3">
        <v>57650</v>
      </c>
      <c r="O3">
        <v>74000</v>
      </c>
      <c r="P3" t="s">
        <v>203</v>
      </c>
    </row>
    <row r="4" spans="1:17" x14ac:dyDescent="0.35">
      <c r="A4" t="s">
        <v>21</v>
      </c>
      <c r="B4" t="s">
        <v>137</v>
      </c>
      <c r="C4" t="s">
        <v>204</v>
      </c>
      <c r="D4" t="s">
        <v>24</v>
      </c>
      <c r="E4">
        <v>139</v>
      </c>
      <c r="F4">
        <v>10</v>
      </c>
      <c r="G4">
        <v>12</v>
      </c>
      <c r="H4">
        <v>50.15</v>
      </c>
      <c r="I4">
        <v>139</v>
      </c>
      <c r="J4" t="s">
        <v>134</v>
      </c>
      <c r="K4">
        <v>30000</v>
      </c>
      <c r="L4">
        <v>7</v>
      </c>
      <c r="M4">
        <v>29700</v>
      </c>
      <c r="N4">
        <v>30000</v>
      </c>
      <c r="O4">
        <v>94000</v>
      </c>
      <c r="P4" t="s">
        <v>203</v>
      </c>
      <c r="Q4" t="s">
        <v>205</v>
      </c>
    </row>
    <row r="5" spans="1:17" x14ac:dyDescent="0.35">
      <c r="A5" t="s">
        <v>25</v>
      </c>
      <c r="B5" t="s">
        <v>141</v>
      </c>
      <c r="C5" t="s">
        <v>28</v>
      </c>
      <c r="D5" t="s">
        <v>28</v>
      </c>
      <c r="E5">
        <v>210</v>
      </c>
      <c r="F5">
        <v>9</v>
      </c>
      <c r="G5">
        <v>0.06</v>
      </c>
      <c r="H5">
        <v>15.5</v>
      </c>
      <c r="I5">
        <v>210</v>
      </c>
      <c r="J5" t="s">
        <v>139</v>
      </c>
      <c r="K5">
        <v>43735</v>
      </c>
      <c r="L5">
        <v>9</v>
      </c>
      <c r="M5">
        <v>32500</v>
      </c>
      <c r="N5">
        <v>43735</v>
      </c>
      <c r="O5">
        <v>48000</v>
      </c>
      <c r="P5" t="s">
        <v>206</v>
      </c>
    </row>
    <row r="6" spans="1:17" x14ac:dyDescent="0.35">
      <c r="A6" t="s">
        <v>29</v>
      </c>
      <c r="B6" t="s">
        <v>143</v>
      </c>
      <c r="C6" t="s">
        <v>32</v>
      </c>
      <c r="D6" t="s">
        <v>32</v>
      </c>
      <c r="E6">
        <v>10.27</v>
      </c>
      <c r="F6">
        <v>6</v>
      </c>
      <c r="G6">
        <v>2.7</v>
      </c>
      <c r="H6">
        <v>4.57</v>
      </c>
      <c r="I6">
        <v>10.27</v>
      </c>
      <c r="J6" t="s">
        <v>134</v>
      </c>
      <c r="K6">
        <v>67900</v>
      </c>
      <c r="L6">
        <v>5</v>
      </c>
      <c r="M6">
        <v>66000</v>
      </c>
      <c r="N6">
        <v>67900</v>
      </c>
      <c r="O6">
        <v>70000</v>
      </c>
      <c r="P6" t="s">
        <v>203</v>
      </c>
    </row>
    <row r="7" spans="1:17" x14ac:dyDescent="0.35">
      <c r="A7" t="s">
        <v>35</v>
      </c>
      <c r="B7" t="s">
        <v>146</v>
      </c>
      <c r="C7" t="s">
        <v>37</v>
      </c>
      <c r="D7" t="s">
        <v>37</v>
      </c>
      <c r="E7">
        <v>15</v>
      </c>
      <c r="F7">
        <v>1</v>
      </c>
      <c r="G7">
        <v>15</v>
      </c>
      <c r="H7">
        <v>15</v>
      </c>
      <c r="I7">
        <v>15</v>
      </c>
      <c r="J7" t="s">
        <v>134</v>
      </c>
      <c r="K7">
        <v>38000</v>
      </c>
      <c r="L7">
        <v>1</v>
      </c>
      <c r="M7">
        <v>38000</v>
      </c>
      <c r="N7">
        <v>38000</v>
      </c>
      <c r="O7">
        <v>38000</v>
      </c>
      <c r="P7" t="s">
        <v>203</v>
      </c>
    </row>
    <row r="8" spans="1:17" x14ac:dyDescent="0.35">
      <c r="A8" t="s">
        <v>41</v>
      </c>
      <c r="B8" t="s">
        <v>149</v>
      </c>
      <c r="C8" t="s">
        <v>43</v>
      </c>
      <c r="D8" t="s">
        <v>43</v>
      </c>
      <c r="E8">
        <v>22.3</v>
      </c>
      <c r="F8">
        <v>5</v>
      </c>
      <c r="G8">
        <v>0.94</v>
      </c>
      <c r="H8">
        <v>16.100000000000001</v>
      </c>
      <c r="I8">
        <v>22.3</v>
      </c>
      <c r="J8" t="s">
        <v>134</v>
      </c>
      <c r="K8">
        <v>40000</v>
      </c>
      <c r="L8">
        <v>4</v>
      </c>
      <c r="M8">
        <v>38000</v>
      </c>
      <c r="N8">
        <v>40000</v>
      </c>
      <c r="O8">
        <v>50000</v>
      </c>
      <c r="P8" t="s">
        <v>203</v>
      </c>
    </row>
    <row r="9" spans="1:17" x14ac:dyDescent="0.35">
      <c r="A9" t="s">
        <v>44</v>
      </c>
      <c r="B9" t="s">
        <v>153</v>
      </c>
      <c r="C9" t="s">
        <v>47</v>
      </c>
      <c r="D9" t="s">
        <v>47</v>
      </c>
      <c r="E9">
        <v>99.5</v>
      </c>
      <c r="F9">
        <v>2</v>
      </c>
      <c r="G9">
        <v>90</v>
      </c>
      <c r="H9">
        <v>94.75</v>
      </c>
      <c r="I9">
        <v>99.5</v>
      </c>
      <c r="J9" t="s">
        <v>134</v>
      </c>
      <c r="K9">
        <v>76000</v>
      </c>
      <c r="L9">
        <v>1</v>
      </c>
      <c r="M9">
        <v>76000</v>
      </c>
      <c r="N9">
        <v>76000</v>
      </c>
      <c r="O9">
        <v>76000</v>
      </c>
      <c r="P9" t="s">
        <v>203</v>
      </c>
    </row>
    <row r="10" spans="1:17" x14ac:dyDescent="0.35">
      <c r="A10" t="s">
        <v>49</v>
      </c>
      <c r="B10" t="s">
        <v>156</v>
      </c>
      <c r="C10" t="s">
        <v>32</v>
      </c>
      <c r="D10" t="s">
        <v>32</v>
      </c>
      <c r="E10">
        <v>10.27</v>
      </c>
      <c r="F10">
        <v>6</v>
      </c>
      <c r="G10">
        <v>2.7</v>
      </c>
      <c r="H10">
        <v>4.57</v>
      </c>
      <c r="I10">
        <v>10.27</v>
      </c>
      <c r="J10" t="s">
        <v>134</v>
      </c>
      <c r="K10">
        <v>67900</v>
      </c>
      <c r="L10">
        <v>5</v>
      </c>
      <c r="M10">
        <v>66000</v>
      </c>
      <c r="N10">
        <v>67900</v>
      </c>
      <c r="O10">
        <v>70000</v>
      </c>
      <c r="P10" t="s">
        <v>203</v>
      </c>
    </row>
    <row r="11" spans="1:17" x14ac:dyDescent="0.35">
      <c r="A11" t="s">
        <v>51</v>
      </c>
      <c r="B11" t="s">
        <v>157</v>
      </c>
      <c r="C11" t="s">
        <v>47</v>
      </c>
      <c r="D11" t="s">
        <v>47</v>
      </c>
      <c r="E11">
        <v>99.5</v>
      </c>
      <c r="F11">
        <v>2</v>
      </c>
      <c r="G11">
        <v>90</v>
      </c>
      <c r="H11">
        <v>94.75</v>
      </c>
      <c r="I11">
        <v>99.5</v>
      </c>
      <c r="J11" t="s">
        <v>134</v>
      </c>
      <c r="K11">
        <v>76000</v>
      </c>
      <c r="L11">
        <v>1</v>
      </c>
      <c r="M11">
        <v>76000</v>
      </c>
      <c r="N11">
        <v>76000</v>
      </c>
      <c r="O11">
        <v>76000</v>
      </c>
      <c r="P11" t="s">
        <v>203</v>
      </c>
    </row>
    <row r="12" spans="1:17" x14ac:dyDescent="0.35">
      <c r="A12" t="s">
        <v>54</v>
      </c>
      <c r="B12" t="s">
        <v>160</v>
      </c>
      <c r="C12" t="s">
        <v>56</v>
      </c>
      <c r="D12" t="s">
        <v>56</v>
      </c>
      <c r="E12">
        <v>0.27700000000000002</v>
      </c>
      <c r="F12">
        <v>4</v>
      </c>
      <c r="G12">
        <v>4.5999999999999999E-2</v>
      </c>
      <c r="H12">
        <v>0.17100000000000001</v>
      </c>
      <c r="I12">
        <v>0.27700000000000002</v>
      </c>
      <c r="J12" t="s">
        <v>134</v>
      </c>
      <c r="K12">
        <v>58000</v>
      </c>
      <c r="L12">
        <v>1</v>
      </c>
      <c r="M12">
        <v>58000</v>
      </c>
      <c r="N12">
        <v>58000</v>
      </c>
      <c r="O12">
        <v>58000</v>
      </c>
      <c r="P12" t="s">
        <v>203</v>
      </c>
    </row>
    <row r="13" spans="1:17" x14ac:dyDescent="0.35">
      <c r="A13" t="s">
        <v>59</v>
      </c>
      <c r="B13" t="s">
        <v>162</v>
      </c>
      <c r="C13" t="s">
        <v>61</v>
      </c>
      <c r="D13" t="s">
        <v>61</v>
      </c>
      <c r="E13">
        <v>337</v>
      </c>
      <c r="F13">
        <v>1</v>
      </c>
      <c r="G13">
        <v>337</v>
      </c>
      <c r="H13">
        <v>337</v>
      </c>
      <c r="I13">
        <v>337</v>
      </c>
      <c r="J13" t="s">
        <v>134</v>
      </c>
      <c r="K13">
        <v>22222</v>
      </c>
      <c r="L13">
        <v>1</v>
      </c>
      <c r="M13">
        <v>22222</v>
      </c>
      <c r="N13">
        <v>22222</v>
      </c>
      <c r="O13">
        <v>22222</v>
      </c>
      <c r="P13" t="s">
        <v>203</v>
      </c>
    </row>
    <row r="14" spans="1:17" x14ac:dyDescent="0.35">
      <c r="A14" t="s">
        <v>63</v>
      </c>
      <c r="B14" t="s">
        <v>164</v>
      </c>
      <c r="C14" t="s">
        <v>207</v>
      </c>
      <c r="D14" t="s">
        <v>65</v>
      </c>
      <c r="E14">
        <v>258000</v>
      </c>
      <c r="F14">
        <v>38</v>
      </c>
      <c r="G14">
        <v>4.5000000000000001E-6</v>
      </c>
      <c r="H14">
        <v>0.71</v>
      </c>
      <c r="I14">
        <v>258000</v>
      </c>
      <c r="J14" t="s">
        <v>139</v>
      </c>
      <c r="K14">
        <v>100000</v>
      </c>
      <c r="L14">
        <v>3</v>
      </c>
      <c r="M14">
        <v>78000</v>
      </c>
      <c r="N14">
        <v>100000</v>
      </c>
      <c r="O14">
        <v>160000</v>
      </c>
      <c r="P14" t="s">
        <v>203</v>
      </c>
      <c r="Q14" t="s">
        <v>208</v>
      </c>
    </row>
    <row r="15" spans="1:17" x14ac:dyDescent="0.35">
      <c r="A15" t="s">
        <v>68</v>
      </c>
      <c r="B15" t="s">
        <v>167</v>
      </c>
      <c r="C15" t="s">
        <v>61</v>
      </c>
      <c r="D15" t="s">
        <v>61</v>
      </c>
      <c r="E15">
        <v>337</v>
      </c>
      <c r="F15">
        <v>1</v>
      </c>
      <c r="G15">
        <v>337</v>
      </c>
      <c r="H15">
        <v>337</v>
      </c>
      <c r="I15">
        <v>337</v>
      </c>
      <c r="J15" t="s">
        <v>134</v>
      </c>
      <c r="K15">
        <v>22222</v>
      </c>
      <c r="L15">
        <v>1</v>
      </c>
      <c r="M15">
        <v>22222</v>
      </c>
      <c r="N15">
        <v>22222</v>
      </c>
      <c r="O15">
        <v>22222</v>
      </c>
      <c r="P15" t="s">
        <v>203</v>
      </c>
    </row>
    <row r="16" spans="1:17" x14ac:dyDescent="0.35">
      <c r="A16" t="s">
        <v>70</v>
      </c>
      <c r="B16" t="s">
        <v>169</v>
      </c>
      <c r="C16" t="s">
        <v>61</v>
      </c>
      <c r="D16" t="s">
        <v>61</v>
      </c>
      <c r="E16">
        <v>337</v>
      </c>
      <c r="F16">
        <v>1</v>
      </c>
      <c r="G16">
        <v>337</v>
      </c>
      <c r="H16">
        <v>337</v>
      </c>
      <c r="I16">
        <v>337</v>
      </c>
      <c r="J16" t="s">
        <v>134</v>
      </c>
      <c r="K16">
        <v>22222</v>
      </c>
      <c r="L16">
        <v>1</v>
      </c>
      <c r="M16">
        <v>22222</v>
      </c>
      <c r="N16">
        <v>22222</v>
      </c>
      <c r="O16">
        <v>22222</v>
      </c>
      <c r="P16" t="s">
        <v>203</v>
      </c>
    </row>
    <row r="17" spans="1:17" x14ac:dyDescent="0.35">
      <c r="A17" t="s">
        <v>73</v>
      </c>
      <c r="B17" t="s">
        <v>171</v>
      </c>
      <c r="C17" t="s">
        <v>75</v>
      </c>
      <c r="D17" t="s">
        <v>75</v>
      </c>
      <c r="E17">
        <v>800</v>
      </c>
      <c r="F17">
        <v>4</v>
      </c>
      <c r="G17">
        <v>550</v>
      </c>
      <c r="H17">
        <v>770</v>
      </c>
      <c r="I17">
        <v>800</v>
      </c>
      <c r="J17" t="s">
        <v>134</v>
      </c>
      <c r="K17">
        <v>19750</v>
      </c>
      <c r="L17">
        <v>2</v>
      </c>
      <c r="M17">
        <v>19000</v>
      </c>
      <c r="N17">
        <v>19750</v>
      </c>
      <c r="O17">
        <v>20500</v>
      </c>
      <c r="P17" t="s">
        <v>203</v>
      </c>
    </row>
    <row r="18" spans="1:17" x14ac:dyDescent="0.35">
      <c r="A18" t="s">
        <v>78</v>
      </c>
      <c r="B18" t="s">
        <v>172</v>
      </c>
      <c r="C18" t="s">
        <v>80</v>
      </c>
      <c r="D18" t="s">
        <v>80</v>
      </c>
      <c r="E18">
        <v>2.956</v>
      </c>
      <c r="F18">
        <v>7</v>
      </c>
      <c r="G18">
        <v>2.4000000000000001E-4</v>
      </c>
      <c r="H18">
        <v>1.37</v>
      </c>
      <c r="I18">
        <v>2.956</v>
      </c>
      <c r="J18" t="s">
        <v>134</v>
      </c>
      <c r="K18">
        <v>66000</v>
      </c>
      <c r="L18">
        <v>2</v>
      </c>
      <c r="M18">
        <v>65000</v>
      </c>
      <c r="N18">
        <v>66000</v>
      </c>
      <c r="O18">
        <v>67000</v>
      </c>
      <c r="P18" t="s">
        <v>203</v>
      </c>
      <c r="Q18" t="s">
        <v>209</v>
      </c>
    </row>
    <row r="19" spans="1:17" x14ac:dyDescent="0.35">
      <c r="A19" t="s">
        <v>81</v>
      </c>
      <c r="B19" t="s">
        <v>175</v>
      </c>
      <c r="C19" t="s">
        <v>84</v>
      </c>
      <c r="D19" t="s">
        <v>84</v>
      </c>
      <c r="E19">
        <v>0.56999999999999995</v>
      </c>
      <c r="F19">
        <v>6</v>
      </c>
      <c r="G19">
        <v>6.9599999999999995E-2</v>
      </c>
      <c r="H19">
        <v>0.18149999999999999</v>
      </c>
      <c r="I19">
        <v>0.56999999999999995</v>
      </c>
      <c r="J19" t="s">
        <v>139</v>
      </c>
      <c r="K19">
        <v>64000</v>
      </c>
      <c r="L19">
        <v>3</v>
      </c>
      <c r="M19">
        <v>63300</v>
      </c>
      <c r="N19">
        <v>64000</v>
      </c>
      <c r="O19">
        <v>64800</v>
      </c>
      <c r="P19" t="s">
        <v>203</v>
      </c>
    </row>
    <row r="20" spans="1:17" x14ac:dyDescent="0.35">
      <c r="A20" t="s">
        <v>86</v>
      </c>
      <c r="B20" t="s">
        <v>177</v>
      </c>
      <c r="C20" t="s">
        <v>88</v>
      </c>
      <c r="D20" t="s">
        <v>88</v>
      </c>
      <c r="E20">
        <v>5.4999999999999997E-3</v>
      </c>
      <c r="F20">
        <v>4</v>
      </c>
      <c r="G20">
        <v>1E-3</v>
      </c>
      <c r="H20">
        <v>2.1475000000000001E-3</v>
      </c>
      <c r="I20">
        <v>5.4999999999999997E-3</v>
      </c>
      <c r="J20" t="s">
        <v>134</v>
      </c>
      <c r="K20">
        <v>56850</v>
      </c>
      <c r="L20">
        <v>12</v>
      </c>
      <c r="M20">
        <v>50000</v>
      </c>
      <c r="N20">
        <v>56850</v>
      </c>
      <c r="O20">
        <v>200000</v>
      </c>
      <c r="P20" t="s">
        <v>206</v>
      </c>
    </row>
    <row r="21" spans="1:17" x14ac:dyDescent="0.35">
      <c r="A21" t="s">
        <v>91</v>
      </c>
      <c r="B21" t="s">
        <v>179</v>
      </c>
      <c r="C21" t="s">
        <v>93</v>
      </c>
      <c r="D21" t="s">
        <v>93</v>
      </c>
      <c r="E21">
        <v>0.85</v>
      </c>
      <c r="F21">
        <v>13</v>
      </c>
      <c r="G21">
        <v>1E-8</v>
      </c>
      <c r="H21">
        <v>5.4500000000000003E-5</v>
      </c>
      <c r="I21">
        <v>0.85</v>
      </c>
      <c r="J21" t="s">
        <v>134</v>
      </c>
      <c r="K21">
        <v>60064</v>
      </c>
      <c r="L21">
        <v>2</v>
      </c>
      <c r="M21">
        <v>60000</v>
      </c>
      <c r="N21">
        <v>60064</v>
      </c>
      <c r="O21">
        <v>60128</v>
      </c>
      <c r="P21" t="s">
        <v>203</v>
      </c>
      <c r="Q21" t="s">
        <v>210</v>
      </c>
    </row>
    <row r="22" spans="1:17" x14ac:dyDescent="0.35">
      <c r="A22" t="s">
        <v>94</v>
      </c>
      <c r="B22" t="s">
        <v>182</v>
      </c>
      <c r="C22" t="s">
        <v>97</v>
      </c>
      <c r="D22" t="s">
        <v>97</v>
      </c>
      <c r="E22">
        <v>1.19</v>
      </c>
      <c r="F22">
        <v>2</v>
      </c>
      <c r="G22">
        <v>6.7000000000000002E-4</v>
      </c>
      <c r="H22">
        <v>0.59533499999999995</v>
      </c>
      <c r="I22">
        <v>1.19</v>
      </c>
      <c r="J22" t="s">
        <v>134</v>
      </c>
      <c r="K22">
        <v>64425</v>
      </c>
      <c r="L22">
        <v>3</v>
      </c>
      <c r="M22">
        <v>64400</v>
      </c>
      <c r="N22">
        <v>64425</v>
      </c>
      <c r="O22">
        <v>65000</v>
      </c>
      <c r="P22" t="s">
        <v>203</v>
      </c>
    </row>
    <row r="23" spans="1:17" x14ac:dyDescent="0.35">
      <c r="A23" t="s">
        <v>99</v>
      </c>
      <c r="B23" t="s">
        <v>185</v>
      </c>
      <c r="C23" t="s">
        <v>101</v>
      </c>
      <c r="D23" t="s">
        <v>101</v>
      </c>
      <c r="E23">
        <v>13.6</v>
      </c>
      <c r="F23">
        <v>7</v>
      </c>
      <c r="G23">
        <v>0.47499999999999998</v>
      </c>
      <c r="H23">
        <v>5.3</v>
      </c>
      <c r="I23">
        <v>13.6</v>
      </c>
      <c r="J23" t="s">
        <v>134</v>
      </c>
      <c r="K23">
        <v>35727</v>
      </c>
      <c r="L23">
        <v>7</v>
      </c>
      <c r="M23">
        <v>32500</v>
      </c>
      <c r="N23">
        <v>35727</v>
      </c>
      <c r="O23">
        <v>38000</v>
      </c>
      <c r="P23" t="s">
        <v>203</v>
      </c>
    </row>
    <row r="24" spans="1:17" x14ac:dyDescent="0.35">
      <c r="A24" t="s">
        <v>102</v>
      </c>
      <c r="B24" t="s">
        <v>188</v>
      </c>
      <c r="C24" t="s">
        <v>105</v>
      </c>
      <c r="D24" t="s">
        <v>105</v>
      </c>
      <c r="E24">
        <v>3.3</v>
      </c>
      <c r="F24">
        <v>5</v>
      </c>
      <c r="G24">
        <v>0.6</v>
      </c>
      <c r="H24">
        <v>1.3</v>
      </c>
      <c r="I24">
        <v>3.3</v>
      </c>
      <c r="J24" t="s">
        <v>134</v>
      </c>
      <c r="K24">
        <v>40000</v>
      </c>
      <c r="L24">
        <v>14</v>
      </c>
      <c r="M24">
        <v>39500</v>
      </c>
      <c r="N24">
        <v>40000</v>
      </c>
      <c r="O24">
        <v>42000</v>
      </c>
      <c r="P24" t="s">
        <v>203</v>
      </c>
    </row>
    <row r="25" spans="1:17" x14ac:dyDescent="0.35">
      <c r="A25" t="s">
        <v>107</v>
      </c>
      <c r="B25" t="s">
        <v>191</v>
      </c>
      <c r="C25" t="s">
        <v>101</v>
      </c>
      <c r="D25" t="s">
        <v>101</v>
      </c>
      <c r="E25">
        <v>13.6</v>
      </c>
      <c r="F25">
        <v>7</v>
      </c>
      <c r="G25">
        <v>0.47499999999999998</v>
      </c>
      <c r="H25">
        <v>5.3</v>
      </c>
      <c r="I25">
        <v>13.6</v>
      </c>
      <c r="J25" t="s">
        <v>134</v>
      </c>
      <c r="K25">
        <v>35727</v>
      </c>
      <c r="L25">
        <v>7</v>
      </c>
      <c r="M25">
        <v>32500</v>
      </c>
      <c r="N25">
        <v>35727</v>
      </c>
      <c r="O25">
        <v>38000</v>
      </c>
      <c r="P25" t="s">
        <v>203</v>
      </c>
    </row>
    <row r="26" spans="1:17" x14ac:dyDescent="0.35">
      <c r="A26" t="s">
        <v>109</v>
      </c>
      <c r="B26" t="s">
        <v>193</v>
      </c>
      <c r="C26" t="s">
        <v>105</v>
      </c>
      <c r="D26" t="s">
        <v>105</v>
      </c>
      <c r="E26">
        <v>3.3</v>
      </c>
      <c r="F26">
        <v>5</v>
      </c>
      <c r="G26">
        <v>0.6</v>
      </c>
      <c r="H26">
        <v>1.3</v>
      </c>
      <c r="I26">
        <v>3.3</v>
      </c>
      <c r="J26" t="s">
        <v>134</v>
      </c>
      <c r="K26">
        <v>40000</v>
      </c>
      <c r="L26">
        <v>14</v>
      </c>
      <c r="M26">
        <v>39500</v>
      </c>
      <c r="N26">
        <v>40000</v>
      </c>
      <c r="O26">
        <v>42000</v>
      </c>
      <c r="P26" t="s">
        <v>203</v>
      </c>
    </row>
    <row r="27" spans="1:17" x14ac:dyDescent="0.35">
      <c r="A27" t="s">
        <v>113</v>
      </c>
      <c r="B27" t="s">
        <v>195</v>
      </c>
      <c r="C27" t="s">
        <v>115</v>
      </c>
      <c r="D27" t="s">
        <v>115</v>
      </c>
      <c r="E27">
        <v>620</v>
      </c>
      <c r="F27">
        <v>10</v>
      </c>
      <c r="G27">
        <v>1.1000000000000001</v>
      </c>
      <c r="H27">
        <v>81.55</v>
      </c>
      <c r="I27">
        <v>620</v>
      </c>
      <c r="J27" t="s">
        <v>134</v>
      </c>
      <c r="K27">
        <v>37836</v>
      </c>
      <c r="L27">
        <v>16</v>
      </c>
      <c r="M27">
        <v>29500</v>
      </c>
      <c r="N27">
        <v>37836</v>
      </c>
      <c r="O27">
        <v>61000</v>
      </c>
      <c r="P27" t="s">
        <v>203</v>
      </c>
    </row>
    <row r="28" spans="1:17" x14ac:dyDescent="0.35">
      <c r="A28" t="s">
        <v>116</v>
      </c>
      <c r="B28" t="s">
        <v>196</v>
      </c>
      <c r="C28" t="s">
        <v>119</v>
      </c>
      <c r="D28" t="s">
        <v>119</v>
      </c>
      <c r="E28">
        <v>7500</v>
      </c>
      <c r="F28">
        <v>17</v>
      </c>
      <c r="G28">
        <v>7</v>
      </c>
      <c r="H28">
        <v>4500</v>
      </c>
      <c r="I28">
        <v>7500</v>
      </c>
      <c r="J28" t="s">
        <v>134</v>
      </c>
      <c r="K28">
        <v>11235</v>
      </c>
      <c r="L28">
        <v>4</v>
      </c>
      <c r="M28">
        <v>11000</v>
      </c>
      <c r="N28">
        <v>11235</v>
      </c>
      <c r="O28">
        <v>11360</v>
      </c>
      <c r="P28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KM details</vt:lpstr>
      <vt:lpstr>SA MW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TU-Pseudonym 7504255944999905</cp:lastModifiedBy>
  <dcterms:modified xsi:type="dcterms:W3CDTF">2026-10-10T12:37:06Z</dcterms:modified>
</cp:coreProperties>
</file>