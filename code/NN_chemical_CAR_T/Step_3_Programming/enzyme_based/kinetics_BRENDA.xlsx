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spreadsheetml.sheet.main+xml" PartName="/xl/workbook.xml"/>
  <Override ContentType="application/vnd.openxmlformats-officedocument.spreadsheetml.styles+xml" PartName="/xl/styles.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Types>
</file>

<file path=_rels/.rels><?xml version="1.0" encoding="UTF-8"?><Relationships xmlns="http://schemas.openxmlformats.org/package/2006/relationships"><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activeTab="0"/>
  </bookViews>
  <sheets>
    <sheet name="values" r:id="rId2" sheetId="1"/>
    <sheet name="KM details" r:id="rId4" sheetId="2"/>
    <sheet name="SA MW details" r:id="rId5" sheetId="3"/>
    <sheet name="Km records" r:id="rId6" sheetId="4"/>
    <sheet name="kcat records" r:id="rId7" sheetId="5"/>
    <sheet name="SA records" r:id="rId8" sheetId="6"/>
    <sheet name="MW records" r:id="rId9" sheetId="7"/>
    <sheet name="Reaction mapping" r:id="rId10" sheetId="8"/>
    <sheet name="Query status" r:id="rId11" sheetId="9"/>
    <sheet name="EC resolution" r:id="rId12" sheetId="10"/>
    <sheet name="Reference choices" r:id="rId13" sheetId="11"/>
  </sheets>
  <calcPr calcId="125725" calcMode="auto" forceFullCalc="1" fullCalcOnLoad="1"/>
</workbook>
</file>

<file path=xl/sharedStrings.xml><?xml version="1.0" encoding="utf-8"?>
<sst xmlns="http://schemas.openxmlformats.org/spreadsheetml/2006/main" xmlns:r="http://schemas.openxmlformats.org/officeDocument/2006/relationships" xmlns:xdr="http://schemas.openxmlformats.org/drawingml/2006/spreadsheetDrawing" count="16358" uniqueCount="3788">
  <si>
    <t>Reaction pair</t>
  </si>
  <si>
    <t>Motif 1 / Block 1</t>
  </si>
  <si>
    <t>Motif 1 / Block 2</t>
  </si>
  <si>
    <t>Motif 1 / Block 3</t>
  </si>
  <si>
    <t>Motif 1 / Block 4</t>
  </si>
  <si>
    <t>Reaction</t>
  </si>
  <si>
    <t>r_Fd_1</t>
  </si>
  <si>
    <t>r_Fr_1</t>
  </si>
  <si>
    <t>r_Sf_1</t>
  </si>
  <si>
    <t>r_Sd_1</t>
  </si>
  <si>
    <t>r_I_1</t>
  </si>
  <si>
    <t>r_lk_1</t>
  </si>
  <si>
    <t>r_A_2</t>
  </si>
  <si>
    <t>r_Fd_2</t>
  </si>
  <si>
    <t>r_Fr_2</t>
  </si>
  <si>
    <t>r_Sf_2</t>
  </si>
  <si>
    <t>r_Sd_2</t>
  </si>
  <si>
    <t>r_lk_2</t>
  </si>
  <si>
    <t>r_c</t>
  </si>
  <si>
    <t>r_I1</t>
  </si>
  <si>
    <t>r_I2</t>
  </si>
  <si>
    <t>r_Nw</t>
  </si>
  <si>
    <t>r_Nb</t>
  </si>
  <si>
    <t>r_Nr</t>
  </si>
  <si>
    <t>Enzyme</t>
  </si>
  <si>
    <t>Glutamine Synthetase</t>
  </si>
  <si>
    <t>Phenylacetyl Coenzyme A:L-Glutamine Alpha-N-Phenylacetyltransferase</t>
  </si>
  <si>
    <t>2-Keto-4-Methylthiobutyrate Transamination, Reversible</t>
  </si>
  <si>
    <t>Methionine Transaminase</t>
  </si>
  <si>
    <t>G-Glutamyltransferase, Extracellular</t>
  </si>
  <si>
    <t>Alanine Racemase</t>
  </si>
  <si>
    <t>Phosphoserine Phosphatase (L-Serine)</t>
  </si>
  <si>
    <t>Phosphatidylserine Synthase Homo Sapiens</t>
  </si>
  <si>
    <t>Choline Kinase</t>
  </si>
  <si>
    <t>Ethanolamine Kinase</t>
  </si>
  <si>
    <t>Sphinganine-1-Phosphate Pamlmitaldehyde-Lyase Sphingolipid Metabolism</t>
  </si>
  <si>
    <t>S-Adenosyl-L-Methionine:Ethanolamine-Phosphate N-Methyltransferase</t>
  </si>
  <si>
    <t>demethylation of 13-O-desmethyl-tacrolimus to 13,31-O-Didesmethyl-tacrolimus in hepatocytes</t>
  </si>
  <si>
    <t>Phosphoethanolamine Cytidyltransferase</t>
  </si>
  <si>
    <t>5'-Methylthioadenosine Phosphorylase</t>
  </si>
  <si>
    <t>Purine-Nucleoside Phosphorylase (Adenosine)</t>
  </si>
  <si>
    <t>Adenine Phosphoribosyltransferase</t>
  </si>
  <si>
    <t>EC code</t>
  </si>
  <si>
    <t>2.3.1.14</t>
  </si>
  <si>
    <t>3.1.1.3</t>
  </si>
  <si>
    <t>2.3.2.2</t>
  </si>
  <si>
    <t>5.1.1.1</t>
  </si>
  <si>
    <t>3.1.3.3</t>
  </si>
  <si>
    <t>2.7.8.8</t>
  </si>
  <si>
    <t>2.7.1.82</t>
  </si>
  <si>
    <t>4.1.2.27</t>
  </si>
  <si>
    <t>2.1.1.103</t>
  </si>
  <si>
    <t>2.7.7.14</t>
  </si>
  <si>
    <t>2.4.2.28</t>
  </si>
  <si>
    <t>3.4.2.1</t>
  </si>
  <si>
    <t>2.4.2.7</t>
  </si>
  <si>
    <t>K_M [mM]</t>
  </si>
  <si>
    <t>SA [μmol/min/mg]</t>
  </si>
  <si>
    <t>MW [mg/μmol]</t>
  </si>
  <si>
    <t>k_cat [s^-1]</t>
  </si>
  <si>
    <t>=IF(AND(ISNUMBER(F2),ISNUMBER(G2)),F2*G2/60,"")</t>
  </si>
  <si>
    <t>=F3*G3/60</t>
  </si>
  <si>
    <t>=IF(AND(ISNUMBER(F4),ISNUMBER(G4)),F4*G4/60,"")</t>
  </si>
  <si>
    <t>=F5*G5/60</t>
  </si>
  <si>
    <t>=F6*G6/60</t>
  </si>
  <si>
    <t>=F7*G7/60</t>
  </si>
  <si>
    <t>=F8*G8/60</t>
  </si>
  <si>
    <t>=F9*G9/60</t>
  </si>
  <si>
    <t>=IF(AND(ISNUMBER(F10),ISNUMBER(G10)),F10*G10/60,"")</t>
  </si>
  <si>
    <t>=F11*G11/60</t>
  </si>
  <si>
    <t>=F12*G12/60</t>
  </si>
  <si>
    <t>=F13*G13/60</t>
  </si>
  <si>
    <t>=F14*G14/60</t>
  </si>
  <si>
    <t>=IF(AND(ISNUMBER(F15),ISNUMBER(G15)),F15*G15/60,"")</t>
  </si>
  <si>
    <t>=F16*G16/60</t>
  </si>
  <si>
    <t>=F17*G17/60</t>
  </si>
  <si>
    <t>=IF(AND(ISNUMBER(F18),ISNUMBER(G18)),F18*G18/60,"")</t>
  </si>
  <si>
    <t>=F19*G19/60</t>
  </si>
  <si>
    <t>[E] [mM]</t>
  </si>
  <si>
    <t>k = k_cat [E] / K_M [s^-1]</t>
  </si>
  <si>
    <t>=IF(AND(ISNUMBER(H2),ISNUMBER(I2),ISNUMBER(E2)),IF(E2&gt;0,H2*I2/E2,""),"")</t>
  </si>
  <si>
    <t>=IF(AND(ISNUMBER(H3),ISNUMBER(I3),ISNUMBER(E3)),IF(E3&gt;0,H3*I3/E3,""),"")</t>
  </si>
  <si>
    <t>=IF(AND(ISNUMBER(H4),ISNUMBER(I4),ISNUMBER(E4)),IF(E4&gt;0,H4*I4/E4,""),"")</t>
  </si>
  <si>
    <t>=IF(AND(ISNUMBER(H5),ISNUMBER(I5),ISNUMBER(E5)),IF(E5&gt;0,H5*I5/E5,""),"")</t>
  </si>
  <si>
    <t>=IF(AND(ISNUMBER(H6),ISNUMBER(I6),ISNUMBER(E6)),IF(E6&gt;0,H6*I6/E6,""),"")</t>
  </si>
  <si>
    <t>=IF(AND(ISNUMBER(H7),ISNUMBER(I7),ISNUMBER(E7)),IF(E7&gt;0,H7*I7/E7,""),"")</t>
  </si>
  <si>
    <t>=IF(AND(ISNUMBER(H8),ISNUMBER(I8),ISNUMBER(E8)),IF(E8&gt;0,H8*I8/E8,""),"")</t>
  </si>
  <si>
    <t>=IF(AND(ISNUMBER(H9),ISNUMBER(I9),ISNUMBER(E9)),IF(E9&gt;0,H9*I9/E9,""),"")</t>
  </si>
  <si>
    <t>=IF(AND(ISNUMBER(H10),ISNUMBER(I10),ISNUMBER(E10)),IF(E10&gt;0,H10*I10/E10,""),"")</t>
  </si>
  <si>
    <t>=IF(AND(ISNUMBER(H11),ISNUMBER(I11),ISNUMBER(E11)),IF(E11&gt;0,H11*I11/E11,""),"")</t>
  </si>
  <si>
    <t>=IF(AND(ISNUMBER(H12),ISNUMBER(I12),ISNUMBER(E12)),IF(E12&gt;0,H12*I12/E12,""),"")</t>
  </si>
  <si>
    <t>=IF(AND(ISNUMBER(H13),ISNUMBER(I13),ISNUMBER(E13)),IF(E13&gt;0,H13*I13/E13,""),"")</t>
  </si>
  <si>
    <t>=IF(AND(ISNUMBER(H14),ISNUMBER(I14),ISNUMBER(E14)),IF(E14&gt;0,H14*I14/E14,""),"")</t>
  </si>
  <si>
    <t>=IF(AND(ISNUMBER(H15),ISNUMBER(I15),ISNUMBER(E15)),IF(E15&gt;0,H15*I15/E15,""),"")</t>
  </si>
  <si>
    <t>=IF(AND(ISNUMBER(H16),ISNUMBER(I16),ISNUMBER(E16)),IF(E16&gt;0,H16*I16/E16,""),"")</t>
  </si>
  <si>
    <t>=IF(AND(ISNUMBER(H17),ISNUMBER(I17),ISNUMBER(E17)),IF(E17&gt;0,H17*I17/E17,""),"")</t>
  </si>
  <si>
    <t>=IF(AND(ISNUMBER(H18),ISNUMBER(I18),ISNUMBER(E18)),IF(E18&gt;0,H18*I18/E18,""),"")</t>
  </si>
  <si>
    <t>=IF(AND(ISNUMBER(H19),ISNUMBER(I19),ISNUMBER(E19)),IF(E19&gt;0,H19*I19/E19,""),"")</t>
  </si>
  <si>
    <t>Removed by (* = K_M there is for another substrate)</t>
  </si>
  <si>
    <t>G</t>
  </si>
  <si>
    <t>=IFERROR(IF(COUNT(J2,J3)=2,J2/J3,""),"")</t>
  </si>
  <si>
    <t>=IFERROR(IF(COUNT(J4,J5)=2,J4/J5,""),"")</t>
  </si>
  <si>
    <t>=IFERROR(IF(COUNT(J9,J10)=2,J9/J10,""),"")</t>
  </si>
  <si>
    <t>=IFERROR(IF(COUNT(J11,J12)=2,J11/J12,""),"")</t>
  </si>
  <si>
    <t>τ [s]</t>
  </si>
  <si>
    <t>=IFERROR(IF(ISNUMBER(J3),1/J3,""),"")</t>
  </si>
  <si>
    <t>=IFERROR(IF(ISNUMBER(J5),1/J5,""),"")</t>
  </si>
  <si>
    <t>=IFERROR(IF(ISNUMBER(J10),1/J10,""),"")</t>
  </si>
  <si>
    <t>=IFERROR(IF(ISNUMBER(J12),1/J12,""),"")</t>
  </si>
  <si>
    <t>Notes</t>
  </si>
  <si>
    <t>Candidate medians require assay, enzyme and direction review. NO EC CODE annotated for this reaction in the motif file: nothing can be queried. G/tau assume buffered co-substrates and first-order pool kinetics.</t>
  </si>
  <si>
    <t xml:space="preserve">Candidate medians require assay, enzyme and direction review. No record for L-Glutamine nor any other ligand of EC 2.3.1.14. SA median -999 umol/min/mg (n=1; Macaca fuscata () for EC 2.3.1.14. MW median 30000 Da (n=1; Macaca fuscata () for EC 2.3.1.14. CHECK THE MASS BASIS: of 1 MW records, 0 mention a subunit/monomer and 1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2.3.1.14. </t>
  </si>
  <si>
    <t xml:space="preserve">Candidate medians require assay, enzyme and direction review. K_M SUBSTITUTED: BRENDA holds no record for L-Methionine under EC 3.1.1.3. Using the ligand tributyrin instead (13 records; nearest native ligand by name similarity), a DIFFERENT substrate of the SAME enzyme. Chromogenic and fluorogenic assay substrates were excluded. This K_M describes that surrogate, NOT L-Methionine: declare it in the methods and mark this row with "*". SA median 112.5 umol/min/mg (n=260; Meleagris gallopavo (; Saccharomyces cerevisiae; Staphylococcus xylosus; Geobacillus thermocatenulatus; Homarus americanus; Staphylococcus warneri; Periplaneta americana; Penicillium aurantiogriseum; Bos taurus (; Hyalomma dromedarii; Burkholderia sp.; Geobacillus thermoleovorans; Cephaloleia presignis; Pseudomonas sp.; Triticum aestivum; Staphylococcus simulans; Geobacillus stearothermophilus; Penicillium candidum; Candida parapsilosis; Penicillium crustosum; Geobacillus sp.; Oryctolagus cuniculus; Ricinus communis; Geotrichum marinum; Scorpio maurus; Geobacillus stearothermophilus (; Arabidopsis thaliana; Burkholderia multivorans; Pachnoda sinuata flaviventris; Diutina rugosa; Acinetobacter baylyi; Aspergillus nidulans; Penicillium expansum; Thermosyntropha lipolytica; Gallus gallus; Rhizopus arrhizus; Serratia marcescens; Psychrobacter sp.; Rhizopus homothallicus; Yarrowia lipolytica; Aspergillus niger; Burkholderia cepacia; Aureobasidium pullulans; Pseudoalteromonas haloplanktis; Liza parsia; Enterobacter cloacae; Pseudomonas plecoglossicida; uncultured bacterium; Staphylococcus caprae; Staphylococcus aureus; Priestia megaterium; Blastobotrys adeninivorans; Mycobacterium tuberculosis; Bacillus safensis; Thermomyces dupontii; Pseudomonas fluorescens; Malassezia globosa; Burkholderia stabilis; Pseudomonas aeruginosa; Sphingobacterium sp. Ab3; Fusarium annulatum; Serratia sp. W3; Bacillus cereus; Heyndrickxia coagulans; Bacillus sp. (in: firmicutes); Bacillus licheniformis; Amycolatopsis mediterranei; Ectopseudomonas mendocina; Bacillus pumilus; Acinetobacter sp.; Equus caballus; Burkholderia gladioli; Oryza sativa; Saccharolobus solfataricus; Clostridium tetanomorphum; Thermus thermophilus; Micrococcus sp.; Fusarium solani; Rhizopus microsporus var. chinensis; Homo sapiens (; Streptomyces rimosus; Fagopyrum esculentum; Carica papaya; Aspergillus fumigatus; Rhizomucor miehei; Penaeus vannamei; Sus scrofa; Aspergillus carneus; Locusta migratoria; Moesziomyces antarcticus () for EC 3.1.1.3. MW median 48450 Da (n=126; Meleagris gallopavo (; Ralstonia sp.; Staphylococcus warneri; Psychrobacter sp.; Bos taurus (; Hyphopichia burtonii; Geobacillus thermoleovorans; Cordyceps militaris; Pseudomonas sp.; Triticum aestivum; Staphylococcus simulans; Candida parapsilosis; Geobacillus sp.; Oryctolagus cuniculus; Geobacillus stearothermophilus (; Aspergillus nidulans; Thermosyntropha lipolytica; Gallus gallus; Serratia marcescens; Neurospora crassa; Rhizopus homothallicus; Yarrowia lipolytica; Aspergillus niger; Aureobasidium pullulans; Streptomyces coelicolor; Jacaranda mimosifolia; Pyrococcus furiosus; Liza parsia; Staphylococcus aureus; Blastobotrys adeninivorans; Pseudomonas fluorescens; Trichoderma reesei; Pseudomonas aeruginosa; Acinetobacter calcoaceticus (; Chlamydomonas reinhardtii; Proteus vulgaris; Staphylococcus epidermidis; Heyndrickxia coagulans; Bacillus sp. (in: firmicutes); Bacillus licheniformis; Solanum lycopersicum; Bacillus subtilis; Ectopseudomonas mendocina; Cupriavidus necator; Streptomyces sp.; Helianthus annuus; Oryza sativa; Clostridium tetanomorphum; Rhodotorula mucilaginosa (; Thermus thermophilus; Micrococcus sp.; Penicillium roqueforti; Diutina rugosa; Rhizopus microsporus var. chinensis; Homo sapiens (; Fagopyrum esculentum; Rattus norvegicus (; Aspergillus fumigatus; Penaeus vannamei; Penicillium cyclopium (; Sus scrofa; Thermomyces lanuginosus (; Fusarium graminearum; Oncorhynchus tshawytscha; Moesziomyces antarcticus () for EC 3.1.1.3. CHECK THE MASS BASIS: of 126 MW records, 68 mention a subunit/monomer and 43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3.1.1.3. </t>
  </si>
  <si>
    <t xml:space="preserve">Candidate medians require assay, enzyme and direction review. K_M SUBSTITUTED: BRENDA holds no record for L-Alanine under EC 2.3.2.2. Using the ligand glycylglycine instead (4 records; nearest native ligand by name similarity), a DIFFERENT substrate of the SAME enzyme. Chromogenic and fluorogenic assay substrates were excluded. This K_M describes that surrogate, NOT L-Alanine: declare it in the methods and mark this row with "*". SA median 120 umol/min/mg (n=15; Homo sapiens) for EC 2.3.2.2. MW median 78000 Da (n=33; Homo sapiens) for EC 2.3.2.2. CHECK THE MASS BASIS: of 81 MW records, 44 mention a subunit/monomer and 38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2.3.2.2. </t>
  </si>
  <si>
    <t xml:space="preserve">Candidate medians require assay, enzyme and direction review. Primary substrate: L-Alanine (single tagged reactant); EC used: 5.1.1.1. Km n=68; kcat n=42. Km match: exact substrate, ANY organism. kcat match: exact substrate, ANY organism. Medians may pool different isoforms/assays; not a paired enzyme-specific measurement. BRENDA turnover number 35.85 1/s was found but NOT used (KcatSource = SAxMW). SA median 176 umol/min/mg (n=28; Salmonella enterica subsp. enterica serovar Typhimurium (; Pseudomonas putida; Enterococcus faecalis (; Penaeus monodon; Tolypocladium inflatum; Bacillus anthracis; Chlamydomonas reinhardtii; Shigella dysenteriae; Peribacillus psychrosaccharolyticus; Procambarus clarkii; Acidiphilium organovorum; Helicobacter pylori; Escherichia coli; Alkalihalophilus pseudofirmus; Caldanaerobacter subterraneus subsp. tengcongensis; Ligilactobacillus salivarius; Streptomyces coelicolor; Pyrococcus horikoshii; Pseudomonas fluorescens) for EC 5.1.1.1. MW median 44220 Da (n=71; Salmonella enterica subsp. enterica serovar Typhimurium (; Pseudomonas aeruginosa; Pseudomonas putida; Enterococcus faecalis (; Bacillus cereus; Penaeus monodon; Tolypocladium inflatum; Cellana grata; Penaeus japonicus; Chlamydomonas reinhardtii; Shigella dysenteriae; Peribacillus psychrosaccharolyticus; Procambarus clarkii; Acidiphilium organovorum; Helicobacter pylori; Streptococcus pneumoniae; Bacillus anthracis; Escherichia coli; Bacillus subtilis; Alkalihalophilus pseudofirmus; Bipolaris zeicola; Staphylococcus aureus; Caldanaerobacter subterraneus subsp. tengcongensis; Clostridioides difficile; Geobacillus stearothermophilus; Streptomyces coelicolor; Pyrococcus horikoshii; Pseudomonas fluorescens; Streptococcus iniae) for EC 5.1.1.1. CHECK THE MASS BASIS: of 71 MW records, 26 mention a subunit/monomer and 31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5.1.1.1. </t>
  </si>
  <si>
    <t xml:space="preserve">Candidate medians require assay, enzyme and direction review. Primary substrate: O-Phospho-L-Serine (only non-currency reactant); EC used: 3.1.3.3. Km n=10; kcat n=10. Km match: exact substrate, ANY organism. kcat match: exact substrate, ANY organism. Medians may pool different isoforms/assays; not a paired enzyme-specific measurement. BRENDA turnover number 0.1805 1/s was found but NOT used (KcatSource = SAxMW). SA median 17.3 umol/min/mg (n=11; Gallus gallus; Saccharomyces cerevisiae; Methanocaldococcus jannaschii; Arabidopsis thaliana; Hydrogenobacter thermophilus; Thermus thermophilus; Bos taurus) for EC 3.1.3.3. MW median 38000 Da (n=11; Mus musculus; Rattus norvegicus; Arabidopsis thaliana; Hydrogenobacter thermophilus; Mycobacterium tuberculosis; Thermus thermophilus; Escherichia coli; Bos taurus) for EC 3.1.3.3. CHECK THE MASS BASIS: of 11 MW records, 6 mention a subunit/monomer and 5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3.1.3.3. </t>
  </si>
  <si>
    <t>Candidate medians require assay, enzyme and direction review. Primary substrate: L-Serine (single tagged reactant); EC used: 2.7.8.8. Km n=1; kcat n=0. Km match: exact substrate, ANY organism. Medians may pool different isoforms/assays; not a paired enzyme-specific measurement. SA median 7.86 umol/min/mg (n=7; Escherichia coli) for EC 2.7.8.8. MW median 46250 Da (n=2; Homo sapiens) for EC 2.7.8.8. CHECK THE MASS BASIS: of 7 MW records, 3 mention a subunit/monomer and 0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2.7.8.8. G/tau assume buffered co-substrates and first-order pool kinetics.</t>
  </si>
  <si>
    <t xml:space="preserve">Candidate medians require assay, enzyme and direction review. NO EC CODE annotated for this reaction in the motif file: nothing can be queried. </t>
  </si>
  <si>
    <t xml:space="preserve">Candidate medians require assay, enzyme and direction review. Primary substrate: Ethanolamine (single tagged reactant); EC used: 2.7.1.82. Km n=1; kcat n=1. Km match: exact substrate, requested organism. kcat match: exact substrate, requested organism. Medians may pool different isoforms/assays; not a paired enzyme-specific measurement. BRENDA turnover number 0.00016 1/s was found but NOT used (KcatSource = SAxMW). SA median -999 umol/min/mg (n=1; Homo sapiens) for EC 2.7.1.82. MW median 65500 Da (n=2; Homo sapiens) for EC 2.7.1.82. CHECK THE MASS BASIS: of 22 MW records, 7 mention a subunit/monomer and 14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2.7.1.82. </t>
  </si>
  <si>
    <t xml:space="preserve">Candidate medians require assay, enzyme and direction review. K_M SUBSTITUTED: BRENDA holds no record for Ethanolamine Phosphate under EC 4.1.2.27. Using the ligand 4,4-difluoro-4-bora-3a,4a-diaza-s-indacene-labeled  sphinganine 1-phosphate instead (1 records; nearest native ligand by name similarity), a DIFFERENT substrate of the SAME enzyme. Chromogenic and fluorogenic assay substrates were excluded. This K_M describes that surrogate, NOT Ethanolamine Phosphate: declare it in the methods and mark this row with "*". SA median -999 umol/min/mg (n=1; Cavia porcellus) for EC 4.1.2.27. MW median 63485 Da (n=4; Homo sapiens) for EC 4.1.2.27. CHECK THE MASS BASIS: of 10 MW records, 5 mention a subunit/monomer and 0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4.1.2.27. </t>
  </si>
  <si>
    <t xml:space="preserve">Candidate medians require assay, enzyme and direction review. Primary substrate: Ethanolamine Phosphate (single tagged reactant); EC used: 2.1.1.103. Km n=27; kcat n=13. Km match: exact substrate, ANY organism. kcat match: exact substrate, ANY organism. Medians may pool different isoforms/assays; not a paired enzyme-specific measurement. BRENDA turnover number 1.82 1/s was found but NOT used (KcatSource = SAxMW). SA median 0.02 umol/min/mg (n=4; Caenorhabditis elegans; Arabidopsis thaliana; Spinacia oleracea) for EC 2.1.1.103. MW median 53550 Da (n=14; Caenorhabditis elegans; Haemonchus contortus; Spinacia oleracea; Arabidopsis thaliana; Triticum aestivum; Plasmodium falciparum) for EC 2.1.1.103. CHECK THE MASS BASIS: of 14 MW records, 6 mention a subunit/monomer and 4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2.1.1.103. </t>
  </si>
  <si>
    <t xml:space="preserve">Candidate medians require assay, enzyme and direction review. NO EC CODE annotated for this reaction in the motif file: nothing can be queried. Printed reverse deacylase reaction needs separate feasibility review. </t>
  </si>
  <si>
    <t xml:space="preserve">Candidate medians require assay, enzyme and direction review. Primary substrate: Ethanolamine Phosphate (single tagged reactant); EC used: 2.7.7.14. Km n=4; kcat n=4. Km match: exact substrate, requested organism. kcat match: exact substrate, requested organism. Medians may pool different isoforms/assays; not a paired enzyme-specific measurement. BRENDA turnover number 0.24 1/s was found but NOT used (KcatSource = SAxMW). SA median 2.965 umol/min/mg (n=4; Rattus norvegicus (; Trypanosoma brucei) for EC 2.7.7.14. MW median 50000 Da (n=1; Homo sapiens) for EC 2.7.7.14. CHECK THE MASS BASIS: of 10 MW records, 3 mention a subunit/monomer and 2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2.7.7.14. </t>
  </si>
  <si>
    <t xml:space="preserve">Candidate medians require assay, enzyme and direction review. Primary substrate: 5-Methylthioadenosine (only non-currency reactant); EC used: 2.4.2.28. Km n=11; kcat n=5. Km match: relaxed substrate name, requested organism. kcat match: relaxed substrate name, requested organism. Medians may pool different isoforms/assays; not a paired enzyme-specific measurement. m_c activation is a design assumption; enzyme Km does not specify its activation law. BRENDA turnover number 0.04 1/s was found but NOT used (KcatSource = SAxMW). SA median 0.26 umol/min/mg (n=7; Homo sapiens) for EC 2.4.2.28. MW median 43250 Da (n=8; Homo sapiens) for EC 2.4.2.28. CHECK THE MASS BASIS: of 21 MW records, 7 mention a subunit/monomer and 10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2.4.2.28. </t>
  </si>
  <si>
    <t xml:space="preserve">Candidate medians require assay, enzyme and direction review. No record for Adenosine nor any other ligand of EC 3.4.2.1. </t>
  </si>
  <si>
    <t xml:space="preserve">Candidate medians require assay, enzyme and direction review. Primary substrate: Adenine (single tagged reactant); EC used: 2.4.2.7. Km n=8; kcat n=4. Km match: exact substrate, requested organism. kcat match: exact substrate, requested organism. Medians may pool different isoforms/assays; not a paired enzyme-specific measurement. BRENDA turnover number 0.1365 1/s was found but NOT used (KcatSource = SAxMW). SA median 0.00408 umol/min/mg (n=6; Homo sapiens) for EC 2.4.2.7. MW median 34000 Da (n=5; Homo sapiens) for EC 2.4.2.7. CHECK THE MASS BASIS: of 23 MW records, 11 mention a subunit/monomer and 11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2.4.2.7. </t>
  </si>
  <si>
    <t>EC queried</t>
  </si>
  <si>
    <t>EC transferred from</t>
  </si>
  <si>
    <t>Substrate used</t>
  </si>
  <si>
    <t>L-Glutamate</t>
  </si>
  <si>
    <t>L-Glutamine</t>
  </si>
  <si>
    <t>tributyrin</t>
  </si>
  <si>
    <t>glycylglycine</t>
  </si>
  <si>
    <t>L-alanine</t>
  </si>
  <si>
    <t>O-phospho-L-serine</t>
  </si>
  <si>
    <t>L-serine</t>
  </si>
  <si>
    <t>Choline</t>
  </si>
  <si>
    <t>ethanolamine</t>
  </si>
  <si>
    <t>4,4-difluoro-4-bora-3a,4a-diaza-s-indacene-labeled  sphinganine 1-phosphate</t>
  </si>
  <si>
    <t>Ethanolamine phosphate</t>
  </si>
  <si>
    <t>S-Adenosyl-L-Homocysteine</t>
  </si>
  <si>
    <t>5'-methylthioadenosine; 5'-deoxy-5'-methyl-thioadenosine; 2'-deoxy-5'-deoxy-5'-methylthioadenosine; 5'-deoxy-5'-methylthioadenosine; 3'-deoxy-5'-deoxy-5'-methylthioadenosine; 2'-deoxy-2'-azido-5'-deoxy-5'-methylthioadenosine; adenosine</t>
  </si>
  <si>
    <t>Adenosine</t>
  </si>
  <si>
    <t>adenine</t>
  </si>
  <si>
    <t>Organism used</t>
  </si>
  <si>
    <t>SA: Macaca fuscata (; MW: Macaca fuscata (</t>
  </si>
  <si>
    <t>Staphylococcus xylosus; Scorpio maurus; Burkholderia cepacia; Serratia sp. W3; Bacillus licheniformis; Micrococcus sp.; Camelus dromedarius</t>
  </si>
  <si>
    <t>Homo sapiens</t>
  </si>
  <si>
    <t>Salmonella enterica subsp. enterica serovar Typhimurium (; Pseudomonas aeruginosa; Pseudomonas putida; Enterococcus faecalis (; Corynebacterium glutamicum; Medicago sativa (; Tolypocladium inflatum; Cellana grata; Staphylococcus aureus; Streptomyces lavendulae; Bacillus anthracis; Bacillus subtilis; Thalassiosira sp.; Helicobacter pylori; Geobacillus stearothermophilus; Escherichia coli; Alkalihalophilus pseudofirmus; Caldanaerobacter subterraneus subsp. tengcongensis; Clostridioides difficile; Aeromonas hydrophila subsp. hydrophila; Mycobacterium tuberculosis; Candidatus Pelagibacter communis; Wolbachia pipientis; Thermotoga maritima; Pyrococcus horikoshii; Salmonella enteritidis PT4 P125109; Pseudomonas fluorescens; Clostridium perfringens; Streptococcus iniae</t>
  </si>
  <si>
    <t>Thermococcus onnurineus; Mycobacterium tuberculosis; Thermus thermophilus; Entamoeba histolytica; Mycobacterium marinum</t>
  </si>
  <si>
    <t>Candida albicans</t>
  </si>
  <si>
    <t>Caenorhabditis elegans; Spinacia oleracea; Arabidopsis thaliana; Triticum aestivum; Plasmodium falciparum; Plasmodium knowlesi; Plasmodium vivax; Chlamydomonas applanata; Chlamydomonas asymmetrica; Bursaphelenchus xylophilus; Haemonchus contortus; Ancylostoma duodenale; Dictyocaulus viviparus; Oesophagostomum dentatum; Toxocara canis; Ascaris suum</t>
  </si>
  <si>
    <t>Evidence tier</t>
  </si>
  <si>
    <t>no EC code</t>
  </si>
  <si>
    <t>no K_M record under any ligand | k_cat ESTIMATED as SA*MW/60 (EC 2.3.1.14)</t>
  </si>
  <si>
    <t>K_M SUBSTITUTED ligand (tributyrin) | k_cat ESTIMATED as SA*MW/60 (EC 3.1.1.3)</t>
  </si>
  <si>
    <t>K_M SUBSTITUTED ligand (glycylglycine) | k_cat ESTIMATED as SA*MW/60 (EC 2.3.2.2)</t>
  </si>
  <si>
    <t>K_M by exact substrate, ANY organism | k_cat by exact substrate, ANY organism | k_cat ESTIMATED as SA*MW/60 (EC 5.1.1.1)</t>
  </si>
  <si>
    <t>K_M by exact substrate, ANY organism | k_cat by exact substrate, ANY organism | k_cat ESTIMATED as SA*MW/60 (EC 3.1.3.3)</t>
  </si>
  <si>
    <t>K_M by exact substrate, ANY organism | k_cat ESTIMATED as SA*MW/60 (EC 2.7.8.8)</t>
  </si>
  <si>
    <t>K_M by exact substrate, requested organism | k_cat by exact substrate, requested organism | k_cat ESTIMATED as SA*MW/60 (EC 2.7.1.82)</t>
  </si>
  <si>
    <t>K_M SUBSTITUTED ligand (4,4-difluoro-4-bora-3a,4a-diaza-s-indacene-labeled  sphinganine 1-phosphate) | k_cat ESTIMATED as SA*MW/60 (EC 4.1.2.27)</t>
  </si>
  <si>
    <t>K_M by exact substrate, ANY organism | k_cat by exact substrate, ANY organism | k_cat ESTIMATED as SA*MW/60 (EC 2.1.1.103)</t>
  </si>
  <si>
    <t>K_M by exact substrate, requested organism | k_cat by exact substrate, requested organism | k_cat ESTIMATED as SA*MW/60 (EC 2.7.7.14)</t>
  </si>
  <si>
    <t>K_M by relaxed substrate name, requested organism | k_cat by relaxed substrate name, requested organism | k_cat ESTIMATED as SA*MW/60 (EC 2.4.2.28)</t>
  </si>
  <si>
    <t>no K_M record under any ligand</t>
  </si>
  <si>
    <t>K_M by exact substrate, requested organism | k_cat by exact substrate, requested organism | k_cat ESTIMATED as SA*MW/60 (EC 2.4.2.7)</t>
  </si>
  <si>
    <t>Reaction ID</t>
  </si>
  <si>
    <t>PHACCOAGLNAC</t>
  </si>
  <si>
    <t>METTRANSc</t>
  </si>
  <si>
    <t>GTMLTe</t>
  </si>
  <si>
    <t>ALAR</t>
  </si>
  <si>
    <t>PSP_L</t>
  </si>
  <si>
    <t>PSSA1_hs</t>
  </si>
  <si>
    <t>PSSA2_hs</t>
  </si>
  <si>
    <t>ETHAK</t>
  </si>
  <si>
    <t>r0537</t>
  </si>
  <si>
    <t>r0480</t>
  </si>
  <si>
    <t>PETHCT</t>
  </si>
  <si>
    <t>MTAP</t>
  </si>
  <si>
    <t>PUNP1</t>
  </si>
  <si>
    <t>ADPT</t>
  </si>
  <si>
    <t>EC used</t>
  </si>
  <si>
    <t>Substrate</t>
  </si>
  <si>
    <t>Phenylacetyl Coenzyme A</t>
  </si>
  <si>
    <t>L-Methionine</t>
  </si>
  <si>
    <t>Pyruvate</t>
  </si>
  <si>
    <t>L-Alanine</t>
  </si>
  <si>
    <t>Reduced Glutathione</t>
  </si>
  <si>
    <t>Water</t>
  </si>
  <si>
    <t>O-Phospho-L-Serine</t>
  </si>
  <si>
    <t>Phosphatidylcholine</t>
  </si>
  <si>
    <t>L-Serine</t>
  </si>
  <si>
    <t>Phosphatidylethanolamine</t>
  </si>
  <si>
    <t>Adenosine Triphosphate</t>
  </si>
  <si>
    <t>Ethanolamine</t>
  </si>
  <si>
    <t>Ethanolamine Phosphate</t>
  </si>
  <si>
    <t>Hexadecanal</t>
  </si>
  <si>
    <t>S-Adenosyl-L-Methionine</t>
  </si>
  <si>
    <t>Cytidine-5'-Triphosphate</t>
  </si>
  <si>
    <t>Proton</t>
  </si>
  <si>
    <t>5-Methylthioadenosine</t>
  </si>
  <si>
    <t>Orthophosphate</t>
  </si>
  <si>
    <t>Adenine</t>
  </si>
  <si>
    <t>5-Phospho-Alpha-D-Ribose 1-Diphosphate</t>
  </si>
  <si>
    <t>On values sheet</t>
  </si>
  <si>
    <t>no</t>
  </si>
  <si>
    <t>candidate</t>
  </si>
  <si>
    <t>n</t>
  </si>
  <si>
    <t>min</t>
  </si>
  <si>
    <t>median</t>
  </si>
  <si>
    <t>max</t>
  </si>
  <si>
    <t>K_M taken from</t>
  </si>
  <si>
    <t>Proteus mirabilis; Solanum lycopersicum; Mus musculus; Arabidopsis thaliana; Escherichia coli; Sus scrofa; Saccharomyces cerevisiae</t>
  </si>
  <si>
    <t>Achromobacter sp. (; Trypanosoma brucei; Rattus norvegicus</t>
  </si>
  <si>
    <t>Caenorhabditis elegans; Haemonchus contortus; Spinacia oleracea; Arabidopsis thaliana; Triticum aestivum; Plasmodium falciparum; Plasmodium knowlesi; Plasmodium vivax; Chlamydomonas applanata; Chlamydomonas asymmetrica; Ancylostoma duodenale; Dictyocaulus viviparus; Oesophagostomum dentatum; Toxocara canis; Ascaris suum</t>
  </si>
  <si>
    <t>GLNS</t>
  </si>
  <si>
    <t>UNK3r</t>
  </si>
  <si>
    <t>CHOLK</t>
  </si>
  <si>
    <t>1331TAALThr</t>
  </si>
  <si>
    <t>EC in model</t>
  </si>
  <si>
    <t>SA taken from</t>
  </si>
  <si>
    <t>local BRENDA median; Macaca fuscata (</t>
  </si>
  <si>
    <t>local BRENDA median; Meleagris gallopavo (; Saccharomyces cerevisiae; Staphylococcus xylosus; Geobacillus thermocatenulatus; Homarus americanus; Staphylococcus warneri; Periplaneta americana; Penicillium aurantiogriseum; Bos taurus (; Hyalomma dromedarii; Burkholderia sp.; Geobacillus thermoleovorans; Cephaloleia presignis; Pseudomonas sp.; Triticum aestivum; Staphylococcus simulans; Geobacillus stearothermophilus; Penicillium candidum; Candida parapsilosis; Penicillium crustosum; Geobacillus sp.; Oryctolagus cuniculus; Ricinus communis; Geotrichum marinum; Scorpio maurus; Geobacillus stearothermophilus (; Arabidopsis thaliana; Burkholderia multivorans; Pachnoda sinuata flaviventris; Diutina rugosa; Acinetobacter baylyi; Aspergillus nidulans; Penicillium expansum; Thermosyntropha lipolytica; Gallus gallus; Rhizopus arrhizus; Serratia marcescens; Psychrobacter sp.; Rhizopus homothallicus; Yarrowia lipolytica; Aspergillus niger; Burkholderia cepacia; Aureobasidium pullulans; Pseudoalteromonas haloplanktis; Liza parsia; Enterobacter cloacae; Pseudomonas plecoglossicida; uncultured bacterium; Staphylococcus caprae; Staphylococcus aureus; Priestia megaterium; Blastobotrys adeninivorans; Mycobacterium tuberculosis; Bacillus safensis; Thermomyces dupontii; Pseudomonas fluorescens; Malassezia globosa; Burkholderia stabilis; Pseudomonas aeruginosa; Sphingobacterium sp. Ab3; Fusarium annulatum; Serratia sp. W3; Bacillus cereus; Heyndrickxia coagulans; Bacillus sp. (in: firmicutes); Bacillus licheniformis; Amycolatopsis mediterranei; Ectopseudomonas mendocina; Bacillus pumilus; Acinetobacter sp.; Equus caballus; Burkholderia gladioli; Oryza sativa; Saccharolobus solfataricus; Clostridium tetanomorphum; Thermus thermophilus; Micrococcus sp.; Fusarium solani; Rhizopus microsporus var. chinensis; Homo sapiens (; Streptomyces rimosus; Fagopyrum esculentum; Carica papaya; Aspergillus fumigatus; Rhizomucor miehei; Penaeus vannamei; Sus scrofa; Aspergillus carneus; Locusta migratoria; Moesziomyces antarcticus (</t>
  </si>
  <si>
    <t>local BRENDA median; Homo sapiens</t>
  </si>
  <si>
    <t>local BRENDA median; Salmonella enterica subsp. enterica serovar Typhimurium (; Pseudomonas putida; Enterococcus faecalis (; Penaeus monodon; Tolypocladium inflatum; Bacillus anthracis; Chlamydomonas reinhardtii; Shigella dysenteriae; Peribacillus psychrosaccharolyticus; Procambarus clarkii; Acidiphilium organovorum; Helicobacter pylori; Escherichia coli; Alkalihalophilus pseudofirmus; Caldanaerobacter subterraneus subsp. tengcongensis; Ligilactobacillus salivarius; Streptomyces coelicolor; Pyrococcus horikoshii; Pseudomonas fluorescens</t>
  </si>
  <si>
    <t>local BRENDA median; Gallus gallus; Saccharomyces cerevisiae; Methanocaldococcus jannaschii; Arabidopsis thaliana; Hydrogenobacter thermophilus; Thermus thermophilus; Bos taurus</t>
  </si>
  <si>
    <t>local BRENDA median; Escherichia coli</t>
  </si>
  <si>
    <t>local BRENDA median; Cavia porcellus</t>
  </si>
  <si>
    <t>local BRENDA median; Caenorhabditis elegans; Arabidopsis thaliana; Spinacia oleracea</t>
  </si>
  <si>
    <t>local BRENDA median; Rattus norvegicus (; Trypanosoma brucei</t>
  </si>
  <si>
    <t>MW [Da]</t>
  </si>
  <si>
    <t>MW taken from</t>
  </si>
  <si>
    <t>local BRENDA median; Meleagris gallopavo (; Ralstonia sp.; Staphylococcus warneri; Psychrobacter sp.; Bos taurus (; Hyphopichia burtonii; Geobacillus thermoleovorans; Cordyceps militaris; Pseudomonas sp.; Triticum aestivum; Staphylococcus simulans; Candida parapsilosis; Geobacillus sp.; Oryctolagus cuniculus; Geobacillus stearothermophilus (; Aspergillus nidulans; Thermosyntropha lipolytica; Gallus gallus; Serratia marcescens; Neurospora crassa; Rhizopus homothallicus; Yarrowia lipolytica; Aspergillus niger; Aureobasidium pullulans; Streptomyces coelicolor; Jacaranda mimosifolia; Pyrococcus furiosus; Liza parsia; Staphylococcus aureus; Blastobotrys adeninivorans; Pseudomonas fluorescens; Trichoderma reesei; Pseudomonas aeruginosa; Acinetobacter calcoaceticus (; Chlamydomonas reinhardtii; Proteus vulgaris; Staphylococcus epidermidis; Heyndrickxia coagulans; Bacillus sp. (in: firmicutes); Bacillus licheniformis; Solanum lycopersicum; Bacillus subtilis; Ectopseudomonas mendocina; Cupriavidus necator; Streptomyces sp.; Helianthus annuus; Oryza sativa; Clostridium tetanomorphum; Rhodotorula mucilaginosa (; Thermus thermophilus; Micrococcus sp.; Penicillium roqueforti; Diutina rugosa; Rhizopus microsporus var. chinensis; Homo sapiens (; Fagopyrum esculentum; Rattus norvegicus (; Aspergillus fumigatus; Penaeus vannamei; Penicillium cyclopium (; Sus scrofa; Thermomyces lanuginosus (; Fusarium graminearum; Oncorhynchus tshawytscha; Moesziomyces antarcticus (</t>
  </si>
  <si>
    <t>local BRENDA median; Salmonella enterica subsp. enterica serovar Typhimurium (; Pseudomonas aeruginosa; Pseudomonas putida; Enterococcus faecalis (; Bacillus cereus; Penaeus monodon; Tolypocladium inflatum; Cellana grata; Penaeus japonicus; Chlamydomonas reinhardtii; Shigella dysenteriae; Peribacillus psychrosaccharolyticus; Procambarus clarkii; Acidiphilium organovorum; Helicobacter pylori; Streptococcus pneumoniae; Bacillus anthracis; Escherichia coli; Bacillus subtilis; Alkalihalophilus pseudofirmus; Bipolaris zeicola; Staphylococcus aureus; Caldanaerobacter subterraneus subsp. tengcongensis; Clostridioides difficile; Geobacillus stearothermophilus; Streptomyces coelicolor; Pyrococcus horikoshii; Pseudomonas fluorescens; Streptococcus iniae</t>
  </si>
  <si>
    <t>local BRENDA median; Mus musculus; Rattus norvegicus; Arabidopsis thaliana; Hydrogenobacter thermophilus; Mycobacterium tuberculosis; Thermus thermophilus; Escherichia coli; Bos taurus</t>
  </si>
  <si>
    <t>local BRENDA median; Caenorhabditis elegans; Haemonchus contortus; Spinacia oleracea; Arabidopsis thaliana; Triticum aestivum; Plasmodium falciparum</t>
  </si>
  <si>
    <t>EC note</t>
  </si>
  <si>
    <t>SA/MW are per-enzyme EC medians (not per-substrate).</t>
  </si>
  <si>
    <t>EC</t>
  </si>
  <si>
    <t>organism</t>
  </si>
  <si>
    <t>Saccharomyces cerevisiae</t>
  </si>
  <si>
    <t>Staphylococcus xylosus</t>
  </si>
  <si>
    <t>Bos taurus (</t>
  </si>
  <si>
    <t>Burkholderia sp.</t>
  </si>
  <si>
    <t>Geobacillus thermoleovorans</t>
  </si>
  <si>
    <t>Oryctolagus cuniculus</t>
  </si>
  <si>
    <t>Geotrichum marinum</t>
  </si>
  <si>
    <t>Scorpio maurus</t>
  </si>
  <si>
    <t>Geobacillus stearothermophilus (</t>
  </si>
  <si>
    <t>Tausonia pullulans</t>
  </si>
  <si>
    <t>Bos taurus</t>
  </si>
  <si>
    <t>Aspergillus nidulans</t>
  </si>
  <si>
    <t>uncultured bacterium</t>
  </si>
  <si>
    <t>Sus scrofa</t>
  </si>
  <si>
    <t>Macruronus novaezelandiae</t>
  </si>
  <si>
    <t>Burkholderia cepacia</t>
  </si>
  <si>
    <t>Pseudomonas reinekei</t>
  </si>
  <si>
    <t>Enterobacter cloacae</t>
  </si>
  <si>
    <t>Fervidobacterium changbaicum</t>
  </si>
  <si>
    <t>Staphylococcus caprae</t>
  </si>
  <si>
    <t>Mycobacterium tuberculosis</t>
  </si>
  <si>
    <t>Rhizomucor miehei</t>
  </si>
  <si>
    <t>Bacillus licheniformis</t>
  </si>
  <si>
    <t>Pseudomonas aeruginosa</t>
  </si>
  <si>
    <t>Sphingobacterium sp. Ab3</t>
  </si>
  <si>
    <t>Serratia sp. W3</t>
  </si>
  <si>
    <t>Alkalicoccobacillus gibsonii</t>
  </si>
  <si>
    <t>Serratia marcescens</t>
  </si>
  <si>
    <t>Bacillus cereus</t>
  </si>
  <si>
    <t>Rhodotorula glutinis</t>
  </si>
  <si>
    <t>Heyndrickxia coagulans</t>
  </si>
  <si>
    <t>Bacillus sp. (in: firmicutes)</t>
  </si>
  <si>
    <t>Amycolatopsis mediterranei</t>
  </si>
  <si>
    <t>Bacillus subtilis</t>
  </si>
  <si>
    <t>Aeromonas caviae</t>
  </si>
  <si>
    <t>Bacillus pumilus</t>
  </si>
  <si>
    <t>Streptomyces sp.</t>
  </si>
  <si>
    <t>Oryza sativa</t>
  </si>
  <si>
    <t>Saccharolobus solfataricus</t>
  </si>
  <si>
    <t>Micrococcus sp.</t>
  </si>
  <si>
    <t>Diutina rugosa</t>
  </si>
  <si>
    <t>Homo sapiens (</t>
  </si>
  <si>
    <t>Camelus dromedarius</t>
  </si>
  <si>
    <t>Lymantria dispar</t>
  </si>
  <si>
    <t>Pleurotus ostreatus</t>
  </si>
  <si>
    <t>Rattus norvegicus (</t>
  </si>
  <si>
    <t>Aspergillus fumigatus</t>
  </si>
  <si>
    <t>Aureobasidium pullulans</t>
  </si>
  <si>
    <t>Penaeus vannamei</t>
  </si>
  <si>
    <t>Oncorhynchus tshawytscha</t>
  </si>
  <si>
    <t>Phaseolus vulgaris</t>
  </si>
  <si>
    <t>Ovis aries</t>
  </si>
  <si>
    <t>Proteus mirabilis</t>
  </si>
  <si>
    <t>Ascaris suum</t>
  </si>
  <si>
    <t>Solanum lycopersicum</t>
  </si>
  <si>
    <t>Bacillus amyloliquefaciens</t>
  </si>
  <si>
    <t>Helicobacter pylori</t>
  </si>
  <si>
    <t>Raphanus sativus</t>
  </si>
  <si>
    <t>Equus caballus</t>
  </si>
  <si>
    <t>Allium cepa</t>
  </si>
  <si>
    <t>Bacillus subtilis (</t>
  </si>
  <si>
    <t>Lentinula edodes (</t>
  </si>
  <si>
    <t>Penicillium roqueforti</t>
  </si>
  <si>
    <t>Histoplasma capsulatum</t>
  </si>
  <si>
    <t>Mus musculus</t>
  </si>
  <si>
    <t>Arabidopsis thaliana</t>
  </si>
  <si>
    <t>Escherichia coli</t>
  </si>
  <si>
    <t>Picrophilus oshimae</t>
  </si>
  <si>
    <t>Corynebacterium glutamicum</t>
  </si>
  <si>
    <t>Toona sinensis</t>
  </si>
  <si>
    <t>Salmonella enterica subsp. enterica serovar Typhimurium (</t>
  </si>
  <si>
    <t>Pseudomonas putida</t>
  </si>
  <si>
    <t>Enterococcus faecalis (</t>
  </si>
  <si>
    <t>Mycobacterium avium</t>
  </si>
  <si>
    <t>Medicago sativa (</t>
  </si>
  <si>
    <t>Penaeus monodon</t>
  </si>
  <si>
    <t>Tolypocladium inflatum</t>
  </si>
  <si>
    <t>Cellana grata</t>
  </si>
  <si>
    <t>Staphylococcus aureus</t>
  </si>
  <si>
    <t>Streptomyces lavendulae</t>
  </si>
  <si>
    <t>Bacillus anthracis</t>
  </si>
  <si>
    <t>Aquifex pyrophilus</t>
  </si>
  <si>
    <t>Shigella dysenteriae</t>
  </si>
  <si>
    <t>Peribacillus psychrosaccharolyticus</t>
  </si>
  <si>
    <t>Procambarus clarkii</t>
  </si>
  <si>
    <t>Schizosaccharomyces pombe</t>
  </si>
  <si>
    <t>Acidiphilium organovorum</t>
  </si>
  <si>
    <t>Thalassiosira sp.</t>
  </si>
  <si>
    <t>Streptococcus pneumoniae</t>
  </si>
  <si>
    <t>Geobacillus stearothermophilus</t>
  </si>
  <si>
    <t>Alkalihalophilus pseudofirmus</t>
  </si>
  <si>
    <t>Caldanaerobacter subterraneus subsp. tengcongensis</t>
  </si>
  <si>
    <t>Clostridioides difficile</t>
  </si>
  <si>
    <t>Aeromonas hydrophila subsp. hydrophila</t>
  </si>
  <si>
    <t>Acinetobacter baumannii</t>
  </si>
  <si>
    <t>Candidatus Pelagibacter communis</t>
  </si>
  <si>
    <t>Wolbachia pipientis</t>
  </si>
  <si>
    <t>Thermotoga maritima</t>
  </si>
  <si>
    <t>Pyrococcus horikoshii</t>
  </si>
  <si>
    <t>Salmonella enteritidis PT4 P125109</t>
  </si>
  <si>
    <t>Pseudomonas fluorescens</t>
  </si>
  <si>
    <t>Synechocystis sp. PCC 6803</t>
  </si>
  <si>
    <t>Clostridium perfringens</t>
  </si>
  <si>
    <t>Streptococcus iniae</t>
  </si>
  <si>
    <t>Gallus gallus</t>
  </si>
  <si>
    <t>Porphyromonas gingivalis</t>
  </si>
  <si>
    <t>Thermococcus onnurineus</t>
  </si>
  <si>
    <t>Hydrogenobacter thermophilus</t>
  </si>
  <si>
    <t>Thermus thermophilus</t>
  </si>
  <si>
    <t>Entamoeba histolytica</t>
  </si>
  <si>
    <t>Mycobacterium marinum</t>
  </si>
  <si>
    <t>Rattus norvegicus</t>
  </si>
  <si>
    <t>Glycine max</t>
  </si>
  <si>
    <t>Achromobacter sp. (</t>
  </si>
  <si>
    <t>Flavobacterium rhenanum</t>
  </si>
  <si>
    <t>Trypanosoma brucei</t>
  </si>
  <si>
    <t>Plasmodium falciparum 3D7</t>
  </si>
  <si>
    <t>Plasmodium falciparum</t>
  </si>
  <si>
    <t>Spinacia oleracea</t>
  </si>
  <si>
    <t>Tetrahymena pyriformis</t>
  </si>
  <si>
    <t>Burkholderia pseudomallei</t>
  </si>
  <si>
    <t>Mus musculus (</t>
  </si>
  <si>
    <t>Caenorhabditis elegans</t>
  </si>
  <si>
    <t>Haemonchus contortus</t>
  </si>
  <si>
    <t>Triticum aestivum</t>
  </si>
  <si>
    <t>Plasmodium knowlesi</t>
  </si>
  <si>
    <t>Plasmodium vivax</t>
  </si>
  <si>
    <t>Chlamydomonas applanata</t>
  </si>
  <si>
    <t>Chlamydomonas asymmetrica</t>
  </si>
  <si>
    <t>Bursaphelenchus xylophilus</t>
  </si>
  <si>
    <t>Ancylostoma duodenale</t>
  </si>
  <si>
    <t>Dictyocaulus viviparus</t>
  </si>
  <si>
    <t>Oesophagostomum dentatum</t>
  </si>
  <si>
    <t>Toxocara canis</t>
  </si>
  <si>
    <t>Drosophila melanogaster</t>
  </si>
  <si>
    <t>Caldariella acidophila</t>
  </si>
  <si>
    <t>Brucella melitensis</t>
  </si>
  <si>
    <t>Schistosoma mansoni</t>
  </si>
  <si>
    <t>Pyrococcus furiosus</t>
  </si>
  <si>
    <t>Leishmania donovani</t>
  </si>
  <si>
    <t>Hevea brasiliensis</t>
  </si>
  <si>
    <t>Catharanthus roseus</t>
  </si>
  <si>
    <t>Brassica juncea</t>
  </si>
  <si>
    <t>Artemia sp.</t>
  </si>
  <si>
    <t>Plasmodium chabaudi</t>
  </si>
  <si>
    <t>Giardia duodenalis</t>
  </si>
  <si>
    <t>Trypanosoma brucei brucei</t>
  </si>
  <si>
    <t>substrate</t>
  </si>
  <si>
    <t>4-nitrophenyl acetate</t>
  </si>
  <si>
    <t>4-nitrophenyl butyrate</t>
  </si>
  <si>
    <t>trioleoylglycerol</t>
  </si>
  <si>
    <t>4-nitrophenyl palmitate</t>
  </si>
  <si>
    <t>tricaprylin</t>
  </si>
  <si>
    <t>4-methylumbelliferyl oleate</t>
  </si>
  <si>
    <t>triolein</t>
  </si>
  <si>
    <t>cholesterol oleate</t>
  </si>
  <si>
    <t>diolein</t>
  </si>
  <si>
    <t>monoolein</t>
  </si>
  <si>
    <t>1-stearoyl-2-arachidonoyl-sn-glycerol</t>
  </si>
  <si>
    <t>1,2-didecanoyl-1-thioglycerol</t>
  </si>
  <si>
    <t>olive oil</t>
  </si>
  <si>
    <t>4-nitrophenyl caprate</t>
  </si>
  <si>
    <t>4-nitrophenyl laurate</t>
  </si>
  <si>
    <t>4-nitrophenyl caproate</t>
  </si>
  <si>
    <t>4-nitrophenyl octanoate</t>
  </si>
  <si>
    <t>1-monolaurin</t>
  </si>
  <si>
    <t>(+/-)-trans-3-(4'-methoxy-phenyl)-glycidyl methyl ester</t>
  </si>
  <si>
    <t>cotton seed oil</t>
  </si>
  <si>
    <t>tristearin</t>
  </si>
  <si>
    <t>tripalmitin</t>
  </si>
  <si>
    <t>trilaurin</t>
  </si>
  <si>
    <t>4-nitrophenyl caprylate</t>
  </si>
  <si>
    <t>phosphocholine</t>
  </si>
  <si>
    <t>Triacetin</t>
  </si>
  <si>
    <t>4-nitrophenyl butanoate</t>
  </si>
  <si>
    <t>alpha-naphthyl caprylate</t>
  </si>
  <si>
    <t>alpha-naphthyl butyrate</t>
  </si>
  <si>
    <t>more</t>
  </si>
  <si>
    <t>trioctanoin</t>
  </si>
  <si>
    <t>4-methylumbelliferyl palmitate</t>
  </si>
  <si>
    <t>4-methylumbelliferyl decanoate</t>
  </si>
  <si>
    <t>benzoic acid</t>
  </si>
  <si>
    <t>eugenol</t>
  </si>
  <si>
    <t>4-Methylumbelliferyl butyrate</t>
  </si>
  <si>
    <t>tricaprin</t>
  </si>
  <si>
    <t>1-olein</t>
  </si>
  <si>
    <t>1-caprin</t>
  </si>
  <si>
    <t>4-nitrobenzylglutathione</t>
  </si>
  <si>
    <t>L-Glu-4-nitroanilide</t>
  </si>
  <si>
    <t>1-menaphthylglutathione</t>
  </si>
  <si>
    <t>9-methylanthracenylglutathione</t>
  </si>
  <si>
    <t>5-L-glutamyl-4-nitroanilide</t>
  </si>
  <si>
    <t>4-methylbiphenylylglutathione</t>
  </si>
  <si>
    <t>2,4-dinitrophenylglutathione</t>
  </si>
  <si>
    <t>S-nitroso-glutathione</t>
  </si>
  <si>
    <t>L-glutamic acid 5-(3-carboxy-4-nitroanilide)</t>
  </si>
  <si>
    <t>glycyl-glycine</t>
  </si>
  <si>
    <t>L-gamma-glutamyl-4-nitroanilide</t>
  </si>
  <si>
    <t>L-alpha-methyl-5-glutamyl-L-alpha-aminobutyrate</t>
  </si>
  <si>
    <t>glutathione</t>
  </si>
  <si>
    <t>L-glutamine</t>
  </si>
  <si>
    <t>L-Phe</t>
  </si>
  <si>
    <t>5-L-glutamyl-7-amido-4-methylcoumarin</t>
  </si>
  <si>
    <t>Gly-Gly</t>
  </si>
  <si>
    <t>GS-bimane</t>
  </si>
  <si>
    <t>GSH</t>
  </si>
  <si>
    <t>GSSG</t>
  </si>
  <si>
    <t>gamma-Glu-Cys</t>
  </si>
  <si>
    <t>gamma-glutamyl-D,L-phenylthioglycylglycine</t>
  </si>
  <si>
    <t>glutamyl-(3-carboxyl)-4-nitroanilide</t>
  </si>
  <si>
    <t>S-Methylglutathione</t>
  </si>
  <si>
    <t>leukotriene C4</t>
  </si>
  <si>
    <t>S-(4-nitro-benzyl)glutathione</t>
  </si>
  <si>
    <t>glutathione sulfonic acid</t>
  </si>
  <si>
    <t>5-L-glutamyl-L-leucine</t>
  </si>
  <si>
    <t>5-D-glutamyl-4-nitroanilide</t>
  </si>
  <si>
    <t>L-Gln</t>
  </si>
  <si>
    <t>L-Arg</t>
  </si>
  <si>
    <t>D-Gln</t>
  </si>
  <si>
    <t>L-cystine</t>
  </si>
  <si>
    <t>5-L-glutamyl 3-carboxy-4-nitroanilide</t>
  </si>
  <si>
    <t>7-(N-gamma-glutamylamino)-4-methylcoumarin</t>
  </si>
  <si>
    <t>D-Glu-3-carboxy-4-nitroanilide</t>
  </si>
  <si>
    <t>glutathionesulfonic acid</t>
  </si>
  <si>
    <t>(gamma-L-glutamyl)-4-nitroanilide</t>
  </si>
  <si>
    <t>gamma-L-glutamyl-4-nitroanilide</t>
  </si>
  <si>
    <t>5-D-Glu-4-nitroanilide</t>
  </si>
  <si>
    <t>L-cysteinylglycine</t>
  </si>
  <si>
    <t>leukotriene C</t>
  </si>
  <si>
    <t>D-Ala</t>
  </si>
  <si>
    <t>L-Ala</t>
  </si>
  <si>
    <t>D-alanine</t>
  </si>
  <si>
    <t>Ala</t>
  </si>
  <si>
    <t>D-serine</t>
  </si>
  <si>
    <t>L-lysine</t>
  </si>
  <si>
    <t>D-Lysine</t>
  </si>
  <si>
    <t>DL-phosphoserine</t>
  </si>
  <si>
    <t>D-phosphoserine</t>
  </si>
  <si>
    <t>L-phosphoserine</t>
  </si>
  <si>
    <t>L-phosphotyrosine</t>
  </si>
  <si>
    <t>L-phosphothreonine</t>
  </si>
  <si>
    <t>L-3-phosphoserine</t>
  </si>
  <si>
    <t>CDP-diacylglycerol</t>
  </si>
  <si>
    <t>L-Ser</t>
  </si>
  <si>
    <t>ATP</t>
  </si>
  <si>
    <t>DL-1-aminopropan-2-ol</t>
  </si>
  <si>
    <t>choline</t>
  </si>
  <si>
    <t>sphinganine 1-phosphate</t>
  </si>
  <si>
    <t>sphinganine-phosphate</t>
  </si>
  <si>
    <t>(2E)-hexadecenal</t>
  </si>
  <si>
    <t>sphingosine 1-phosphate</t>
  </si>
  <si>
    <t>C17-sphinganine-1-phosphate</t>
  </si>
  <si>
    <t>Dihydrosphingosine 1-phosphonate</t>
  </si>
  <si>
    <t>D-(+)-erythro-dihydrosphingosine 1-phosphate</t>
  </si>
  <si>
    <t>deoxysphinganine 1-phosphonate</t>
  </si>
  <si>
    <t>S-adenosyl-L-methionine</t>
  </si>
  <si>
    <t>phosphodimethylethanolamine</t>
  </si>
  <si>
    <t>phosphomonomethylethanolamine</t>
  </si>
  <si>
    <t>Phosphoethanolamine</t>
  </si>
  <si>
    <t>N-methylethanolamine phosphate</t>
  </si>
  <si>
    <t>N,N-dimethylethanolamine phosphate</t>
  </si>
  <si>
    <t>CTP</t>
  </si>
  <si>
    <t>2-Aminoethylarsonic acid</t>
  </si>
  <si>
    <t>2-aminoethylphosphonate</t>
  </si>
  <si>
    <t>ethanolamine-phosphate</t>
  </si>
  <si>
    <t>phosphate</t>
  </si>
  <si>
    <t>5'-methylthioadenosine</t>
  </si>
  <si>
    <t>adenosine</t>
  </si>
  <si>
    <t>2'-fluoro-2'-deoxyadenosine</t>
  </si>
  <si>
    <t>2'-chloro-2'-deoxyadenosine</t>
  </si>
  <si>
    <t>deoxyadenosine</t>
  </si>
  <si>
    <t>S-methyl-5'-thioadenosine</t>
  </si>
  <si>
    <t>Inosine</t>
  </si>
  <si>
    <t>guanosine</t>
  </si>
  <si>
    <t>5'-deoxy-5'-methylthioadenosine</t>
  </si>
  <si>
    <t>S-adenosylhomocysteine</t>
  </si>
  <si>
    <t>2'-deoxyadenosine</t>
  </si>
  <si>
    <t>5'-deoxy-5'-ethylthioadenosine</t>
  </si>
  <si>
    <t>5'-deoxy-5'-imidazol-2-yl-sulfanyladenosine</t>
  </si>
  <si>
    <t>5'-deoxy-5'-hydroxyethylthioadenosine</t>
  </si>
  <si>
    <t>5'-deoxy-5'-(3-methylphenyl)-thioadenosine</t>
  </si>
  <si>
    <t>5-methylthioribose 1-phosphate</t>
  </si>
  <si>
    <t>5'-deoxy-5'-(2-methylphenyl)-thioadenosine</t>
  </si>
  <si>
    <t>5'-deoxy-5'-(2-(pyridin-2-yl)ethyl)-thioadenosine</t>
  </si>
  <si>
    <t>5'-deoxy-5'-pyridin-4-yl-sulfanyladenosine</t>
  </si>
  <si>
    <t>5'-deoxy-5'-tert-butylthioadenosine</t>
  </si>
  <si>
    <t>5'-deoxy-5'-(1,3-thiazol)-2-yl-sulfanyladenosine</t>
  </si>
  <si>
    <t>5'-deoxyadenosine</t>
  </si>
  <si>
    <t>5'-deoxy-5'-methyl-thioadenosine</t>
  </si>
  <si>
    <t>5'-deoxy-5'-isobutylthioadenosine</t>
  </si>
  <si>
    <t>2'-deoxy-5'-deoxy-5'-methylthioadenosine</t>
  </si>
  <si>
    <t>5'-deoxy-5'-butylthioadenosine</t>
  </si>
  <si>
    <t>5'-deoxy-5'-(phenylethyl)-thioadenosine</t>
  </si>
  <si>
    <t>5'-deoxy-5'-(4-methylphenyl)-thioadenosine</t>
  </si>
  <si>
    <t>5'-deoxy-5'-(4-methoxyphenyl)-thioadenosine</t>
  </si>
  <si>
    <t>5'-deoxy-5'-[4-(trifluoromethyl)phenyl]-thioadenosine</t>
  </si>
  <si>
    <t>5'-deoxy-5'-isopentylthioadenosine</t>
  </si>
  <si>
    <t>5'-deoxy-5'-(quinolin-2-yl)-sulfanyladenosine</t>
  </si>
  <si>
    <t>5'-deoxy-adenosine</t>
  </si>
  <si>
    <t>5'-deoxy-5'-cyclopentyl-thioadenosine</t>
  </si>
  <si>
    <t>5'-deoxy-5'-(phenylmethyl)-thioadenosine</t>
  </si>
  <si>
    <t>5'-deoxy-5'-phenyl-thioadenosine</t>
  </si>
  <si>
    <t>3'-deoxy-5'-deoxy-5'-methylthioadenosine</t>
  </si>
  <si>
    <t>2'-deoxy-2'-azido-5'-deoxy-5'-methylthioadenosine</t>
  </si>
  <si>
    <t>5'-deoxy-5'-(2-methylbutyl)-thioadenosine</t>
  </si>
  <si>
    <t>5'-deoxy-5'-pyridin-2-yl-sulfanyladenosine</t>
  </si>
  <si>
    <t>5'-deoxy-5'-cyclohexyl-thioadenosine</t>
  </si>
  <si>
    <t>5-phospho-alpha-D-ribose 1-diphosphate</t>
  </si>
  <si>
    <t>5-aminoimidazole-4-carboxamide</t>
  </si>
  <si>
    <t>6-Amino-2-hydroxypurine</t>
  </si>
  <si>
    <t>hypoxanthine</t>
  </si>
  <si>
    <t>2,6-diaminopurine</t>
  </si>
  <si>
    <t>6-Methylpurine</t>
  </si>
  <si>
    <t>4-aminopyrazolo-(3,4-d)pyrimidine</t>
  </si>
  <si>
    <t>8-Azaadenine</t>
  </si>
  <si>
    <t>diphosphate</t>
  </si>
  <si>
    <t>AMP</t>
  </si>
  <si>
    <t>Mg2+</t>
  </si>
  <si>
    <t>Mn2+</t>
  </si>
  <si>
    <t>benzyladenine</t>
  </si>
  <si>
    <t>zeatin</t>
  </si>
  <si>
    <t>isopentenyladenine</t>
  </si>
  <si>
    <t>N6-furfuryladenine</t>
  </si>
  <si>
    <t>N6-(DELTA2-isopentenyl)adenine</t>
  </si>
  <si>
    <t>N6-benzyladenine</t>
  </si>
  <si>
    <t>value</t>
  </si>
  <si>
    <t>valueMaximum</t>
  </si>
  <si>
    <t>rawValue</t>
  </si>
  <si>
    <t>3.5</t>
  </si>
  <si>
    <t>1.5</t>
  </si>
  <si>
    <t>34.5</t>
  </si>
  <si>
    <t>31.25</t>
  </si>
  <si>
    <t>20.4</t>
  </si>
  <si>
    <t>0.33</t>
  </si>
  <si>
    <t>0.038</t>
  </si>
  <si>
    <t>1.1</t>
  </si>
  <si>
    <t>1.82</t>
  </si>
  <si>
    <t>6.24</t>
  </si>
  <si>
    <t>0.03</t>
  </si>
  <si>
    <t>0.05</t>
  </si>
  <si>
    <t>0.04</t>
  </si>
  <si>
    <t>0.07</t>
  </si>
  <si>
    <t>0.2</t>
  </si>
  <si>
    <t>11.5</t>
  </si>
  <si>
    <t>17</t>
  </si>
  <si>
    <t>0.368</t>
  </si>
  <si>
    <t>0.063</t>
  </si>
  <si>
    <t>0.055</t>
  </si>
  <si>
    <t>0.3</t>
  </si>
  <si>
    <t>0.22</t>
  </si>
  <si>
    <t>0.32</t>
  </si>
  <si>
    <t>330</t>
  </si>
  <si>
    <t>534</t>
  </si>
  <si>
    <t>0.068</t>
  </si>
  <si>
    <t>11</t>
  </si>
  <si>
    <t>16.6</t>
  </si>
  <si>
    <t>0.48</t>
  </si>
  <si>
    <t>0.6</t>
  </si>
  <si>
    <t>0.00073</t>
  </si>
  <si>
    <t>0.43</t>
  </si>
  <si>
    <t>0.76</t>
  </si>
  <si>
    <t>0.64</t>
  </si>
  <si>
    <t>0.00467</t>
  </si>
  <si>
    <t>0.695</t>
  </si>
  <si>
    <t>100</t>
  </si>
  <si>
    <t>4.7</t>
  </si>
  <si>
    <t>5</t>
  </si>
  <si>
    <t>35.7</t>
  </si>
  <si>
    <t>18.9</t>
  </si>
  <si>
    <t>13.9</t>
  </si>
  <si>
    <t>27.8</t>
  </si>
  <si>
    <t>7.57</t>
  </si>
  <si>
    <t>1.17</t>
  </si>
  <si>
    <t>2.01</t>
  </si>
  <si>
    <t>1.53</t>
  </si>
  <si>
    <t>6.26</t>
  </si>
  <si>
    <t>51.7</t>
  </si>
  <si>
    <t>6.76</t>
  </si>
  <si>
    <t>45.8</t>
  </si>
  <si>
    <t>7.49</t>
  </si>
  <si>
    <t>50.6</t>
  </si>
  <si>
    <t>0.674</t>
  </si>
  <si>
    <t>50</t>
  </si>
  <si>
    <t>70.4</t>
  </si>
  <si>
    <t>589</t>
  </si>
  <si>
    <t>679.8</t>
  </si>
  <si>
    <t>0.0016</t>
  </si>
  <si>
    <t>14.7</t>
  </si>
  <si>
    <t>24.4</t>
  </si>
  <si>
    <t>0.77</t>
  </si>
  <si>
    <t>0.65</t>
  </si>
  <si>
    <t>0.5</t>
  </si>
  <si>
    <t>222</t>
  </si>
  <si>
    <t>0.623</t>
  </si>
  <si>
    <t>0.7</t>
  </si>
  <si>
    <t>2.7</t>
  </si>
  <si>
    <t>28</t>
  </si>
  <si>
    <t>2.2</t>
  </si>
  <si>
    <t>2.5</t>
  </si>
  <si>
    <t>12</t>
  </si>
  <si>
    <t>15</t>
  </si>
  <si>
    <t>34</t>
  </si>
  <si>
    <t>29</t>
  </si>
  <si>
    <t>22</t>
  </si>
  <si>
    <t>9.3</t>
  </si>
  <si>
    <t>0.099</t>
  </si>
  <si>
    <t>5.05</t>
  </si>
  <si>
    <t>0.41</t>
  </si>
  <si>
    <t>0.36</t>
  </si>
  <si>
    <t>0.27</t>
  </si>
  <si>
    <t>0.88</t>
  </si>
  <si>
    <t>1.7</t>
  </si>
  <si>
    <t>0.24</t>
  </si>
  <si>
    <t>0.11</t>
  </si>
  <si>
    <t>0.12</t>
  </si>
  <si>
    <t>1.02</t>
  </si>
  <si>
    <t>6.71</t>
  </si>
  <si>
    <t>0.04533</t>
  </si>
  <si>
    <t>2.766</t>
  </si>
  <si>
    <t>0.1089</t>
  </si>
  <si>
    <t>0.1408</t>
  </si>
  <si>
    <t>0.129</t>
  </si>
  <si>
    <t>0.0466</t>
  </si>
  <si>
    <t>0.0241</t>
  </si>
  <si>
    <t>0.06</t>
  </si>
  <si>
    <t>0.08</t>
  </si>
  <si>
    <t>0.17</t>
  </si>
  <si>
    <t>0.00017</t>
  </si>
  <si>
    <t>0.136</t>
  </si>
  <si>
    <t>0.274</t>
  </si>
  <si>
    <t>0.158</t>
  </si>
  <si>
    <t>0.08923</t>
  </si>
  <si>
    <t>-999</t>
  </si>
  <si>
    <t>5.5</t>
  </si>
  <si>
    <t>0.31</t>
  </si>
  <si>
    <t>0.35</t>
  </si>
  <si>
    <t>0.789</t>
  </si>
  <si>
    <t>0.82</t>
  </si>
  <si>
    <t>0.91</t>
  </si>
  <si>
    <t>1.55</t>
  </si>
  <si>
    <t>14</t>
  </si>
  <si>
    <t>34.04</t>
  </si>
  <si>
    <t>138.28</t>
  </si>
  <si>
    <t>0.608</t>
  </si>
  <si>
    <t>41.03</t>
  </si>
  <si>
    <t>0.47</t>
  </si>
  <si>
    <t>0.86</t>
  </si>
  <si>
    <t>4.9</t>
  </si>
  <si>
    <t>7.64</t>
  </si>
  <si>
    <t>7.42</t>
  </si>
  <si>
    <t>0.078</t>
  </si>
  <si>
    <t>1.3</t>
  </si>
  <si>
    <t>0.74</t>
  </si>
  <si>
    <t>10</t>
  </si>
  <si>
    <t>0.23</t>
  </si>
  <si>
    <t>0.075</t>
  </si>
  <si>
    <t>1.25</t>
  </si>
  <si>
    <t>0.398</t>
  </si>
  <si>
    <t>0.301</t>
  </si>
  <si>
    <t>0.687</t>
  </si>
  <si>
    <t>2.9</t>
  </si>
  <si>
    <t>0.18</t>
  </si>
  <si>
    <t>0.4</t>
  </si>
  <si>
    <t>0.033</t>
  </si>
  <si>
    <t>32</t>
  </si>
  <si>
    <t>1.28</t>
  </si>
  <si>
    <t>0.09</t>
  </si>
  <si>
    <t>0.25</t>
  </si>
  <si>
    <t>5.2</t>
  </si>
  <si>
    <t>0.214</t>
  </si>
  <si>
    <t>0.0109</t>
  </si>
  <si>
    <t>0.073</t>
  </si>
  <si>
    <t>0.21</t>
  </si>
  <si>
    <t>0.032</t>
  </si>
  <si>
    <t>0.042</t>
  </si>
  <si>
    <t>2.4</t>
  </si>
  <si>
    <t>4.3</t>
  </si>
  <si>
    <t>0.046</t>
  </si>
  <si>
    <t>0.39</t>
  </si>
  <si>
    <t>0.024</t>
  </si>
  <si>
    <t>2.3</t>
  </si>
  <si>
    <t>0.66</t>
  </si>
  <si>
    <t>0.44</t>
  </si>
  <si>
    <t>4.4</t>
  </si>
  <si>
    <t>11.3</t>
  </si>
  <si>
    <t>10.4</t>
  </si>
  <si>
    <t>16.7</t>
  </si>
  <si>
    <t>26.9</t>
  </si>
  <si>
    <t>25.9</t>
  </si>
  <si>
    <t>15.3</t>
  </si>
  <si>
    <t>0.597</t>
  </si>
  <si>
    <t>0.879</t>
  </si>
  <si>
    <t>0.579</t>
  </si>
  <si>
    <t>4</t>
  </si>
  <si>
    <t>0.0068</t>
  </si>
  <si>
    <t>48</t>
  </si>
  <si>
    <t>0.84</t>
  </si>
  <si>
    <t>0.75</t>
  </si>
  <si>
    <t>0.67</t>
  </si>
  <si>
    <t>0.008</t>
  </si>
  <si>
    <t>1.2</t>
  </si>
  <si>
    <t>0.0099</t>
  </si>
  <si>
    <t>0.0108</t>
  </si>
  <si>
    <t>0.0131</t>
  </si>
  <si>
    <t>0.0346</t>
  </si>
  <si>
    <t>0.0106</t>
  </si>
  <si>
    <t>0.0334</t>
  </si>
  <si>
    <t>0.137</t>
  </si>
  <si>
    <t>0.035</t>
  </si>
  <si>
    <t>0.0083</t>
  </si>
  <si>
    <t>210</t>
  </si>
  <si>
    <t>0.278</t>
  </si>
  <si>
    <t>590</t>
  </si>
  <si>
    <t>0.0125</t>
  </si>
  <si>
    <t>0.029</t>
  </si>
  <si>
    <t>0.021</t>
  </si>
  <si>
    <t>0.045</t>
  </si>
  <si>
    <t>0.058</t>
  </si>
  <si>
    <t>1.4</t>
  </si>
  <si>
    <t>1.8</t>
  </si>
  <si>
    <t>0.81</t>
  </si>
  <si>
    <t>1.09</t>
  </si>
  <si>
    <t>0.0102</t>
  </si>
  <si>
    <t>3.4</t>
  </si>
  <si>
    <t>0.0182</t>
  </si>
  <si>
    <t>0.0105</t>
  </si>
  <si>
    <t>0.0148</t>
  </si>
  <si>
    <t>0.0126</t>
  </si>
  <si>
    <t>12.4</t>
  </si>
  <si>
    <t>16.9</t>
  </si>
  <si>
    <t>3.61</t>
  </si>
  <si>
    <t>0.0426</t>
  </si>
  <si>
    <t>0.0751</t>
  </si>
  <si>
    <t>0.8</t>
  </si>
  <si>
    <t>2.1</t>
  </si>
  <si>
    <t>1</t>
  </si>
  <si>
    <t>0.048</t>
  </si>
  <si>
    <t>0.054</t>
  </si>
  <si>
    <t>0.1</t>
  </si>
  <si>
    <t>0.0143</t>
  </si>
  <si>
    <t>0.025</t>
  </si>
  <si>
    <t>0.067</t>
  </si>
  <si>
    <t>1.6</t>
  </si>
  <si>
    <t>10.6</t>
  </si>
  <si>
    <t>0.94</t>
  </si>
  <si>
    <t>8.2</t>
  </si>
  <si>
    <t>0.49</t>
  </si>
  <si>
    <t>0.9</t>
  </si>
  <si>
    <t>20</t>
  </si>
  <si>
    <t>0.031</t>
  </si>
  <si>
    <t>7.6</t>
  </si>
  <si>
    <t>4.35</t>
  </si>
  <si>
    <t>0.13</t>
  </si>
  <si>
    <t>0.005</t>
  </si>
  <si>
    <t>0.69</t>
  </si>
  <si>
    <t>0.58</t>
  </si>
  <si>
    <t>0.42</t>
  </si>
  <si>
    <t>0.123</t>
  </si>
  <si>
    <t>0.007</t>
  </si>
  <si>
    <t>3.6</t>
  </si>
  <si>
    <t>0.0057</t>
  </si>
  <si>
    <t>0.0056</t>
  </si>
  <si>
    <t>18</t>
  </si>
  <si>
    <t>6.1</t>
  </si>
  <si>
    <t>2</t>
  </si>
  <si>
    <t>4.2</t>
  </si>
  <si>
    <t>9.8</t>
  </si>
  <si>
    <t>4.1</t>
  </si>
  <si>
    <t>5.6</t>
  </si>
  <si>
    <t>7.4</t>
  </si>
  <si>
    <t>7.3</t>
  </si>
  <si>
    <t>10.34</t>
  </si>
  <si>
    <t>6.8</t>
  </si>
  <si>
    <t>7.8</t>
  </si>
  <si>
    <t>8.5</t>
  </si>
  <si>
    <t>5.24</t>
  </si>
  <si>
    <t>5.01</t>
  </si>
  <si>
    <t>29.6</t>
  </si>
  <si>
    <t>24</t>
  </si>
  <si>
    <t>119</t>
  </si>
  <si>
    <t>167</t>
  </si>
  <si>
    <t>179</t>
  </si>
  <si>
    <t>4.8</t>
  </si>
  <si>
    <t>43</t>
  </si>
  <si>
    <t>0.97</t>
  </si>
  <si>
    <t>0.46</t>
  </si>
  <si>
    <t>27</t>
  </si>
  <si>
    <t>3</t>
  </si>
  <si>
    <t>12.2</t>
  </si>
  <si>
    <t>17.9</t>
  </si>
  <si>
    <t>171</t>
  </si>
  <si>
    <t>73.5</t>
  </si>
  <si>
    <t>3.8</t>
  </si>
  <si>
    <t>7.9</t>
  </si>
  <si>
    <t>5.9</t>
  </si>
  <si>
    <t>16.5</t>
  </si>
  <si>
    <t>29.4</t>
  </si>
  <si>
    <t>6.2</t>
  </si>
  <si>
    <t>8.3</t>
  </si>
  <si>
    <t>2.8</t>
  </si>
  <si>
    <t>4.5</t>
  </si>
  <si>
    <t>2.6</t>
  </si>
  <si>
    <t>5.1</t>
  </si>
  <si>
    <t>0.29</t>
  </si>
  <si>
    <t>17.4</t>
  </si>
  <si>
    <t>6.9</t>
  </si>
  <si>
    <t>41.79</t>
  </si>
  <si>
    <t>14.91</t>
  </si>
  <si>
    <t>56.17</t>
  </si>
  <si>
    <t>20.78</t>
  </si>
  <si>
    <t>0.513</t>
  </si>
  <si>
    <t>3.03</t>
  </si>
  <si>
    <t>0.528</t>
  </si>
  <si>
    <t>0.402</t>
  </si>
  <si>
    <t>0.311</t>
  </si>
  <si>
    <t>0.304</t>
  </si>
  <si>
    <t>0.615</t>
  </si>
  <si>
    <t>0.592</t>
  </si>
  <si>
    <t>2.057</t>
  </si>
  <si>
    <t>1.401</t>
  </si>
  <si>
    <t>1.008</t>
  </si>
  <si>
    <t>1.049</t>
  </si>
  <si>
    <t>0.604</t>
  </si>
  <si>
    <t>0.439</t>
  </si>
  <si>
    <t>3.603</t>
  </si>
  <si>
    <t>1.562</t>
  </si>
  <si>
    <t>1.516</t>
  </si>
  <si>
    <t>1.993</t>
  </si>
  <si>
    <t>0.89</t>
  </si>
  <si>
    <t>2.77</t>
  </si>
  <si>
    <t>52</t>
  </si>
  <si>
    <t>136</t>
  </si>
  <si>
    <t>58.5</t>
  </si>
  <si>
    <t>110.3</t>
  </si>
  <si>
    <t>83.1</t>
  </si>
  <si>
    <t>780.2</t>
  </si>
  <si>
    <t>87.8</t>
  </si>
  <si>
    <t>176.1</t>
  </si>
  <si>
    <t>157.5</t>
  </si>
  <si>
    <t>381.2</t>
  </si>
  <si>
    <t>216.1</t>
  </si>
  <si>
    <t>160.9</t>
  </si>
  <si>
    <t>20.16</t>
  </si>
  <si>
    <t>7</t>
  </si>
  <si>
    <t>5.4</t>
  </si>
  <si>
    <t>0.064</t>
  </si>
  <si>
    <t>17.6</t>
  </si>
  <si>
    <t>13.8</t>
  </si>
  <si>
    <t>35.9</t>
  </si>
  <si>
    <t>15.36</t>
  </si>
  <si>
    <t>4.25</t>
  </si>
  <si>
    <t>0.56</t>
  </si>
  <si>
    <t>3.7</t>
  </si>
  <si>
    <t>0.38</t>
  </si>
  <si>
    <t>3.3</t>
  </si>
  <si>
    <t>66.6</t>
  </si>
  <si>
    <t>62.1</t>
  </si>
  <si>
    <t>12.8</t>
  </si>
  <si>
    <t>8.7</t>
  </si>
  <si>
    <t>8.1</t>
  </si>
  <si>
    <t>18.4</t>
  </si>
  <si>
    <t>1.68</t>
  </si>
  <si>
    <t>6.39</t>
  </si>
  <si>
    <t>1.45</t>
  </si>
  <si>
    <t>3.87</t>
  </si>
  <si>
    <t>9.81</t>
  </si>
  <si>
    <t>19</t>
  </si>
  <si>
    <t>20.8</t>
  </si>
  <si>
    <t>19.1</t>
  </si>
  <si>
    <t>36.3</t>
  </si>
  <si>
    <t>24.3</t>
  </si>
  <si>
    <t>41.4</t>
  </si>
  <si>
    <t>68.7</t>
  </si>
  <si>
    <t>33.11</t>
  </si>
  <si>
    <t>14.36</t>
  </si>
  <si>
    <t>52.8</t>
  </si>
  <si>
    <t>58.9</t>
  </si>
  <si>
    <t>89.12</t>
  </si>
  <si>
    <t>0.207</t>
  </si>
  <si>
    <t>0.047</t>
  </si>
  <si>
    <t>0.117</t>
  </si>
  <si>
    <t>2.041</t>
  </si>
  <si>
    <t>0.02</t>
  </si>
  <si>
    <t>0.14</t>
  </si>
  <si>
    <t>0.081</t>
  </si>
  <si>
    <t>0.181</t>
  </si>
  <si>
    <t>0.088</t>
  </si>
  <si>
    <t>15.2</t>
  </si>
  <si>
    <t>0.0927</t>
  </si>
  <si>
    <t>1.027</t>
  </si>
  <si>
    <t>0.985</t>
  </si>
  <si>
    <t>0.036</t>
  </si>
  <si>
    <t>0.056</t>
  </si>
  <si>
    <t>0.043</t>
  </si>
  <si>
    <t>1.24</t>
  </si>
  <si>
    <t>0.085</t>
  </si>
  <si>
    <t>0.53</t>
  </si>
  <si>
    <t>0.0184</t>
  </si>
  <si>
    <t>0.219</t>
  </si>
  <si>
    <t>0.0206</t>
  </si>
  <si>
    <t>2.56</t>
  </si>
  <si>
    <t>0.0314</t>
  </si>
  <si>
    <t>0.4757</t>
  </si>
  <si>
    <t>0.458</t>
  </si>
  <si>
    <t>0.041</t>
  </si>
  <si>
    <t>7.7</t>
  </si>
  <si>
    <t>0.275</t>
  </si>
  <si>
    <t>0.171</t>
  </si>
  <si>
    <t>0.0194</t>
  </si>
  <si>
    <t>0.0482</t>
  </si>
  <si>
    <t>0.006</t>
  </si>
  <si>
    <t>0.0201</t>
  </si>
  <si>
    <t>0.0146</t>
  </si>
  <si>
    <t>0.009</t>
  </si>
  <si>
    <t>0.016</t>
  </si>
  <si>
    <t>0.145</t>
  </si>
  <si>
    <t>0.217</t>
  </si>
  <si>
    <t>0.277</t>
  </si>
  <si>
    <t>0.256</t>
  </si>
  <si>
    <t>0.424</t>
  </si>
  <si>
    <t>0.106</t>
  </si>
  <si>
    <t>0.096</t>
  </si>
  <si>
    <t>0.132</t>
  </si>
  <si>
    <t>0.215</t>
  </si>
  <si>
    <t>0.0897</t>
  </si>
  <si>
    <t>0.156</t>
  </si>
  <si>
    <t>0.507</t>
  </si>
  <si>
    <t>0.065</t>
  </si>
  <si>
    <t>0.0331</t>
  </si>
  <si>
    <t>0.0352</t>
  </si>
  <si>
    <t>0.079</t>
  </si>
  <si>
    <t>0.773</t>
  </si>
  <si>
    <t>0.153</t>
  </si>
  <si>
    <t>0.0661</t>
  </si>
  <si>
    <t>0.0299</t>
  </si>
  <si>
    <t>0.0668</t>
  </si>
  <si>
    <t>7.99</t>
  </si>
  <si>
    <t>0.0542</t>
  </si>
  <si>
    <t>0.786</t>
  </si>
  <si>
    <t>21.17</t>
  </si>
  <si>
    <t>0.308</t>
  </si>
  <si>
    <t>0.653</t>
  </si>
  <si>
    <t>0.408</t>
  </si>
  <si>
    <t>0.212</t>
  </si>
  <si>
    <t>0.577</t>
  </si>
  <si>
    <t>0.093</t>
  </si>
  <si>
    <t>0.249</t>
  </si>
  <si>
    <t>0.069</t>
  </si>
  <si>
    <t>0.284</t>
  </si>
  <si>
    <t>0.201</t>
  </si>
  <si>
    <t>0.0217</t>
  </si>
  <si>
    <t>0.0639</t>
  </si>
  <si>
    <t>0.0292</t>
  </si>
  <si>
    <t>0.062</t>
  </si>
  <si>
    <t>0.094</t>
  </si>
  <si>
    <t>0.133</t>
  </si>
  <si>
    <t>0.148</t>
  </si>
  <si>
    <t>0.315</t>
  </si>
  <si>
    <t>0.01834</t>
  </si>
  <si>
    <t>0.07337</t>
  </si>
  <si>
    <t>1.079</t>
  </si>
  <si>
    <t>0.02733</t>
  </si>
  <si>
    <t>0.03502</t>
  </si>
  <si>
    <t>0.04895</t>
  </si>
  <si>
    <t>0.08097</t>
  </si>
  <si>
    <t>0.02031</t>
  </si>
  <si>
    <t>0.16</t>
  </si>
  <si>
    <t>0.01366</t>
  </si>
  <si>
    <t>0.09993</t>
  </si>
  <si>
    <t>0.373</t>
  </si>
  <si>
    <t>0.465</t>
  </si>
  <si>
    <t>0.565</t>
  </si>
  <si>
    <t>0.374</t>
  </si>
  <si>
    <t>0.452</t>
  </si>
  <si>
    <t>0.111</t>
  </si>
  <si>
    <t>0.179</t>
  </si>
  <si>
    <t>0.074</t>
  </si>
  <si>
    <t>0.053</t>
  </si>
  <si>
    <t>30</t>
  </si>
  <si>
    <t>0.072</t>
  </si>
  <si>
    <t>0.102</t>
  </si>
  <si>
    <t>0.3184</t>
  </si>
  <si>
    <t>0.1403</t>
  </si>
  <si>
    <t>0.08409</t>
  </si>
  <si>
    <t>0.01209</t>
  </si>
  <si>
    <t>0.01267</t>
  </si>
  <si>
    <t>13.5</t>
  </si>
  <si>
    <t>0.0055</t>
  </si>
  <si>
    <t>0.013</t>
  </si>
  <si>
    <t>9e-05</t>
  </si>
  <si>
    <t>0.154</t>
  </si>
  <si>
    <t>0.0254</t>
  </si>
  <si>
    <t>0.084</t>
  </si>
  <si>
    <t>0.1136</t>
  </si>
  <si>
    <t>0.125</t>
  </si>
  <si>
    <t>0.095</t>
  </si>
  <si>
    <t>0.004</t>
  </si>
  <si>
    <t>0.0276</t>
  </si>
  <si>
    <t>0.0071</t>
  </si>
  <si>
    <t>0.0034</t>
  </si>
  <si>
    <t>0.2009</t>
  </si>
  <si>
    <t>0.26</t>
  </si>
  <si>
    <t>8</t>
  </si>
  <si>
    <t>0.0031</t>
  </si>
  <si>
    <t>0.0045</t>
  </si>
  <si>
    <t>0.028</t>
  </si>
  <si>
    <t>0.0053</t>
  </si>
  <si>
    <t>0.0022</t>
  </si>
  <si>
    <t>0.0044</t>
  </si>
  <si>
    <t>0.0048</t>
  </si>
  <si>
    <t>0.0054</t>
  </si>
  <si>
    <t>0.0074</t>
  </si>
  <si>
    <t>0.0301</t>
  </si>
  <si>
    <t>0.0351</t>
  </si>
  <si>
    <t>0.0033</t>
  </si>
  <si>
    <t>0.0021</t>
  </si>
  <si>
    <t>0.00071</t>
  </si>
  <si>
    <t>0.00181</t>
  </si>
  <si>
    <t>0.00312</t>
  </si>
  <si>
    <t>0.00099</t>
  </si>
  <si>
    <t>0.00314</t>
  </si>
  <si>
    <t>0.00122</t>
  </si>
  <si>
    <t>0.00397</t>
  </si>
  <si>
    <t>0.00368</t>
  </si>
  <si>
    <t>0.00735</t>
  </si>
  <si>
    <t>0.00302</t>
  </si>
  <si>
    <t>0.00363</t>
  </si>
  <si>
    <t>0.00249</t>
  </si>
  <si>
    <t>0.002124</t>
  </si>
  <si>
    <t>0.01033</t>
  </si>
  <si>
    <t>0.00389</t>
  </si>
  <si>
    <t>0.00652</t>
  </si>
  <si>
    <t>0.003</t>
  </si>
  <si>
    <t>0.0015</t>
  </si>
  <si>
    <t>0.002</t>
  </si>
  <si>
    <t>0.023</t>
  </si>
  <si>
    <t>0.0018</t>
  </si>
  <si>
    <t>0.0046</t>
  </si>
  <si>
    <t>0.014</t>
  </si>
  <si>
    <t>0.0017</t>
  </si>
  <si>
    <t>0.0032</t>
  </si>
  <si>
    <t>0.017</t>
  </si>
  <si>
    <t>0.0052</t>
  </si>
  <si>
    <t>0.026</t>
  </si>
  <si>
    <t>0.0035</t>
  </si>
  <si>
    <t>0.0043</t>
  </si>
  <si>
    <t>0.0069</t>
  </si>
  <si>
    <t>0.0039</t>
  </si>
  <si>
    <t>7.5</t>
  </si>
  <si>
    <t>0.0028</t>
  </si>
  <si>
    <t>0.184</t>
  </si>
  <si>
    <t>0.00088</t>
  </si>
  <si>
    <t>0.00102</t>
  </si>
  <si>
    <t>1e-05</t>
  </si>
  <si>
    <t>0.00047</t>
  </si>
  <si>
    <t>0.147</t>
  </si>
  <si>
    <t>0.109</t>
  </si>
  <si>
    <t>0.916</t>
  </si>
  <si>
    <t>0.963</t>
  </si>
  <si>
    <t>0.0012</t>
  </si>
  <si>
    <t>0.255</t>
  </si>
  <si>
    <t>0.00233</t>
  </si>
  <si>
    <t>0.00523</t>
  </si>
  <si>
    <t>0.0007</t>
  </si>
  <si>
    <t>0.0008</t>
  </si>
  <si>
    <t>0.0038</t>
  </si>
  <si>
    <t>0.0096</t>
  </si>
  <si>
    <t>0.015</t>
  </si>
  <si>
    <t>0.00085</t>
  </si>
  <si>
    <t>0.0047</t>
  </si>
  <si>
    <t>0.0029</t>
  </si>
  <si>
    <t>0.0063</t>
  </si>
  <si>
    <t>0.0089</t>
  </si>
  <si>
    <t>0.0168</t>
  </si>
  <si>
    <t>0.0061</t>
  </si>
  <si>
    <t>0.45</t>
  </si>
  <si>
    <t>0.0042</t>
  </si>
  <si>
    <t>0.087</t>
  </si>
  <si>
    <t>0.143</t>
  </si>
  <si>
    <t>0.001</t>
  </si>
  <si>
    <t>0.0026</t>
  </si>
  <si>
    <t>0.01</t>
  </si>
  <si>
    <t>0.0013</t>
  </si>
  <si>
    <t>0.076</t>
  </si>
  <si>
    <t>0.0004</t>
  </si>
  <si>
    <t>0.115</t>
  </si>
  <si>
    <t>0.00059</t>
  </si>
  <si>
    <t>0.0219</t>
  </si>
  <si>
    <t>0.0406</t>
  </si>
  <si>
    <t>0.0037</t>
  </si>
  <si>
    <t>0.0087</t>
  </si>
  <si>
    <t>0.162</t>
  </si>
  <si>
    <t>0.253</t>
  </si>
  <si>
    <t>0.73</t>
  </si>
  <si>
    <t>rawValueMaximum</t>
  </si>
  <si>
    <t>commentary</t>
  </si>
  <si>
    <t>#10# at pH 7.4 and 30°C &lt;343&gt;</t>
  </si>
  <si>
    <t>#100# pH 8.5, 37°C, recombinant His-tagged  mutant D290A &lt;204&gt;</t>
  </si>
  <si>
    <t>#100# pH 8.5, 37°C, native wild-type enzyme  &lt;204&gt;</t>
  </si>
  <si>
    <t>#202# pH 8.0, 37°C, recombinant wild-type  enzyme &lt;206&gt;; #100# pH 8.5, 37°C, recombinant His-tagged wild-type enzyme &lt;204&gt;</t>
  </si>
  <si>
    <t>#112# at pH 8.0 and 40°C &lt;238&gt;</t>
  </si>
  <si>
    <t>#113# pH 7.5,60°C &lt;198&gt;</t>
  </si>
  <si>
    <t>#113# BTID-A, pH 7.5, 60°C &lt;72&gt;</t>
  </si>
  <si>
    <t>#113# BTID-B, pH 7.5, 60°C &lt;72&gt;</t>
  </si>
  <si>
    <t>#136# pH 7.5, 40°C &lt;142&gt;</t>
  </si>
  <si>
    <t>#139# pH 9.0, 37°C &lt;114&gt;</t>
  </si>
  <si>
    <t>#14# pH 8.5, 60°C &lt;86&gt;</t>
  </si>
  <si>
    <t>#146# at pH 7.0 and 37°C &lt;367&gt;</t>
  </si>
  <si>
    <t>#149# 37°C, pH  7.4 &lt;184&gt;</t>
  </si>
  <si>
    <t>#149# 37°C, pH 7.4 &lt;184&gt;</t>
  </si>
  <si>
    <t>#15# pH 6.5, 40°C &lt;82&gt;</t>
  </si>
  <si>
    <t>#154# pH 7.2-7.3, 10°C &lt;175&gt;</t>
  </si>
  <si>
    <t>#154# pH 7.2-7.3, 20°C &lt;175&gt;</t>
  </si>
  <si>
    <t>#157# pH 7.0, 37°C, immobilized lipase &lt;183&gt;</t>
  </si>
  <si>
    <t>#157# pH 7.0, 37°C, free lipase &lt;183&gt;</t>
  </si>
  <si>
    <t>#170# pH 8.0, 30°C &lt;306&gt;</t>
  </si>
  <si>
    <t>#172# at pH 7 and 37°C &lt;231&gt;</t>
  </si>
  <si>
    <t>#186# at pH 5.0 and 28°C &lt;412&gt;</t>
  </si>
  <si>
    <t>#19# at pH 3.5 and 30Â°C &lt;409&gt;</t>
  </si>
  <si>
    <t>#193# pH 8.0, 50°C &lt;317&gt;</t>
  </si>
  <si>
    <t>#194# wild type enzyme, at 42°C  and pH 9.0 &lt;318&gt;</t>
  </si>
  <si>
    <t>#194# mutant enzyme V309D, at  42°C and pH 9.0 &lt;318&gt;</t>
  </si>
  <si>
    <t>#194# mutant enzyme V309K, at  42°C and pH 9.0 &lt;318&gt;</t>
  </si>
  <si>
    <t>#196# at pH 7.8 and 78°C  &lt;295&gt;</t>
  </si>
  <si>
    <t>#198# at pH 9.0 and 40°C &lt;398&gt;</t>
  </si>
  <si>
    <t>#202# pH 8.0, 37°C, recombinant mutant G311L  &lt;206&gt;</t>
  </si>
  <si>
    <t>#202# pH 8.0, 37°C, recombinant mutant G311D  &lt;206&gt;</t>
  </si>
  <si>
    <t>#202# pH 8.0, 37°C, recombinant wild-type  enzyme &lt;206&gt;</t>
  </si>
  <si>
    <t>#202# pH 8.0, 37°C, recombinant mutant G311K  &lt;206&gt;</t>
  </si>
  <si>
    <t>#204# pH 8.0, 37°C, recombinant LipY &lt;136&gt;</t>
  </si>
  <si>
    <t>#217# wild-type, pH 8.0, 45°C  &lt;352&gt;</t>
  </si>
  <si>
    <t>#217# mutant T18K/T22I/E230I, pH  8.0, 55°C &lt;352&gt;</t>
  </si>
  <si>
    <t>#217# mutant  T18K/T22I/S56C/N63C/V189C/E230I/D238C, pH 8.0, 60°C &lt;352&gt;</t>
  </si>
  <si>
    <t>#219# mutant enzyme  D156S/L258K/L267N/S83D/L58K/R86K/W88V, at pH 7.5 and 50°C &lt;368&gt;</t>
  </si>
  <si>
    <t>#219# mutant enzyme D156G, at pH 7.5 and  50°C &lt;368&gt;</t>
  </si>
  <si>
    <t>#219# mutant enzyme D156G/L258K/L267N, at  pH 7.5 and 50°C &lt;368&gt;</t>
  </si>
  <si>
    <t>#219# wild type enzyme, at pH 7.5 and 50°C  &lt;368&gt;</t>
  </si>
  <si>
    <t>#219# mutant enzyme D156G/L258K/L267N/S83D,  at pH 7.5 and 50°C &lt;368&gt;</t>
  </si>
  <si>
    <t>#219# mutant enzyme D156G/L258K, at pH 7.5  and 50°C &lt;368&gt;</t>
  </si>
  <si>
    <t>#225# pH and temperature not  specified in the publication &lt;383&gt;</t>
  </si>
  <si>
    <t>#23# pH 8.0, 30°C &lt;197&gt;</t>
  </si>
  <si>
    <t>#23# in 0.1 M Tris-HCl buffer (pH  8.0</t>
  </si>
  <si>
    <t>#23# free enzyme &lt;214&gt;</t>
  </si>
  <si>
    <t>#23# immobilied enzyme &lt;214&gt;</t>
  </si>
  <si>
    <t>#231# at pH 7.0 and 15°C &lt;403&gt;</t>
  </si>
  <si>
    <t>#233# recombinant enzyme, at pH 8.5 and 45°C  &lt;411&gt;</t>
  </si>
  <si>
    <t>#233# native enzyme, at pH 8.5 and 45°C  &lt;411&gt;</t>
  </si>
  <si>
    <t>#234# at pH 8.0 and 10Â°C &lt;371&gt;</t>
  </si>
  <si>
    <t>#234# at pH 8.0 and 30Â°C &lt;371&gt;</t>
  </si>
  <si>
    <t>#234# at pH 8.0 and 60Â°C  &lt;371&gt;</t>
  </si>
  <si>
    <t>+/-</t>
  </si>
  <si>
    <t>#29# at pH 6.0 and 10°C &lt;402&gt;</t>
  </si>
  <si>
    <t>#34# pH 8.5, 45°C &lt;202&gt;</t>
  </si>
  <si>
    <t>#36# pH 8.0, 50°C &lt;91&gt;</t>
  </si>
  <si>
    <t>#36# pH 8.0, 60°C &lt;89&gt;</t>
  </si>
  <si>
    <t>#37# at 45°C &lt;248&gt;</t>
  </si>
  <si>
    <t>#38# pH 8.0, 60°C &lt;299&gt;</t>
  </si>
  <si>
    <t>#4# pH 8.0, 37°C &lt;155&gt;</t>
  </si>
  <si>
    <t>#42# mutant enzyme S154L/S293L, at  pH 6.0 and 25°C &lt;307&gt;</t>
  </si>
  <si>
    <t>#42# mutant enzyme S154L/S293L,  at pH 6.0 and 25°C &lt;307&gt;</t>
  </si>
  <si>
    <t>#43# at pH 9.0 and 60Â°C &lt;413&gt;</t>
  </si>
  <si>
    <t>#44# at pH 7.0 and 30°C &lt;373&gt;</t>
  </si>
  <si>
    <t>#51# pH 7.0, 40°C &lt;298&gt;</t>
  </si>
  <si>
    <t>#52# native enzyme, at pH 7 and  37°C &lt;221&gt;</t>
  </si>
  <si>
    <t>#52# recombinant enzyme, at pH 7  and 37°C &lt;221&gt;</t>
  </si>
  <si>
    <t>#55# pH 7.5, 37°C &lt;90&gt;</t>
  </si>
  <si>
    <t>#55# native enzyme, at pH 7.4  and 25°C &lt;349&gt;</t>
  </si>
  <si>
    <t>#55# recombinant enzyme, at pH 7.4  and 25°C &lt;349&gt;</t>
  </si>
  <si>
    <t>#55# native enzyme, at pH 7.4 and 25°C &lt;349&gt;</t>
  </si>
  <si>
    <t>#55# recombinant enzyme, at pH 7.4 and 25°C  &lt;349&gt;</t>
  </si>
  <si>
    <t>#57# pH 6.0, 70°C &lt;350&gt;</t>
  </si>
  <si>
    <t>#62# pH 7.5, 30°C &lt;81&gt;</t>
  </si>
  <si>
    <t>#68# pH 7.0, 37°C, free enzyme  &lt;163&gt;</t>
  </si>
  <si>
    <t>#68# free enzyme, pH 7.0, 37°C  &lt;305&gt;</t>
  </si>
  <si>
    <t>#68# pH 7.0, 37°C, enzyme  immobilized with glutaraldehyde &lt;163&gt;</t>
  </si>
  <si>
    <t>#68# pH 7.0, 37°C, enzyme  immobilized with carbonyldiimidazole &lt;163&gt;</t>
  </si>
  <si>
    <t>#68# pH 7.0, 37°C, enzyme  immobilized with sodium metaperiodate &lt;163&gt;</t>
  </si>
  <si>
    <t>#68# immobilized enzyme, pH  7.0, 37°C &lt;305&gt;</t>
  </si>
  <si>
    <t>#53,68,97,139# kinetics &lt;79,114,148,158,171&gt;; #8# Km values for hepatic lipase and for a chimeric protein - HL-LPL - containing the NH2-terminal domain of hepatic lipase and the COOH-terminal domain of lipoprotein lipase, or the reverse chimera &lt;36&gt;; #90# Km-value: 14.2 mg/ml for trilaurin &lt;21&gt;; #94# enzyme follows first order reaction kinetics during inactivation &lt;92&gt;; #17# reaction kinetics in a monomolecular layer of different diacylglycerides &lt;74&gt;; #79# detailed kinetic analysis and thermodynamics of different isozymes, overview &lt;149&gt;; #9# kinetics in presence of lysophosphatidylcholine and of taurodeoxycholine &lt;113&gt;; #7# kinetics of beta5-loop-mediated interaction of the enzyme with the colipase, overview &lt;137&gt;; #140# kinetics study of ROL29 and ROL32 &lt;126&gt;; #100# kinetics, recombinant His-tagged wild-type and mutant enzymes &lt;204&gt;; #9# kinetic constants of ester synthesis catalyzed with porcine pancreatic lipase, overview &lt;192&gt;; #97# kinetic model of 1,3-specific triacylglycerols alcoholysis, overview &lt;182&gt;; #68# kinetics in presence and absence of organic co-solvents &lt;169&gt;</t>
  </si>
  <si>
    <t>#74# at pH 8.5 and 37°C &lt;240&gt;</t>
  </si>
  <si>
    <t>#77# in Tris-HCl buffer (50 mM,  pH 8.2</t>
  </si>
  <si>
    <t>#78# at pH 5.0 and 40°C  &lt;369&gt;</t>
  </si>
  <si>
    <t>#8# enzyme from microsomes &lt;42&gt;</t>
  </si>
  <si>
    <t>#8# enzyme from plasma membrane &lt;42&gt;</t>
  </si>
  <si>
    <t>#8# enzyme from cytosol &lt;42&gt;</t>
  </si>
  <si>
    <t>#80# at 30°C, pH 7.5 &lt;294&gt;</t>
  </si>
  <si>
    <t>#82# chitosan-chitin nanowhiskers supported  lipase, pH not specified in the publication, 50°C &lt;357&gt;</t>
  </si>
  <si>
    <t>#88# apparent value, in  2.5 mM Tris-HCl, at pH 8.0 at 30°C &lt;303&gt;</t>
  </si>
  <si>
    <t>#9# pH 7.0, 37°C &lt;113&gt;</t>
  </si>
  <si>
    <t>#9# in the absence of inhibitor, pH  and temperature not specified in the publication &lt;387&gt;</t>
  </si>
  <si>
    <t>#9# apparent value, in the presence  of inhibitor lupeol acetate, pH and temperature not specified in the publication &lt;387&gt;</t>
  </si>
  <si>
    <t>#9# apparent value, in the presence  of inhibitor orlistat, pH and temperature not specified in the publication &lt;387&gt;</t>
  </si>
  <si>
    <t>#95# pH 8.0, 30°C &lt;306&gt;</t>
  </si>
  <si>
    <t>#6,7,8,9,11,13,19# kinetic study &lt;25,29,32,33,34,56,66,67,68&gt;; #7# Km-values for several acceptors in diabetic and control rats, female and male, with donors L-Glu-4-nitroanilide and L-5-glutamyl-(7-amido-4-methylcoumarin</t>
  </si>
  <si>
    <t>#10# at pH 8.0 and 37°C &lt;205&gt;</t>
  </si>
  <si>
    <t>#10# enzyme from ciliary body &lt;15&gt;</t>
  </si>
  <si>
    <t>#10# at pH 8.0 and 37°C  &lt;205&gt;</t>
  </si>
  <si>
    <t>#10# in absence of glycylglycine  &lt;28&gt;</t>
  </si>
  <si>
    <t>#10# pH 8.0, 37°C &lt;173&gt;</t>
  </si>
  <si>
    <t>3-carboxy-4-nitroanilide</t>
  </si>
  <si>
    <t>#12# pH 8.0, 37°C, native  extracellular enzyme &lt;214&gt;</t>
  </si>
  <si>
    <t>#13#  hydrolase reaction &lt;29&gt;</t>
  </si>
  <si>
    <t>#18# transpeptidation &lt;50&gt;</t>
  </si>
  <si>
    <t>#18# hydrolase reaction &lt;50&gt;</t>
  </si>
  <si>
    <t>#21# mutant T417S, pH 8.0,  40°C &lt;182&gt;</t>
  </si>
  <si>
    <t>#21# wild-type, pH 8.0, 40°C  &lt;182&gt;</t>
  </si>
  <si>
    <t>#21# mutant T399S, pH 8.0,  40°C &lt;182&gt;</t>
  </si>
  <si>
    <t>#21# heterodimeric 67-kDa  enzyme, at pH 8.0, in the absence of subtilisin, at 60°C &lt;194&gt;</t>
  </si>
  <si>
    <t>#21# monomeric 30-kDa enzyme,  at pH 11.0, in the presence of subtilisin, at 80°C &lt;194&gt;</t>
  </si>
  <si>
    <t>#21# monomeric 30-kDa enzyme,  at pH 8.0, in the absence of subtilisin, at 60°C &lt;194&gt;</t>
  </si>
  <si>
    <t>#22# isoform I, hydrolase reaction  &lt;71&gt;</t>
  </si>
  <si>
    <t>#22# isoform II &lt;71&gt;</t>
  </si>
  <si>
    <t>#22# isoform I &lt;71&gt;</t>
  </si>
  <si>
    <t>#23# recombinant  extracellular enzyme, pH 9.0, 40°C &lt;231&gt;</t>
  </si>
  <si>
    <t>#24# 37°C, pH 8.0 &lt;99&gt;</t>
  </si>
  <si>
    <t>#24# 37°C, pH 8.0,  transpeptidase reaction with Gly-Gly &lt;99&gt;</t>
  </si>
  <si>
    <t>#25# hydrolysis &lt;106&gt;</t>
  </si>
  <si>
    <t>#26# 37°C, pH 8.0, cosubstrate: Gly-Gly, enzyme  form GGT B &lt;94&gt;</t>
  </si>
  <si>
    <t>#26# 37°C, pH 8.0, cosubstrate: Gly-Gly, enzyme form  GGT A &lt;94&gt;</t>
  </si>
  <si>
    <t>#26# 37°C, pH 8.0, cosubstrate: Gly-Gly, enzyme  form GGT I &lt;94&gt;</t>
  </si>
  <si>
    <t>#26# 37°C, pH 8.0, cosubstrate: Gly-Gly, enzyme form  GGT II &lt;94&gt;</t>
  </si>
  <si>
    <t>#26# 37°C, pH 8.0, cosubstrate: Gly-Gly,  enzyme form GGT II &lt;94&gt;</t>
  </si>
  <si>
    <t>#26# 37°C, pH 8.0, cosubstrate: Gly-Gly, enzyme form  GGT I &lt;94&gt;</t>
  </si>
  <si>
    <t>#26# 37°C, pH 8.0, cosubstrate: Gly-Gly, enzyme  form GGT II &lt;94&gt;</t>
  </si>
  <si>
    <t>#26# 37°C, pH 8.0, cosubstrate: Gly-Gly,  enzyme form GGT A &lt;94&gt;</t>
  </si>
  <si>
    <t>#26# 37°C, pH 8.0,  cosubstrate: Gly-Gly, enzyme form GGT B &lt;94&gt;</t>
  </si>
  <si>
    <t>#26# 37°C, pH 8.0,  cosubstrate: Gly-Gly, enzyme form GGT I &lt;94&gt;</t>
  </si>
  <si>
    <t>#26# 37°C, pH 8.0, cosubstrate: Gly-Gly,  enzyme form GGT I &lt;94&gt;</t>
  </si>
  <si>
    <t>#26# 37°C, pH 8.0, cosubstrate: Gly-Gly, enzyme form  GGT B &lt;94&gt;</t>
  </si>
  <si>
    <t>#26# 37°C, pH 8.0, cosubstrate: Gly-Gly, enzyme  form GGT A &lt;94&gt;</t>
  </si>
  <si>
    <t>#26# 37°C, pH 8.0,  cosubstrate: Gly-Gly, enzyme form GGT II &lt;94&gt;</t>
  </si>
  <si>
    <t>#26# 37°C, pH 8.0, cosubstrate: Gly-Gly,  enzyme form GGT B &lt;94&gt;</t>
  </si>
  <si>
    <t>#26# 37°C, pH 8.0,  cosubstrate: Gly-Gly, enzyme form GGT A &lt;94&gt;</t>
  </si>
  <si>
    <t>#27# pH 7.5,  22°C &lt;175&gt;</t>
  </si>
  <si>
    <t>#3# wild-type enzyme &lt;83&gt;</t>
  </si>
  <si>
    <t>3-carboxyl</t>
  </si>
  <si>
    <t>#3# mutant enzyme D445A &lt;83&gt;</t>
  </si>
  <si>
    <t>#3# recombinant free  wild-type enzyme GGT, pH 8.0, 37°C &lt;226&gt;</t>
  </si>
  <si>
    <t>#3# recombinant  immobilized wild-type enzyme, MTWs-GGT, pH 8.0, 37°C &lt;226&gt;</t>
  </si>
  <si>
    <t>#3# recombinant  immobilized modified wild-type enzyme MTWs-GGT-Phar, pH 8.0, 37°C &lt;226&gt;</t>
  </si>
  <si>
    <t>#31# hydrolase reaction &lt;54&gt;</t>
  </si>
  <si>
    <t>#39# reaction in the presence  of 20 mM glycylglycine &lt;162&gt;</t>
  </si>
  <si>
    <t>#39# hydrolysis &lt;162&gt;</t>
  </si>
  <si>
    <t>#44# mutant enzyme N120Q, at  37°C, pH 7.4 &lt;199&gt;; #44# mutant enzyme N230Q, at 37°C, pH 7.4 &lt;199&gt;; #44# mutant enzyme N297Q, at 37°C, pH 7.4 &lt;199&gt;; #44# mutant enzyme N344Q, at 37°C, pH 7.4 &lt;199&gt;; #44# mutant enzyme N511Q, at 37°C, pH 7.4 &lt;199&gt;; #44# wild type enzyme, at 37°C, pH 7.4 &lt;199&gt;</t>
  </si>
  <si>
    <t>#44# isoform GGT1, in 100 mM Na2HPO4, 3.2 mM KCl,  1.8 mM KH2PO4, and 27.5 mM NaCl, pH 7.4, at 37°C &lt;195&gt;</t>
  </si>
  <si>
    <t>#44# mutant enzyme N95Q, at  37°C, pH 7.4 &lt;199&gt;</t>
  </si>
  <si>
    <t>#44# pH 7.4, 37°C,  recombinant enzyme &lt;237&gt;</t>
  </si>
  <si>
    <t>#44# mutant enzyme N266Q, at  37°C, pH 7.4 &lt;199&gt;</t>
  </si>
  <si>
    <t>#44# isoform GGT1, in 100 mM  Na2HPO4, 3.2 mM KCl, 1.8 mM KH2PO4, and 27.5 mM NaCl, pH 7.4, at 37°C &lt;195&gt;</t>
  </si>
  <si>
    <t>#44# isoform GGT1, in 100 mM Na2HPO4,  3.2 mM KCl, 1.8 mM KH2PO4, and 27.5 mM NaCl, pH 7.4, at 37°C &lt;195&gt;</t>
  </si>
  <si>
    <t>4-nitro-benzyl</t>
  </si>
  <si>
    <t>#5# hydrolase reaction &lt;48&gt;</t>
  </si>
  <si>
    <t>#24# 37°C, pH 8.0,  hydrolysis &lt;99&gt;</t>
  </si>
  <si>
    <t>#7# kidney enzyme &lt;34&gt;; #5,7# hydrolase  reaction &lt;35,48&gt;; #7# D-Glu-4-nitroanilide &lt;35&gt;; #5# glutathione &lt;48&gt;</t>
  </si>
  <si>
    <t>#52# in 1 mM MgCl2, 50 mM  Tris-HCl buffer (pH 8.0</t>
  </si>
  <si>
    <t>#59# wild-type, pH 9.0, 37°C  &lt;187&gt;</t>
  </si>
  <si>
    <t>#59# mutant S463T, pH 9.0,  37°C &lt;187&gt;</t>
  </si>
  <si>
    <t>#6# hydrolase reaction &lt;67&gt;</t>
  </si>
  <si>
    <t>#6# recombinant wild-type,  transpeptidation &lt;67&gt;</t>
  </si>
  <si>
    <t>#6# recombinant wild-type &lt;65&gt;; #6#  bile enzyme &lt;46&gt;</t>
  </si>
  <si>
    <t>#6# isoform GGT5, in 100 mM Na2HPO4, 3.2  mM KCl, 1.8 mM KH2PO4, and 27.5 mM NaCl, pH 7.4, at 37°C &lt;195&gt;</t>
  </si>
  <si>
    <t>#6# recombinant mutant enzyme &lt;65&gt;</t>
  </si>
  <si>
    <t>#6# isoform GGT5, in 100 mM Na2HPO4,  3.2 mM KCl, 1.8 mM KH2PO4, and 27.5 mM NaCl, pH 7.4, at 37°C &lt;195&gt;</t>
  </si>
  <si>
    <t>#6# isoform GGT5, in 100 mM Na2HPO4, 3.2 mM KCl, 1.8  mM KH2PO4, and 27.5 mM NaCl, pH 7.4, at 37°C &lt;195&gt;</t>
  </si>
  <si>
    <t>N-gamma-glutamylamino</t>
  </si>
  <si>
    <t>#6# isoform GGT5, in 100 mM Na2HPO4, 3.2 mM KCl,  1.8 mM KH2PO4, and 27.5 mM NaCl, pH 7.4, at 37°C &lt;195&gt;</t>
  </si>
  <si>
    <t>#6# isoform GGT5, in 100 mM  Na2HPO4, 3.2 mM KCl, 1.8 mM KH2PO4, and 27.5 mM NaCl, pH 7.4, at 37°C &lt;195&gt;</t>
  </si>
  <si>
    <t>#43# recombinant enzyme &lt;76&gt;;  #10# in presence of glycylglycine &lt;28&gt;</t>
  </si>
  <si>
    <t>#22# isoform II, hydrolase reaction  &lt;71&gt;; #6# recombinant mutant enzyme &lt;65&gt;</t>
  </si>
  <si>
    <t>#6# recombinant wild-type enzyme  &lt;65&gt;; #7# rat kidney enzyme &lt;34&gt;</t>
  </si>
  <si>
    <t>gamma-L-glutamyl</t>
  </si>
  <si>
    <t>#64# pH 7.0, temperature  not specified in the publication, hydrolytic activity, wild-type enzyme &lt;203&gt;</t>
  </si>
  <si>
    <t>#64# pH 7.0,  temperature not specified in the publication, hydrolytic activity, mutant enzyme H368S &lt;203&gt;</t>
  </si>
  <si>
    <t>#64# pH 7.0, temperature  not specified in the publication, transpeptidase activity with Gly-Gly as acceptor, mutant enzyme H368S &lt;203&gt;; #64# pH 7.0, temperature not specified in the publication, transpeptidase activity with Gly-Gly as acceptor, mutant enzyme Y327N &lt;203&gt;</t>
  </si>
  <si>
    <t>#64# pH 7.0, temperature  not specified in the publication, hydrolytic activity, mutant enzyme Y327N &lt;203&gt;</t>
  </si>
  <si>
    <t>#66# recombinant mutant  R109F, pH 9.0, 60°C &lt;213&gt;</t>
  </si>
  <si>
    <t>#66# recombinant mutant  R109E, pH 9.0, 60°C &lt;213&gt;; #66# recombinant mutant R109S, pH 9.0, 60°C &lt;213&gt;; #66# recombinant wild-type enzyme, pH 9.0, 60°C &lt;213&gt;</t>
  </si>
  <si>
    <t>#66# recombinant mutant R109F, pH 9.0, 60°C  &lt;213&gt;</t>
  </si>
  <si>
    <t>#66# recombinant mutant R109K, pH 9.0, 60°C  &lt;213&gt;</t>
  </si>
  <si>
    <t>#66# recombinant mutant R109E, pH 9.0, 60°C  &lt;213&gt;</t>
  </si>
  <si>
    <t>#66# recombinant mutant  R109K, pH 9.0, 60°C &lt;213&gt;</t>
  </si>
  <si>
    <t>#66# recombinant mutant R109S, pH 9.0, 60°C  &lt;213&gt;</t>
  </si>
  <si>
    <t>#66# recombinant mutant  R109M, pH 9.0, 60°C &lt;213&gt;</t>
  </si>
  <si>
    <t>#66# recombinant wild-type enzyme, pH 9.0,  60°C &lt;213&gt;</t>
  </si>
  <si>
    <t>#66# recombinant mutant  R109L, pH 9.0, 60°C &lt;213&gt;</t>
  </si>
  <si>
    <t>#7# with 8 mM L-Gly-Gly, kidney  enzyme &lt;3&gt;</t>
  </si>
  <si>
    <t>#7# biliary tract  enzyme &lt;21&gt;</t>
  </si>
  <si>
    <t>#7# carcinoma enzyme &lt;18&gt;</t>
  </si>
  <si>
    <t>#7# with 16 mM L-Gly-Gly , kidney  enzyme &lt;3&gt;</t>
  </si>
  <si>
    <t>#7# liver enzyme  &lt;21&gt;</t>
  </si>
  <si>
    <t>#7# with 0.8 mM L-Glu-4-nitroanilide, kidney  enzyme &lt;3&gt;</t>
  </si>
  <si>
    <t>#7# L-Cys-Gly, rat kidney enzyme &lt;34&gt;</t>
  </si>
  <si>
    <t>#7# rat kidney enzyme &lt;34&gt;</t>
  </si>
  <si>
    <t>#7# with 1.6 mM L-Glu-4-nitroanilide, kidney  enzyme &lt;3&gt;</t>
  </si>
  <si>
    <t>#7# with L-Met-Gly, kidney  enzyme &lt;34&gt;</t>
  </si>
  <si>
    <t>#7# L-Met, rat kidney enzyme &lt;34&gt;</t>
  </si>
  <si>
    <t>#18# with GSH &lt;50&gt;; #7#  with L-Cys-bis-glycine, rat kidney enzyme &lt;34&gt;</t>
  </si>
  <si>
    <t>#7,31# hydrolase reaction  &lt;35,54&gt;</t>
  </si>
  <si>
    <t>#70# recombinant mutant  N450A, pH 9.0, 40°C &lt;228&gt;</t>
  </si>
  <si>
    <t>#70# recombinant mutant  N450D, pH 9.0, 40°C &lt;228&gt;; #70# recombinant mutant N450Q, pH 9.0, 40°C &lt;228&gt;</t>
  </si>
  <si>
    <t>#70# recombinant mutant  N450K, pH 9.0, 40°C &lt;228&gt;</t>
  </si>
  <si>
    <t>#70# recombinant  wild-type enzyme, pH 9.0, 40°C &lt;228&gt;</t>
  </si>
  <si>
    <t>#72# pH 9.6, 37°C,  recombinant enzyme &lt;232&gt;</t>
  </si>
  <si>
    <t>#75# pH 7.4, 37°C &lt;236&gt;</t>
  </si>
  <si>
    <t>#78# pH 8.0, 37°C &lt;233&gt;</t>
  </si>
  <si>
    <t>#1# alr gene encoded &lt;12&gt;</t>
  </si>
  <si>
    <t>#1# dadB gene encoded &lt;12&gt;</t>
  </si>
  <si>
    <t>#1# in 50 mM potassium phosphate buffer pH 7.4,  at 30°C &lt;94&gt;</t>
  </si>
  <si>
    <t>#1# D-Ala, dadB encoded enzyme &lt;12&gt;</t>
  </si>
  <si>
    <t>#8# D-Ala &lt;9,12&gt;</t>
  </si>
  <si>
    <t>#10# 23°C, enzyme DadX &lt;41&gt;</t>
  </si>
  <si>
    <t>#10# 23°C, enzyme Alr &lt;41&gt;</t>
  </si>
  <si>
    <t>#10# in 50 mM potassium phosphate buffer pH 7.4,  at 30°C &lt;94&gt;</t>
  </si>
  <si>
    <t>#46# 23°C &lt;43&gt;; #10# 23°C, enzyme Alr &lt;41&gt;</t>
  </si>
  <si>
    <t>#80# pH and temperature not specified in the  publication &lt;124&gt;; #10# in 50 mM potassium phosphate buffer pH 7.4, at 30°C &lt;94&gt;</t>
  </si>
  <si>
    <t>#12# in 50 mM potassium phosphate buffer pH 7.4,  at 30°C &lt;94&gt;</t>
  </si>
  <si>
    <t>#12# at pH 9.0 and 37°C &lt;97&gt;</t>
  </si>
  <si>
    <t>#14# pH and temperature not specified in the  publication &lt;117&gt;</t>
  </si>
  <si>
    <t>#20# Vmax = 0.44 mol/s/kg &lt;77&gt;</t>
  </si>
  <si>
    <t>#20# Vmax = 1.02 mol/s/kg &lt;77&gt;</t>
  </si>
  <si>
    <t>#23# pH 8.5, 37°C &lt;51&gt;</t>
  </si>
  <si>
    <t>#24# pH 7.6, 37°C, recombinant enzyme &lt;103&gt;</t>
  </si>
  <si>
    <t>#27# HPLC analysis &lt;71&gt;</t>
  </si>
  <si>
    <t>#3# pH and temperature not specified in the  publication &lt;117&gt;</t>
  </si>
  <si>
    <t>#8,9# Km values of  L-Ala in the presence of urea at various concentrations &lt;25&gt;; #47# effect of NaCl on Km-value &lt;40&gt;; #3,78# Michaelis-Menten kinetics &lt;108,117&gt;; #27# Vmax 110 micromol/min/mg D-alanine &lt;71&gt;; #18# Vmax 306 U/mg: D-alanine to L-alanine &lt;74&gt;; #27# Vmax 323 micromol/min/mg L-alanine &lt;71&gt;; #18# Vmax 345 U/mg: L-alanine to D-alanine &lt;74&gt;; #56# Vmax for the racemization (D- to L-alanine and L- to D-alanine</t>
  </si>
  <si>
    <t>#33# pH 8.2, 37°C &lt;55&gt;</t>
  </si>
  <si>
    <t>#39# 90°C, pH 9.5 &lt;46&gt;</t>
  </si>
  <si>
    <t>#40# pH 8.3, 30°C &lt;33&gt;</t>
  </si>
  <si>
    <t>#44# 30°C, pH 8.3 &lt;32&gt;</t>
  </si>
  <si>
    <t>#46# 23°C &lt;43&gt;</t>
  </si>
  <si>
    <t>#47# 30°C, pH 8.5 &lt;40&gt;</t>
  </si>
  <si>
    <t>#48# 37°C, pH 9.0 &lt;44&gt;</t>
  </si>
  <si>
    <t>#49# pH 9.0 &lt;39&gt;</t>
  </si>
  <si>
    <t>#50# pH 7.6, 37°C &lt;110&gt;</t>
  </si>
  <si>
    <t>#52# pH 9.5 &lt;59&gt;</t>
  </si>
  <si>
    <t>#53# pH 8.2, 25°C &lt;60&gt;</t>
  </si>
  <si>
    <t>#54# Vmax 909 micromol/min/mg &lt;76&gt;</t>
  </si>
  <si>
    <t>#54# Vmax 37.9 micromol/min/mg &lt;76&gt;</t>
  </si>
  <si>
    <t>#56# at 23°C &lt;69&gt;</t>
  </si>
  <si>
    <t>#58# pH 8.0, 30°C, recombinant mutant I222T/Y354W  &lt;106&gt;</t>
  </si>
  <si>
    <t>#58# pH 8.0, 30°C, recombinant mutant Y354W  &lt;106&gt;</t>
  </si>
  <si>
    <t>#58# pH 8.0, 30°C, recombinant mutant I222T  &lt;106&gt;</t>
  </si>
  <si>
    <t>#58# pH 8.0, 30°C, recombinant mutant  I222T/Y354W &lt;106&gt;</t>
  </si>
  <si>
    <t>#58# pH 8.0, 30°C, recombinant wild-type enzyme  &lt;106&gt;</t>
  </si>
  <si>
    <t>#6# pH 8.2, 37°C &lt;55&gt;</t>
  </si>
  <si>
    <t>#6# in 50 mM potassium phosphate buffer pH 7.4,  at 30°C &lt;94&gt;</t>
  </si>
  <si>
    <t>#62# pH 10.5, 40°C, recombinant wild-type  enzyme &lt;113&gt;</t>
  </si>
  <si>
    <t>#65# +/-0.084, Alr E221P, 30°C, pH 8.0,  spectrophotometrically measured at 340 nm &lt;85&gt;</t>
  </si>
  <si>
    <t>#65# +/-0.114, Alr D164A, 30°C, pH 8.0,  spectrophotometrically measured at 340 nm &lt;85&gt;</t>
  </si>
  <si>
    <t>#65# +/-0.079, Alr E165K, 30°C, pH 8.0,  spectrophotometrically measured at 340 nm &lt;85&gt;</t>
  </si>
  <si>
    <t>#65# +/-0.055, Alr E221K, 30°C, pH 8.0,  spectrophotometrically measured at 340 nm &lt;85&gt;</t>
  </si>
  <si>
    <t>#65# +/-0.008, Alr wildtype, 30°C, pH 8.0,  spectrophotometrically measured at 340 nm &lt;85&gt;</t>
  </si>
  <si>
    <t>#65# +/-0.034, Alr P219A, 30°C, pH 8.0,  spectrophotometrically measured at 340 nm &lt;85&gt;</t>
  </si>
  <si>
    <t>#65# +/-0.032, Alr D164A, 30°C, pH 8.0,  spectrophotometrically measured at 340 nm &lt;85&gt;</t>
  </si>
  <si>
    <t>#65# +/-0.085, Alr E165A, 30°C, pH 8.0,  spectrophotometrically measured at 340 nm &lt;85&gt;</t>
  </si>
  <si>
    <t>#65# +/-0.038, Alr E165K, 30°C, pH 8.0,  spectrophotometrically measured at 340 nm &lt;85&gt;</t>
  </si>
  <si>
    <t>#65# +/-0.209, Alr E221P, 30°C, pH 8.0,  spectrophotometrically measured at 340 nm &lt;85&gt;</t>
  </si>
  <si>
    <t>#65# +/-0.069, Alr wildtype, 30°C, pH 8.0,  spectrophotometrically measured at 340 nm &lt;85&gt;</t>
  </si>
  <si>
    <t>#65# +/-0.131, Alr P219A, 30°C, pH 8.0,  spectrophotometrically measured at 340 nm &lt;85&gt;</t>
  </si>
  <si>
    <t>#65# +/-0.070, Alr D164K, 30°C, pH 8.0,  spectrophotometrically measured at 340 nm &lt;85&gt;</t>
  </si>
  <si>
    <t>#65# +/-0.080, Alr E221A, 30°C, pH 8.0,  spectrophotometrically measured at 340 nm &lt;85&gt;</t>
  </si>
  <si>
    <t>#65# +/-0.180, Alr D164K, 30°C, pH 8.0,  spectrophotometrically measured at 340 nm &lt;85&gt;</t>
  </si>
  <si>
    <t>#65# +/-0.256, Alr E165A, 30°C, pH 8.0,  spectrophotometrically measured at 340 nm &lt;85&gt;</t>
  </si>
  <si>
    <t>#65# +/-0.083, Alr E221A, 30°C, pH 8.0,  spectrophotometrically measured at 340 nm &lt;85&gt;</t>
  </si>
  <si>
    <t>#65# +/-0.269, Alr E221K, 30°C, pH 8.0,  spectrophotometrically measured at 340 nm &lt;85&gt;</t>
  </si>
  <si>
    <t>#73# pH not specified in the publication, 30°C,  recombinant enzyme &lt;98&gt;</t>
  </si>
  <si>
    <t>#74# pH 10.0, 65°C, recombinant mutant Q360Y  &lt;119&gt;</t>
  </si>
  <si>
    <t>#74# pH 10.0, 65°C, recombinant mutant Q360I  &lt;119&gt;</t>
  </si>
  <si>
    <t>#74# pH 10.0, 65°C, recombinant mutant  S173D/Q360Y &lt;119&gt;</t>
  </si>
  <si>
    <t>#74# pH 10.0, 65°C, recombinant wild-type  enzyme &lt;119&gt;</t>
  </si>
  <si>
    <t>#74# pH 10.0, 65°C, recombinant mutant Q360W  &lt;119&gt;</t>
  </si>
  <si>
    <t>#74# pH 10.0, 65°C, recombinant mutant S173D  &lt;119&gt;</t>
  </si>
  <si>
    <t>#76# pH 11.0, 70°C, recombinant enzyme &lt;105&gt;</t>
  </si>
  <si>
    <t>#78# pH 8.5, temperature not specified in the  publication, recombinant wild-type enzyme &lt;108&gt;</t>
  </si>
  <si>
    <t>#78# pH 7.5, 37°C, recombinant mutant K39A  &lt;116&gt;</t>
  </si>
  <si>
    <t>#78# pH 8.5, temperature not specified in the  publication, recombinant mutant K271T &lt;108&gt;</t>
  </si>
  <si>
    <t>#78# pH 7.5, 37°C, recombinant wild-type  enzyme &lt;116&gt;</t>
  </si>
  <si>
    <t>#79# recombinant His-tagged wild-type enzyme,  pH and temperature not specified in the publication &lt;118&gt;</t>
  </si>
  <si>
    <t>#81# pH not specified in the publication, 30°C  &lt;109&gt;</t>
  </si>
  <si>
    <t>#82# pH 7.6, 37°C &lt;110&gt;</t>
  </si>
  <si>
    <t>#85# recombinant MBP-tagged enzyme, pH 8.0, 37°C  &lt;122&gt;</t>
  </si>
  <si>
    <t>#86# recombinant His-tagged enzyme, pH 8.0, 37°C  &lt;122&gt;</t>
  </si>
  <si>
    <t>#87# recombinant His-tagged enzyme, pH 8.0,  70°C, bicine buffer &lt;122&gt;</t>
  </si>
  <si>
    <t>#87# recombinant His-tagged enzyme, pH 8.0,  37°C, Tris buffer &lt;122&gt;</t>
  </si>
  <si>
    <t>#87# recombinant His-tagged enzyme, pH 8.0,  37°C, bicine buffer &lt;122&gt;</t>
  </si>
  <si>
    <t>#88# pH and temperature not specified in the  publication &lt;127&gt;</t>
  </si>
  <si>
    <t>#89# pH 8.0, 37°C &lt;128&gt;</t>
  </si>
  <si>
    <t>#9# pH 7.4, 30°C &lt;63&gt;; #9# in 50 mM potassium  phosphate buffer pH 7.4, at 30°C &lt;94&gt;</t>
  </si>
  <si>
    <t>#90# pH 10.0, 37°C, mutant enzyme W385F &lt;129&gt;</t>
  </si>
  <si>
    <t>#90# pH 10.0, 37°C, mutant enzyme W385L &lt;129&gt;</t>
  </si>
  <si>
    <t>#90# pH 10.0, 37°C, mutant enzyme W385Y &lt;129&gt;</t>
  </si>
  <si>
    <t>#90# pH 10.0, 37°C, mutant enzyme W385I &lt;129&gt;</t>
  </si>
  <si>
    <t>#90# pH 10.0, 37°C, wild-type enzyme &lt;129&gt;</t>
  </si>
  <si>
    <t>#90# pH 10.0, 37°C, mutant enzyme W385V &lt;129&gt;</t>
  </si>
  <si>
    <t>#90# pH 10.0, 37°C, mutant enzyme W385A &lt;129&gt;</t>
  </si>
  <si>
    <t>#91# pH 8.0, 40°C, mutant enzyme S170A/Y359H  &lt;130&gt;</t>
  </si>
  <si>
    <t>#91# pH 8.0, 40°C, mutant enzyme S170A &lt;130&gt;</t>
  </si>
  <si>
    <t>#91# pH 8.0, 40°C, mutant enzyme D171A/Y359H  &lt;130&gt;</t>
  </si>
  <si>
    <t>#91# pH 8.0, 40°C, mutant enzyme D171S &lt;130&gt;</t>
  </si>
  <si>
    <t>#91# pH 8.0, 40°C, wild-type enzyme &lt;130&gt;</t>
  </si>
  <si>
    <t>#91# pH 8.0, 40°C, mutant enzyme Y359H &lt;130&gt;</t>
  </si>
  <si>
    <t>#91# pH 8.0, 40°C, mutant enzyme S170A/Y359A  &lt;130&gt;</t>
  </si>
  <si>
    <t>#91# pH 8.0, 40°C, mutant enzyme D171A &lt;130&gt;</t>
  </si>
  <si>
    <t>#91# pH 8.0, 40°C, mutant enzyme Y359A &lt;130&gt;</t>
  </si>
  <si>
    <t>#92# pH 8.0, 35°C &lt;131&gt;</t>
  </si>
  <si>
    <t>#94# pH 8.0, 37°C &lt;128&gt;</t>
  </si>
  <si>
    <t>#95# pH 8.0, 37°C &lt;128&gt;</t>
  </si>
  <si>
    <t>#10# pH 8.0, 30°C &lt;21&gt;</t>
  </si>
  <si>
    <t>#16# at 30°C, in 50 mM Tris (pH 7.5</t>
  </si>
  <si>
    <t>#24# pH 6.5, 65°C, in presence of 20 mM  3-(1-pyridinio</t>
  </si>
  <si>
    <t>#24# pH 6.5, 65°C, in presence of 100  mM 3-(1-pyridinio</t>
  </si>
  <si>
    <t>#24# pH 6.5, 65°C &lt;36&gt;</t>
  </si>
  <si>
    <t>#24# pH 6.5, 65°C, in presence of 200  mM 3-(1-pyridinio</t>
  </si>
  <si>
    <t>#24# pH 6.5, 37°C &lt;36&gt;</t>
  </si>
  <si>
    <t>#25# above 20 mM, pH 8.0, 22°C, mutant H85A  &lt;39&gt;</t>
  </si>
  <si>
    <t>#25# pH 8.0, 22°C, mutant delI211 &lt;39&gt;</t>
  </si>
  <si>
    <t>#25# pH 8.0, 70°C &lt;38&gt;</t>
  </si>
  <si>
    <t>#25# pH 8.0, 22°C, mutant delVal2-I211  &lt;39&gt;</t>
  </si>
  <si>
    <t>#26# pH 8.0, 70°C &lt;38&gt;; #25# pH 8.0,  22°C, wild-type &lt;39&gt;</t>
  </si>
  <si>
    <t>#27# at pH 7.0, temperature not  specified in the publication &lt;45&gt;</t>
  </si>
  <si>
    <t>#27# pH 7.4, 37°C &lt;40&gt;</t>
  </si>
  <si>
    <t>#3# at pH 7.0 and 70°C &lt;47&gt;</t>
  </si>
  <si>
    <t>#35# pH 8.0, 23°C &lt;61&gt;</t>
  </si>
  <si>
    <t>#36# pH 7.6, 37°C &lt;54&gt;</t>
  </si>
  <si>
    <t>#6# liver enzyme &lt;6&gt;</t>
  </si>
  <si>
    <t>#6# tumor cell enzyme &lt;6&gt;</t>
  </si>
  <si>
    <t>#7# unassociated enzyme form &lt;3&gt;</t>
  </si>
  <si>
    <t>#7# associated enzyme form &lt;3&gt;</t>
  </si>
  <si>
    <t>#13# pH 7.5, 37°C &lt;24&gt;</t>
  </si>
  <si>
    <t>#2# pH 7.2, 37°C, membrane-bound enzyme &lt;7&gt;</t>
  </si>
  <si>
    <t>#10# pH 8.5 &lt;16&gt;</t>
  </si>
  <si>
    <t>#29# pH 7.8 &lt;27&gt;</t>
  </si>
  <si>
    <t>#30# pH 7.8 &lt;27&gt;</t>
  </si>
  <si>
    <t>#33# pH 8.0, 37°C &lt;31&gt;</t>
  </si>
  <si>
    <t>#5# 37°C, pH 8.5 &lt;17&gt;</t>
  </si>
  <si>
    <t>#6# 37°C, pH 8.5 &lt;15&gt;</t>
  </si>
  <si>
    <t>#6# in presence of equivalent amounts of ATP and Mg2+,  pH 8.5 &lt;2&gt;; #6# ATP in form of MgATP2- &lt;2&gt;</t>
  </si>
  <si>
    <t>#6# with 1.5-fold higher concentration of Mg2+ than  ATP, pH 8.5 &lt;2&gt;; #6# ATP in form of MgATP2- &lt;2&gt;</t>
  </si>
  <si>
    <t>#6# 30°C, pH 9.0 &lt;22&gt;</t>
  </si>
  <si>
    <t>#7# 30°C, pH 8.5 &lt;20&gt;</t>
  </si>
  <si>
    <t>2E</t>
  </si>
  <si>
    <t>#31# at pH 7.5 and 37°C &lt;67&gt;</t>
  </si>
  <si>
    <t>#4# in 35 mM potassium phosphate  buffer (pH 7.4</t>
  </si>
  <si>
    <t>#4# pH 7.4, 37°C &lt;53&gt;</t>
  </si>
  <si>
    <t>#5# 37°C &lt;31&gt;</t>
  </si>
  <si>
    <t>#5# in 0.6 mM EDTA, 0.4  mM pyridoxal 5-phosphate, 3 mM dithiothreitol mM sucrose, 36 mM potassium phosphate buffer, and 36 mM NaF containing 0.08% Triton X-100 &lt;26&gt;</t>
  </si>
  <si>
    <t>#5# in 0.6 mM EDTA, 0.4 mM  pyridoxal 5-phosphate, 3 mM dithiothreitol mM sucrose, 36 mM potassium phosphate buffer, and 36 mM NaF containing 0.08% Triton X-100 &lt;26&gt;</t>
  </si>
  <si>
    <t>+</t>
  </si>
  <si>
    <t>#15# isozyme PMT2, in 0.1 M  HEPES (pH 8.0</t>
  </si>
  <si>
    <t>#15# isozyme PMT1, in 0.1 M  HEPES (pH 8.0</t>
  </si>
  <si>
    <t>#15# isozyme PMT2, in 0.1  M HEPES (pH 8.0</t>
  </si>
  <si>
    <t>#15# isozyme PMT1, in 0.1 M HEPES  (pH 8.0</t>
  </si>
  <si>
    <t>#20# cosubstrate  N,N-dimethylethanolamine phosphate, pH 8.0, temperature not specified in the publication &lt;36&gt;</t>
  </si>
  <si>
    <t>#20# pH 8.0, temperature  not specified in the publication &lt;36&gt;</t>
  </si>
  <si>
    <t>#20# cosubstrate ethanolamine  phosphate, pH 8.0, temperature not specified in the publication &lt;36&gt;</t>
  </si>
  <si>
    <t>#20# pH 8.0, temperature not  specified in the publication &lt;36&gt;</t>
  </si>
  <si>
    <t>#20# pH 8.0,  temperature not specified in the publication &lt;36&gt;</t>
  </si>
  <si>
    <t>#24# wild type enzyme, at pH 8.0  and 20°C &lt;30&gt;</t>
  </si>
  <si>
    <t>#24# using  phosphodimethylethanolamine as cosubstrate, pH and temperature not specified in the publication &lt;27&gt;</t>
  </si>
  <si>
    <t>#24# pH and temperature  not specified in the publication &lt;27&gt;</t>
  </si>
  <si>
    <t>#24# wild type  enzyme, at pH 8.0 and 20°C &lt;30&gt;</t>
  </si>
  <si>
    <t>#24# pH 8.6, 37°C &lt;15&gt;</t>
  </si>
  <si>
    <t>#24# mutant enzyme  D128N, at pH 8.0 and 20°C &lt;30&gt;</t>
  </si>
  <si>
    <t>#24# using phosphoethanolamine  as cosubstrate pH and temperature not specified in the publication &lt;27&gt;</t>
  </si>
  <si>
    <t>#24# pH and temperature not  specified in the publication &lt;27&gt;</t>
  </si>
  <si>
    <t>#24# mutant enzyme D128A, at pH  8.0 and 20°C &lt;30&gt;</t>
  </si>
  <si>
    <t>#24# mutant enzyme  D128A, at pH 8.0 and 20°C &lt;30&gt;</t>
  </si>
  <si>
    <t>#24# mutant enzyme D128N, at pH  8.0 and 20°C &lt;30&gt;</t>
  </si>
  <si>
    <t>#26# cosubstrate ethanolamine  phosphate, pH 8.0, temperature not specified in the publication &lt;36&gt;</t>
  </si>
  <si>
    <t>#26# pH 8.0,  temperature not specified in the publication &lt;36&gt;</t>
  </si>
  <si>
    <t>#26# pH 8.0, temperature not  specified in the publication &lt;36&gt;</t>
  </si>
  <si>
    <t>#26# cosubstrate  N,N-dimethylethanolamine phosphate, pH 8.0, temperature not specified in the publication &lt;36&gt;</t>
  </si>
  <si>
    <t>#26# pH 8.0, temperature  not specified in the publication &lt;36&gt;</t>
  </si>
  <si>
    <t>#28# at pH 8.6 and 37°C &lt;32&gt;</t>
  </si>
  <si>
    <t>#29# at pH 8.6 and 37°C &lt;32&gt;</t>
  </si>
  <si>
    <t>#30# cosubstrate  N,N-dimethylethanolamine phosphate, pH 8.0, temperature not specified in the publication &lt;36&gt;</t>
  </si>
  <si>
    <t>#30# pH 8.0,  temperature not specified in the publication &lt;36&gt;</t>
  </si>
  <si>
    <t>#30# cosubstrate ethanolamine  phosphate, pH 8.0, temperature not specified in the publication &lt;36&gt;</t>
  </si>
  <si>
    <t>#30# pH 8.0, temperature not  specified in the publication &lt;36&gt;</t>
  </si>
  <si>
    <t>#30# pH 8.0, temperature  not specified in the publication &lt;36&gt;</t>
  </si>
  <si>
    <t>#32# at pH 8.0 and 30°C &lt;34&gt;</t>
  </si>
  <si>
    <t>#32# pH 8.0, 30°C &lt;34&gt;</t>
  </si>
  <si>
    <t>#32# pH 8.0, 30°C &lt;34&gt;; #32# at  pH 8.0 and 30°C &lt;34&gt;</t>
  </si>
  <si>
    <t>#33# pH 8.0, 30°C &lt;34&gt;; #33# at  pH 8.0 and 30°C &lt;34&gt;</t>
  </si>
  <si>
    <t>#33# at pH 8.0 and 30°C &lt;34&gt;</t>
  </si>
  <si>
    <t>#33# pH 8.0, 30°C &lt;34&gt;</t>
  </si>
  <si>
    <t>#39# pH 8.0, temperature not  specified in the publication, wild-type enzyme &lt;45&gt;</t>
  </si>
  <si>
    <t>#39# pH 8.0, temperature not  specified in the publication, mutant S160A &lt;45&gt;</t>
  </si>
  <si>
    <t>#39# pH 8.0, temperature not  specified in the publication, mutant Y127F &lt;45&gt;</t>
  </si>
  <si>
    <t>#39# pH 8.0, temperature not  specified in the publication, mutant S155A &lt;45&gt;</t>
  </si>
  <si>
    <t>#39# pH 8.0, temperature not  specified in the publication, mutant T178V &lt;45&gt;</t>
  </si>
  <si>
    <t>#39# pH 8.0, temperature not  specified in the publication, mutant H170A &lt;45&gt;</t>
  </si>
  <si>
    <t>#39# pH 8.0, temperature not  specified in the publication, mutant M126I &lt;45&gt;</t>
  </si>
  <si>
    <t>#40# pH 7.8, 22°C, recombinant  His-tagged enzyme &lt;41&gt;</t>
  </si>
  <si>
    <t>#41# pH 7.8, 22°C, recombinant  His-tagged enzyme &lt;41&gt;</t>
  </si>
  <si>
    <t>#42# pH 7.8, 22°C, recombinant  His-tagged enzyme &lt;41&gt;</t>
  </si>
  <si>
    <t>#43# pH 7.8, 22°C, recombinant  His-tagged enzyme &lt;41&gt;</t>
  </si>
  <si>
    <t>#44# pH 7.8, 22°C, recombinant  His-tagged enzyme &lt;41&gt;</t>
  </si>
  <si>
    <t>#7# pH and temperature  not specified in the publication &lt;25&gt;</t>
  </si>
  <si>
    <t>#7# pH and temperature not  specified in the publication &lt;25&gt;</t>
  </si>
  <si>
    <t>#9# pH 7.8, 22°C, recombinant  His-tagged enzyme &lt;41&gt;</t>
  </si>
  <si>
    <t>#24# kinetics  &lt;21&gt;; #10# PMT-1 uses a random sequential kinetic mechanism &lt;16&gt;; #39# Michaelis-Menten steady-state kinetic analysis, overview &lt;45&gt;; #9,15,20,40,41,42,43,44,45,46# Michaelis-Menten steady-state kinetics &lt;41,44&gt;</t>
  </si>
  <si>
    <t>#11# pH 8.0, 37°C, native enzyme  &lt;24&gt;</t>
  </si>
  <si>
    <t>#11# pH 8.0, 37°C, recombinant His-tagged mutant  H422A enzyme &lt;24&gt;</t>
  </si>
  <si>
    <t>#11# pH 8.0, 37°C, recombinant  His-tagged mutant H422A enzyme &lt;24&gt;</t>
  </si>
  <si>
    <t>#11# pH 8.0, 37°C, recombinant His-tagged mutant  H146A enzyme &lt;24&gt;</t>
  </si>
  <si>
    <t>#11# pH 8.0, 37°C, recombinant  His-tagged wild-type enzyme &lt;24&gt;</t>
  </si>
  <si>
    <t>#12# mutant H226A, pH 7.7, 37°C &lt;26&gt;</t>
  </si>
  <si>
    <t>#12# mutant H229A, pH 7.7, 37°C &lt;26&gt;</t>
  </si>
  <si>
    <t>#12# wild-type, pH 7.7, 37°C  &lt;26&gt;</t>
  </si>
  <si>
    <t>#12# wild-type, pH 7.7, 37°C &lt;26&gt;</t>
  </si>
  <si>
    <t>#12# mutant H226A, pH 7.7, 37°C  &lt;26&gt;</t>
  </si>
  <si>
    <t>#12# mutant H38A, pH 7.7, 37°C &lt;26&gt;</t>
  </si>
  <si>
    <t>#12# mutant H38A, pH 7.7, 37°C  &lt;26&gt;</t>
  </si>
  <si>
    <t>#12# mutant H229A, pH 7.7, 37°C  &lt;26&gt;</t>
  </si>
  <si>
    <t>#3# pH 7.8, 37°C &lt;1&gt;</t>
  </si>
  <si>
    <t>#3# pH 7.8, 37°C &lt;7&gt;</t>
  </si>
  <si>
    <t>#3# approximate value, pH 7.8, 37°C  &lt;2&gt;</t>
  </si>
  <si>
    <t>#3# pH 5.5 &lt;4&gt;</t>
  </si>
  <si>
    <t>#3# kinetics &lt;4&gt;; #11# Michaelis-Menten kinetics  of wild-type and mutant enzymes, overview &lt;24&gt;</t>
  </si>
  <si>
    <t>#8# isozyme Pcyt2alpha, at 37°C &lt;16&gt;</t>
  </si>
  <si>
    <t>#8# isozyme Pcyt2alpha, at 37°C  &lt;16&gt;</t>
  </si>
  <si>
    <t>#8# isozyme Pcyt2beta, at 37°C  &lt;16&gt;</t>
  </si>
  <si>
    <t>#8# isozyme Pcyt2beta, at 37°C &lt;16&gt;</t>
  </si>
  <si>
    <t>#1# nonlinear kinetics with 5-methylthioadenosine,  2 Km-values, probably due to 2 enzyme activities or 2 interconvertible forms &lt;13&gt;; #4# kinetic isotope effects measured on the arsenolysis of 5-methylthioadenosine catalyzed by the enzyme, the enzyme has a dissociative SN1 transition state with its cationic center at the anomeric carbon and insignificant bond order to the leaving group, the transition state has cationic character at the anomeric carbon and is anionic at the 3-OH oxygen with an anionic leaving group, late SN1 transition state with significant participation of the phosphate nucleophile, overview &lt;42&gt;</t>
  </si>
  <si>
    <t>#11# at pH 7.4 and 37°C &lt;73&gt;</t>
  </si>
  <si>
    <t>#11# at pH 7.4 and 37°C  &lt;73&gt;</t>
  </si>
  <si>
    <t>#14# pH 7.4, 70°C &lt;38&gt;</t>
  </si>
  <si>
    <t>#14# recombinant enzyme &lt;24&gt;; #19#  wild-type and recombinant enzyme &lt;24&gt;</t>
  </si>
  <si>
    <t>#14# recombinant enzyme &lt;24&gt;;  #19# wild-type and recombinant enzyme &lt;24&gt;</t>
  </si>
  <si>
    <t>#25# pH and temperature not specified in the  publication, co-substrate: 0.2 mM 5-methylthioadenosine &lt;67&gt;</t>
  </si>
  <si>
    <t>#25# pH and temperature not  specified in the publication, co-substrate: 50 mM phosphate &lt;67&gt;</t>
  </si>
  <si>
    <t>#27# mutant enzyme R164A, at pH  7.0 and 25°C &lt;69&gt;</t>
  </si>
  <si>
    <t>#27# mutant enzyme A15M, at  pH 7.0 and 25°C &lt;69&gt;</t>
  </si>
  <si>
    <t>#27# mutant enzyme V34I, at  pH 7.0 and 25°C &lt;69&gt;</t>
  </si>
  <si>
    <t>#27# mutant enzyme Y134A, at  pH 7.0 and 25°C &lt;69&gt;</t>
  </si>
  <si>
    <t>#27# mutant enzyme V34A, at  pH 7.0 and 25°C &lt;69&gt;</t>
  </si>
  <si>
    <t>#27# wild type enzyme, at pH  7.0 and 25°C &lt;69&gt;</t>
  </si>
  <si>
    <t>#27# mutant enzyme S167A, at  pH 7.0 and 25°C &lt;69&gt;</t>
  </si>
  <si>
    <t>#27# mutant enzyme R85H, at  pH 7.0 and 25°C &lt;69&gt;</t>
  </si>
  <si>
    <t>#27# mutant enzyme R85A, at  pH 7.0 and 25°C &lt;69&gt;; #27# mutant enzyme W179A, at pH 7.0 and 25°C &lt;69&gt;</t>
  </si>
  <si>
    <t>#27# mutant enzyme W179F, at  pH 7.0 and 25°C &lt;69&gt;</t>
  </si>
  <si>
    <t>#27# mutant enzyme Y134F, at  pH 7.0 and 25°C &lt;69&gt;</t>
  </si>
  <si>
    <t>#27# mutant enzyme M144A, at  pH 7.0 and 25°C &lt;69&gt;</t>
  </si>
  <si>
    <t>#29# mutant enzyme N87T, at pH 7.4 and 25°C  &lt;81&gt;</t>
  </si>
  <si>
    <t>#29# mutant enzyme S12T, at pH 7.4 and 25°C  &lt;81&gt;</t>
  </si>
  <si>
    <t>#29# mutant enzyme  N87T, at pH 7.4 and 25°C &lt;81&gt;</t>
  </si>
  <si>
    <t>#29# mutant enzyme Q289L, at pH 7.4 and 25°C  &lt;81&gt;</t>
  </si>
  <si>
    <t>#29# mutant enzyme  S12T/N87T/Q289L, at pH 7.4 and 25°C &lt;81&gt;</t>
  </si>
  <si>
    <t>#29# mutant enzyme S12T, at pH 7.4  and 25°C &lt;81&gt;</t>
  </si>
  <si>
    <t>#29# wild type enzyme, at pH 7.4 and 25°C  &lt;81&gt;</t>
  </si>
  <si>
    <t>#29# mutant enzyme  S12T, at pH 7.4 and 25°C &lt;81&gt;</t>
  </si>
  <si>
    <t>#29# wild type enzyme, at pH 7.4 and  25°C &lt;81&gt;</t>
  </si>
  <si>
    <t>#29# mutant enzyme S12T/N87T, at pH 7.4 and  25°C &lt;81&gt;</t>
  </si>
  <si>
    <t>#29# mutant enzyme S12T/N87T/Q289L, at pH  7.4 and 25°C &lt;81&gt;</t>
  </si>
  <si>
    <t>#29# mutant enzyme Q289L, at pH 7.4  and 25°C &lt;81&gt;</t>
  </si>
  <si>
    <t>#29# wild type enzyme,  at pH 7.4 and 25°C &lt;81&gt;</t>
  </si>
  <si>
    <t>#29# mutant enzyme  Q289L, at pH 7.4 and 25°C &lt;81&gt;</t>
  </si>
  <si>
    <t>#29# mutant enzyme  S12T/N87T, at pH 7.4 and 25°C &lt;81&gt;</t>
  </si>
  <si>
    <t>#29# mutant enzyme N87T, at pH 7.4  and 25°C &lt;81&gt;</t>
  </si>
  <si>
    <t>#29# mutant enzyme S12T/N87T, at pH  7.4 and 25°C &lt;81&gt;</t>
  </si>
  <si>
    <t>#29# mutant enzyme S12T/N87T/Q289L,  at pH 7.4 and 25°C &lt;81&gt;</t>
  </si>
  <si>
    <t>#4# recombinant enzyme &lt;21&gt;</t>
  </si>
  <si>
    <t>3-methylphenyl</t>
  </si>
  <si>
    <t>2-methylphenyl</t>
  </si>
  <si>
    <t>#4# pH 7.5, 25°C &lt;43&gt;</t>
  </si>
  <si>
    <t>2-(pyridin-2-yl</t>
  </si>
  <si>
    <t>1,3-thiazol</t>
  </si>
  <si>
    <t>phenylethyl</t>
  </si>
  <si>
    <t>4-methylphenyl</t>
  </si>
  <si>
    <t>4-methoxyphenyl</t>
  </si>
  <si>
    <t>trifluoromethyl</t>
  </si>
  <si>
    <t>quinolin-2-yl</t>
  </si>
  <si>
    <t>phenylmethyl</t>
  </si>
  <si>
    <t>2-methylbutyl</t>
  </si>
  <si>
    <t>#20# pH 7.0, 25°C &lt;35&gt;</t>
  </si>
  <si>
    <t>#20# pH 7.6 &lt;9&gt;; #13# with 5 mM Mg2+ &lt;1&gt;</t>
  </si>
  <si>
    <t>#13# pH 7.4, temperature not specified in the  publication &lt;50&gt;</t>
  </si>
  <si>
    <t>3,4-d</t>
  </si>
  <si>
    <t>#30# APT3, pH 7.4 &lt;26&gt;</t>
  </si>
  <si>
    <t>#20# pH 7.6 &lt;9&gt;</t>
  </si>
  <si>
    <t>#26# pH 7.5,  23°C, recombinant mutant Y105F &lt;59&gt;</t>
  </si>
  <si>
    <t>#26# pH 8.5, 23°C, recombinant mutant Y105F  &lt;59&gt;</t>
  </si>
  <si>
    <t>#26# pH 7.5, 23°C, recombinant mutant Y105F  &lt;59&gt;</t>
  </si>
  <si>
    <t>#26# pH 8.5, 23°C, recombinant wild-type enzyme  &lt;59&gt;</t>
  </si>
  <si>
    <t>#26# pH 7.5,  23°C, recombinant wild-type enzyme &lt;59&gt;</t>
  </si>
  <si>
    <t>#26# pH 7.5, 23°C, recombinant wild-type enzyme  &lt;59&gt;</t>
  </si>
  <si>
    <t>#28# APT1, pH 7.4 &lt;26&gt;</t>
  </si>
  <si>
    <t>#29# APT2, pH 7.4 &lt;26&gt;</t>
  </si>
  <si>
    <t>#3# in presence of  a 2fold excess of Mg2+ &lt;4&gt;</t>
  </si>
  <si>
    <t>#38# 36°C, pH 7.9 &lt;52&gt;</t>
  </si>
  <si>
    <t>#3,5,13,27# kinetics &lt;1,4,6,20,23&gt;;  #6# Km values for adenine of diverse enzyme mutants &lt;27&gt;; #6# the 2 separated forms of enzyme in gel filtration without Mg2+ give 2 Km values for 5-phosphoribose 1-diphosphate &lt;25&gt;; #26# Michaelis-Menten kinetics &lt;63&gt;; #39# thermodynamic and kinetic parameters of the condensation reaction by SmAPRT1, Michaelis-Menten kinetics, overview &lt;66&gt;</t>
  </si>
  <si>
    <t>#38# 60°C, pH 7.4 &lt;52&gt;</t>
  </si>
  <si>
    <t>#38# 60°C, pH 7.4  &lt;52&gt;</t>
  </si>
  <si>
    <t>#38# 36°C, pH 7.5 &lt;52&gt;</t>
  </si>
  <si>
    <t>#38# 60°C, pH  4.1 &lt;52&gt;</t>
  </si>
  <si>
    <t>#38# 60°C, pH 4.1 &lt;52&gt;</t>
  </si>
  <si>
    <t>#39# recombinant enzyme, pH 8.0, 25°C &lt;66&gt;</t>
  </si>
  <si>
    <t>#39# recombinant  enzyme, pH 8.0, 25°C &lt;66&gt;</t>
  </si>
  <si>
    <t>#4# in (HPRT+</t>
  </si>
  <si>
    <t>#4# in Propositus (HPRT-</t>
  </si>
  <si>
    <t>#45# isoform  APRT1, at pH 8.3, temperature not specified in the publication &lt;69&gt;</t>
  </si>
  <si>
    <t>#45# isoform APRT1, at pH 8.4 and 25°C &lt;70&gt;</t>
  </si>
  <si>
    <t>#45# isoform  APRT1, at pH 8.4 and 25°C &lt;70&gt;</t>
  </si>
  <si>
    <t>#46# isoform  APRT2, at pH 8.3, temperature not specified in the publication &lt;69&gt;</t>
  </si>
  <si>
    <t>#6# wild-type &lt;27&gt;</t>
  </si>
  <si>
    <t>#6# in presence  of Mg2+ &lt;25&gt;</t>
  </si>
  <si>
    <t>DELTA2-isopentenyl</t>
  </si>
  <si>
    <t>#9# at 37°C &lt;3&gt;</t>
  </si>
  <si>
    <t>literature</t>
  </si>
  <si>
    <t>343</t>
  </si>
  <si>
    <t>204</t>
  </si>
  <si>
    <t>206</t>
  </si>
  <si>
    <t>46</t>
  </si>
  <si>
    <t>238</t>
  </si>
  <si>
    <t>198</t>
  </si>
  <si>
    <t>72</t>
  </si>
  <si>
    <t>142</t>
  </si>
  <si>
    <t>114</t>
  </si>
  <si>
    <t>86</t>
  </si>
  <si>
    <t>367</t>
  </si>
  <si>
    <t>184</t>
  </si>
  <si>
    <t>82</t>
  </si>
  <si>
    <t>175</t>
  </si>
  <si>
    <t>183</t>
  </si>
  <si>
    <t>306</t>
  </si>
  <si>
    <t>231</t>
  </si>
  <si>
    <t>412</t>
  </si>
  <si>
    <t>409</t>
  </si>
  <si>
    <t>317</t>
  </si>
  <si>
    <t>318</t>
  </si>
  <si>
    <t>295</t>
  </si>
  <si>
    <t>398</t>
  </si>
  <si>
    <t>352</t>
  </si>
  <si>
    <t>368</t>
  </si>
  <si>
    <t>383</t>
  </si>
  <si>
    <t>197</t>
  </si>
  <si>
    <t>269</t>
  </si>
  <si>
    <t>214</t>
  </si>
  <si>
    <t>403</t>
  </si>
  <si>
    <t>411</t>
  </si>
  <si>
    <t>371</t>
  </si>
  <si>
    <t>292</t>
  </si>
  <si>
    <t>402</t>
  </si>
  <si>
    <t>66</t>
  </si>
  <si>
    <t>202</t>
  </si>
  <si>
    <t>91</t>
  </si>
  <si>
    <t>89</t>
  </si>
  <si>
    <t>248</t>
  </si>
  <si>
    <t>299</t>
  </si>
  <si>
    <t>155</t>
  </si>
  <si>
    <t>307</t>
  </si>
  <si>
    <t>413</t>
  </si>
  <si>
    <t>373</t>
  </si>
  <si>
    <t>298</t>
  </si>
  <si>
    <t>221</t>
  </si>
  <si>
    <t>90</t>
  </si>
  <si>
    <t>349</t>
  </si>
  <si>
    <t>350</t>
  </si>
  <si>
    <t>81</t>
  </si>
  <si>
    <t>163</t>
  </si>
  <si>
    <t>305</t>
  </si>
  <si>
    <t>79,114,148,158,171</t>
  </si>
  <si>
    <t>240</t>
  </si>
  <si>
    <t>247</t>
  </si>
  <si>
    <t>369</t>
  </si>
  <si>
    <t>42</t>
  </si>
  <si>
    <t>294</t>
  </si>
  <si>
    <t>357</t>
  </si>
  <si>
    <t>220</t>
  </si>
  <si>
    <t>303</t>
  </si>
  <si>
    <t>113</t>
  </si>
  <si>
    <t>387</t>
  </si>
  <si>
    <t>25,29,32,33,34,56,66,67,68</t>
  </si>
  <si>
    <t>205</t>
  </si>
  <si>
    <t>173</t>
  </si>
  <si>
    <t>182</t>
  </si>
  <si>
    <t>194</t>
  </si>
  <si>
    <t>71</t>
  </si>
  <si>
    <t>99</t>
  </si>
  <si>
    <t>106</t>
  </si>
  <si>
    <t>94</t>
  </si>
  <si>
    <t>88</t>
  </si>
  <si>
    <t>83</t>
  </si>
  <si>
    <t>226</t>
  </si>
  <si>
    <t>51</t>
  </si>
  <si>
    <t>54</t>
  </si>
  <si>
    <t>162</t>
  </si>
  <si>
    <t>26</t>
  </si>
  <si>
    <t>76</t>
  </si>
  <si>
    <t>199</t>
  </si>
  <si>
    <t>195</t>
  </si>
  <si>
    <t>237</t>
  </si>
  <si>
    <t>77</t>
  </si>
  <si>
    <t>92</t>
  </si>
  <si>
    <t>196</t>
  </si>
  <si>
    <t>187</t>
  </si>
  <si>
    <t>67</t>
  </si>
  <si>
    <t>84</t>
  </si>
  <si>
    <t>65</t>
  </si>
  <si>
    <t>45</t>
  </si>
  <si>
    <t>38</t>
  </si>
  <si>
    <t>118</t>
  </si>
  <si>
    <t>24,39</t>
  </si>
  <si>
    <t>241</t>
  </si>
  <si>
    <t>203</t>
  </si>
  <si>
    <t>213</t>
  </si>
  <si>
    <t>21</t>
  </si>
  <si>
    <t>23</t>
  </si>
  <si>
    <t>35,54</t>
  </si>
  <si>
    <t>228</t>
  </si>
  <si>
    <t>232</t>
  </si>
  <si>
    <t>236</t>
  </si>
  <si>
    <t>233</t>
  </si>
  <si>
    <t>74</t>
  </si>
  <si>
    <t>6</t>
  </si>
  <si>
    <t>8,27</t>
  </si>
  <si>
    <t>9,12</t>
  </si>
  <si>
    <t>41</t>
  </si>
  <si>
    <t>124</t>
  </si>
  <si>
    <t>97</t>
  </si>
  <si>
    <t>117</t>
  </si>
  <si>
    <t>49</t>
  </si>
  <si>
    <t>103</t>
  </si>
  <si>
    <t>25</t>
  </si>
  <si>
    <t>55</t>
  </si>
  <si>
    <t>33</t>
  </si>
  <si>
    <t>40</t>
  </si>
  <si>
    <t>44</t>
  </si>
  <si>
    <t>39</t>
  </si>
  <si>
    <t>110</t>
  </si>
  <si>
    <t>59</t>
  </si>
  <si>
    <t>60</t>
  </si>
  <si>
    <t>69</t>
  </si>
  <si>
    <t>85</t>
  </si>
  <si>
    <t>98</t>
  </si>
  <si>
    <t>105</t>
  </si>
  <si>
    <t>108</t>
  </si>
  <si>
    <t>116</t>
  </si>
  <si>
    <t>9</t>
  </si>
  <si>
    <t>109</t>
  </si>
  <si>
    <t>122</t>
  </si>
  <si>
    <t>127</t>
  </si>
  <si>
    <t>128</t>
  </si>
  <si>
    <t>63</t>
  </si>
  <si>
    <t>129</t>
  </si>
  <si>
    <t>130</t>
  </si>
  <si>
    <t>131</t>
  </si>
  <si>
    <t>8,10</t>
  </si>
  <si>
    <t>13</t>
  </si>
  <si>
    <t>36</t>
  </si>
  <si>
    <t>47</t>
  </si>
  <si>
    <t>61</t>
  </si>
  <si>
    <t>16</t>
  </si>
  <si>
    <t>31</t>
  </si>
  <si>
    <t>2,4,6,7,8</t>
  </si>
  <si>
    <t>53</t>
  </si>
  <si>
    <t>2,13,14</t>
  </si>
  <si>
    <t>11,17</t>
  </si>
  <si>
    <t>73</t>
  </si>
  <si>
    <t>2,14</t>
  </si>
  <si>
    <t>57</t>
  </si>
  <si>
    <t>35</t>
  </si>
  <si>
    <t>20,21</t>
  </si>
  <si>
    <t>15,21</t>
  </si>
  <si>
    <t>1,4,6,20,23</t>
  </si>
  <si>
    <t>5,7</t>
  </si>
  <si>
    <t>70</t>
  </si>
  <si>
    <t>ligandStructureId</t>
  </si>
  <si>
    <t>parameter</t>
  </si>
  <si>
    <t>Km</t>
  </si>
  <si>
    <t>unit</t>
  </si>
  <si>
    <t>mM</t>
  </si>
  <si>
    <t>4-nitroanilide</t>
  </si>
  <si>
    <t>2'-deoxy-2-fluoro-5'-deoxy-5'-methylthioadenosine</t>
  </si>
  <si>
    <t>1200</t>
  </si>
  <si>
    <t>1900</t>
  </si>
  <si>
    <t>1500</t>
  </si>
  <si>
    <t>5370</t>
  </si>
  <si>
    <t>494</t>
  </si>
  <si>
    <t>2601.66</t>
  </si>
  <si>
    <t>68.59</t>
  </si>
  <si>
    <t>569</t>
  </si>
  <si>
    <t>0.061</t>
  </si>
  <si>
    <t>0.7125</t>
  </si>
  <si>
    <t>22.7</t>
  </si>
  <si>
    <t>500</t>
  </si>
  <si>
    <t>250</t>
  </si>
  <si>
    <t>37.9</t>
  </si>
  <si>
    <t>75.8</t>
  </si>
  <si>
    <t>24.05</t>
  </si>
  <si>
    <t>42.34</t>
  </si>
  <si>
    <t>43.71</t>
  </si>
  <si>
    <t>0.0137</t>
  </si>
  <si>
    <t>0.0387</t>
  </si>
  <si>
    <t>0.0832</t>
  </si>
  <si>
    <t>0.2767</t>
  </si>
  <si>
    <t>3000</t>
  </si>
  <si>
    <t>56000</t>
  </si>
  <si>
    <t>841.24</t>
  </si>
  <si>
    <t>532.52</t>
  </si>
  <si>
    <t>6.07</t>
  </si>
  <si>
    <t>3.94</t>
  </si>
  <si>
    <t>8.07</t>
  </si>
  <si>
    <t>1468</t>
  </si>
  <si>
    <t>54.18</t>
  </si>
  <si>
    <t>55.12</t>
  </si>
  <si>
    <t>9.41</t>
  </si>
  <si>
    <t>31.59</t>
  </si>
  <si>
    <t>8335</t>
  </si>
  <si>
    <t>1135</t>
  </si>
  <si>
    <t>1576</t>
  </si>
  <si>
    <t>2252</t>
  </si>
  <si>
    <t>4333</t>
  </si>
  <si>
    <t>2416</t>
  </si>
  <si>
    <t>200.2</t>
  </si>
  <si>
    <t>1.42</t>
  </si>
  <si>
    <t>109.5</t>
  </si>
  <si>
    <t>24.24</t>
  </si>
  <si>
    <t>43.33</t>
  </si>
  <si>
    <t>56.33</t>
  </si>
  <si>
    <t>0.105</t>
  </si>
  <si>
    <t>0.62</t>
  </si>
  <si>
    <t>1150</t>
  </si>
  <si>
    <t>21.7</t>
  </si>
  <si>
    <t>95</t>
  </si>
  <si>
    <t>106.7</t>
  </si>
  <si>
    <t>1250</t>
  </si>
  <si>
    <t>8.93</t>
  </si>
  <si>
    <t>16.04</t>
  </si>
  <si>
    <t>21.74</t>
  </si>
  <si>
    <t>123.65</t>
  </si>
  <si>
    <t>175.52</t>
  </si>
  <si>
    <t>9.7</t>
  </si>
  <si>
    <t>70.63</t>
  </si>
  <si>
    <t>2589</t>
  </si>
  <si>
    <t>2314</t>
  </si>
  <si>
    <t>63.3</t>
  </si>
  <si>
    <t>13.3</t>
  </si>
  <si>
    <t>24.8</t>
  </si>
  <si>
    <t>3270</t>
  </si>
  <si>
    <t>7500</t>
  </si>
  <si>
    <t>3272</t>
  </si>
  <si>
    <t>7504</t>
  </si>
  <si>
    <t>1190</t>
  </si>
  <si>
    <t>632</t>
  </si>
  <si>
    <t>983</t>
  </si>
  <si>
    <t>4.17</t>
  </si>
  <si>
    <t>517</t>
  </si>
  <si>
    <t>633</t>
  </si>
  <si>
    <t>1417</t>
  </si>
  <si>
    <t>1017</t>
  </si>
  <si>
    <t>1533</t>
  </si>
  <si>
    <t>1133</t>
  </si>
  <si>
    <t>27.6</t>
  </si>
  <si>
    <t>0.333</t>
  </si>
  <si>
    <t>6.35</t>
  </si>
  <si>
    <t>22.47</t>
  </si>
  <si>
    <t>5.783</t>
  </si>
  <si>
    <t>4.466</t>
  </si>
  <si>
    <t>1.317</t>
  </si>
  <si>
    <t>5.267</t>
  </si>
  <si>
    <t>6.817</t>
  </si>
  <si>
    <t>7.617</t>
  </si>
  <si>
    <t>53.98</t>
  </si>
  <si>
    <t>41.82</t>
  </si>
  <si>
    <t>16.72</t>
  </si>
  <si>
    <t>51.77</t>
  </si>
  <si>
    <t>70.92</t>
  </si>
  <si>
    <t>68.23</t>
  </si>
  <si>
    <t>67.07</t>
  </si>
  <si>
    <t>225</t>
  </si>
  <si>
    <t>96.9</t>
  </si>
  <si>
    <t>34.7</t>
  </si>
  <si>
    <t>32.5</t>
  </si>
  <si>
    <t>251.2</t>
  </si>
  <si>
    <t>212.4</t>
  </si>
  <si>
    <t>431.5</t>
  </si>
  <si>
    <t>286.6</t>
  </si>
  <si>
    <t>612.4</t>
  </si>
  <si>
    <t>246.5</t>
  </si>
  <si>
    <t>633.5</t>
  </si>
  <si>
    <t>133.1</t>
  </si>
  <si>
    <t>59.3</t>
  </si>
  <si>
    <t>19.25</t>
  </si>
  <si>
    <t>3275.5</t>
  </si>
  <si>
    <t>1298.4</t>
  </si>
  <si>
    <t>37</t>
  </si>
  <si>
    <t>0.15</t>
  </si>
  <si>
    <t>0.022</t>
  </si>
  <si>
    <t>0.0065</t>
  </si>
  <si>
    <t>0.0024</t>
  </si>
  <si>
    <t>4.42</t>
  </si>
  <si>
    <t>3.72</t>
  </si>
  <si>
    <t>5.23</t>
  </si>
  <si>
    <t>6.64</t>
  </si>
  <si>
    <t>0.506</t>
  </si>
  <si>
    <t>12.6</t>
  </si>
  <si>
    <t>16.4</t>
  </si>
  <si>
    <t>17.2</t>
  </si>
  <si>
    <t>804</t>
  </si>
  <si>
    <t>2.94</t>
  </si>
  <si>
    <t>1.508</t>
  </si>
  <si>
    <t>3e-05</t>
  </si>
  <si>
    <t>0.182</t>
  </si>
  <si>
    <t>0.0073</t>
  </si>
  <si>
    <t>0.168</t>
  </si>
  <si>
    <t>18.6</t>
  </si>
  <si>
    <t>1506</t>
  </si>
  <si>
    <t>11.7</t>
  </si>
  <si>
    <t>6.56</t>
  </si>
  <si>
    <t>12.9</t>
  </si>
  <si>
    <t>0.00016</t>
  </si>
  <si>
    <t>0.052</t>
  </si>
  <si>
    <t>4.13</t>
  </si>
  <si>
    <t>8.63</t>
  </si>
  <si>
    <t>2.28</t>
  </si>
  <si>
    <t>5.82</t>
  </si>
  <si>
    <t>0.367</t>
  </si>
  <si>
    <t>3.63</t>
  </si>
  <si>
    <t>3.08</t>
  </si>
  <si>
    <t>1.483</t>
  </si>
  <si>
    <t>71.87</t>
  </si>
  <si>
    <t>17.77</t>
  </si>
  <si>
    <t>54.02</t>
  </si>
  <si>
    <t>117.85</t>
  </si>
  <si>
    <t>3.95</t>
  </si>
  <si>
    <t>16.11</t>
  </si>
  <si>
    <t>5.58</t>
  </si>
  <si>
    <t>45.38</t>
  </si>
  <si>
    <t>10.94</t>
  </si>
  <si>
    <t>10.412</t>
  </si>
  <si>
    <t>144.47</t>
  </si>
  <si>
    <t>3.238</t>
  </si>
  <si>
    <t>0.19</t>
  </si>
  <si>
    <t>1.15</t>
  </si>
  <si>
    <t>9.6</t>
  </si>
  <si>
    <t>6.4</t>
  </si>
  <si>
    <t>8.4</t>
  </si>
  <si>
    <t>2.13</t>
  </si>
  <si>
    <t>132</t>
  </si>
  <si>
    <t>21.4</t>
  </si>
  <si>
    <t>43.6</t>
  </si>
  <si>
    <t>18.7</t>
  </si>
  <si>
    <t>8.8</t>
  </si>
  <si>
    <t>0.78</t>
  </si>
  <si>
    <t>0.71</t>
  </si>
  <si>
    <t>0.51</t>
  </si>
  <si>
    <t>241.6</t>
  </si>
  <si>
    <t>443.8</t>
  </si>
  <si>
    <t>334.1</t>
  </si>
  <si>
    <t>98.42</t>
  </si>
  <si>
    <t>62.63</t>
  </si>
  <si>
    <t>95.79</t>
  </si>
  <si>
    <t>308.9</t>
  </si>
  <si>
    <t>280.3</t>
  </si>
  <si>
    <t>145.1</t>
  </si>
  <si>
    <t>84.62</t>
  </si>
  <si>
    <t>416.2</t>
  </si>
  <si>
    <t>253.9</t>
  </si>
  <si>
    <t>224.3</t>
  </si>
  <si>
    <t>48.44</t>
  </si>
  <si>
    <t>441.2</t>
  </si>
  <si>
    <t>80.03</t>
  </si>
  <si>
    <t>372.8</t>
  </si>
  <si>
    <t>299.2</t>
  </si>
  <si>
    <t>1.01</t>
  </si>
  <si>
    <t>1.46</t>
  </si>
  <si>
    <t>0.28</t>
  </si>
  <si>
    <t>4.6</t>
  </si>
  <si>
    <t>0.85</t>
  </si>
  <si>
    <t>1.57</t>
  </si>
  <si>
    <t>2.14</t>
  </si>
  <si>
    <t>3.44</t>
  </si>
  <si>
    <t>3.16</t>
  </si>
  <si>
    <t>2.49</t>
  </si>
  <si>
    <t>22.8</t>
  </si>
  <si>
    <t>24.5</t>
  </si>
  <si>
    <t>9.38</t>
  </si>
  <si>
    <t>7.31</t>
  </si>
  <si>
    <t>0.012</t>
  </si>
  <si>
    <t>3.85</t>
  </si>
  <si>
    <t>0.0095</t>
  </si>
  <si>
    <t>9.33</t>
  </si>
  <si>
    <t>7.2</t>
  </si>
  <si>
    <t>5.3</t>
  </si>
  <si>
    <t>0.63</t>
  </si>
  <si>
    <t>1.74</t>
  </si>
  <si>
    <t>1000</t>
  </si>
  <si>
    <t>0.0001</t>
  </si>
  <si>
    <t>#186# at pH 5.0 and 28°C  &lt;412&gt;</t>
  </si>
  <si>
    <t>#196# at pH 7.8 and 78°C &lt;295&gt;</t>
  </si>
  <si>
    <t>#217# mutant T18K/T22I/E230I,  pH 8.0, 55°C &lt;352&gt;</t>
  </si>
  <si>
    <t>#219# wild type enzyme, at pH 7.5 and  50°C &lt;368&gt;</t>
  </si>
  <si>
    <t>#219# mutant enzyme D156G/L258K, at pH  7.5 and 50°C &lt;368&gt;</t>
  </si>
  <si>
    <t>#219# mutant enzyme  D156G/L258K/L267N/S83D, at pH 7.5 and 50°C &lt;368&gt;</t>
  </si>
  <si>
    <t>#233# recombinant enzyme, at pH 8.5 and  45°C &lt;411&gt;</t>
  </si>
  <si>
    <t>#234# at pH 8.0 and 60Â°C &lt;371&gt;</t>
  </si>
  <si>
    <t>#38# apparent value, in 50 mM  Tris-HCl buffer, at pH 8.0, 60°C &lt;299&gt;</t>
  </si>
  <si>
    <t>#55# native enzyme, at pH 7.4 and  25°C &lt;349&gt;</t>
  </si>
  <si>
    <t>#9# apparent value, in the presence  of inhibitor lupeol acetate, pH and temperature not specified in the publication &lt;387&gt;; #9# apparent value, in the presence of inhibitor orlistat, pH and temperature not specified in the publication &lt;387&gt;</t>
  </si>
  <si>
    <t>#9# in the absence of inhibitor,  pH and temperature not specified in the publication &lt;387&gt;</t>
  </si>
  <si>
    <t>#26# 37°C, pH 8.0, cosubstrate:  Gly-Gly, enzyme form GGT I &lt;94&gt;</t>
  </si>
  <si>
    <t>#26# 37°C, pH 8.0, cosubstrate:  Gly-Gly, enzyme form GGT II &lt;94&gt;</t>
  </si>
  <si>
    <t>#26# 37°C, pH 8.0, cosubstrate:  Gly-Gly, enzyme form GGT A &lt;94&gt;</t>
  </si>
  <si>
    <t>#26# 37°C, pH 8.0, cosubstrate:  Gly-Gly, enzyme form GGT B &lt;94&gt;</t>
  </si>
  <si>
    <t>#26# 37°C, pH 8.0, cosubstrate: Gly-Gly,  enzyme form GGT A &lt;94&gt;; #26# 37°C, pH 8.0, cosubstrate: Gly-Gly, enzyme form GGT B &lt;94&gt;</t>
  </si>
  <si>
    <t>#66# recombinant mutant  R109E, pH 9.0, 60°C &lt;213&gt;; #66# recombinant mutant R109F, pH 9.0, 60°C &lt;213&gt;</t>
  </si>
  <si>
    <t>#66# recombinant mutant  R109S, pH 9.0, 60°C &lt;213&gt;</t>
  </si>
  <si>
    <t>#66# recombinant  wild-type enzyme, pH 9.0, 60°C &lt;213&gt;</t>
  </si>
  <si>
    <t>#70# recombinant mutant  N450Q, pH 9.0, 40°C &lt;228&gt;</t>
  </si>
  <si>
    <t>#70# recombinant mutant  N450D, pH 9.0, 40°C &lt;228&gt;</t>
  </si>
  <si>
    <t>#1# alr encoded enzyme &lt;12&gt;</t>
  </si>
  <si>
    <t>#1# dadB encoded enzyme &lt;12&gt;</t>
  </si>
  <si>
    <t>#53# pH 8.2, 25°C &lt;60&gt;; #33# pH 8.2, 37°C  &lt;55&gt;</t>
  </si>
  <si>
    <t>#58# pH 8.0, 30°C, recombinant mutant  I222T/Y354W &lt;106&gt;; #58# pH 8.0, 30°C, recombinant mutant Y354W &lt;106&gt;</t>
  </si>
  <si>
    <t>#65# +/-0.250, Alr D164K, 30°C, pH 8.0,  spectrophotometrically measured at 340 nm &lt;85&gt;</t>
  </si>
  <si>
    <t>#65# +/-0.417, Alr E165A, 30°C, pH 8.0,  spectrophotometrically measured at 340 nm &lt;85&gt;</t>
  </si>
  <si>
    <t>#65# +/-0.033, Alr D164K, 30°C, pH 8.0,  spectrophotometrically measured at 340 nm &lt;85&gt;</t>
  </si>
  <si>
    <t>#65# +/-0.333, Alr E221K, 30°C, pH 8.0,  spectrophotometrically measured at 340 nm &lt;85&gt;</t>
  </si>
  <si>
    <t>#65# +/-2.667, Alr E165A, 30°C, pH 8.0,  spectrophotometrically measured at 340 nm &lt;85&gt;</t>
  </si>
  <si>
    <t>#65# +/-0.483, Alr wildtype, 30°C, pH 8.0,  spectrophotometrically measured at 340 nm &lt;85&gt;</t>
  </si>
  <si>
    <t>#65# +/-0.200, Alr D164A, 30°C, pH 8.0,  spectrophotometrically measured at 340 nm &lt;85&gt;</t>
  </si>
  <si>
    <t>#65# +/-0.100, Alr E165K, 30°C, pH 8.0,  spectrophotometrically measured at 340 nm &lt;85&gt;</t>
  </si>
  <si>
    <t>#65# +/-0.333, Alr P219A, 30°C, pH 8.0,  spectrophotometrically measured at 340 nm &lt;85&gt;</t>
  </si>
  <si>
    <t>#65# +/-0.650, Alr E221A, 30°C, pH 8.0,  spectrophotometrically measured at 340 nm &lt;85&gt;</t>
  </si>
  <si>
    <t>#65# +/-0.750, Alr E221P, 30°C, pH 8.0,  spectrophotometrically measured at 340 nm &lt;85&gt;</t>
  </si>
  <si>
    <t>#65# +/-3.217, Alr wildtype, 30°C, pH 8.0,  spectrophotometrically measured at 340 nm &lt;85&gt;</t>
  </si>
  <si>
    <t>#65# +/-2.600, Alr D164A, 30°C, pH 8.0,  spectrophotometrically measured at 340 nm &lt;85&gt;</t>
  </si>
  <si>
    <t>#65# +/-0.850, Alr E165K, 30°C, pH 8.0,  spectrophotometrically measured at 340 nm &lt;85&gt;</t>
  </si>
  <si>
    <t>#65# +/-6.067, Alr P219A, 30°C, pH 8.0,  spectrophotometrically measured at 340 nm &lt;85&gt;</t>
  </si>
  <si>
    <t>#65# +/-2.333, Alr E221A, 30°C, pH 8.0,  spectrophotometrically measured at 340 nm &lt;85&gt;</t>
  </si>
  <si>
    <t>#65# +/-7.550, Alr E221K, 30°C, pH 8.0,  spectrophotometrically measured at 340 nm &lt;85&gt;</t>
  </si>
  <si>
    <t>#65# +/-7.633, Alr E221P, 30°C, pH 8.0,  spectrophotometrically measured at 340 nm &lt;85&gt;</t>
  </si>
  <si>
    <t>#85# recombinant MBP-tagged enzyme, pH 8.0,  37°C &lt;122&gt;</t>
  </si>
  <si>
    <t>#16# at 30°C, in 50 mM Tris (pH  7.5</t>
  </si>
  <si>
    <t>#24# pH 6.5, 65°C, in presence of 20  mM 3-(1-pyridinio</t>
  </si>
  <si>
    <t>#15# isozyme PMT1, in 0.1 M HEPES (pH  8.0</t>
  </si>
  <si>
    <t>#15# isozyme PMT2, in 0.1 M HEPES  (pH 8.0</t>
  </si>
  <si>
    <t>#24# using phosphoethanolamine as  cosubstrate pH and temperature not specified in the publication &lt;27&gt;</t>
  </si>
  <si>
    <t>#24# pH and temperature not specified  in the publication &lt;27&gt;</t>
  </si>
  <si>
    <t>#24# wild type enzyme,  at pH 8.0 and 20°C &lt;30&gt;</t>
  </si>
  <si>
    <t>#27# mutant enzyme R85H, at pH  7.0 and 25°C &lt;69&gt;</t>
  </si>
  <si>
    <t>#27# mutant enzyme V34A, at pH  7.0 and 25°C &lt;69&gt;</t>
  </si>
  <si>
    <t>#27# mutant enzyme R85A, at pH  7.0 and 25°C &lt;69&gt;</t>
  </si>
  <si>
    <t>#27# mutant enzyme V34I, at pH  7.0 and 25°C &lt;69&gt;</t>
  </si>
  <si>
    <t>#27# wild type enzyme, at pH 7.0  and 25°C &lt;69&gt;</t>
  </si>
  <si>
    <t>#27# mutant enzyme W179A, at pH  7.0 and 25°C &lt;69&gt;</t>
  </si>
  <si>
    <t>#27# mutant enzyme Y134A, at pH  7.0 and 25°C &lt;69&gt;</t>
  </si>
  <si>
    <t>#27# mutant enzyme A15M, at pH  7.0 and 25°C &lt;69&gt;</t>
  </si>
  <si>
    <t>#27# mutant enzyme Y134F, at pH  7.0 and 25°C &lt;69&gt;</t>
  </si>
  <si>
    <t>#27# mutant enzyme S167A, at pH  7.0 and 25°C &lt;69&gt;; #27# mutant enzyme W179F, at pH 7.0 and 25°C &lt;69&gt;</t>
  </si>
  <si>
    <t>#27# mutant enzyme M144A, at pH  7.0 and 25°C &lt;69&gt;</t>
  </si>
  <si>
    <t>#29# mutant enzyme S12T/N87T/Q289L, at pH 7.4  and 25°C &lt;81&gt;</t>
  </si>
  <si>
    <t>#29# mutant enzyme S12T,  at pH 7.4 and 25°C &lt;81&gt;</t>
  </si>
  <si>
    <t>#29# mutant enzyme N87T,  at pH 7.4 and 25°C &lt;81&gt;</t>
  </si>
  <si>
    <t>#29# mutant enzyme S12T, at pH 7.4 and  25°C &lt;81&gt;</t>
  </si>
  <si>
    <t>#29# mutant enzyme N87T, at pH 7.4 and  25°C &lt;81&gt;</t>
  </si>
  <si>
    <t>#29# mutant enzyme S12T/N87T/Q289L, at  pH 7.4 and 25°C &lt;81&gt;</t>
  </si>
  <si>
    <t>#26# pH 7.5, 23°C,  recombinant wild-type enzyme &lt;59&gt;</t>
  </si>
  <si>
    <t>#3# cosubstrate 5-phospho-alpha-D-ribose  1-diphosphate &lt;4&gt;</t>
  </si>
  <si>
    <t>#38# 60°C, pH 4.1  &lt;52&gt;</t>
  </si>
  <si>
    <t>#45# isoform APRT1,  at pH 8.4 and 25°C &lt;70&gt;</t>
  </si>
  <si>
    <t>#6# mutant Y107D  &lt;27&gt;</t>
  </si>
  <si>
    <t>#6# mutant K90A  &lt;27&gt;</t>
  </si>
  <si>
    <t>#6# mutant G108H  &lt;27&gt;</t>
  </si>
  <si>
    <t>#6# mutant R89A &lt;27&gt;</t>
  </si>
  <si>
    <t>#6# mutant E106Q  &lt;27&gt;</t>
  </si>
  <si>
    <t>#6# wild-type enzyme,  mutant G108A &lt;27&gt;</t>
  </si>
  <si>
    <t>#6# mutant Y103F  &lt;27&gt;</t>
  </si>
  <si>
    <t>#6# mutant Y107F &lt;27&gt;</t>
  </si>
  <si>
    <t>#6# mutant K93A &lt;27&gt;</t>
  </si>
  <si>
    <t>#6# mutant E106L  &lt;27&gt;</t>
  </si>
  <si>
    <t>#6# mutant R69A  &lt;27&gt;; #46# isoform APRT2, at pH 8.3, temperature not specified in the publication &lt;69&gt;</t>
  </si>
  <si>
    <t>141</t>
  </si>
  <si>
    <t>kcat</t>
  </si>
  <si>
    <t>1/s</t>
  </si>
  <si>
    <t>Macaca fuscata (</t>
  </si>
  <si>
    <t>Meleagris gallopavo (</t>
  </si>
  <si>
    <t>Geobacillus thermocatenulatus</t>
  </si>
  <si>
    <t>Homarus americanus</t>
  </si>
  <si>
    <t>Staphylococcus warneri</t>
  </si>
  <si>
    <t>Periplaneta americana</t>
  </si>
  <si>
    <t>Penicillium aurantiogriseum</t>
  </si>
  <si>
    <t>Hyalomma dromedarii</t>
  </si>
  <si>
    <t>Cephaloleia presignis</t>
  </si>
  <si>
    <t>Pseudomonas sp.</t>
  </si>
  <si>
    <t>Staphylococcus simulans</t>
  </si>
  <si>
    <t>Penicillium candidum</t>
  </si>
  <si>
    <t>Candida parapsilosis</t>
  </si>
  <si>
    <t>Penicillium crustosum</t>
  </si>
  <si>
    <t>Geobacillus sp.</t>
  </si>
  <si>
    <t>Ricinus communis</t>
  </si>
  <si>
    <t>Burkholderia multivorans</t>
  </si>
  <si>
    <t>Pachnoda sinuata flaviventris</t>
  </si>
  <si>
    <t>Acinetobacter baylyi</t>
  </si>
  <si>
    <t>Penicillium expansum</t>
  </si>
  <si>
    <t>Thermosyntropha lipolytica</t>
  </si>
  <si>
    <t>Rhizopus arrhizus</t>
  </si>
  <si>
    <t>Psychrobacter sp.</t>
  </si>
  <si>
    <t>Rhizopus homothallicus</t>
  </si>
  <si>
    <t>Yarrowia lipolytica</t>
  </si>
  <si>
    <t>Aspergillus niger</t>
  </si>
  <si>
    <t>Pseudoalteromonas haloplanktis</t>
  </si>
  <si>
    <t>Liza parsia</t>
  </si>
  <si>
    <t>Pseudomonas plecoglossicida</t>
  </si>
  <si>
    <t>Priestia megaterium</t>
  </si>
  <si>
    <t>Blastobotrys adeninivorans</t>
  </si>
  <si>
    <t>Bacillus safensis</t>
  </si>
  <si>
    <t>Thermomyces dupontii</t>
  </si>
  <si>
    <t>Malassezia globosa</t>
  </si>
  <si>
    <t>Burkholderia stabilis</t>
  </si>
  <si>
    <t>Fusarium annulatum</t>
  </si>
  <si>
    <t>Ectopseudomonas mendocina</t>
  </si>
  <si>
    <t>Acinetobacter sp.</t>
  </si>
  <si>
    <t>Burkholderia gladioli</t>
  </si>
  <si>
    <t>Clostridium tetanomorphum</t>
  </si>
  <si>
    <t>Fusarium solani</t>
  </si>
  <si>
    <t>Rhizopus microsporus var. chinensis</t>
  </si>
  <si>
    <t>Streptomyces rimosus</t>
  </si>
  <si>
    <t>Fagopyrum esculentum</t>
  </si>
  <si>
    <t>Carica papaya</t>
  </si>
  <si>
    <t>Aspergillus carneus</t>
  </si>
  <si>
    <t>Locusta migratoria</t>
  </si>
  <si>
    <t>Moesziomyces antarcticus (</t>
  </si>
  <si>
    <t>Treponema denticola</t>
  </si>
  <si>
    <t>Oncornavirus</t>
  </si>
  <si>
    <t>Lepidochelys kempii</t>
  </si>
  <si>
    <t>Bacillus velezensis</t>
  </si>
  <si>
    <t>Pseudomonas nitroreducens</t>
  </si>
  <si>
    <t>Chlamydomonas reinhardtii</t>
  </si>
  <si>
    <t>Ligilactobacillus salivarius</t>
  </si>
  <si>
    <t>Streptomyces coelicolor</t>
  </si>
  <si>
    <t>Methanocaldococcus jannaschii</t>
  </si>
  <si>
    <t>Cavia porcellus</t>
  </si>
  <si>
    <t>Halobacterium salinarum</t>
  </si>
  <si>
    <t>Haloferax volcanii</t>
  </si>
  <si>
    <t>Francisella tularensis subsp. tularensis</t>
  </si>
  <si>
    <t>5300</t>
  </si>
  <si>
    <t>399</t>
  </si>
  <si>
    <t>9500</t>
  </si>
  <si>
    <t>12.3</t>
  </si>
  <si>
    <t>0.071</t>
  </si>
  <si>
    <t>4100</t>
  </si>
  <si>
    <t>6300</t>
  </si>
  <si>
    <t>2850</t>
  </si>
  <si>
    <t>850</t>
  </si>
  <si>
    <t>23000</t>
  </si>
  <si>
    <t>115</t>
  </si>
  <si>
    <t>14.4</t>
  </si>
  <si>
    <t>123</t>
  </si>
  <si>
    <t>68</t>
  </si>
  <si>
    <t>61.42</t>
  </si>
  <si>
    <t>3294</t>
  </si>
  <si>
    <t>3586</t>
  </si>
  <si>
    <t>13.26</t>
  </si>
  <si>
    <t>400</t>
  </si>
  <si>
    <t>64</t>
  </si>
  <si>
    <t>3600</t>
  </si>
  <si>
    <t>2600</t>
  </si>
  <si>
    <t>1100</t>
  </si>
  <si>
    <t>811</t>
  </si>
  <si>
    <t>13900</t>
  </si>
  <si>
    <t>80</t>
  </si>
  <si>
    <t>10000</t>
  </si>
  <si>
    <t>160</t>
  </si>
  <si>
    <t>155.1</t>
  </si>
  <si>
    <t>2259</t>
  </si>
  <si>
    <t>216</t>
  </si>
  <si>
    <t>0.0058</t>
  </si>
  <si>
    <t>0.0242</t>
  </si>
  <si>
    <t>0.0214</t>
  </si>
  <si>
    <t>773</t>
  </si>
  <si>
    <t>5023</t>
  </si>
  <si>
    <t>11.9</t>
  </si>
  <si>
    <t>385</t>
  </si>
  <si>
    <t>1690</t>
  </si>
  <si>
    <t>4788</t>
  </si>
  <si>
    <t>68.4</t>
  </si>
  <si>
    <t>0.057</t>
  </si>
  <si>
    <t>7200</t>
  </si>
  <si>
    <t>5.62</t>
  </si>
  <si>
    <t>355.7</t>
  </si>
  <si>
    <t>85.94</t>
  </si>
  <si>
    <t>13.4</t>
  </si>
  <si>
    <t>9000</t>
  </si>
  <si>
    <t>3500</t>
  </si>
  <si>
    <t>82.6</t>
  </si>
  <si>
    <t>67.5</t>
  </si>
  <si>
    <t>58.4</t>
  </si>
  <si>
    <t>1084</t>
  </si>
  <si>
    <t>10700</t>
  </si>
  <si>
    <t>8600</t>
  </si>
  <si>
    <t>2200</t>
  </si>
  <si>
    <t>21300</t>
  </si>
  <si>
    <t>22900</t>
  </si>
  <si>
    <t>10760</t>
  </si>
  <si>
    <t>16920</t>
  </si>
  <si>
    <t>12260</t>
  </si>
  <si>
    <t>62.6</t>
  </si>
  <si>
    <t>57.8</t>
  </si>
  <si>
    <t>729</t>
  </si>
  <si>
    <t>208.2</t>
  </si>
  <si>
    <t>230</t>
  </si>
  <si>
    <t>8830</t>
  </si>
  <si>
    <t>9.79</t>
  </si>
  <si>
    <t>13.68</t>
  </si>
  <si>
    <t>7.34</t>
  </si>
  <si>
    <t>0.95</t>
  </si>
  <si>
    <t>295.79</t>
  </si>
  <si>
    <t>21264.3</t>
  </si>
  <si>
    <t>128.4</t>
  </si>
  <si>
    <t>1181.3</t>
  </si>
  <si>
    <t>2022</t>
  </si>
  <si>
    <t>135.5</t>
  </si>
  <si>
    <t>160.4</t>
  </si>
  <si>
    <t>1.51</t>
  </si>
  <si>
    <t>502.76</t>
  </si>
  <si>
    <t>414</t>
  </si>
  <si>
    <t>280</t>
  </si>
  <si>
    <t>2e-05</t>
  </si>
  <si>
    <t>3.26</t>
  </si>
  <si>
    <t>13.71</t>
  </si>
  <si>
    <t>2100</t>
  </si>
  <si>
    <t>12000</t>
  </si>
  <si>
    <t>9608</t>
  </si>
  <si>
    <t>4642</t>
  </si>
  <si>
    <t>4250</t>
  </si>
  <si>
    <t>7300</t>
  </si>
  <si>
    <t>24110</t>
  </si>
  <si>
    <t>9808</t>
  </si>
  <si>
    <t>1.78</t>
  </si>
  <si>
    <t>9854</t>
  </si>
  <si>
    <t>9264</t>
  </si>
  <si>
    <t>78.17</t>
  </si>
  <si>
    <t>87.1</t>
  </si>
  <si>
    <t>347.8</t>
  </si>
  <si>
    <t>0.6225</t>
  </si>
  <si>
    <t>135</t>
  </si>
  <si>
    <t>0.231</t>
  </si>
  <si>
    <t>6e-05</t>
  </si>
  <si>
    <t>0.00013</t>
  </si>
  <si>
    <t>16.66</t>
  </si>
  <si>
    <t>384</t>
  </si>
  <si>
    <t>22.22</t>
  </si>
  <si>
    <t>473</t>
  </si>
  <si>
    <t>19280</t>
  </si>
  <si>
    <t>165.5</t>
  </si>
  <si>
    <t>143.3</t>
  </si>
  <si>
    <t>0.00012</t>
  </si>
  <si>
    <t>61.5</t>
  </si>
  <si>
    <t>2116</t>
  </si>
  <si>
    <t>3530</t>
  </si>
  <si>
    <t>2597</t>
  </si>
  <si>
    <t>710</t>
  </si>
  <si>
    <t>2800</t>
  </si>
  <si>
    <t>2500</t>
  </si>
  <si>
    <t>19880</t>
  </si>
  <si>
    <t>5.7</t>
  </si>
  <si>
    <t>497</t>
  </si>
  <si>
    <t>1.44</t>
  </si>
  <si>
    <t>218.5</t>
  </si>
  <si>
    <t>1.98</t>
  </si>
  <si>
    <t>2050</t>
  </si>
  <si>
    <t>428.1</t>
  </si>
  <si>
    <t>1046</t>
  </si>
  <si>
    <t>3170</t>
  </si>
  <si>
    <t>5834</t>
  </si>
  <si>
    <t>192.98</t>
  </si>
  <si>
    <t>1.96</t>
  </si>
  <si>
    <t>781.6</t>
  </si>
  <si>
    <t>138</t>
  </si>
  <si>
    <t>88.8</t>
  </si>
  <si>
    <t>650</t>
  </si>
  <si>
    <t>560</t>
  </si>
  <si>
    <t>6000</t>
  </si>
  <si>
    <t>2960</t>
  </si>
  <si>
    <t>97.11</t>
  </si>
  <si>
    <t>443.9</t>
  </si>
  <si>
    <t>998</t>
  </si>
  <si>
    <t>292.4</t>
  </si>
  <si>
    <t>2108</t>
  </si>
  <si>
    <t>900</t>
  </si>
  <si>
    <t>239.5</t>
  </si>
  <si>
    <t>3.2</t>
  </si>
  <si>
    <t>13.75</t>
  </si>
  <si>
    <t>910</t>
  </si>
  <si>
    <t>1030</t>
  </si>
  <si>
    <t>4.32</t>
  </si>
  <si>
    <t>974</t>
  </si>
  <si>
    <t>22.84</t>
  </si>
  <si>
    <t>5.79</t>
  </si>
  <si>
    <t>48.8</t>
  </si>
  <si>
    <t>1300</t>
  </si>
  <si>
    <t>51.1</t>
  </si>
  <si>
    <t>7895</t>
  </si>
  <si>
    <t>550</t>
  </si>
  <si>
    <t>3900</t>
  </si>
  <si>
    <t>8000</t>
  </si>
  <si>
    <t>170</t>
  </si>
  <si>
    <t>9.1</t>
  </si>
  <si>
    <t>26.7</t>
  </si>
  <si>
    <t>40.9</t>
  </si>
  <si>
    <t>0.3723</t>
  </si>
  <si>
    <t>0.09659</t>
  </si>
  <si>
    <t>0.1253</t>
  </si>
  <si>
    <t>0.141</t>
  </si>
  <si>
    <t>88.6</t>
  </si>
  <si>
    <t>215</t>
  </si>
  <si>
    <t>85.1</t>
  </si>
  <si>
    <t>27.2</t>
  </si>
  <si>
    <t>71.5</t>
  </si>
  <si>
    <t>15.83</t>
  </si>
  <si>
    <t>922.2</t>
  </si>
  <si>
    <t>213.6</t>
  </si>
  <si>
    <t>416.5</t>
  </si>
  <si>
    <t>290</t>
  </si>
  <si>
    <t>5120</t>
  </si>
  <si>
    <t>0.157</t>
  </si>
  <si>
    <t>502</t>
  </si>
  <si>
    <t>2033</t>
  </si>
  <si>
    <t>3.1</t>
  </si>
  <si>
    <t>407</t>
  </si>
  <si>
    <t>956</t>
  </si>
  <si>
    <t>510</t>
  </si>
  <si>
    <t>1009</t>
  </si>
  <si>
    <t>12.7</t>
  </si>
  <si>
    <t>83.7</t>
  </si>
  <si>
    <t>51.9</t>
  </si>
  <si>
    <t>8.175</t>
  </si>
  <si>
    <t>13.41</t>
  </si>
  <si>
    <t>17.37</t>
  </si>
  <si>
    <t>24.03</t>
  </si>
  <si>
    <t>3.59</t>
  </si>
  <si>
    <t>1.48</t>
  </si>
  <si>
    <t>1.73</t>
  </si>
  <si>
    <t>0.59</t>
  </si>
  <si>
    <t>11.29</t>
  </si>
  <si>
    <t>62.9</t>
  </si>
  <si>
    <t>81.5</t>
  </si>
  <si>
    <t>73.36</t>
  </si>
  <si>
    <t>43.1</t>
  </si>
  <si>
    <t>8.9</t>
  </si>
  <si>
    <t>158.4</t>
  </si>
  <si>
    <t>21.2</t>
  </si>
  <si>
    <t>2213</t>
  </si>
  <si>
    <t>440</t>
  </si>
  <si>
    <t>800</t>
  </si>
  <si>
    <t>150</t>
  </si>
  <si>
    <t>450</t>
  </si>
  <si>
    <t>75.7</t>
  </si>
  <si>
    <t>25.6</t>
  </si>
  <si>
    <t>423</t>
  </si>
  <si>
    <t>102.8</t>
  </si>
  <si>
    <t>200.4</t>
  </si>
  <si>
    <t>120</t>
  </si>
  <si>
    <t>250.09</t>
  </si>
  <si>
    <t>218</t>
  </si>
  <si>
    <t>181</t>
  </si>
  <si>
    <t>1320</t>
  </si>
  <si>
    <t>630</t>
  </si>
  <si>
    <t>165</t>
  </si>
  <si>
    <t>810</t>
  </si>
  <si>
    <t>738</t>
  </si>
  <si>
    <t>540</t>
  </si>
  <si>
    <t>792</t>
  </si>
  <si>
    <t>104.5</t>
  </si>
  <si>
    <t>0.55</t>
  </si>
  <si>
    <t>11.42</t>
  </si>
  <si>
    <t>7.97</t>
  </si>
  <si>
    <t>1.52</t>
  </si>
  <si>
    <t>9.03</t>
  </si>
  <si>
    <t>17.8</t>
  </si>
  <si>
    <t>16.1</t>
  </si>
  <si>
    <t>7.1</t>
  </si>
  <si>
    <t>8.92</t>
  </si>
  <si>
    <t>42.6</t>
  </si>
  <si>
    <t>2920</t>
  </si>
  <si>
    <t>567</t>
  </si>
  <si>
    <t>2807</t>
  </si>
  <si>
    <t>143</t>
  </si>
  <si>
    <t>209</t>
  </si>
  <si>
    <t>2044</t>
  </si>
  <si>
    <t>191</t>
  </si>
  <si>
    <t>61.8</t>
  </si>
  <si>
    <t>133</t>
  </si>
  <si>
    <t>10500</t>
  </si>
  <si>
    <t>3708</t>
  </si>
  <si>
    <t>1414</t>
  </si>
  <si>
    <t>161</t>
  </si>
  <si>
    <t>438</t>
  </si>
  <si>
    <t>104</t>
  </si>
  <si>
    <t>28.2</t>
  </si>
  <si>
    <t>49.5</t>
  </si>
  <si>
    <t>587</t>
  </si>
  <si>
    <t>0.018</t>
  </si>
  <si>
    <t>17.3</t>
  </si>
  <si>
    <t>58</t>
  </si>
  <si>
    <t>323</t>
  </si>
  <si>
    <t>2842</t>
  </si>
  <si>
    <t>0.34</t>
  </si>
  <si>
    <t>7.86</t>
  </si>
  <si>
    <t>2.62</t>
  </si>
  <si>
    <t>13.62</t>
  </si>
  <si>
    <t>1.31</t>
  </si>
  <si>
    <t>10.73</t>
  </si>
  <si>
    <t>1.398</t>
  </si>
  <si>
    <t>0.027</t>
  </si>
  <si>
    <t>0.0085</t>
  </si>
  <si>
    <t>0.189</t>
  </si>
  <si>
    <t>4.38</t>
  </si>
  <si>
    <t>1.13</t>
  </si>
  <si>
    <t>6.505</t>
  </si>
  <si>
    <t>2.12</t>
  </si>
  <si>
    <t>0.365</t>
  </si>
  <si>
    <t>2.48</t>
  </si>
  <si>
    <t>2.46</t>
  </si>
  <si>
    <t>2.116</t>
  </si>
  <si>
    <t>2.115</t>
  </si>
  <si>
    <t>1.36</t>
  </si>
  <si>
    <t>3.14</t>
  </si>
  <si>
    <t>1.85</t>
  </si>
  <si>
    <t>2.72</t>
  </si>
  <si>
    <t>6.25</t>
  </si>
  <si>
    <t>2.44</t>
  </si>
  <si>
    <t>0.96</t>
  </si>
  <si>
    <t>1.06</t>
  </si>
  <si>
    <t>0.83</t>
  </si>
  <si>
    <t>5.09</t>
  </si>
  <si>
    <t>4.97</t>
  </si>
  <si>
    <t>5.28</t>
  </si>
  <si>
    <t>5.68</t>
  </si>
  <si>
    <t>4.86</t>
  </si>
  <si>
    <t>6.27</t>
  </si>
  <si>
    <t>9.5</t>
  </si>
  <si>
    <t>0.092</t>
  </si>
  <si>
    <t>0.131</t>
  </si>
  <si>
    <t>10.2</t>
  </si>
  <si>
    <t>0.0234</t>
  </si>
  <si>
    <t>0.0283</t>
  </si>
  <si>
    <t>10.3</t>
  </si>
  <si>
    <t>20.6</t>
  </si>
  <si>
    <t>1430</t>
  </si>
  <si>
    <t>4e-08</t>
  </si>
  <si>
    <t>9.15</t>
  </si>
  <si>
    <t>14.2</t>
  </si>
  <si>
    <t>21.8</t>
  </si>
  <si>
    <t>9.58</t>
  </si>
  <si>
    <t>0.00086</t>
  </si>
  <si>
    <t>405</t>
  </si>
  <si>
    <t>785</t>
  </si>
  <si>
    <t>641</t>
  </si>
  <si>
    <t>15.14</t>
  </si>
  <si>
    <t>0.0413</t>
  </si>
  <si>
    <t>300</t>
  </si>
  <si>
    <t>#4# specific activity in various organs &lt;2&gt;</t>
  </si>
  <si>
    <t>#1# recombinant enzyme after 13.28fold purification, using  olive oil as substrate, at pH 8.5, 37°C &lt;315&gt;</t>
  </si>
  <si>
    <t>#1# recombinant enzyme from supernatant, using olive oil as  substrate, at pH 8.5, 37°C &lt;315&gt;</t>
  </si>
  <si>
    <t>#1# recombinant enzyme after 13.28fold purification, using  tributyrin as substrate, at pH 8.5, 37°C &lt;315&gt;</t>
  </si>
  <si>
    <t>#10# purified recombinant His-tagged enzyme &lt;83&gt;</t>
  </si>
  <si>
    <t>#10# lipid particles, wild-type &lt;83&gt;</t>
  </si>
  <si>
    <t>#100# recombinant enzyme, at pH 8.5 and 55°C, using  tributyrin as substrate &lt;297&gt;</t>
  </si>
  <si>
    <t>#100# purified enzyme, at pH 8.5 and 55°C, using  tributyrin as substrate &lt;297&gt;</t>
  </si>
  <si>
    <t>#100# purified enzyme, at pH 8.5 and 55°C, using olive  oil as substrate &lt;297&gt;</t>
  </si>
  <si>
    <t>#100# purified recombinant His-tagged wild-type  enzyme, substrate olive oil &lt;204&gt;; #202# purified recombinant wild-type enzyme, substrate olive oil &lt;206&gt;</t>
  </si>
  <si>
    <t>#101# purified enzyme, substrate tributyrin &lt;95&gt;</t>
  </si>
  <si>
    <t>#103# purified native enzyme &lt;165&gt;</t>
  </si>
  <si>
    <t>#104# purified recombinant enzyme, substrate  1,2-dioctanoyl-sn-glycero-3-phosphocholine &lt;61&gt;</t>
  </si>
  <si>
    <t>#104# purified recombinant enzyme, substrate  2-hexandecanoylthio-ethane-1-phosphocholine &lt;61&gt;</t>
  </si>
  <si>
    <t>#104# purified recombinant enzyme, substrate  4-nitrophenyl butyrate &lt;61&gt;; #118# purified recombinant enzyme, substrate 4-nitrophenyl myristate &lt;60&gt;; #202# purified recombinant mutant G311D, substrate olive oil &lt;206&gt;</t>
  </si>
  <si>
    <t>#104# purified recombinant enzyme, substrate  1,2-dioctanoyl-sn-glycero-3-phosphoglycol &lt;61&gt;; #147# after 21.89fold purification, at pH 8.0 and 60°C &lt;290&gt;</t>
  </si>
  <si>
    <t>#106# fat body &lt;129&gt;</t>
  </si>
  <si>
    <t>#107# crude enzyme extract, substrate 4-nitrophenyl  caproate, activity depends on pH and buffer system used, high activity at pH 8.0 in citrate-phosphate or Tris-HCl buffer &lt;109&gt;</t>
  </si>
  <si>
    <t>#107# crude enzyme extract, substrate 4-nitrophenyl  caprate, activity depends on pH and buffer system used, high activity at pH 8.0 in citrate-phosphate or Tris-HCl buffer &lt;109&gt;</t>
  </si>
  <si>
    <t>#107# crude enzyme extract, substrate 4-nitrophenyl  palmitate, activity depends on pH and buffer system used, high activity at pH 8.0 in citrate-phosphate or Tris-HCl buffer &lt;109&gt;</t>
  </si>
  <si>
    <t>#107# crude enzyme extract, substrate 4-nitrophenyl  butyrate, activity depends on pH and buffer system used, high activity at pH 8.0 in citrate-phosphate or Tris-HCl buffer &lt;109&gt;</t>
  </si>
  <si>
    <t>#107# crude enzyme extract, substrate tributyrin, activity  depends on pH and buffer system used, high activity at pH 8.0 in citrate-phosphate or Tris-HCl buffer &lt;109&gt;</t>
  </si>
  <si>
    <t>#110# partially purified enzyme &lt;117&gt;</t>
  </si>
  <si>
    <t>#112# cell-free supernatant, at 40°C, pH 8.0 &lt;238&gt;</t>
  </si>
  <si>
    <t>#112# after 53.6fold purification, at 40°C, pH 8.0 &lt;238&gt;</t>
  </si>
  <si>
    <t>#113# purified recombinant BTID-B &lt;72&gt;</t>
  </si>
  <si>
    <t>#113# purified recombinant lipase &lt;198&gt;</t>
  </si>
  <si>
    <t>#117# purified enzyme &lt;67&gt;</t>
  </si>
  <si>
    <t>#118# purified recombinant enzyme, substrate triacetate  &lt;60&gt;</t>
  </si>
  <si>
    <t>#118# purified recombinant enzyme, substrate 4-nitrophenyl  acetate &lt;60&gt;</t>
  </si>
  <si>
    <t>#118# purified recombinant enzyme, substrate 4-nitrophenyl  butyrate &lt;60&gt;</t>
  </si>
  <si>
    <t>#118# purified recombinant enzyme, substrate 4-nitrophenyl  caprylate &lt;60&gt;</t>
  </si>
  <si>
    <t>#118# purified recombinant enzyme, substrate 4-nitrophenyl  caprate &lt;60&gt;</t>
  </si>
  <si>
    <t>#118# purified recombinant enzyme, substrate 4-nitrophenyl  laurate &lt;60&gt;</t>
  </si>
  <si>
    <t>#118# purified recombinant enzyme, substrate tributyrate  &lt;60&gt;</t>
  </si>
  <si>
    <t>#118# purified recombinant enzyme, substrate tricaproate  &lt;60&gt;</t>
  </si>
  <si>
    <t>#12# purified enzyme &lt;58&gt;</t>
  </si>
  <si>
    <t>#120# purified enzyme, substrate tributyrin, 3 mM CaCl2  &lt;63&gt;</t>
  </si>
  <si>
    <t>#121# purified recombinant enzyme &lt;93&gt;</t>
  </si>
  <si>
    <t>#122# purified enzyme, substrate 4-nitrophenyl laurate  &lt;88&gt;</t>
  </si>
  <si>
    <t>#123# purified recombinant Lip2 &lt;77&gt;</t>
  </si>
  <si>
    <t>#124# purified recombinant refolded enzyme, substrate  4-nitrophenyl palmitate &lt;85&gt;</t>
  </si>
  <si>
    <t>#128# after 62.5fold purification, at pH 9.0 and 37Â°C  &lt;392&gt;</t>
  </si>
  <si>
    <t>#128# crude enzyme, at pH 9.0 and 37Â°C &lt;392&gt;</t>
  </si>
  <si>
    <t>#129# crude enzyme, at pH 8.0, 65°C &lt;301&gt;</t>
  </si>
  <si>
    <t>#129# after 14.6fold purification, at pH 8.0, 65°C &lt;301&gt;</t>
  </si>
  <si>
    <t>#134# purified recombinant enzyme, substrate triolein  &lt;133&gt;</t>
  </si>
  <si>
    <t>#134# purified recombinant enzyme, substrate  triricinolein &lt;133&gt;</t>
  </si>
  <si>
    <t>#134# purified recombinant enzyme, substrate trilinolein  &lt;133&gt;</t>
  </si>
  <si>
    <t>#134# purified recombinant enzyme, substrate triplamitin  &lt;133&gt;</t>
  </si>
  <si>
    <t>#134# purified recombinant enzyme, substrate trilaurin  &lt;133&gt;</t>
  </si>
  <si>
    <t>#134# purified recombinant enzyme, substrate  4-nitrophenyl butyrate &lt;133&gt;</t>
  </si>
  <si>
    <t>#134# purified recombinant enzyme, substrate tricaprin  &lt;133&gt;</t>
  </si>
  <si>
    <t>#136# purified enzyme &lt;142&gt;</t>
  </si>
  <si>
    <t>#139# purified enzyme &lt;114&gt;</t>
  </si>
  <si>
    <t>#14# purified enzyme, substrate 4-nitrophenyl palmitate  &lt;86&gt;</t>
  </si>
  <si>
    <t>#14# crude enzyme, at pH 9.0 and 70Â°C &lt;389&gt;</t>
  </si>
  <si>
    <t>#14# purifed enzyme &lt;65&gt;</t>
  </si>
  <si>
    <t>#14# after 12.44fold purification, at pH 9.0 and 70Â°C  &lt;389&gt;</t>
  </si>
  <si>
    <t>#141# recombinant enzyme &lt;125&gt;</t>
  </si>
  <si>
    <t>#142# purified enzyme, 30°C &lt;108&gt;</t>
  </si>
  <si>
    <t>#143# fat body &lt;129&gt;</t>
  </si>
  <si>
    <t>#144# recombinant enzyme in culture medium &lt;131&gt;</t>
  </si>
  <si>
    <t>#144# purified recombinant enzyme, substrate  4-nitrophenyl laurate &lt;131&gt;</t>
  </si>
  <si>
    <t>#147# cell-free crude extract, at pH 8.0 and 60°C &lt;290&gt;</t>
  </si>
  <si>
    <t>#15# purified enzyme &lt;82&gt;</t>
  </si>
  <si>
    <t>#150# purified extracellular lipase &lt;156&gt;</t>
  </si>
  <si>
    <t>#151# purified LipA &lt;157&gt;</t>
  </si>
  <si>
    <t>#151# purified LipB &lt;157&gt;</t>
  </si>
  <si>
    <t>#153# purified native enzyme, using tributyrin as  substrate in the presence of 4 mM Na-deoxycholate and an excess of colipase. &lt;161&gt;</t>
  </si>
  <si>
    <t>#155# recombinant noninduced lipase ROLw, substrate  olive oil &lt;177&gt;; #232# after 62fold purification, at pH 9.0 and 40Â°C &lt;408&gt;</t>
  </si>
  <si>
    <t>#156# purified recombinant wild-type LIP3, substrate  4-nitrophenyl butyrate, pH 7.0, 37°C &lt;179&gt;</t>
  </si>
  <si>
    <t>#156# purified recombinant modified N-fused LIP3, substrate  4-nitrophenyl butyrate, pH 7.0, 37°C &lt;179&gt;</t>
  </si>
  <si>
    <t>#158# purified Esf lipase &lt;188&gt;</t>
  </si>
  <si>
    <t>#159# purified recombinant enzyme &lt;187&gt;</t>
  </si>
  <si>
    <t>#162# SSF lipase &lt;194&gt;</t>
  </si>
  <si>
    <t>#162# SmF lipase &lt;194&gt;</t>
  </si>
  <si>
    <t>#163# purified YLLIP2, substrate soybean oil &lt;164&gt;</t>
  </si>
  <si>
    <t>#163# purified enzyme, substrate olive oil &lt;199&gt;</t>
  </si>
  <si>
    <t>#163# purified enzyme, substrate safflower oil &lt;199&gt;</t>
  </si>
  <si>
    <t>#163# purified YLLIP2, substrate tributyrin &lt;164&gt;</t>
  </si>
  <si>
    <t>#163# purified YLLIP2, substrate trioctanoin &lt;164&gt;</t>
  </si>
  <si>
    <t>#163# purified YLLIP2, substrate olive oil &lt;164&gt;</t>
  </si>
  <si>
    <t>#164# purified recombinant LipY7p &lt;203&gt;</t>
  </si>
  <si>
    <t>#165# purified recombinant LipY8p &lt;203&gt;</t>
  </si>
  <si>
    <t>#17# purified enzyme, substrate tricaprylin &lt;74&gt;</t>
  </si>
  <si>
    <t>#17# purified enzyme &lt;87&gt;</t>
  </si>
  <si>
    <t>#172# crude extract, at pH 7 and 37°C &lt;231&gt;</t>
  </si>
  <si>
    <t>#172# after 38fold purification, at pH 7 and 37°C &lt;231&gt;</t>
  </si>
  <si>
    <t>#173# using olive oil as substrate, in 20 mM phosphate  buffer (pH 8.0</t>
  </si>
  <si>
    <t>#173# using soybean oil as substrate, in 20 mM phosphate  buffer (pH 8.0</t>
  </si>
  <si>
    <t>#173# using peanut oil as substrate, in 20 mM phosphate  buffer (pH 8.0</t>
  </si>
  <si>
    <t>#173# using lard as substrate, in 20 mM phosphate buffer  (pH 8.0</t>
  </si>
  <si>
    <t>#176# after 12fold purification, with 4-nitrophenyl  caproate as substrate, at 25°C &lt;243&gt;</t>
  </si>
  <si>
    <t>#176# enzyme from solubilised medium, with 4-nitrophenyl  caproate as substrate, at 25°C &lt;243&gt;</t>
  </si>
  <si>
    <t>#183# crude extract &lt;217&gt;</t>
  </si>
  <si>
    <t>#183# after 37.75folf purification &lt;217&gt;</t>
  </si>
  <si>
    <t>#19# crude enzyme, at pH 3.5 and 50Â°C &lt;409&gt;</t>
  </si>
  <si>
    <t>#19# after fold purification, at pH 3.5 and 50Â°C &lt;409&gt;</t>
  </si>
  <si>
    <t>#191# crude enzyme, at pH 7.0 and 37Â°C &lt;380&gt;</t>
  </si>
  <si>
    <t>#191# after 9.2fold purification, at pH 7.0 and 37Â°C  &lt;380&gt;</t>
  </si>
  <si>
    <t>#193# enzyme from supernatant, using 4-nitrophenyl laurate  as substrate, at pH 8.0, 50°C &lt;317&gt;</t>
  </si>
  <si>
    <t>#193# enzyme after 61fold purification, using  4-nitrophenyl laurate as substrate, at pH 8.0, 50°C &lt;317&gt;</t>
  </si>
  <si>
    <t>#194# using 4-nitrophenyl butyrate as substrate, wild type  enzyme, at 42°C and pH 9.0 &lt;318&gt;</t>
  </si>
  <si>
    <t>#194# using 4-nitrophenyl butyrate as substrate, mutant  enzyme V309D, at 42°C and pH 9.0 &lt;318&gt;</t>
  </si>
  <si>
    <t>#194# using 4-nitrophenyl butyrate as substrate, mutant  enzyme V309K, at 42°C and pH 9.0 &lt;318&gt;</t>
  </si>
  <si>
    <t>#198# crude enzyme, at pH 9.0 and 40°C &lt;398&gt;</t>
  </si>
  <si>
    <t>#198# after 332.95fold purification, at pH 9.0 and 40°C  &lt;398&gt;</t>
  </si>
  <si>
    <t>#15# activity at different culture medium conditions &lt;82&gt;; #23# activity of mutant enzymes, overview &lt;201&gt;; #22# activities of the extra- and the intracellular enzyme forms in strain B52 &lt;147&gt;; #23# activities of the extra- and the intracellular enzyme forms in strains PAO25 and PAO25 ME3 &lt;147&gt;; #53# optimal assay time is 5 min &lt;148&gt;; #139# titrimetric assay method &lt;114&gt;; #7# activities of wild-type and mutant enzymes, overview &lt;185&gt;; #22# activities of the enzyme immobilized on glyoxyl-agarose and on BrCN agarose, overview &lt;167&gt;; #68# activity of immobilized enzyme using different immobilization agents, overview &lt;163&gt;; #7# chromogenic detection using 5,5-dithio-bis-(2-nitrobenzoic acid</t>
  </si>
  <si>
    <t>#20# partially purified enzyme &lt;180&gt;</t>
  </si>
  <si>
    <t>#201# purified native enzyme &lt;154&gt;</t>
  </si>
  <si>
    <t>#202# purified recombinant mutant G311K, substrate olive oil  &lt;206&gt;</t>
  </si>
  <si>
    <t>#202# purified recombinant mutant G311D, substrate  tributyrin &lt;206&gt;</t>
  </si>
  <si>
    <t>#202# purified recombinant mutant G311L, substrate  tributyrin &lt;206&gt;</t>
  </si>
  <si>
    <t>#202# purified recombinant mutant G311L, substrate olive  oil &lt;206&gt;</t>
  </si>
  <si>
    <t>#204# crude recombinant LipY in Eschericha coli &lt;136&gt;</t>
  </si>
  <si>
    <t>#204# crude recombinant lipases in Eschericha coli &lt;136&gt;</t>
  </si>
  <si>
    <t>#214# enzyme from supernatant, at pH 7.0 and 37°C &lt;394&gt;</t>
  </si>
  <si>
    <t>#214# after 4.2fold purification, at pH 7.0 and 37°C  &lt;394&gt;</t>
  </si>
  <si>
    <t>#216# deglycosylated form, substrate glyceryl  tributanoate, 45°C, pH 9.5 &lt;358&gt;</t>
  </si>
  <si>
    <t>#216# deglycosylated form, substrate glyceryl  trioctanoate, 45°C, pH 9.5 &lt;358&gt;</t>
  </si>
  <si>
    <t>#216# glycosylated form, substrate olive oil emulsion,  50°C, pH 9.5 &lt;358&gt;</t>
  </si>
  <si>
    <t>#216# deglycosylated form, substrate olive oil emulsion,  45°C, pH 9.5 &lt;358&gt;</t>
  </si>
  <si>
    <t>#216# substrate phosphatidylcholine, pH 8.0, 37°C,  purified native enzyme &lt;366&gt;</t>
  </si>
  <si>
    <t>#216# substrate tributyrin, pH 8.0, 37°C, purified native  enzyme &lt;366&gt;</t>
  </si>
  <si>
    <t>#216# substrate trioctanoin, pH 8.0, 37°C, purified  native enzyme &lt;366&gt;</t>
  </si>
  <si>
    <t>#216# substrate olive oil, pH 8.0, 37°C, purified native  enzyme &lt;366&gt;</t>
  </si>
  <si>
    <t>#22# enzyme from supernatant, at pH 8.0 and 40°C &lt;393&gt;</t>
  </si>
  <si>
    <t>#22# purified enzyme &lt;84&gt;</t>
  </si>
  <si>
    <t>#22# purified refolded recombinant enzyme &lt;150&gt;</t>
  </si>
  <si>
    <t>#22# after 43.92fold purification, at pH 8.0 and 40°C  &lt;393&gt;</t>
  </si>
  <si>
    <t>#221# wild-type, 25°C, pH 6 &lt;384&gt;</t>
  </si>
  <si>
    <t>#221# mutant Q34P/A37P/M176V/G177A/M294R, 25°C, pH 6  &lt;384&gt;</t>
  </si>
  <si>
    <t>#224# at pH 8.0 and 37°C &lt;379&gt;</t>
  </si>
  <si>
    <t>#229# mutant L266V/I287L, pH 6.8, 37°C &lt;386&gt;</t>
  </si>
  <si>
    <t>#229# wild-type, pH 6.8, 37°C &lt;386&gt;</t>
  </si>
  <si>
    <t>#23# crude enzyme, at 37Â°C, pH not specified in the  publication &lt;370&gt;</t>
  </si>
  <si>
    <t>#23# purified enzyme, 95% methanol, 30°C &lt;181&gt;</t>
  </si>
  <si>
    <t>#23# crude filtrate, in Tris-HCl, buffer (0.1 M, pH 8.0</t>
  </si>
  <si>
    <t>#23# purified enzyme, 95% ethanol, 30°C &lt;181&gt;</t>
  </si>
  <si>
    <t>#23# purified enzyme, 95% acetone, 30°C &lt;181&gt;</t>
  </si>
  <si>
    <t>#23# purified enzyme, 95% n-hexane, 30°C &lt;181&gt;</t>
  </si>
  <si>
    <t>#23# after 11.45fold purification, at 37Â°C, pH not  specified in the publication &lt;370&gt;</t>
  </si>
  <si>
    <t>#23# purified extracellular isozyme 2 &lt;196&gt;</t>
  </si>
  <si>
    <t>#23# purified enzyme &lt;106&gt;</t>
  </si>
  <si>
    <t>#23# purified enzyme, buffer &lt;181&gt;</t>
  </si>
  <si>
    <t>#23# purified enzyme &lt;197&gt;</t>
  </si>
  <si>
    <t>#23# purified extracellular isozyme 1 &lt;196&gt;</t>
  </si>
  <si>
    <t>#23# after 8.6fold purification, in Tris-HCl, buffer (0.1  M, pH 8.0</t>
  </si>
  <si>
    <t>#55# purified enzyme, phospholipase activity &lt;90&gt;;  #23# purified enzyme, 95% ethyl-methyl-ketone, 30°C &lt;181&gt;</t>
  </si>
  <si>
    <t>#231# crude enzyme, at pH 7.0 and 15°C &lt;403&gt;</t>
  </si>
  <si>
    <t>#231# after 34.4fold purification, at pH 7.0 and 15°C  &lt;403&gt;</t>
  </si>
  <si>
    <t>#232# crude enzyme, at pH 9.0 and 40Â°C &lt;408&gt;</t>
  </si>
  <si>
    <t>#233# after 1.36fold purification, at pH 8.5 and 45°C  &lt;411&gt;</t>
  </si>
  <si>
    <t>#233# crude enzyme, at pH 8.5 and 45°C &lt;411&gt;</t>
  </si>
  <si>
    <t>#24# mutant enzyme D157A, at 30°C, in 25 mM Tris-HCl (pH  7.5</t>
  </si>
  <si>
    <t>#24# partially purified enzyme &lt;68&gt;</t>
  </si>
  <si>
    <t>#24# mutant enzyme D275A, at 30°C, in 25 mM Tris-HCl (pH  7.5</t>
  </si>
  <si>
    <t>#118# purified recombinant enzyme, substrate olive oil  &lt;60&gt;; #24# wild type enzyme, at 30°C, in 25 mM Tris-HCl (pH 7.5</t>
  </si>
  <si>
    <t>#35# purified recombinant wild-type enzyme &lt;190&gt;;  #118# purified recombinant enzyme, substrate tricaprylate &lt;60&gt;; #24# mutant enzyme D337A, at 30°C, in 25 mM Tris-HCl (pH 7.5</t>
  </si>
  <si>
    <t>#26# purified extracellular enzyme &lt;205&gt;</t>
  </si>
  <si>
    <t>#28# enzyme from supernatant of cell lysate, using  4-nitrophenyl acetate as substrate, at pH 7.5 and 30°C &lt;292&gt;</t>
  </si>
  <si>
    <t>#28# crude enzyme, using 4-nitrophenyl butyrate as  substrate, in 100 mM potassium phosphate buffer (pH 7.0</t>
  </si>
  <si>
    <t>#28# enzyme after 2.4fold purification, using 4-nitrophenyl  acetate as substrate, at pH 7.5 and 30°C &lt;292&gt;</t>
  </si>
  <si>
    <t>#28# after 5.5fold purification, using 4-nitrophenyl  butyrate as substrate, in 100 mM potassium phosphate buffer (pH 7.0</t>
  </si>
  <si>
    <t>#28# purified native enzyme &lt;189&gt;; #80# supernatant of  cell lysate, using 4-nitrophenyl acetate as substrate, at 30°C, pH 7.5 &lt;294&gt;</t>
  </si>
  <si>
    <t>#29# cell free medium, at pH 6.0 and 10°C &lt;402&gt;</t>
  </si>
  <si>
    <t>#29# purified enzyme, substrate (R,S</t>
  </si>
  <si>
    <t>#29# after 438.9fold purification, at pH 6.0 and 10°C  &lt;402&gt;</t>
  </si>
  <si>
    <t>#34# purified enzyme, substrate 4-nitrophenyl palmitate  &lt;202&gt;</t>
  </si>
  <si>
    <t>#34# purified enzyme &lt;152&gt;; #69# crude SSL, at 37°C  &lt;228&gt;; #95,170# after 14fold purification pH 8.0, 30°C &lt;306&gt;</t>
  </si>
  <si>
    <t>#35# purified recombinant mutant enzyme &lt;190&gt;</t>
  </si>
  <si>
    <t>#36# purified enzyme, substrate 4-nitrophenyl butyrate  &lt;91&gt;</t>
  </si>
  <si>
    <t>#36# purified enzyme &lt;89&gt;</t>
  </si>
  <si>
    <t>#36# mutant enzyme I56T from culture supernatant, pH 8.0,  37°C &lt;316&gt;</t>
  </si>
  <si>
    <t>#36# mutant enzyme I56T after 208fold purification, pH  8.0, 37°C &lt;316&gt;</t>
  </si>
  <si>
    <t>#37# crude enzyme, at pH 8.0 and 40Â°C &lt;388&gt;</t>
  </si>
  <si>
    <t>#37# after 160.78fold purification, at pH 8.0 and 40Â°C  &lt;388&gt;</t>
  </si>
  <si>
    <t>#38# enzyme from culture filtrate, using 4-nitrophenyl  palmitate as substrate, at pH 8.0 and 60°C &lt;299&gt;</t>
  </si>
  <si>
    <t>#38# enzyme after 398.79fold purification, using  4-nitrophenyl palmitate as substrate, at pH 8.0 and 60°C &lt;299&gt;</t>
  </si>
  <si>
    <t>#41# purified enzyme &lt;64&gt;</t>
  </si>
  <si>
    <t>#44# purified enzyme, substrate is olive oil emulsion &lt;62&gt;</t>
  </si>
  <si>
    <t>#49# crude extract, in 0.1 M Tris buffer, pH 8.5 &lt;213&gt;</t>
  </si>
  <si>
    <t>#49# purified enzyme &lt;78&gt;</t>
  </si>
  <si>
    <t>#49# after 14.92fold purification, in 0.1 M Tris buffer, pH  8.5 &lt;213&gt;</t>
  </si>
  <si>
    <t>#50# purified pancreatic lipase Nc and Cc domains in the  presence of colipase and bile salts &lt;174&gt;</t>
  </si>
  <si>
    <t>#50# purified recombinant chimeric protein N2Cc in the  presence of colipase and bile salts &lt;174&gt;</t>
  </si>
  <si>
    <t>#50# purified PLRP2 N2 and C2 domains in the absence and in  the presence of colipase &lt;174&gt;</t>
  </si>
  <si>
    <t>#86# purified enzyme, titrimetric assay method,  substrate tributyrin &lt;119&gt;; #50# purified recombinant chimeric protein NcC2 in the presence of colipase and bile salts &lt;174&gt;</t>
  </si>
  <si>
    <t>#52# refolded and purified enzyme, at pH 7 and 37°C &lt;221&gt;</t>
  </si>
  <si>
    <t>#54# crude enzyme, with 4-nitrophenyl palmitate as  substrate, at pH 8.5 and 30Â°C &lt;399&gt;</t>
  </si>
  <si>
    <t>#54# after 4.57fold purification, with 4-nitrophenyl  palmitate as substrate, at pH 8.5 and 30Â°C &lt;399&gt;</t>
  </si>
  <si>
    <t>#55# purified enzyme, lipase activity &lt;90&gt;</t>
  </si>
  <si>
    <t>#55# after 3.41fold purification, with triacetin as  substrate, at pH 7.4 and 25°C &lt;349&gt;</t>
  </si>
  <si>
    <t>#58# purified extracellular lipase &lt;207&gt;; #155#  recombinant noninduced lipase ROLw, substrate tributyrin &lt;177&gt;</t>
  </si>
  <si>
    <t>#6# partially purified enzyme &lt;138&gt;</t>
  </si>
  <si>
    <t>#62# purified enzyme &lt;81&gt;</t>
  </si>
  <si>
    <t>#65# pH 6.0, partially purified recombinant enzyme &lt;110&gt;</t>
  </si>
  <si>
    <t>#107# crude enzyme extract, substrate triolein, activity  depends on pH and buffer system used, high activity at pH 8.0 in citrate-phosphate or Tris-HCl buffer &lt;109&gt;; #65# pH 4.0, partially purified recombinant enzyme &lt;110&gt;</t>
  </si>
  <si>
    <t>#68# immobilized on Duolite A7, at 60°C &lt;249&gt;</t>
  </si>
  <si>
    <t>#68# purified Lip3 monomer &lt;79&gt;</t>
  </si>
  <si>
    <t>#68# purified Lip3 dimer &lt;79&gt;</t>
  </si>
  <si>
    <t>#68# free enzyme, at 60°C &lt;249&gt;</t>
  </si>
  <si>
    <t>#68# commercially available purified enzyme preparation  &lt;163&gt;</t>
  </si>
  <si>
    <t>#68# immobilized on Celite 545, at 60°C &lt;249&gt;</t>
  </si>
  <si>
    <t>#68# immobilized on Sephadex G-25, at 60°C &lt;249&gt;</t>
  </si>
  <si>
    <t>#68# purified Lip1 dimer &lt;79&gt;; #100# purified  recombinant His-tagged wild-type enzyme, substrate tributyrin &lt;204&gt;; #202# purified recombinant wild-type enzyme, substrate tributyrin &lt;206&gt;; #100# recombiannt enzyme, at pH 8.5 and 55°C, using olive oil as substrate &lt;297&gt;</t>
  </si>
  <si>
    <t>#69# crude SML, at 37°C &lt;228&gt;</t>
  </si>
  <si>
    <t>#69# SML after 4.2fold purification, at 37°C &lt;228&gt;</t>
  </si>
  <si>
    <t>#69# SSL after 63.5fold purification, at 37°C &lt;228&gt;</t>
  </si>
  <si>
    <t>#7# purified recombinant mutant enzyme lacking the cap  domain, substrate triolein &lt;71&gt;</t>
  </si>
  <si>
    <t>#7# purified gastric lipase, solid test meal &lt;80&gt;</t>
  </si>
  <si>
    <t>#7# purified recombinant mutant enzyme lacking the lid domain,  substrate triolein &lt;71&gt;</t>
  </si>
  <si>
    <t>#7# purified pancreatic lipase, solid meal &lt;80&gt;</t>
  </si>
  <si>
    <t>#7# purified pancreatic lipase, liquid meal &lt;80&gt;</t>
  </si>
  <si>
    <t>#7# purified gastric lipase, substrate tributyrin &lt;80&gt;</t>
  </si>
  <si>
    <t>#7# purified recombinant enzyme in presence of colipase at  pH 8.8 &lt;186&gt;</t>
  </si>
  <si>
    <t>#7# purified recombinant wild-type enzyme &lt;137&gt;</t>
  </si>
  <si>
    <t>#118# purified recombinant enzyme, substrate  4-nitrophenyl caproate &lt;60&gt;; #7# purified recombinant wild-type enzyme, substrate triolein &lt;71&gt;; #202# purified recombinant mutant G311K, substrate tributyrin &lt;206&gt;</t>
  </si>
  <si>
    <t>#7# purified gastric lipase, liquid test meal &lt;80&gt;; #36#  wild type enzyme from culture supernatant, pH 8.0, 37°C &lt;316&gt;</t>
  </si>
  <si>
    <t>#7# purified pancreaic lipase, substrate tributyrin  &lt;80&gt;; #50# purified pancreatic lipase Nc and Cc domains in the presence of colipase and 0.1 mM sodium taurodeoxycholate, incubation with colipase prior to activity assay &lt;174&gt;</t>
  </si>
  <si>
    <t>#71# purified enzyme, substrate poly(oxyethylene</t>
  </si>
  <si>
    <t>#71# purified enzyme, substrate triolein &lt;73&gt;</t>
  </si>
  <si>
    <t>#72# purified isozyme LIP I, substrate triolein, 30°C &lt;130&gt;</t>
  </si>
  <si>
    <t>#72# purified isozyme LIP II, substrate triolein, 30°C  &lt;130&gt;</t>
  </si>
  <si>
    <t>#72# purified isozyme LIP II, substrate 4-nitrophenyl  laurate, 22°C &lt;130&gt;</t>
  </si>
  <si>
    <t>#72# purified isozyme LIP I, substrate 4-nitrophenyl  laurate, 22°C &lt;130&gt;; #95# crude extract, pH 8.0, 30°C &lt;306&gt;</t>
  </si>
  <si>
    <t>#79# partially purified isozyme CPL-Taiwan, substrate olive  oil &lt;149&gt;</t>
  </si>
  <si>
    <t>#79# partially purified isozyme CPL, substrate olive oil  &lt;149&gt;</t>
  </si>
  <si>
    <t>#79# partially purified isozyme CPL-Indo, substrate olive  oil &lt;149&gt;</t>
  </si>
  <si>
    <t>#79# after precipitation with 50% acetate &lt;236&gt;</t>
  </si>
  <si>
    <t>#79# after precipitation with 40-80% ammonium sulfate  &lt;236&gt;</t>
  </si>
  <si>
    <t>#79# crude extract &lt;236&gt;</t>
  </si>
  <si>
    <t>#113# purified BTID-A &lt;72&gt;; #79# partially purified  isozyme CPL-China, substrate olive oil &lt;149&gt;</t>
  </si>
  <si>
    <t>#100# purified recombinant His-tagged mutant D290A,  substrate tributyrin or olive oil &lt;204&gt;; #80# after 8.47fold purification, using 4-nitrophenyl acetate as substrate, at 30°C, pH 7.5 &lt;294&gt;</t>
  </si>
  <si>
    <t>#82# commercial preparation &lt;192&gt;</t>
  </si>
  <si>
    <t>#84# enzyme from crude supernatant &lt;220&gt;</t>
  </si>
  <si>
    <t>#84# enzyme after 3.4fold purification &lt;220&gt;</t>
  </si>
  <si>
    <t>#88# purified enzyme, using tributyrin as substrate, at pH  8.0 at 30°C &lt;303&gt;</t>
  </si>
  <si>
    <t>#88# purified enzyme, using 1-naphthyl acetate as substrate,  at pH 8.0 at 30°C &lt;303&gt;</t>
  </si>
  <si>
    <t>#88# purified enzyme, using 2-naphthyl caprylate as  substrate, at pH 8.0 at 30°C &lt;303&gt;</t>
  </si>
  <si>
    <t>#88# purified enzyme, using 2-naphthyl acetate as substrate,  at pH 8.0 at 30°C &lt;303&gt;</t>
  </si>
  <si>
    <t>#88# crude extract, using triolein as substrate, at pH 8.0  at 30°C &lt;303&gt;</t>
  </si>
  <si>
    <t>#88# after 58.25fold purification, using triolein as  substrate, at pH 8.0 at 30°C &lt;303&gt;</t>
  </si>
  <si>
    <t>#88# purified enzyme, using tripalmitin as substrate, at pH  8.0 at 30°C &lt;303&gt;</t>
  </si>
  <si>
    <t>#88# purified enzyme, using tristearin as substrate, at pH  8.0 at 30°C &lt;303&gt;</t>
  </si>
  <si>
    <t>#9# after 23.33fold purification, with tributyrin as  substrate, at pH 8.0 and 37°C &lt;348&gt;</t>
  </si>
  <si>
    <t>#9# commercial preparation &lt;192&gt;</t>
  </si>
  <si>
    <t>#118# purified recombinant enzyme, substrate 4-nitrophenyl  palmitate &lt;60&gt;; #9# supernatant, with tributyrin as substrate, at pH 8.0 and 37°C &lt;348&gt;</t>
  </si>
  <si>
    <t>#94# purified enzyme &lt;92&gt;</t>
  </si>
  <si>
    <t>#96# fat body &lt;129&gt;</t>
  </si>
  <si>
    <t>#97# purified recombinant enzyme &lt;158&gt;</t>
  </si>
  <si>
    <t>#1# purified enzyme &lt;58&gt;</t>
  </si>
  <si>
    <t>#10# purified enzyme &lt;27&gt;</t>
  </si>
  <si>
    <t>#10# purified enzyme &lt;28&gt;</t>
  </si>
  <si>
    <t>#13# purified enzyme, without acceptor &lt;30&gt;</t>
  </si>
  <si>
    <t>#19# purified enzyme &lt;66&gt;</t>
  </si>
  <si>
    <t>#21# mutant derived from truncation of 129 bp at the 5 end,  pH 8.0, 40°C &lt;181&gt;</t>
  </si>
  <si>
    <t>#21# mutant derived from truncation of 132 bp at the 5 end,  pH 8.0, 40°C &lt;181&gt;</t>
  </si>
  <si>
    <t>#21# mutant T399S, pH 8.0, 40°C &lt;182&gt;</t>
  </si>
  <si>
    <t>#21# mutant T417S, pH 8.0, 40°C &lt;182&gt;</t>
  </si>
  <si>
    <t>#21# wild-type, pH 8.0, 40°C &lt;182&gt;</t>
  </si>
  <si>
    <t>#21# wild-type, pH 8.0, 40°C &lt;181&gt;</t>
  </si>
  <si>
    <t>#22# purified isoform II, transpeptidation &lt;71&gt;</t>
  </si>
  <si>
    <t>#22# purified isoform I, transpeptidation &lt;71&gt;</t>
  </si>
  <si>
    <t>#22# purified isoform II, hydrolase reaction &lt;71&gt;</t>
  </si>
  <si>
    <t>#22# purified isoform I, hydrolase reaction &lt;71&gt;</t>
  </si>
  <si>
    <t>#23# purified recombinant extracellular enzyme, pH 9.0,  40°C, substrate L-gamma-glutamyl-4-nitroanilide &lt;231&gt;</t>
  </si>
  <si>
    <t>#24# hydrolysis of glutathione &lt;99&gt;</t>
  </si>
  <si>
    <t>#26# enzyme form GGT A &lt;94&gt;</t>
  </si>
  <si>
    <t>#26# enzyme form GGT B &lt;94&gt;</t>
  </si>
  <si>
    <t>#26# enzyme form GGT I &lt;94&gt;; #26# enzyme form GGT II &lt;94&gt;</t>
  </si>
  <si>
    <t>#28# isoform I &lt;88&gt;</t>
  </si>
  <si>
    <t>#3# transpeptidation &lt;82&gt;</t>
  </si>
  <si>
    <t>#3# purified enzyme &lt;47&gt;</t>
  </si>
  <si>
    <t>#3# hydrolysis &lt;82&gt;</t>
  </si>
  <si>
    <t>#3# purified recombinant His-tagged enzyme, pH 8.0, 37°C  &lt;226&gt;</t>
  </si>
  <si>
    <t>#6# assay method &lt;37,38&gt;; #3,7,19#  activities with diverse substrates &lt;34,47,66&gt;; #7# activity in subcellular fractions &lt;24&gt;; #7# activity in induced diabetic rats is higher than in control rats and higher in male than in female rats &lt;73&gt;; #7# activity during developmental stages in lung epithelial cells type I and II &lt;64&gt;; #6# poor comparability of routine gamma-glutamyltransferase activity measurement. gamma-Glutamyltransferase assays are standardized by intermethod calibration. Effect on determining common reference limits &lt;123&gt;; #72# quantitation of dipeptides and amino acids by HPLC in whole-cell assays &lt;232&gt;</t>
  </si>
  <si>
    <t>#31# purified enzyme &lt;54&gt;</t>
  </si>
  <si>
    <t>#33# purified enzyme &lt;72&gt;</t>
  </si>
  <si>
    <t>#4# partially purified milk fat-globule membrane enzyme &lt;26&gt;</t>
  </si>
  <si>
    <t>#41# partially purified viral enzyme &lt;26&gt;</t>
  </si>
  <si>
    <t>#42# purified enzyme &lt;63&gt;</t>
  </si>
  <si>
    <t>#5# purified isozymes A and B &lt;48&gt;</t>
  </si>
  <si>
    <t>#52# purified recombinant His6-tagged enzyme, substrates  L-gamma-glutamyl-4-nitroanilide and glycylglycine, pH 9.0, 40°C &lt;235&gt;</t>
  </si>
  <si>
    <t>#58# measured in jejunal mucosa after treatment with dietary  glutamine in DMBA-treated rats without tumor &lt;171&gt;</t>
  </si>
  <si>
    <t>#58# measured in jejunal mucosa after treatment with dietary  glutamine in normal rats &lt;171&gt;</t>
  </si>
  <si>
    <t>#58# measured in tumor tissue &lt;171&gt;</t>
  </si>
  <si>
    <t>#58# measured in tumor tissue after treatment with dietary  glutamine &lt;171&gt;</t>
  </si>
  <si>
    <t>#58# measured in jejunal mucosa after treatment with dietary  glutamine in DMBA-treated rats with tumor &lt;171&gt;</t>
  </si>
  <si>
    <t>#58# measured in jejunal mucosa in normal rats &lt;171&gt;;  #76# about, recombinant enzyme mutant W385T, pH 10.5, 30°C, transpeptidation activity &lt;220&gt;</t>
  </si>
  <si>
    <t>#59# truncation mutant lacking 17 amino acids at the  N-terminus, pH 9.0, 40°C &lt;188&gt;</t>
  </si>
  <si>
    <t>#59# wild-type, pH 9.0, 40°C &lt;188&gt;</t>
  </si>
  <si>
    <t>#59# mutant S463T, pH 9.0, 37°C &lt;187&gt;</t>
  </si>
  <si>
    <t>#59# wild-type, pH 9.0, 37°C &lt;187&gt;</t>
  </si>
  <si>
    <t>#59# truncation mutant lacking 11 amino acids at the  N-terminus, pH 9.0, 40°C &lt;188&gt;</t>
  </si>
  <si>
    <t>#6# purified recombinant wild-type enzyme &lt;65,67&gt;</t>
  </si>
  <si>
    <t>#6# purified enzyme &lt;42&gt;</t>
  </si>
  <si>
    <t>#6# purified recombinant mutant H383A &lt;67&gt;</t>
  </si>
  <si>
    <t>#6# purified enzyme from liver &lt;43&gt;</t>
  </si>
  <si>
    <t>#6# purified recombinant mutant enzyme &lt;65&gt;</t>
  </si>
  <si>
    <t>#6# purified enzyme &lt;44&gt;</t>
  </si>
  <si>
    <t>#6# purified recombinant mutant H505A &lt;67&gt;</t>
  </si>
  <si>
    <t>#6# purified enzyme &lt;46&gt;</t>
  </si>
  <si>
    <t>#6# purified enzyme, normal and cirrhotic liver &lt;60&gt;</t>
  </si>
  <si>
    <t>#6# purified enzyme &lt;45&gt;</t>
  </si>
  <si>
    <t>#6# purified enzyme of cellular hepatic carcinoma &lt;60&gt;</t>
  </si>
  <si>
    <t>#6# purified enzyme &lt;41&gt;</t>
  </si>
  <si>
    <t>#6,18# purified enzyme &lt;39,50&gt;; #58# measured in  jejunal mucosa in DMBA-treated rats without tumor &lt;171&gt;; #76# about, recombinant enzyme mutant W525A, pH 10.5, 30°C, transpeptidation activity &lt;220&gt;</t>
  </si>
  <si>
    <t>#6# purified recombinant mutant H383A/H505A &lt;67&gt;; #58#  measured in jejunal mucosa in DMBA-treated rats wiht tumor &lt;171&gt;</t>
  </si>
  <si>
    <t>#6# hepatoma &lt;43&gt;</t>
  </si>
  <si>
    <t>#62# purified recombinant His6-tagged enzyme, substrates  L-gamma-glutamyl-4-nitroanilide and glycylglycine, pH 9.0, 40°C &lt;235&gt;</t>
  </si>
  <si>
    <t>#66# purified free enzyme, pH and temperature not  specified in the publication &lt;229&gt;</t>
  </si>
  <si>
    <t>#7# partially purified enzyme from liver &lt;21&gt;</t>
  </si>
  <si>
    <t>#7# purified enzyme &lt;17&gt;</t>
  </si>
  <si>
    <t>#7# purified enzyme from biliary tract &lt;21&gt;</t>
  </si>
  <si>
    <t>#7# purified enzyme from mammary carcinoma &lt;18&gt;</t>
  </si>
  <si>
    <t>#7# purified enzyme &lt;23&gt;</t>
  </si>
  <si>
    <t>#7# purified enzyme &lt;40&gt;</t>
  </si>
  <si>
    <t>#7# purified papain solubilized kidney enzyme &lt;35&gt;</t>
  </si>
  <si>
    <t>#7# purified Triton X-100 solubilized kidney enzyme &lt;35&gt;</t>
  </si>
  <si>
    <t>#7# kidney &lt;3&gt;</t>
  </si>
  <si>
    <t>#7# purified enzyme &lt;33&gt;</t>
  </si>
  <si>
    <t>#7# purified enzyme &lt;24&gt;</t>
  </si>
  <si>
    <t>#7# partially purified from mammary gland &lt;18&gt;; #21# mutant  derived from truncation of 36 bp at the 5 end, pH 8.0, 40°C &lt;181&gt;</t>
  </si>
  <si>
    <t>#71# purified recombinant mutant G482E, pH 9.0, 40°C &lt;227&gt;</t>
  </si>
  <si>
    <t>#71# purified recombinant wild-type enzyme, pH 9.0, 40°C  &lt;227&gt;</t>
  </si>
  <si>
    <t>#71# purified recombinant mutant G482A, pH 9.0, 40°C &lt;227&gt;</t>
  </si>
  <si>
    <t>#71# purified recombinant mutant G481E, pH 9.0, 40°C &lt;227&gt;</t>
  </si>
  <si>
    <t>#71# purified recombinant mutant G481A, pH 9.0, 40°C &lt;227&gt;</t>
  </si>
  <si>
    <t>#73# purified recombinant His6-tagged enzyme, substrates  L-gamma-glutamyl-4-nitroanilide and glycylglycine, pH 9.0, 40°C &lt;235&gt;</t>
  </si>
  <si>
    <t>#74# purified recombinant His6-tagged enzyme, substrates  L-gamma-glutamyl-4-nitroanilide and glycylglycine, pH 9.0, 40°C &lt;235&gt;</t>
  </si>
  <si>
    <t>#76# about, recombinant wild-type enzyme, pH 10.5, 30°C,  transpeptidation activity &lt;220&gt;</t>
  </si>
  <si>
    <t>#76# about, recombinant enzyme mutant F417Y, pH 10.5, 30°C,  transpeptidation activity &lt;220&gt;</t>
  </si>
  <si>
    <t>#78# purified enzyme, pH 8.0, 37°C &lt;233&gt;</t>
  </si>
  <si>
    <t>#12# crude extract, using L-alanine as substrate, at pH 9.0  and 37°C &lt;97&gt;</t>
  </si>
  <si>
    <t>#12# after 3.7fold purification, using L-isoleucine as  substrate, at pH 9.0 and 37°C &lt;97&gt;</t>
  </si>
  <si>
    <t>#12# after 3.7fold purification, using L-alanine as  substrate, at pH 9.0 and 37°C &lt;97&gt;</t>
  </si>
  <si>
    <t>#38# at 37°C &lt;90&gt;</t>
  </si>
  <si>
    <t>#4# L-alanine &lt;65&gt;</t>
  </si>
  <si>
    <t>#40# L-Ala, 30°C &lt;33&gt;</t>
  </si>
  <si>
    <t>#44# L-Ala, 0°C &lt;32&gt;</t>
  </si>
  <si>
    <t>#54# in presence of 50 mM L-alanine with a 5.0% yield &lt;76&gt;</t>
  </si>
  <si>
    <t>#6,33# assay method based on circular dichroism  spectra of D- and L-alanine &lt;55&gt;; #27# 288 units/mg &lt;71&gt;; #59# Vmax of racemization of L- to D-alanine is 101 micromol/min/mg &lt;91&gt;</t>
  </si>
  <si>
    <t>#62# substrate is L-alanine &lt;92&gt;</t>
  </si>
  <si>
    <t>#62# substrate is D-alanine &lt;92&gt;</t>
  </si>
  <si>
    <t>#76# purified recombinant wild-type enzyme, pH 11.0, 70°C  &lt;105&gt;</t>
  </si>
  <si>
    <t>#83# purified recombinant His-tagged wild-type enzyme, pH  7.0, 30°C &lt;121&gt;</t>
  </si>
  <si>
    <t>#83# purified recombinant His-tagged mutant A131K enzyme,  pH 7.0, 30°C &lt;121&gt;</t>
  </si>
  <si>
    <t>#84# racemization of L- to D-Ala, purified enzyme, pH 7.0,  22°C &lt;112&gt;</t>
  </si>
  <si>
    <t>#84# racemization of D- to L-Ala, purified enzyme, pH 7.0,  22°C &lt;112&gt;</t>
  </si>
  <si>
    <t>#88# substrate: L-alanine, pH and temperature not specified  in the publication &lt;127&gt;</t>
  </si>
  <si>
    <t>#88# substrate: D-alanine, pH and temperature not specified  in the publication &lt;127&gt;</t>
  </si>
  <si>
    <t>#19# substrate L-O-phosphoserine, presence of 1 mM Mn2+ &lt;26&gt;</t>
  </si>
  <si>
    <t>#19# substrate L-O-phosphoserine, presence of 5 mM Mg2+  &lt;26&gt;</t>
  </si>
  <si>
    <t>#20# aluminum fluoride transition state analogs (TSA</t>
  </si>
  <si>
    <t>#25# substrate L-phosphoserine, pH 8.0, 70°C &lt;38&gt;</t>
  </si>
  <si>
    <t>#26# substrate L-phosphoserine, pH 8.0, 70°C &lt;38&gt;</t>
  </si>
  <si>
    <t>#34# substrate O-phospho-L-threonine, pH 7, 70°C &lt;47&gt;</t>
  </si>
  <si>
    <t>#34# substrate O-phospho-L-serine, pH 7, 70°C &lt;47&gt;</t>
  </si>
  <si>
    <t>#10# extract supernatant &lt;14&gt;</t>
  </si>
  <si>
    <t>#10# purification step SP-Sepharose HP &lt;14&gt;</t>
  </si>
  <si>
    <t>#10# after ammonium sulfate precipitation &lt;14&gt;</t>
  </si>
  <si>
    <t>#10# purification step Sephadex G-75 &lt;14&gt;</t>
  </si>
  <si>
    <t>#6# pH 8.5 &lt;2&gt;</t>
  </si>
  <si>
    <t>#1,4,5,6,7,10,13,16# overview &lt;8&gt;</t>
  </si>
  <si>
    <t>#20# with phosphoethanolamine as substrate &lt;6&gt;</t>
  </si>
  <si>
    <t>#20# with phosphodimethylethanolamine as substrate &lt;6&gt;</t>
  </si>
  <si>
    <t>#3# purified enzyme &lt;11&gt;</t>
  </si>
  <si>
    <t>#3# purified enzyme &lt;1&gt;</t>
  </si>
  <si>
    <t>#14# purified enzyme &lt;19&gt;; #14# purified recombinant enzyme  &lt;24&gt;</t>
  </si>
  <si>
    <t>#16# substrate 5-methyladenosine or  5-deoxy-5-(hydroxyethylthio</t>
  </si>
  <si>
    <t>#16# substrate  2-amino-5-deoxy-5-(hydroxyethylthio</t>
  </si>
  <si>
    <t>#16# substrate  2-fluoro-5-deoxy-5-(hydroxyethylthio</t>
  </si>
  <si>
    <t>#16# substrate 5-deoxy-5-(hydroxyethylthio</t>
  </si>
  <si>
    <t>#17# purified enzyme &lt;2&gt;</t>
  </si>
  <si>
    <t>#17# purified enzyme &lt;14&gt;</t>
  </si>
  <si>
    <t>#22# with 5-phenylthioadenosine as substrate &lt;47&gt;</t>
  </si>
  <si>
    <t>#22# with 5-methylthioadenosine as substrate &lt;47&gt;</t>
  </si>
  <si>
    <t>#22# with 5-choroadenosine as substrate &lt;47&gt;</t>
  </si>
  <si>
    <t>#22# with 5-iodoadenosine as substrate &lt;47&gt;</t>
  </si>
  <si>
    <t>#22# with 5-isobutylthioadenosine as substrate &lt;47&gt;</t>
  </si>
  <si>
    <t>#22# with 5-butylthioadenosine as substrate &lt;47&gt;</t>
  </si>
  <si>
    <t>#22# with 5-ethylthioadenosine as substrate &lt;47&gt;</t>
  </si>
  <si>
    <t>#23# with 5-methylthioadenosine as substrate &lt;47&gt;</t>
  </si>
  <si>
    <t>#23# with adenosine as substrate &lt;47&gt;</t>
  </si>
  <si>
    <t>#23# with 5-butylthioadenosine as substrate &lt;47&gt;</t>
  </si>
  <si>
    <t>#23# with 5-phenylthioadenosine as substrate &lt;47&gt;</t>
  </si>
  <si>
    <t>#23# with 5-ethylthioadenosine as substrate &lt;47&gt;</t>
  </si>
  <si>
    <t>#23# with S-adenosylhomocysteine as substrate &lt;47&gt;</t>
  </si>
  <si>
    <t>#23# with 5-iodoadenosine as substrate &lt;47&gt;</t>
  </si>
  <si>
    <t>#23# with 5-choroadenosine as substrate &lt;47&gt;</t>
  </si>
  <si>
    <t>#23# with 5-isobutylthioadenosine as substrate &lt;47&gt;</t>
  </si>
  <si>
    <t>#24# 70°C, pH 7.4, mutant enzyme C259S/C261S &lt;70&gt;</t>
  </si>
  <si>
    <t>#24# 70°C, pH 7.4, mutant enzyme C262S &lt;70&gt;</t>
  </si>
  <si>
    <t>#24# 70°C, pH 7.4, mutant enzyme  C259S/C261S/C262S/C200S/C205S/C138S/C164S &lt;70&gt;</t>
  </si>
  <si>
    <t>#24# 70°C, pH 7.4, mutant enzyme C259S/C261S/C262S &lt;70&gt;</t>
  </si>
  <si>
    <t>#24# 70°C, pH 7.4, mutant enzyme  C259S/C261S/C262S/C200S/C205S &lt;70&gt;</t>
  </si>
  <si>
    <t>#24# 70°C, pH 7.4, mutant enzyme  C259S/C261S/C262S/C200S/C205S/C138S &lt;70&gt;</t>
  </si>
  <si>
    <t>#24# 70°C, pH 7.4, wild-type enzyme &lt;70&gt;</t>
  </si>
  <si>
    <t>#4# purified recombinant enzyme &lt;21&gt;</t>
  </si>
  <si>
    <t>#4# partially purified enzyme, forward reaction, substrate  5-methylthioadenosine &lt;20&gt;</t>
  </si>
  <si>
    <t>#4# purified enzyme &lt;6&gt;</t>
  </si>
  <si>
    <t>#4# substrate 5-deoxyadenosine, forward reaction &lt;20&gt;</t>
  </si>
  <si>
    <t>#4# purified enzyme &lt;15&gt;</t>
  </si>
  <si>
    <t>#4# purified enzyme &lt;17&gt;</t>
  </si>
  <si>
    <t>#5# kinetics &lt;3&gt;; #4# substrate specificity &lt;20&gt;</t>
  </si>
  <si>
    <t>#5# purified enzyme &lt;16&gt;</t>
  </si>
  <si>
    <t>#5# partially purified enzyme &lt;1&gt;</t>
  </si>
  <si>
    <t>#9# purified enzyme &lt;31&gt;</t>
  </si>
  <si>
    <t>#1# purified enzyme &lt;13&gt;</t>
  </si>
  <si>
    <t>#10# crude cell extract, pH 7.5, temperature not specified  in the publication &lt;53&gt;</t>
  </si>
  <si>
    <t>#11# crude cell extract, pH 7.5, temperature not specified  in the publication &lt;53&gt;</t>
  </si>
  <si>
    <t>#18# purified enzyme &lt;21&gt;</t>
  </si>
  <si>
    <t>#20# purified enzyme &lt;9&gt;</t>
  </si>
  <si>
    <t>#22# purified enzyme &lt;18&gt;</t>
  </si>
  <si>
    <t>#3# purified enzyme &lt;4&gt;; #41# purified recombinant enzyme,  pH and temperature not specified in the publication &lt;67&gt;</t>
  </si>
  <si>
    <t>#4# wild-type MN9D cells &lt;46&gt;</t>
  </si>
  <si>
    <t>#4# purified enzyme &lt;7&gt;</t>
  </si>
  <si>
    <t>#4# purified enzyme &lt;5,8&gt;</t>
  </si>
  <si>
    <t>#4# HPRT F199C mutant erythrocytes &lt;45&gt;</t>
  </si>
  <si>
    <t>#4# wild-type erythrocytes &lt;45&gt;</t>
  </si>
  <si>
    <t>#27# wild-type and mutant &lt;23&gt;; #4# APRT activity  in HPRT-deficient MN9D mutant cells, overview &lt;46&gt;; #4,5# enzyme activity in erythrocyte lysate in presence or absence of Pb2+, overview &lt;48&gt;</t>
  </si>
  <si>
    <t>#40# substrate 2-chloroadenine, pH 8.0, 70°C, recombinant  enzyme &lt;58&gt;</t>
  </si>
  <si>
    <t>#40# purified recombinant enzyme, pH 8.5, 70°C, substrate  adenine &lt;57&gt;</t>
  </si>
  <si>
    <t>#40# substrate 2-fluoroadenine, pH 8.0, 70°C, recombinant  enzyme &lt;58&gt;</t>
  </si>
  <si>
    <t>#40# substrate 6-methylpurine, pH 8.0, 70°C, recombinant  enzyme &lt;58&gt;</t>
  </si>
  <si>
    <t>#40# substrate 6-methoxyguanine, pH 8.0, 70°C, recombinant  enzyme &lt;58&gt;</t>
  </si>
  <si>
    <t>#40# substrate 2,6-diaminopurine, pH 8.0, 70°C, recombinant  enzyme &lt;58&gt;</t>
  </si>
  <si>
    <t>#44# recombinant wild-type enzyme, pH 7.5, 30-34°C &lt;61&gt;</t>
  </si>
  <si>
    <t>#44# recombinant mutant F23A enzyme, pH 7.5, 30-34°C &lt;61&gt;</t>
  </si>
  <si>
    <t>#5# purified enzyme &lt;6,12&gt;</t>
  </si>
  <si>
    <t>#6# purified enzyme &lt;25&gt;</t>
  </si>
  <si>
    <t>#9# purified enzyme, pH 8.8, 37°C &lt;3&gt;</t>
  </si>
  <si>
    <t>315</t>
  </si>
  <si>
    <t>297</t>
  </si>
  <si>
    <t>93</t>
  </si>
  <si>
    <t>392</t>
  </si>
  <si>
    <t>301</t>
  </si>
  <si>
    <t>389</t>
  </si>
  <si>
    <t>125</t>
  </si>
  <si>
    <t>156</t>
  </si>
  <si>
    <t>157</t>
  </si>
  <si>
    <t>177</t>
  </si>
  <si>
    <t>188</t>
  </si>
  <si>
    <t>164</t>
  </si>
  <si>
    <t>87</t>
  </si>
  <si>
    <t>211</t>
  </si>
  <si>
    <t>243</t>
  </si>
  <si>
    <t>217</t>
  </si>
  <si>
    <t>380</t>
  </si>
  <si>
    <t>180</t>
  </si>
  <si>
    <t>154</t>
  </si>
  <si>
    <t>394</t>
  </si>
  <si>
    <t>358</t>
  </si>
  <si>
    <t>366</t>
  </si>
  <si>
    <t>393</t>
  </si>
  <si>
    <t>379</t>
  </si>
  <si>
    <t>386</t>
  </si>
  <si>
    <t>370</t>
  </si>
  <si>
    <t>408</t>
  </si>
  <si>
    <t>271</t>
  </si>
  <si>
    <t>190</t>
  </si>
  <si>
    <t>270</t>
  </si>
  <si>
    <t>189</t>
  </si>
  <si>
    <t>200</t>
  </si>
  <si>
    <t>152</t>
  </si>
  <si>
    <t>316</t>
  </si>
  <si>
    <t>388</t>
  </si>
  <si>
    <t>62</t>
  </si>
  <si>
    <t>78</t>
  </si>
  <si>
    <t>174</t>
  </si>
  <si>
    <t>207</t>
  </si>
  <si>
    <t>249</t>
  </si>
  <si>
    <t>79</t>
  </si>
  <si>
    <t>186</t>
  </si>
  <si>
    <t>137</t>
  </si>
  <si>
    <t>149</t>
  </si>
  <si>
    <t>192</t>
  </si>
  <si>
    <t>348</t>
  </si>
  <si>
    <t>158</t>
  </si>
  <si>
    <t>101</t>
  </si>
  <si>
    <t>37,38</t>
  </si>
  <si>
    <t>107</t>
  </si>
  <si>
    <t>235</t>
  </si>
  <si>
    <t>65,67</t>
  </si>
  <si>
    <t>39,50</t>
  </si>
  <si>
    <t>229</t>
  </si>
  <si>
    <t>227</t>
  </si>
  <si>
    <t>121</t>
  </si>
  <si>
    <t>112</t>
  </si>
  <si>
    <t>3,4</t>
  </si>
  <si>
    <t>7,17</t>
  </si>
  <si>
    <t>5,8</t>
  </si>
  <si>
    <t>6,12</t>
  </si>
  <si>
    <t>SA</t>
  </si>
  <si>
    <t>umol/min/mg</t>
  </si>
  <si>
    <t>Ralstonia sp.</t>
  </si>
  <si>
    <t>Hyphopichia burtonii</t>
  </si>
  <si>
    <t>Cordyceps militaris</t>
  </si>
  <si>
    <t>Neurospora crassa</t>
  </si>
  <si>
    <t>Jacaranda mimosifolia</t>
  </si>
  <si>
    <t>Trichoderma reesei</t>
  </si>
  <si>
    <t>Acinetobacter calcoaceticus (</t>
  </si>
  <si>
    <t>Proteus vulgaris</t>
  </si>
  <si>
    <t>Staphylococcus epidermidis</t>
  </si>
  <si>
    <t>Cupriavidus necator</t>
  </si>
  <si>
    <t>Helianthus annuus</t>
  </si>
  <si>
    <t>Rhodotorula mucilaginosa (</t>
  </si>
  <si>
    <t>Penicillium cyclopium (</t>
  </si>
  <si>
    <t>Thermomyces lanuginosus (</t>
  </si>
  <si>
    <t>Fusarium graminearum</t>
  </si>
  <si>
    <t>Marthasterias glacialis</t>
  </si>
  <si>
    <t>Geobacillus thermodenitrificans</t>
  </si>
  <si>
    <t>Morchella esculenta</t>
  </si>
  <si>
    <t>Blighia sapida</t>
  </si>
  <si>
    <t>Penaeus japonicus</t>
  </si>
  <si>
    <t>Bipolaris zeicola</t>
  </si>
  <si>
    <t>Symbiobacterium thermophilum</t>
  </si>
  <si>
    <t>Zea mays</t>
  </si>
  <si>
    <t>30000</t>
  </si>
  <si>
    <t>50000</t>
  </si>
  <si>
    <t>32500</t>
  </si>
  <si>
    <t>45500</t>
  </si>
  <si>
    <t>85000</t>
  </si>
  <si>
    <t>55000</t>
  </si>
  <si>
    <t>44000</t>
  </si>
  <si>
    <t>51000</t>
  </si>
  <si>
    <t>18000</t>
  </si>
  <si>
    <t>69000</t>
  </si>
  <si>
    <t>68000</t>
  </si>
  <si>
    <t>66000</t>
  </si>
  <si>
    <t>143000</t>
  </si>
  <si>
    <t>158000</t>
  </si>
  <si>
    <t>48900</t>
  </si>
  <si>
    <t>49000</t>
  </si>
  <si>
    <t>40000</t>
  </si>
  <si>
    <t>42000</t>
  </si>
  <si>
    <t>62500</t>
  </si>
  <si>
    <t>29000</t>
  </si>
  <si>
    <t>57000</t>
  </si>
  <si>
    <t>49401</t>
  </si>
  <si>
    <t>64978</t>
  </si>
  <si>
    <t>35210</t>
  </si>
  <si>
    <t>54000</t>
  </si>
  <si>
    <t>27000</t>
  </si>
  <si>
    <t>29500</t>
  </si>
  <si>
    <t>33385</t>
  </si>
  <si>
    <t>35500</t>
  </si>
  <si>
    <t>32200</t>
  </si>
  <si>
    <t>46200</t>
  </si>
  <si>
    <t>26970</t>
  </si>
  <si>
    <t>90000</t>
  </si>
  <si>
    <t>53500</t>
  </si>
  <si>
    <t>37360</t>
  </si>
  <si>
    <t>82000</t>
  </si>
  <si>
    <t>32040</t>
  </si>
  <si>
    <t>31980</t>
  </si>
  <si>
    <t>23980</t>
  </si>
  <si>
    <t>41200</t>
  </si>
  <si>
    <t>43000</t>
  </si>
  <si>
    <t>110000</t>
  </si>
  <si>
    <t>100000</t>
  </si>
  <si>
    <t>45900</t>
  </si>
  <si>
    <t>64000</t>
  </si>
  <si>
    <t>23748</t>
  </si>
  <si>
    <t>280000</t>
  </si>
  <si>
    <t>15500</t>
  </si>
  <si>
    <t>840000</t>
  </si>
  <si>
    <t>59400</t>
  </si>
  <si>
    <t>35700</t>
  </si>
  <si>
    <t>54970</t>
  </si>
  <si>
    <t>300000</t>
  </si>
  <si>
    <t>49900</t>
  </si>
  <si>
    <t>33700</t>
  </si>
  <si>
    <t>33000</t>
  </si>
  <si>
    <t>30500</t>
  </si>
  <si>
    <t>140000</t>
  </si>
  <si>
    <t>64900</t>
  </si>
  <si>
    <t>52000</t>
  </si>
  <si>
    <t>65000</t>
  </si>
  <si>
    <t>31000</t>
  </si>
  <si>
    <t>80000</t>
  </si>
  <si>
    <t>46000</t>
  </si>
  <si>
    <t>103000</t>
  </si>
  <si>
    <t>22800</t>
  </si>
  <si>
    <t>46500</t>
  </si>
  <si>
    <t>45000</t>
  </si>
  <si>
    <t>37000</t>
  </si>
  <si>
    <t>81000</t>
  </si>
  <si>
    <t>74800</t>
  </si>
  <si>
    <t>47500</t>
  </si>
  <si>
    <t>19400</t>
  </si>
  <si>
    <t>62000</t>
  </si>
  <si>
    <t>24000</t>
  </si>
  <si>
    <t>38600</t>
  </si>
  <si>
    <t>17000</t>
  </si>
  <si>
    <t>22000</t>
  </si>
  <si>
    <t>9400</t>
  </si>
  <si>
    <t>36680</t>
  </si>
  <si>
    <t>70000</t>
  </si>
  <si>
    <t>118000</t>
  </si>
  <si>
    <t>176000</t>
  </si>
  <si>
    <t>21400</t>
  </si>
  <si>
    <t>34000</t>
  </si>
  <si>
    <t>44600</t>
  </si>
  <si>
    <t>25000</t>
  </si>
  <si>
    <t>117000</t>
  </si>
  <si>
    <t>63000</t>
  </si>
  <si>
    <t>41000</t>
  </si>
  <si>
    <t>67000</t>
  </si>
  <si>
    <t>52343</t>
  </si>
  <si>
    <t>49946</t>
  </si>
  <si>
    <t>32000</t>
  </si>
  <si>
    <t>47000</t>
  </si>
  <si>
    <t>48000</t>
  </si>
  <si>
    <t>150000</t>
  </si>
  <si>
    <t>171000</t>
  </si>
  <si>
    <t>28400</t>
  </si>
  <si>
    <t>26500</t>
  </si>
  <si>
    <t>180000</t>
  </si>
  <si>
    <t>61700</t>
  </si>
  <si>
    <t>53222</t>
  </si>
  <si>
    <t>38000</t>
  </si>
  <si>
    <t>63500</t>
  </si>
  <si>
    <t>196000</t>
  </si>
  <si>
    <t>95260</t>
  </si>
  <si>
    <t>63360</t>
  </si>
  <si>
    <t>36000</t>
  </si>
  <si>
    <t>28000</t>
  </si>
  <si>
    <t>240000</t>
  </si>
  <si>
    <t>59917</t>
  </si>
  <si>
    <t>49859</t>
  </si>
  <si>
    <t>60000</t>
  </si>
  <si>
    <t>35000</t>
  </si>
  <si>
    <t>39000</t>
  </si>
  <si>
    <t>61800</t>
  </si>
  <si>
    <t>58100</t>
  </si>
  <si>
    <t>79600</t>
  </si>
  <si>
    <t>54900</t>
  </si>
  <si>
    <t>34270</t>
  </si>
  <si>
    <t>25500</t>
  </si>
  <si>
    <t>120000</t>
  </si>
  <si>
    <t>58000</t>
  </si>
  <si>
    <t>21000</t>
  </si>
  <si>
    <t>229000</t>
  </si>
  <si>
    <t>320000</t>
  </si>
  <si>
    <t>155000</t>
  </si>
  <si>
    <t>102000</t>
  </si>
  <si>
    <t>219000</t>
  </si>
  <si>
    <t>39200</t>
  </si>
  <si>
    <t>60970</t>
  </si>
  <si>
    <t>65230</t>
  </si>
  <si>
    <t>40475</t>
  </si>
  <si>
    <t>20517</t>
  </si>
  <si>
    <t>78000</t>
  </si>
  <si>
    <t>160000</t>
  </si>
  <si>
    <t>95000</t>
  </si>
  <si>
    <t>500000</t>
  </si>
  <si>
    <t>210000</t>
  </si>
  <si>
    <t>98000</t>
  </si>
  <si>
    <t>53000</t>
  </si>
  <si>
    <t>86000</t>
  </si>
  <si>
    <t>1000000</t>
  </si>
  <si>
    <t>41500</t>
  </si>
  <si>
    <t>2000000</t>
  </si>
  <si>
    <t>14000</t>
  </si>
  <si>
    <t>71000</t>
  </si>
  <si>
    <t>61000</t>
  </si>
  <si>
    <t>200000</t>
  </si>
  <si>
    <t>250000</t>
  </si>
  <si>
    <t>20000</t>
  </si>
  <si>
    <t>12500</t>
  </si>
  <si>
    <t>57330</t>
  </si>
  <si>
    <t>113000</t>
  </si>
  <si>
    <t>64509</t>
  </si>
  <si>
    <t>90100</t>
  </si>
  <si>
    <t>39044</t>
  </si>
  <si>
    <t>39075</t>
  </si>
  <si>
    <t>38337</t>
  </si>
  <si>
    <t>39068</t>
  </si>
  <si>
    <t>42370</t>
  </si>
  <si>
    <t>44220</t>
  </si>
  <si>
    <t>44217</t>
  </si>
  <si>
    <t>38765</t>
  </si>
  <si>
    <t>40100</t>
  </si>
  <si>
    <t>43660</t>
  </si>
  <si>
    <t>41400</t>
  </si>
  <si>
    <t>40500</t>
  </si>
  <si>
    <t>45770</t>
  </si>
  <si>
    <t>72000</t>
  </si>
  <si>
    <t>42500</t>
  </si>
  <si>
    <t>73000</t>
  </si>
  <si>
    <t>39850</t>
  </si>
  <si>
    <t>93000</t>
  </si>
  <si>
    <t>43700</t>
  </si>
  <si>
    <t>43810</t>
  </si>
  <si>
    <t>39152</t>
  </si>
  <si>
    <t>39900</t>
  </si>
  <si>
    <t>43650</t>
  </si>
  <si>
    <t>87000</t>
  </si>
  <si>
    <t>80640</t>
  </si>
  <si>
    <t>78630</t>
  </si>
  <si>
    <t>42700</t>
  </si>
  <si>
    <t>42800</t>
  </si>
  <si>
    <t>46621</t>
  </si>
  <si>
    <t>46605</t>
  </si>
  <si>
    <t>46647</t>
  </si>
  <si>
    <t>86600</t>
  </si>
  <si>
    <t>81090</t>
  </si>
  <si>
    <t>86400</t>
  </si>
  <si>
    <t>80530</t>
  </si>
  <si>
    <t>43341</t>
  </si>
  <si>
    <t>83000</t>
  </si>
  <si>
    <t>39800</t>
  </si>
  <si>
    <t>39700</t>
  </si>
  <si>
    <t>38883</t>
  </si>
  <si>
    <t>38978</t>
  </si>
  <si>
    <t>76000</t>
  </si>
  <si>
    <t>39820</t>
  </si>
  <si>
    <t>24300</t>
  </si>
  <si>
    <t>24500</t>
  </si>
  <si>
    <t>52100</t>
  </si>
  <si>
    <t>52800</t>
  </si>
  <si>
    <t>52817</t>
  </si>
  <si>
    <t>55500</t>
  </si>
  <si>
    <t>49100</t>
  </si>
  <si>
    <t>51655</t>
  </si>
  <si>
    <t>70140</t>
  </si>
  <si>
    <t>72614</t>
  </si>
  <si>
    <t>109000</t>
  </si>
  <si>
    <t>190000</t>
  </si>
  <si>
    <t>59480</t>
  </si>
  <si>
    <t>63480</t>
  </si>
  <si>
    <t>63490</t>
  </si>
  <si>
    <t>63710</t>
  </si>
  <si>
    <t>65520</t>
  </si>
  <si>
    <t>55100</t>
  </si>
  <si>
    <t>52300</t>
  </si>
  <si>
    <t>51900</t>
  </si>
  <si>
    <t>49400</t>
  </si>
  <si>
    <t>53100</t>
  </si>
  <si>
    <t>56100</t>
  </si>
  <si>
    <t>77000</t>
  </si>
  <si>
    <t>49600</t>
  </si>
  <si>
    <t>108000</t>
  </si>
  <si>
    <t>44623</t>
  </si>
  <si>
    <t>89000</t>
  </si>
  <si>
    <t>26000</t>
  </si>
  <si>
    <t>28450</t>
  </si>
  <si>
    <t>27460</t>
  </si>
  <si>
    <t>97000</t>
  </si>
  <si>
    <t>30300</t>
  </si>
  <si>
    <t>24200</t>
  </si>
  <si>
    <t>15000</t>
  </si>
  <si>
    <t>22760</t>
  </si>
  <si>
    <t>38200</t>
  </si>
  <si>
    <t>11100</t>
  </si>
  <si>
    <t>19481</t>
  </si>
  <si>
    <t>17500</t>
  </si>
  <si>
    <t>#4# gel filtration &lt;2&gt;</t>
  </si>
  <si>
    <t>#139,153# gel filtration  &lt;114,161&gt;; #63# SDS-PAGE &lt;230&gt;; #9# gel filtration, ultracentrifugation &lt;7&gt;; #7# HPL &lt;80&gt;; #139# x * 50000, SDS-PAGE &lt;171&gt;; #1# x * 50000, recombinant enzyme, SDS-PAGE &lt;315&gt;; #201# 2 * 50000, native and recombinant enzyme, SDS-PAGE, 2 * 45900, native and recombinant deglycosylated enzyme, SDS-PAGE &lt;154&gt;; #151# x * 50000, LipA, SDS-PAGE, x * 57000, LipB, SDS-PAGE &lt;157&gt;; #7# x * 50000, recombinant enzyme, SDS-PAGE, x * 52343, recombinant glycosylated enzyme, mass spectrometry, x * 49946, recombinant nonglycosylated enzyme, mass spectrometry &lt;186&gt;; #97# x * 50000, about 50000 Da, SDS-PAGE &lt;313&gt;; #42# x * 50000, S154L and S154L/S293L mutant enzymes &lt;307&gt;</t>
  </si>
  <si>
    <t>#102# x * 32500, recombinant enzyme &lt;151&gt;</t>
  </si>
  <si>
    <t>#104# x * 45500, SDS-PAGE &lt;61&gt;</t>
  </si>
  <si>
    <t>#11# 1 * 55000, SDS-PAGE &lt;28&gt;</t>
  </si>
  <si>
    <t>#11# gel filtration &lt;28&gt;</t>
  </si>
  <si>
    <t>#111# gel filtration &lt;66&gt;</t>
  </si>
  <si>
    <t>#113# x * 18000, BTID-A, SDS-PAGE, 1* 43000, BTID-B,  SDS-PAGE &lt;72&gt;</t>
  </si>
  <si>
    <t>#114# native protein, gel filtration &lt;382&gt;; #158# x *  64978, sequence calculation, x * 65000, wild-type enzyme, SDS-PAGE, x * 69000, recombinant His-tagged enzyme &lt;188&gt;</t>
  </si>
  <si>
    <t>#118# gel filtration &lt;60&gt;</t>
  </si>
  <si>
    <t>#118# 1 * 66000, SDS-PAGE &lt;60&gt;</t>
  </si>
  <si>
    <t>#12,224# gel filtration &lt;58,379&gt;</t>
  </si>
  <si>
    <t>#120# gel filtration &lt;63&gt;</t>
  </si>
  <si>
    <t>#123# x * 48900, Lip1, sequence calculation, x *  49100-54000, Lip2, sequence calculation and SDS-PAGE &lt;77&gt;</t>
  </si>
  <si>
    <t>#129# 1 * 44000, SDS-PAGE &lt;301&gt;</t>
  </si>
  <si>
    <t>#13# x * 49000, SDS-PAGE &lt;18&gt;</t>
  </si>
  <si>
    <t>#13# gel filtration &lt;29&gt;; #21# SDS-PAGE  &lt;230&gt;; #177# mature lipase, SDS-PAGE &lt;261&gt;; #17,55,101# x * 40000, SDS-PAGE &lt;74,327,349&gt;; #23# x * 40000, about, SDS-PAGE &lt;106&gt;</t>
  </si>
  <si>
    <t>#177# mature lipase, calculated from amino acid  sequence &lt;261&gt;; #29# x * 42000, SDS-PAGE &lt;200&gt;; #13# 1 * 42000, SDS-PAGE &lt;29&gt;</t>
  </si>
  <si>
    <t>#14# x * 62500, SDS-PAGE &lt;86&gt;</t>
  </si>
  <si>
    <t>#15,23,89,117# gel  filtration &lt;49,67,82,141&gt;; #52# recombinant enzyme, SDS-PAGE &lt;221&gt;; #184,185# SDS-PAGE analysis of proteins in the culture supernatant clearly indicates that a polypeptide of 29 kDa is the major protein induced by cutin, suggesting that it might be a candidate for cutinase protein &lt;253&gt;; #122# 1 * 29000, SDS-PAGE &lt;88&gt;; #23# x * 29000, SDS-PAGE &lt;24,57,123,144&gt;; #23# x * 29000, enzyme of strain MB5001, SDS-PAGE, x * 32000, enzyme from strain F-111, SDS-PAGE, x * 30000, enzyme of strain KKA-5, SDS-PAGE &lt;66&gt;; #167# x * 29000, crystal structure &lt;195&gt;; #155# x * 29000, ROLw, SDS-PAGE &lt;177&gt;</t>
  </si>
  <si>
    <t>#177# recombinant biotinylated enzyme, SDS-PAGE &lt;261&gt;;  #151# x * 50000, LipA, SDS-PAGE, x * 57000, LipB, SDS-PAGE &lt;157&gt;</t>
  </si>
  <si>
    <t>#153# 1 * 50000, SDS-PAGE, 1 * 49401, sequence calculation  &lt;161&gt;</t>
  </si>
  <si>
    <t>#158# x * 64978, sequence calculation, x * 65000,  wild-type enzyme, SDS-PAGE, x * 69000, recombinant His-tagged enzyme &lt;188&gt;</t>
  </si>
  <si>
    <t>#159# x * 35210, sequence calculation, x * 35000,  recombinant enzyme, SDS-PAGE &lt;187&gt;</t>
  </si>
  <si>
    <t>#16# gel filtration &lt;23&gt;; #23,211# x * 54000,  SDS-PAGE &lt;181,338&gt;; #89# 2 * 54000, SDS-PAGE &lt;17&gt;</t>
  </si>
  <si>
    <t>#73# SDS-PAGE &lt;235&gt;; #89# lipase A, gel  filtration &lt;33&gt;; #94# about, native PAGE &lt;92&gt;; #16# 2 * 27000, SDS-PAGE &lt;23&gt;; #149# x * 27000, SDS-PAGE &lt;184&gt;</t>
  </si>
  <si>
    <t>#162# SSF and SmF lipases, gel filtration &lt;194&gt;</t>
  </si>
  <si>
    <t>#163# x * 38000, SDS-PAGE, x * 36874-38481, four  glycosylated isozymes, mass spectrometry, x * 33385, nonglycosylated enzyme, mass spectrometry &lt;164&gt;</t>
  </si>
  <si>
    <t>#17# gel filtration &lt;87&gt;</t>
  </si>
  <si>
    <t>#17# 1 * 32200, MALDI-TOF mass spectrometry &lt;229&gt;</t>
  </si>
  <si>
    <t>#173# calculated from amino acid sequence &lt;211&gt;</t>
  </si>
  <si>
    <t>#174# SCO7513, estimated molecular weight &lt;242&gt;</t>
  </si>
  <si>
    <t>#175# SDS-PAGE, MBP-lipase as fusion protein &lt;241&gt;</t>
  </si>
  <si>
    <t>#178# calculated from sequence of cDNA &lt;263&gt;</t>
  </si>
  <si>
    <t>#180# predicted molecular mass of mature native enzyme  &lt;267&gt;</t>
  </si>
  <si>
    <t>#181# dynamic light scattering &lt;272&gt;</t>
  </si>
  <si>
    <t>#181# recombinant protein, calculated from amino acid  sequence &lt;272&gt;</t>
  </si>
  <si>
    <t>#181# recombinant protein, MALDI-TOF spectrometry &lt;272&gt;</t>
  </si>
  <si>
    <t>#182# SCO1725, estimated molecular weight &lt;242&gt;</t>
  </si>
  <si>
    <t>#183# isozyme Lip-2, gel filtration &lt;217&gt;</t>
  </si>
  <si>
    <t>#14# gel filtration &lt;65&gt;;  #101,203# SDS-PAGE &lt;208,273&gt;; #68# monomeric Lip3, gel filtration &lt;79&gt;; #180# mature native enzyme, SDS-PAGE &lt;267&gt;; #2,195# x * 43000, SDS-PAGE &lt;1,291&gt;; #101# x * 43000, recombinant enzyme, SDS-PAGE &lt;95&gt;; #7# x * 47000, wild-type enzyme, SDS-PAGE, x * 43000, lid domain lacking mutant, SDS-PAGE, x * 32000, cap domain lacking mutant, SDS-PAGE &lt;71&gt;; #113# x * 46000, pre-protein, SDS-PAGE, x * 43000, mature LipA, SDS-PAGE &lt;198&gt;; #193# x * 43000, calculated from amino acid sequence &lt;317&gt;</t>
  </si>
  <si>
    <t>#2,89# gel filtration &lt;1,17&gt;; #199# polyacrylamide  gel under nondenaturing conditions &lt;324&gt;</t>
  </si>
  <si>
    <t>#201# native and recombinant enzyme, gel filtration  &lt;154&gt;</t>
  </si>
  <si>
    <t>#201# 2 * 50000, native and recombinant enzyme, SDS-PAGE,  2 * 45900, native and recombinant deglycosylated enzyme, SDS-PAGE &lt;154&gt;</t>
  </si>
  <si>
    <t>#22# gel filtration &lt;84&gt;; #98# x * 64000, recombinant  enzyme, SDS-PAGE &lt;193&gt;</t>
  </si>
  <si>
    <t>#220# matrix-assisted laser  desorption-ionization/time-of-flight mass spectrometry &lt;365&gt;</t>
  </si>
  <si>
    <t>#23# the enzyme tends to form aggregates &lt;141&gt;</t>
  </si>
  <si>
    <t>#23# peak II, gel filtration &lt;144&gt;</t>
  </si>
  <si>
    <t>#23# 1 * 15500, extracellular isozyme 1, SDS-PAGE, 1 *  54970, extracellular isozyme 2, SDS-PAGE &lt;196&gt;</t>
  </si>
  <si>
    <t>#23# peak I, gel filtration &lt;144&gt;</t>
  </si>
  <si>
    <t>#23# x * 59400, SDS-PAGE &lt;197&gt;</t>
  </si>
  <si>
    <t>#23# x * 35700, estimated from SDS-PAGE &lt;293&gt;</t>
  </si>
  <si>
    <t>#91# 1 * 30000, SDS-PAGE &lt;25&gt;; #48,147# x *  30000, SDS-PAGE &lt;57,290&gt;; #23# x * 29000, enzyme of strain MB5001, SDS-PAGE, x * 32000, enzyme from strain F-111, SDS-PAGE, x * 30000, enzyme of strain KKA-5, SDS-PAGE &lt;66&gt;; #24# x * 33000, enzyme from strain KM1-56, SDS-PAGE, x * 30000, extracellular enzyme, SDS-PAGE &lt;66&gt;</t>
  </si>
  <si>
    <t>#23,25# gel filtration &lt;54,197&gt;</t>
  </si>
  <si>
    <t>#97# SDS-PAGE &lt;224&gt;; #38,45,49,52# x  * 33000, SDS-PAGE &lt;20,57,78,299&gt;; #24# x * 33000, enzyme from strain KM1-56, SDS-PAGE, x * 30000, extracellular enzyme, SDS-PAGE &lt;66&gt;; #145# x * 33000, about, sequence calculation &lt;122&gt;; #168# x * 33000, purified recombinant LipAB, SDS-PAGE &lt;191&gt;</t>
  </si>
  <si>
    <t>#27# x * 30500, SDS-PAGE &lt;19&gt;</t>
  </si>
  <si>
    <t>#28# native lipase, gel filtration &lt;270&gt;</t>
  </si>
  <si>
    <t>#28# x * 64900, SDS-PAGE &lt;189&gt;</t>
  </si>
  <si>
    <t>#105# about, gel filtration &lt;172&gt;</t>
  </si>
  <si>
    <t>#28# SDS-PAGE &lt;270&gt;; #3,28,103# x * 65000,  SDS-PAGE &lt;165,292,339&gt;; #158# x * 64978, sequence calculation, x * 65000, wild-type enzyme, SDS-PAGE, x * 69000, recombinant His-tagged enzyme &lt;188&gt;</t>
  </si>
  <si>
    <t>#34# x * 31000, SDS-PAGE &lt;152&gt;; #30,117# 1 *  31000, SDS-PAGE &lt;66,67&gt;; #124# x * 31000, recombinant refolded enzyme, SDS-PAGE &lt;85&gt;</t>
  </si>
  <si>
    <t>#32# recombinant enzyme, gel filtration and native  PAGE &lt;66&gt;</t>
  </si>
  <si>
    <t>#32# 1 * 35000 + 1 * 46000, recombinant enzyme,  SDS-PAGE &lt;66&gt;; #113# x * 46000, pre-protein, SDS-PAGE, x * 43000, mature LipA, SDS-PAGE &lt;198&gt;</t>
  </si>
  <si>
    <t>#34# x * 103000, SDS-PAGE &lt;202&gt;</t>
  </si>
  <si>
    <t>#36# x * 23000, SDS-PAGE &lt;289&gt;</t>
  </si>
  <si>
    <t>#36# x * 22800, calculated from amino acid sequence &lt;289&gt;</t>
  </si>
  <si>
    <t>#36# gel filtration &lt;89&gt;; #183# isozyme Lip-1, gel  filtration &lt;217&gt;</t>
  </si>
  <si>
    <t>#86,148# gel  filtration &lt;119,323&gt;; #179# SDS-PAGE &lt;265&gt;; #120# 4 * 45000, SDS-PAGE &lt;63&gt;; #36,57# 1 * 45000, SDS-PAGE &lt;89,350&gt;; #202# x * 45000, recombinant enzyme, SDS-PAGE &lt;206&gt;; #36# 1 * 45000, strain J33 &lt;66&gt;; #100# x * 45000, recombinant His-tagged enzyme, SDS-PAGE &lt;204&gt;; #204# x * 45000, recombinant LipY, SDS-PAGE &lt;136&gt;; #170# x * 45000, calculated from SDS-PAGE &lt;306&gt;; #93# x * 45000, isoform FGL2, deduced from amino acid sequence &lt;304&gt;</t>
  </si>
  <si>
    <t>#180# mature recombinant protein, SDS-PAGE &lt;267&gt;;  #36# x * 37000, SDS-PAGE &lt;91&gt;; #93# x * 37000, isoform FGL1, deduced from amino acid sequence &lt;304&gt;</t>
  </si>
  <si>
    <t>#37# gel filtration &lt;388&gt;</t>
  </si>
  <si>
    <t>#37# SDS-PAGE &lt;250&gt;; #37# apparent molecular mass,  non-denaturing PAGE &lt;248&gt;</t>
  </si>
  <si>
    <t>#39# x * 47500, recombinant His-tagged enzyme, SDS-PAGE  &lt;124&gt;</t>
  </si>
  <si>
    <t>#4# x * 19400, SDS-PAGE &lt;57&gt;</t>
  </si>
  <si>
    <t>#136# gel filtration &lt;142&gt;; #4# x * 62000, SDS-PAGE x *  24000, SDS-PAGE &lt;155&gt;</t>
  </si>
  <si>
    <t>#91# gel filtration &lt;25&gt;; #61# enzyme form L1 &lt;66&gt;;  #36# x * 24000, SDS-PAGE &lt;316&gt;; #4# x * 62000, SDS-PAGE x * 24000, SDS-PAGE &lt;155&gt;</t>
  </si>
  <si>
    <t>#41# x * 80000, SDS-PAGE &lt;64&gt;</t>
  </si>
  <si>
    <t>#46# x * 38600, calculated from amino acid sequence &lt;331&gt;</t>
  </si>
  <si>
    <t>#51# x * 17000, SDS-PAGE &lt;298&gt;</t>
  </si>
  <si>
    <t>#53# 1 * 22000 &lt;148&gt;</t>
  </si>
  <si>
    <t>#55# gel filtration and MALDI &lt;90&gt;</t>
  </si>
  <si>
    <t>#55# x * 36680, calculated from amino acid sequence &lt;349&gt;</t>
  </si>
  <si>
    <t>#58# native PAGE &lt;207&gt;</t>
  </si>
  <si>
    <t>#58# gel filtration and sedimentation coefficient &lt;207&gt;</t>
  </si>
  <si>
    <t>#59# lipase I, gel filtration &lt;26&gt;</t>
  </si>
  <si>
    <t>#59# lipase II, gel filtration &lt;26&gt;</t>
  </si>
  <si>
    <t>#6# x * 34000, SDS-PAGE &lt;138&gt;; #93# x * 34000, isoform  FGL3, deduced from amino acid sequence &lt;304&gt;</t>
  </si>
  <si>
    <t>#62# x * 44600, SDS-PAGE &lt;81&gt;</t>
  </si>
  <si>
    <t>#64# x * 25000, SDS-PAGE &lt;66&gt;</t>
  </si>
  <si>
    <t>#68# dimeric Lip3, gel filtration &lt;79&gt;</t>
  </si>
  <si>
    <t>#69# SSL, calculated from amino acid sequence &lt;228&gt;</t>
  </si>
  <si>
    <t>#69# SML, calculated from amino acid sequence  &lt;228&gt;; #164# x * 41000, recombinant LipY7p, SDS-PAGE &lt;203&gt;; #165# x * 41000, recombinant LipY8p, SDS-PAGE &lt;203&gt;</t>
  </si>
  <si>
    <t>#7# x * 67000, SDS-PAGE &lt;31&gt;</t>
  </si>
  <si>
    <t>#7# colipase &lt;80&gt;</t>
  </si>
  <si>
    <t>#7# x * 50000, recombinant enzyme, SDS-PAGE, x * 52343,  recombinant glycosylated enzyme, mass spectrometry, x * 49946, recombinant nonglycosylated enzyme, mass spectrometry &lt;186&gt;</t>
  </si>
  <si>
    <t>#22# gel filtration &lt;32&gt;; #17,49# SDS-PAGE  &lt;213,229&gt;; #35# extracellular enzyme, gel filtration &lt;66&gt;; #23# x * 29000, enzyme of strain MB5001, SDS-PAGE, x * 32000, enzyme from strain F-111, SDS-PAGE, x * 30000, enzyme of strain KKA-5, SDS-PAGE &lt;66&gt;; #27# x * 32000, strain BD 413, SDS-PAGE &lt;66&gt;; #7# x * 47000, wild-type enzyme, SDS-PAGE, x * 43000, lid domain lacking mutant, SDS-PAGE, x * 32000, cap domain lacking mutant, SDS-PAGE &lt;71&gt;</t>
  </si>
  <si>
    <t>#173# SDS-PAGE &lt;211&gt;; #175# calculated from amino  acid sequence &lt;241&gt;; #7# x * 47000, wild-type enzyme, SDS-PAGE, x * 43000, lid domain lacking mutant, SDS-PAGE, x * 32000, cap domain lacking mutant, SDS-PAGE &lt;71&gt;</t>
  </si>
  <si>
    <t>#7,9,50# x * 48000, SDS-PAGE &lt;332&gt;; #22# x * 48000,  recombinant enzyme, SDS-PAGE &lt;57&gt;</t>
  </si>
  <si>
    <t>#72# 1 * 28400, isozyme LIP II, SDS-PAGE, 1 * 150000,  isozyme LIP I, SDS-PAGE &lt;130&gt;</t>
  </si>
  <si>
    <t>#72# isozyme LIP I, gel filtration &lt;130&gt;</t>
  </si>
  <si>
    <t>#72# isozyme LIP II, gel filtration &lt;130&gt;</t>
  </si>
  <si>
    <t>#8# gel filtration &lt;30&gt;</t>
  </si>
  <si>
    <t>#8# x * 61700, SDS-PAGE &lt;30&gt;</t>
  </si>
  <si>
    <t>#8# x * 53222, calculation from nucleotide sequence &lt;34&gt;</t>
  </si>
  <si>
    <t>#80# x * 38000, SDS-PAGE &lt;294&gt;; #163# x * 38000, LIP2,  SDS-PAGE &lt;199&gt;; #163# x * 38000, SDS-PAGE, x * 36874-38481, four glycosylated isozymes, mass spectrometry, x * 33385, nonglycosylated enzyme, mass spectrometry &lt;164&gt;</t>
  </si>
  <si>
    <t>#84# SDS-PAGE &lt;220&gt;</t>
  </si>
  <si>
    <t>#88# gel filtration &lt;303&gt;</t>
  </si>
  <si>
    <t>#88# 1 * 95260 + 1 * 63360, calculated from SDS-PAGE &lt;303&gt;</t>
  </si>
  <si>
    <t>#89# lipase B, gel filtration &lt;33&gt;</t>
  </si>
  <si>
    <t>#172# SDS-PAGE &lt;231&gt;; #181# recombinant  protein, approximately 28000-29000 Da, SDS-PAGE &lt;272&gt;; #150# x * 28000, SDS-PAGE &lt;156&gt;; #89# 1 * 28000, SDS-PAGE &lt;49&gt;</t>
  </si>
  <si>
    <t>#9# gel filtration &lt;52&gt;</t>
  </si>
  <si>
    <t>#9# x * 59917, calculation from nucleotide sequence &lt;52&gt;</t>
  </si>
  <si>
    <t>#9# x * 49859, calculation from amino acid sequence &lt;6&gt;</t>
  </si>
  <si>
    <t>#23# SDS-PAGE &lt;269&gt;; #10# x * 60000,  SDS-PAGE &lt;343&gt;; #9# 4 * 60000, SDS-PAGE &lt;52&gt;; #68# 1 * 60000, Lip3, SDS-PAGE &lt;79&gt;; #68# 2 * 60000, Lip3, SDS-PAGE &lt;79&gt;; #134# x * 60000, about, SDS-PAGE &lt;133&gt;; #144# x * 60000, recombinant enzyme, SDS-PAGE &lt;131&gt;</t>
  </si>
  <si>
    <t>#112# SDS-PAGE &lt;238&gt;; #9,20,199# x *  35000, SDS-PAGE &lt;180,324,348&gt;; #32# 1 * 35000 + 1 * 46000, recombinant enzyme, SDS-PAGE &lt;66&gt;; #159# x * 35210, sequence calculation, x * 35000, recombinant enzyme, SDS-PAGE &lt;187&gt;</t>
  </si>
  <si>
    <t>#90# gel filtration &lt;21&gt;</t>
  </si>
  <si>
    <t>#93# x * 61800, isoform FGL4, deduced from amino acid  sequence &lt;304&gt;</t>
  </si>
  <si>
    <t>#93# x * 58100, isoform FGL5, deduced from amino acid  sequence &lt;304&gt;</t>
  </si>
  <si>
    <t>#95# x * 79600, uncleaved enzyme form, calculated from  SDS-PAGE &lt;306&gt;</t>
  </si>
  <si>
    <t>#95# x * 54900, final enzyme form, calculated from SDS-PAGE  &lt;306&gt;</t>
  </si>
  <si>
    <t>#97# ESI-TOF mass spectrometry &lt;222&gt;</t>
  </si>
  <si>
    <t>#1# gel filtration &lt;58&gt;</t>
  </si>
  <si>
    <t>#10# gel filtration &lt;12&gt;</t>
  </si>
  <si>
    <t>#10# 1 * 57000 + 1 * 25500, SDS-PAGE &lt;14&gt;</t>
  </si>
  <si>
    <t>#18# 1 * 47000 + 1 * 28000, SDS-PAGE &lt;50&gt;; #10# 1 *  71000 + 1 * 28000, SDS-PAGE &lt;12&gt;</t>
  </si>
  <si>
    <t>#31# 1 * 66000 + 1 * 55000, SDS-PAGE &lt;54&gt;; #10# 1 *  55000 + 1 * 25000, SDS-PAGE &lt;27&gt;</t>
  </si>
  <si>
    <t>#13# 1 * 65000 + 1 * 27000, SDS-PAGE, 8 M urea-PAGE &lt;30&gt;</t>
  </si>
  <si>
    <t>#21# one of two active enzyme forms, gel filtration  &lt;194&gt;; #19# 1 * 43000 + 1 * 30000, SDS-PAGE &lt;66&gt;; #64# 1 * 17000 + 1 * 30000, SDS-PAGE &lt;203&gt;</t>
  </si>
  <si>
    <t>#20# 1 * 42000 + 1 * 22000, SDS-PAGE &lt;69&gt;; #26# 1 *  42000 + 1 * 21000, enzyme form GGT I, SDS-PAGE &lt;94&gt;; #26# 1 * 42000 + 1 * 21000, enzyme form GGT II, SDS-PAGE &lt;94&gt;</t>
  </si>
  <si>
    <t>#21# one of two active enzyme forms, gel filtration &lt;194&gt;</t>
  </si>
  <si>
    <t>#24,31# gel filtration &lt;54,99&gt;</t>
  </si>
  <si>
    <t>#65# and 23000, SDS-PAGE, large and small subunit  &lt;204&gt;; #24# 2 * 20000 + 2 * 40000, SDS-PAGE &lt;99&gt;; #38# 2 * 40000 + 2 * 21000, SDS-PAGE. The unprocessed enzyme forms an already active homotetramer, whereas the mature enzyme is a fully active compact alpha2beta2-heterotetramer &lt;177&gt;; #62# 1 * 40000 + 1 * 20000, SDS-PAGE &lt;198&gt;</t>
  </si>
  <si>
    <t>#3# 1 * 32000 + 1 * 43000, SDS-PAGE &lt;101&gt;</t>
  </si>
  <si>
    <t>#3# gel filtration &lt;82&gt;; #26# enzyme form GGT I, gel  filtration &lt;94&gt;; #26# enzyme form GGT II, gel filtration &lt;94&gt;</t>
  </si>
  <si>
    <t>#3# gel filtration &lt;210&gt;; #31# 1 * 66000 + 1 * 55000,  SDS-PAGE &lt;54&gt;</t>
  </si>
  <si>
    <t>#6,7,10,33# amino acid  composition &lt;17,18,23,28,39,41,42,44,72&gt;; #3# N-terminal sequence &lt;47&gt;; #33# amino acid sequence &lt;72&gt;; #6# multiple forms of different molecular weights &lt;10&gt;; #4# viral enzyme of at least MW 400000 &lt;26&gt;; #6,7# in the presence of Triton X-100: molecular aggregation &lt;21,39,41&gt;; #6# immunological characterization &lt;44&gt;; #6# enzyme from kidney, native MW: 79000 and 105000 &lt;2&gt;; #6# protease solubilized enzymes have a reduced MW &lt;39&gt;; #15,43,44,45,46,47# amino acid sequence alignment, enzyme gene family &lt;76&gt;</t>
  </si>
  <si>
    <t>#3# gel filtration &lt;47&gt;; #5# isoform A, gel filtration  &lt;48&gt;</t>
  </si>
  <si>
    <t>#6# 1 * 57000 + 1 * 21000, SDS-PAGE, presence  of urea, 2-mercaptoethanol &lt;41&gt;; #42# x * 54000 + x * 21000, SDS-PAGE &lt;63&gt;; #3# 1 * 45000 + 1 * 21000, SDS-PAGE &lt;82&gt;; #5# 1 * 41000 + 1 * 21000, SDS-PAGE &lt;107&gt;; #26# 1 * 42000 + 1 * 21000, enzyme form GGT I, SDS-PAGE &lt;94&gt;; #26# 1 * 42000 + 1 * 21000, enzyme form GGT II, SDS-PAGE &lt;94&gt;; #38# 2 * 40000 + 2 * 21000, SDS-PAGE. The unprocessed enzyme forms an already active homotetramer, whereas the mature enzyme is a fully active compact alpha2beta2-heterotetramer &lt;177&gt;</t>
  </si>
  <si>
    <t>#7# 1 * 51000 + 1 * 22000, Triton X-100  solubilized, SDS-PAGE &lt;35&gt;; #6# 1 * 47000 + 1 * 22000, SDS-PAGE &lt;45&gt;; #6# 1 * 62000 + 1 * 22000, SDS-PAGE &lt;42&gt;; #7# 1 * 50000 + 1 * 22000, kidney, SDS-PAGE &lt;3&gt;; #7# 1 * 46000 + 1 * 22000, papain solubilized, SDS-PAGE &lt;35&gt;; #3# 1 * 45000 + 1 * 22000, SDS-PAGE &lt;47,210&gt;; #5# 1 * 39200 + 1 * 22000, isoform A, SDS-PAGE &lt;48&gt;; #20# 1 * 42000 + 1 * 22000, SDS-PAGE &lt;69&gt;; #5# 1 * 38600 + 1 * 22000, isoform B, SDS-PAGE &lt;48&gt;; #52# x * 41000 + x * 22000, SDS-PAGE &lt;92&gt;; #44# 1 * 64000 + 1 * 22000, isoform GGT1, SDS-PAGE &lt;195&gt;; #44# 1 * 64000 + 1 * 22000, SDS-PAGE &lt;199&gt;</t>
  </si>
  <si>
    <t>#7# 1 * 45000 + 1 * 23000, SDS-PAGE &lt;24&gt;; #3# 1 * 45000 +  1 * 22000, SDS-PAGE &lt;47,210&gt;; #3# 1 * 45000 + 1 * 21000, SDS-PAGE &lt;82&gt;</t>
  </si>
  <si>
    <t>#22# gel filtration &lt;71&gt;; #7# 1 * 43000 + 1 * 25000,  SDS-PAGE &lt;23&gt;; #19# 1 * 43000 + 1 * 30000, SDS-PAGE &lt;66&gt;; #3# 1 * 32000 + 1 * 43000, SDS-PAGE &lt;101&gt;</t>
  </si>
  <si>
    <t>#33# x * 31000, SDS-PAGE &lt;72&gt;</t>
  </si>
  <si>
    <t>#38# gel filtration &lt;177&gt;</t>
  </si>
  <si>
    <t>#39# x * 37000 + x * 50000, SDS-PAGE &lt;162&gt;</t>
  </si>
  <si>
    <t>#39# gel filtration &lt;162&gt;</t>
  </si>
  <si>
    <t>#40# isoform I, gel filtration &lt;55&gt;</t>
  </si>
  <si>
    <t>#40# isoform III, gel filtration &lt;55&gt;</t>
  </si>
  <si>
    <t>#40# isoform II, gel filtration &lt;55&gt;</t>
  </si>
  <si>
    <t>#5# 1 * 38600 + 1 * 22000, isoform B, SDS-PAGE &lt;48&gt;</t>
  </si>
  <si>
    <t>#5# 1 * 39200 + 1 * 22000, isoform A, SDS-PAGE &lt;48&gt;</t>
  </si>
  <si>
    <t>#5# 1 * 41000 + 1 * 21000, SDS-PAGE &lt;107&gt;; #52# x * 41000  + x * 22000, SDS-PAGE &lt;92&gt;</t>
  </si>
  <si>
    <t>#5# isoform B, gel filtration &lt;48&gt;; #6# 1 * 57000 + 1 *  21000, SDS-PAGE, presence of urea, 2-mercaptoethanol &lt;41&gt;; #10# 1 * 57000 + 1 * 25500, SDS-PAGE &lt;14&gt;</t>
  </si>
  <si>
    <t>#52# calculated from sequence &lt;92&gt;</t>
  </si>
  <si>
    <t>#52# analytical ultracentrifugation &lt;196&gt;</t>
  </si>
  <si>
    <t>#52# x * 40475 + x * 20517, calculated from sequence &lt;92&gt;</t>
  </si>
  <si>
    <t>#6# seminal plasma, prostate, testis &lt;2&gt;</t>
  </si>
  <si>
    <t>#6# 1 * 150000 + 1 * 95000, SDS-PAGE &lt;44&gt;</t>
  </si>
  <si>
    <t>#6# liver enzyme, gel filtration &lt;10&gt;; #6# Triton X-100  solubilized, gel filtration &lt;39&gt;</t>
  </si>
  <si>
    <t>#6# serum enzyme, gel filtration &lt;10&gt;</t>
  </si>
  <si>
    <t>#6# papain-solubilized enzyme, gel filtration &lt;39&gt;</t>
  </si>
  <si>
    <t>#6# gel filtration without Triton X-100 &lt;44&gt;</t>
  </si>
  <si>
    <t>#6# Triton X-100 solubilized &lt;5&gt;</t>
  </si>
  <si>
    <t>#6# 1 * 62000 + 1 * 22000, SDS-PAGE &lt;42&gt;; #6# 1 * 62000 + 1  * 20000, SDS-PAGE &lt;39&gt;</t>
  </si>
  <si>
    <t>#6# Triton X-100-solubilized, PAGE &lt;13&gt;</t>
  </si>
  <si>
    <t>#6# 1 * 64000 + 1 * 29000, SDS-PAGE &lt;43&gt;</t>
  </si>
  <si>
    <t>#6# 1 * 53000 + 1 * 20000, papain-solubilized, SDS-PAGE  &lt;39&gt;</t>
  </si>
  <si>
    <t>#6# gel filtration &lt;42&gt;</t>
  </si>
  <si>
    <t>#6# x * 43000-44000 + x * 24000, wild-type and mutant  enzyme, SDS-PAGE &lt;65&gt;</t>
  </si>
  <si>
    <t>#6# there are four enzyme fractions in plasma of healthy  subjects, named big-GGT, medium-GGT, small-GGT and free-GGT, with molecular weight corresponding to 2000, 1000, 250, and 70 kDa, respectively &lt;209&gt;</t>
  </si>
  <si>
    <t>#6# x * 41500, heavy subunit of isoform GGT5, SDS-PAGE  &lt;207&gt;</t>
  </si>
  <si>
    <t>#6# 1 * 38000 + 1 * 14000, SDS-PAGE &lt;1&gt;</t>
  </si>
  <si>
    <t>#6# gel filtration &lt;45&gt;; #10# PAGE &lt;28&gt;; #6#  bromelain-solubilized &lt;5&gt;</t>
  </si>
  <si>
    <t>#6# papain-solubilized, gel filtration &lt;39&gt;; #10# 1 *  71000 + 1 * 28000, SDS-PAGE &lt;12&gt;</t>
  </si>
  <si>
    <t>#6# 1 * 61000 + 1 * 27000, SDS-PAGE &lt;8&gt;; #10# 1 *  68000 + 1 * 27000, SDS-PAGE &lt;28&gt;; #13# 1 * 65000 + 1 * 27000, SDS-PAGE, 8 M urea-PAGE &lt;30&gt;</t>
  </si>
  <si>
    <t>#64# unprocessed precursor, SDS-PAGE &lt;203&gt;; #6# 1 *  47000 + 1 * 22000, SDS-PAGE &lt;45&gt;; #18# 1 * 47000 + 1 * 28000, SDS-PAGE &lt;50&gt;</t>
  </si>
  <si>
    <t>#6# 1 * 38000 + 1 * 14000, SDS-PAGE &lt;1&gt;; #25# 1 * 38000 +  1 * 23000, only the large subunit is active when the enzyme is dissociated under denaturing conditions. The behavior of the native enzyme suggests that the active site of the large subunit is masked by the small subunit, SDS-PAGE &lt;106&gt;</t>
  </si>
  <si>
    <t>#25# gel filtration &lt;106&gt;; #26# enzyme form GGT A, gel  filtration &lt;94&gt;; #26# enzyme form GGT B, gel filtration &lt;94&gt;; #6# 1 * 61000 + 1 * 27000, SDS-PAGE &lt;8&gt;</t>
  </si>
  <si>
    <t>#6# gel filtration &lt;1&gt;; #42# x * 54000 + x * 21000,  SDS-PAGE &lt;63&gt;</t>
  </si>
  <si>
    <t>#42# gel filtration &lt;63&gt;; #6# Triton X-100 solubilized  &lt;6&gt;</t>
  </si>
  <si>
    <t>#6,7# gel filtration in the presence of Triton X-100  &lt;21,44&gt;; #6# there are four enzyme fractions in plasma of healthy subjects, named big-GGT, medium-GGT, small-GGT and free-GGT, with molecular weight corresponding to 2000, 1000, 250, and 70 kDa, respectively &lt;209&gt;</t>
  </si>
  <si>
    <t>#10# 1 * 55000 + 1 * 25000, SDS-PAGE &lt;27&gt;; #7# 1 *  43000 + 1 * 25000, SDS-PAGE &lt;23&gt;; #6# 1 * 64000 + 1 * 25000, isoform GGT5, SDS-PAGE &lt;195&gt;</t>
  </si>
  <si>
    <t>#7,19,20# gel filtration &lt;24,66,69&gt;; #6# there are  four enzyme fractions in plasma of healthy subjects, named big-GGT, medium-GGT, small-GGT and free-GGT, with molecular weight corresponding to 2000, 1000, 250, and 70 kDa, respectively &lt;209&gt;</t>
  </si>
  <si>
    <t>#6# 1 * 53000 + 1 * 20000, papain-solubilized,  SDS-PAGE &lt;39&gt;; #7# 1 * 48000 + 1 * 20000, about, gel filtration of denatured and native enzyme &lt;20&gt;; #6# 1 * 62000 + 1 * 20000, SDS-PAGE &lt;39&gt;; #24# 2 * 20000 + 2 * 40000, SDS-PAGE &lt;99&gt;; #62# 1 * 40000 + 1 * 20000, SDS-PAGE &lt;198&gt;</t>
  </si>
  <si>
    <t>#10,18# gel filtration &lt;27,50&gt;; #8# sucrose density  gradient centrifugation &lt;31&gt;; #6# bile enzyme, gel filtration &lt;10&gt;</t>
  </si>
  <si>
    <t>#6,9# gel filtration &lt;8,41,56&gt;; #6# PAGE &lt;13&gt;; #13#  PAGE in 8 M urea, after cross-linkage of subunits with dimethylsuberimidate &lt;30&gt;</t>
  </si>
  <si>
    <t>#9# 1 * 64000 + 1 * 23000, SDS/2-mercaptoethanol-PAGE  &lt;56&gt;; #6# 1 * 64000 + 1 * 29000, SDS-PAGE &lt;43&gt;; #44# 1 * 64000 + 1 * 22000, isoform GGT1, SDS-PAGE &lt;195&gt;; #44# 1 * 64000 + 1 * 22000, SDS-PAGE &lt;199&gt;; #6# 1 * 64000 + 1 * 25000, isoform GGT5, SDS-PAGE &lt;195&gt;</t>
  </si>
  <si>
    <t>#63# SDS-PAGE &lt;202&gt;</t>
  </si>
  <si>
    <t>#64# 1 * 17000 + 1 * 30000, SDS-PAGE &lt;203&gt;</t>
  </si>
  <si>
    <t>#65# unprocessed protein, calculated &lt;204&gt;</t>
  </si>
  <si>
    <t>#7# 1 * 51000 + 1 * 22000, Triton X-100 solubilized,  SDS-PAGE &lt;35&gt;</t>
  </si>
  <si>
    <t>#7# 1 * 46000 + 1 * 22000, papain solubilized, SDS-PAGE  &lt;35&gt;</t>
  </si>
  <si>
    <t>#7# 1 * 48000 + 1 * 20000, about, gel filtration of  denatured and native enzyme &lt;20&gt;</t>
  </si>
  <si>
    <t>#7# analytical ultracentrifugation &lt;17&gt;</t>
  </si>
  <si>
    <t>#7# gel filtration &lt;20,23&gt;; #10# 1 * 68000 + 1 * 27000,  SDS-PAGE &lt;28&gt;</t>
  </si>
  <si>
    <t>#7# 1 * 50000 + 1 * 22000, kidney, SDS-PAGE &lt;3&gt;; #39# x *  37000 + x * 50000, SDS-PAGE &lt;162&gt;</t>
  </si>
  <si>
    <t>#65# and 40000, SDS-PAGE, small and large subunit  &lt;204&gt;; #9# 1 * 64000 + 1 * 23000, SDS/2-mercaptoethanol-PAGE &lt;56&gt;; #7# 1 * 45000 + 1 * 23000, SDS-PAGE &lt;24&gt;; #25# 1 * 38000 + 1 * 23000, only the large subunit is active when the enzyme is dissociated under denaturing conditions. The behavior of the native enzyme suggests that the active site of the large subunit is masked by the small subunit, SDS-PAGE &lt;106&gt;</t>
  </si>
  <si>
    <t>#73# sequence calculation &lt;235&gt;</t>
  </si>
  <si>
    <t>#78# gel filtration &lt;233&gt;</t>
  </si>
  <si>
    <t>#1# gel filtration &lt;6&gt;</t>
  </si>
  <si>
    <t>#1# 1 * 39044, calculation from nucleotide sequence &lt;6&gt;</t>
  </si>
  <si>
    <t>#1# 2 * 39075, calculated from amino acid sequence &lt;94&gt;</t>
  </si>
  <si>
    <t>#1# gel filtration &lt;8&gt;; #12,40,41,42,43# 1 *  43000, SDS-PAGE &lt;33,97&gt;</t>
  </si>
  <si>
    <t>#14# x * 42000, SDS-PAGE &lt;7&gt;; #1# 1 * 42000,  SDS-PAGE &lt;8&gt;; #6,53# 2 * 39900, calculated, 2 * 42000, SDs-PAGE &lt;60&gt;; #34# x * 42000, recombinant His7-tagged enzyme, SDS-PAGE &lt;99&gt;</t>
  </si>
  <si>
    <t>#1,6,9,10,12,39,53# gel filtration  &lt;46,60,63,94&gt;</t>
  </si>
  <si>
    <t>#9# gel filtration &lt;63&gt;; #62# SDS-PAGE &lt;86&gt;;  #1,6,9,10,12# 2 * 40000, SDS-PAGE &lt;94&gt;</t>
  </si>
  <si>
    <t>#1# 1 * 39000, SDS-PAGE &lt;6&gt;; #8,18# 2 * 39000,  SDS-PAGE &lt;9,74&gt;; #9# 1 * 39000, SDS-PAGE, 1 * 39700, calculated, enzyme shows monomer-dimer equilibrium &lt;63&gt;; #9# 1 * 39000, SDS-PAGE, 1 * 39800, calculated, enzyme shows monomer-dimer equilibrium &lt;63&gt;; #9# 2 * 39000, SDS-PAGE, enzyme shows monomer-dimer equilibrium &lt;63&gt;</t>
  </si>
  <si>
    <t>#10# 2 * 38337, calculated from amino acid sequence &lt;94&gt;</t>
  </si>
  <si>
    <t>#10# 2 * 39068, calculated from amino acid sequence &lt;94&gt;</t>
  </si>
  <si>
    <t>#12# gel filtration &lt;97&gt;</t>
  </si>
  <si>
    <t>#12# calculated from amino acid sequence &lt;97&gt;</t>
  </si>
  <si>
    <t>#12# 1 * 44217, calculated from amino acid sequence &lt;97&gt;</t>
  </si>
  <si>
    <t>#12# 2 * 38765, calculated from amino acid sequence &lt;94&gt;</t>
  </si>
  <si>
    <t>#14# gel filtration &lt;7&gt;</t>
  </si>
  <si>
    <t>#14# SDS-PAGE &lt;84&gt;</t>
  </si>
  <si>
    <t>#59# immunoblotting &lt;82&gt;; #16# x * 43660, sequence  calculation &lt;104&gt;</t>
  </si>
  <si>
    <t>#23# gel filtration &lt;51&gt;</t>
  </si>
  <si>
    <t>#23# HPLC gel filtration &lt;26&gt;</t>
  </si>
  <si>
    <t>#48# gel filtration &lt;44&gt;; #23# 2 * 44000, SDS-PAGE &lt;51&gt;</t>
  </si>
  <si>
    <t>#62# SDS-PAGE &lt;92&gt;; #23# 2 * 41000 &lt;49&gt;</t>
  </si>
  <si>
    <t>#24# gel filtration &lt;27&gt;</t>
  </si>
  <si>
    <t>#24# 3 or 4 * 37000, SDS-PAGE &lt;27&gt;; #54# 2 * 37000,  SDS-PAGE &lt;76&gt;</t>
  </si>
  <si>
    <t>#27# gel filtration &lt;71&gt;</t>
  </si>
  <si>
    <t>#27# SDS-PAGE &lt;71&gt;</t>
  </si>
  <si>
    <t>#31# x * 45770, calculated &lt;58&gt;</t>
  </si>
  <si>
    <t>#4# gel filtration &lt;65&gt;</t>
  </si>
  <si>
    <t>#40,41,42,43# gel filtration &lt;33&gt;; #76# 2 *  46000, recombinant His-tagged wild-type enzyme, SDS-PAGE, 2 * 46621, recombinant His-tagged wild-type enzyme, sequence calculation, 2 * 46605, recombinant His-tagged mutant S171A, sequence calculation, 2 * 46647, recombinant double-His-tagged mutant H359Y, sequence calculation &lt;105&gt;</t>
  </si>
  <si>
    <t>#44# 2 * 42500, SDS-PAGE &lt;32&gt;</t>
  </si>
  <si>
    <t>#44# gel filtration &lt;32&gt;; #73# recombinant enzyme,  dynamic light scattering &lt;98&gt;</t>
  </si>
  <si>
    <t>#47# 1 * 58000, SDS-PAGE &lt;40&gt;</t>
  </si>
  <si>
    <t>#47# gel filtration &lt;40&gt;</t>
  </si>
  <si>
    <t>#49# gel filtration &lt;39&gt;</t>
  </si>
  <si>
    <t>#49# 2 * 33000, SDS-PAGE &lt;39&gt;</t>
  </si>
  <si>
    <t>#54# gel-filtration analysis &lt;76&gt;</t>
  </si>
  <si>
    <t>#56# SDS-PAGE &lt;69&gt;</t>
  </si>
  <si>
    <t>#59# dynamic light scattering (DLS</t>
  </si>
  <si>
    <t>#59# 2 * 43700, dynamic light scattering (DLS</t>
  </si>
  <si>
    <t>#59# mass-spectrometry &lt;79&gt;</t>
  </si>
  <si>
    <t>#6# 2 * 39152, calculated from amino acid sequence &lt;94&gt;</t>
  </si>
  <si>
    <t>#6,53# 2 * 39900, calculated, 2 * 42000, SDs-PAGE &lt;60&gt;</t>
  </si>
  <si>
    <t>#61# precided weight from primary sequence of 394 amino  acids, yncD &lt;81&gt;</t>
  </si>
  <si>
    <t>#62# mutant D70K, gel filtration &lt;113&gt;</t>
  </si>
  <si>
    <t>#62# mutant E134K, gel filtration &lt;113&gt;</t>
  </si>
  <si>
    <t>#62# gel filtration &lt;92&gt;</t>
  </si>
  <si>
    <t>#62# mutant D318K, gel filtration &lt;113&gt;</t>
  </si>
  <si>
    <t>#62# sequence calculation, wild-type enzyme &lt;113&gt;</t>
  </si>
  <si>
    <t>#62# recombinant wild-type enzyme, gel filtration &lt;113&gt;</t>
  </si>
  <si>
    <t>#71# x * 42700, calculation from nucleotide sequence &lt;47&gt;</t>
  </si>
  <si>
    <t>#73# 2 * 42800, recombinant enzyme, SDS-PAGE &lt;98&gt;</t>
  </si>
  <si>
    <t>#74# x * 47000, recombinant His6-tagged enzyme, SDS-PAGE  &lt;101&gt;</t>
  </si>
  <si>
    <t>#76# 2 * 46000, recombinant His-tagged wild-type enzyme,  SDS-PAGE, 2 * 46621, recombinant His-tagged wild-type enzyme, sequence calculation, 2 * 46605, recombinant His-tagged mutant S171A, sequence calculation, 2 * 46647, recombinant double-His-tagged mutant H359Y, sequence calculation &lt;105&gt;</t>
  </si>
  <si>
    <t>#78# wild-type enzyme, about, sequence calculation &lt;108&gt;</t>
  </si>
  <si>
    <t>#78# wild-type enzyme, gel filtration &lt;108&gt;</t>
  </si>
  <si>
    <t>#78# mutant enzyme, about, sequence calculation &lt;108&gt;</t>
  </si>
  <si>
    <t>#78# mutant enzyme, gel filtration &lt;108&gt;</t>
  </si>
  <si>
    <t>#8# x * 43341, calculation from nucleotide sequence &lt;11,20&gt;</t>
  </si>
  <si>
    <t>#18# gel filtration &lt;74&gt;; #8# equilibrium sedimentation  method &lt;9&gt;</t>
  </si>
  <si>
    <t>#38# SDS-PAGE &lt;90&gt;; #8# enzyme including linker and  His6-tag &lt;68&gt;; #62# mutant E71K, gel filtration &lt;113&gt;</t>
  </si>
  <si>
    <t>#84# gel filtration, recombinant enzyme &lt;112&gt;</t>
  </si>
  <si>
    <t>#88# gel filtration &lt;127&gt;</t>
  </si>
  <si>
    <t>#88# SDS-PAGE &lt;127&gt;</t>
  </si>
  <si>
    <t>#9# 2 * 38000, SDS-PAGE &lt;19&gt;</t>
  </si>
  <si>
    <t>#9# 1 * 39000, SDS-PAGE, 1 * 39800, calculated, enzyme shows  monomer-dimer equilibrium &lt;63&gt;</t>
  </si>
  <si>
    <t>#9# 1 * 39000, SDS-PAGE, 1 * 39700, calculated, enzyme shows  monomer-dimer equilibrium &lt;63&gt;</t>
  </si>
  <si>
    <t>#9# 2 * 38883, calculated from amino acid sequence &lt;94&gt;</t>
  </si>
  <si>
    <t>#9# 2 * 38978, calculated from amino acid sequence &lt;94&gt;</t>
  </si>
  <si>
    <t>#9# gel filtration in presence or absence of  2-mercaptoethanol &lt;19&gt;; #76# recombinant His-tagged wild-type enzyme, gel filtration &lt;105&gt;; #62# mutant D43K, gel filtration &lt;113&gt;</t>
  </si>
  <si>
    <t>#92# SDS-PAGE &lt;131&gt;</t>
  </si>
  <si>
    <t>#2# mouse, gel filtration &lt;5&gt;</t>
  </si>
  <si>
    <t>#22# x * 25000, Western blot analysis &lt;31&gt;</t>
  </si>
  <si>
    <t>#26# gel filtration &lt;38&gt;; #23# x * 37000, SDS-PAGE &lt;13&gt;</t>
  </si>
  <si>
    <t>#25# gel filtration &lt;38&gt;</t>
  </si>
  <si>
    <t>#25# 2 * 24300, SDS-PAGE &lt;38&gt;</t>
  </si>
  <si>
    <t>#26# 1 * 24500, protein PspA, plus 1 * 24000, protein PspB,  SDS-PAGE &lt;38&gt;</t>
  </si>
  <si>
    <t>#27# x * 45000, SDS-PAGE, His-tagged recombinant protein  &lt;40&gt;</t>
  </si>
  <si>
    <t>#3,34# gel filtration &lt;47&gt;</t>
  </si>
  <si>
    <t>#4# x * 38000, SerB gene product, SDS-PAGE &lt;2&gt;</t>
  </si>
  <si>
    <t>#7# bovine, gel filtration &lt;3&gt;</t>
  </si>
  <si>
    <t>#10# determined by SDS-PAGE &lt;14&gt;</t>
  </si>
  <si>
    <t>#10# theoretical &lt;14&gt;</t>
  </si>
  <si>
    <t>#2# glycerol gradient centrifugation &lt;3&gt;</t>
  </si>
  <si>
    <t>#2# x * 54000, SDS-PAGE &lt;1,3&gt;</t>
  </si>
  <si>
    <t>#2# x * 52817, calculation from nucleotide sequence &lt;4&gt;</t>
  </si>
  <si>
    <t>#3# x * 37000, SDS-PAGE &lt;16&gt;</t>
  </si>
  <si>
    <t>#3# x * 55500, calculated from amino acid sequence &lt;16&gt;</t>
  </si>
  <si>
    <t>#10# dimeric form, gel filtration &lt;16&gt;</t>
  </si>
  <si>
    <t>#10# gel filtration, monomeric form &lt;16&gt;</t>
  </si>
  <si>
    <t>#29# gel filtration &lt;27&gt;</t>
  </si>
  <si>
    <t>#29# 2 * 49100, calculated, 2 * 51655, MALDI-TOF &lt;27&gt;</t>
  </si>
  <si>
    <t>#30# gel filtration &lt;27&gt;</t>
  </si>
  <si>
    <t>#30# 2 * 70140, calculated, 2 * 72614, MALDI-TOF &lt;27&gt;</t>
  </si>
  <si>
    <t>#31# determined by gel filtration &lt;31&gt;</t>
  </si>
  <si>
    <t>#31# determined by SDS-PAGE and Western Blot analysis &lt;31&gt;</t>
  </si>
  <si>
    <t>#35# x * 40000, about, sequence calculation &lt;35&gt;</t>
  </si>
  <si>
    <t>#4# x * 47000, or x-y * 47000 + y * 43000, or x * 43000,  active form consitsts of oligomers of alpha/beta isoforms, with relatively small parts of alpha/alpha or beta/beta homo-oligomers, SDS-PAGE &lt;10&gt;</t>
  </si>
  <si>
    <t>#5# gel filtration &lt;11,17&gt;</t>
  </si>
  <si>
    <t>#20# gel filtration &lt;7&gt;; #5# 2 * 44000, SDS-PAGE &lt;11,17&gt;</t>
  </si>
  <si>
    <t>#6# ethanolamine kinase II, gel filtration &lt;5&gt;</t>
  </si>
  <si>
    <t>#6# gel filtration &lt;11&gt;</t>
  </si>
  <si>
    <t>#6# 2 * 42000, SDS-PAGE &lt;11&gt;</t>
  </si>
  <si>
    <t>#6# gel filtration &lt;22&gt;</t>
  </si>
  <si>
    <t>#6# ethanolamine kinase I, gel filtration &lt;5&gt;</t>
  </si>
  <si>
    <t>#6# 2 * 86000, SDS-PAGE &lt;22&gt;</t>
  </si>
  <si>
    <t>#9# gel filtration &lt;18&gt;</t>
  </si>
  <si>
    <t>#18,27# calculated from amino acid sequence &lt;25&gt;</t>
  </si>
  <si>
    <t>#21# x * 55000, SDS-PAGE &lt;47&gt;</t>
  </si>
  <si>
    <t>#23# calculated from amino acid sequence &lt;16&gt;</t>
  </si>
  <si>
    <t>#23# calculated from amino acid sequence &lt;12&gt;</t>
  </si>
  <si>
    <t>#29# calculation from cDNA nucleotide sequence &lt;11&gt;</t>
  </si>
  <si>
    <t>#32# SDS-PAGE &lt;82&gt;</t>
  </si>
  <si>
    <t>#4,5# SDS-PAGE &lt;17&gt;</t>
  </si>
  <si>
    <t>#5# x * 63000, SDS-PAGE &lt;44&gt;</t>
  </si>
  <si>
    <t>#5# SDS-PAGE &lt;28&gt;; #5# x * 63500, calculated from amino acid  sequence &lt;44&gt;</t>
  </si>
  <si>
    <t>#8# calculation from sequence of genomic DNA &lt;10&gt;</t>
  </si>
  <si>
    <t>#10# 1 * 52000, SDS-PAGE &lt;16&gt;</t>
  </si>
  <si>
    <t>#10# calculated from sequence &lt;16&gt;</t>
  </si>
  <si>
    <t>#15# 1 * 55000, isozyme PMT1, SDS-PAGE &lt;26&gt;</t>
  </si>
  <si>
    <t>#15# 1 * 48000, isozyme PMT2, SDS-PAGE &lt;26&gt;</t>
  </si>
  <si>
    <t>#15# isozyme PMT1, gel filtration &lt;26&gt;</t>
  </si>
  <si>
    <t>#15# isozyme PMT2, gel filtration &lt;26&gt;</t>
  </si>
  <si>
    <t>#15# 1 * 49400, isozyme PMT2, calculated from amino acid  sequence &lt;26&gt;</t>
  </si>
  <si>
    <t>#15# 1 * 53100, isozyme PMT1, calculated from amino acid  sequence &lt;26&gt;</t>
  </si>
  <si>
    <t>#19# gel filtration &lt;5&gt;; #22# calculated from DNA  sequence &lt;10&gt;</t>
  </si>
  <si>
    <t>#20# calculated from DNA sequence &lt;9&gt;</t>
  </si>
  <si>
    <t>#22# SDS-PAGE, enzyme from E. coli, contains of 57 kD  enzyme protein + 8 kD His-tag &lt;10&gt;</t>
  </si>
  <si>
    <t>#28,29# x * 31000, SDS-PAGE &lt;32&gt;; #24# x * 31000,  calculated &lt;15&gt;</t>
  </si>
  <si>
    <t>#3# SDS-PAGE &lt;11&gt;</t>
  </si>
  <si>
    <t>#3# gel filtration &lt;11&gt;</t>
  </si>
  <si>
    <t>#1# x * 51000, isozyme Pcyt2alpha, x * 49000, isozyme  Pcyt2beta, x * 34000, isozyme Pcyt2gamma &lt;25&gt;</t>
  </si>
  <si>
    <t>#1# SDS-PAGE &lt;13&gt;; #1# x * 51000, isozyme Pcyt2alpha, x *  49000, isozyme Pcyt2beta, x * 34000, isozyme Pcyt2gamma &lt;25&gt;</t>
  </si>
  <si>
    <t>#2,3,8# SDS-PAGE &lt;12&gt;</t>
  </si>
  <si>
    <t>#3# gel filtration &lt;1,6&gt;</t>
  </si>
  <si>
    <t>#3# x * 49600, SDS-PAGE &lt;5&gt;</t>
  </si>
  <si>
    <t>#8# myc-His-tagged Pcyt2beta, appears as two bands (110000  and 90000 Da</t>
  </si>
  <si>
    <t>#8# myc-His-tagged Pcyt2alpha, gel filtration &lt;16&gt;</t>
  </si>
  <si>
    <t>#9# 1 * 44623, MALDI MS, analytical ultracentrifugation  &lt;22&gt;</t>
  </si>
  <si>
    <t>#11# x * 34000, SDS-PAGE &lt;73&gt;</t>
  </si>
  <si>
    <t>#13# gel filtration &lt;9&gt;</t>
  </si>
  <si>
    <t>#14,19# gel filtration &lt;19,24&gt;; #19# recombinant  enzyme, gel filtration &lt;24&gt;; #14# recombinant enzyme &lt;24&gt;</t>
  </si>
  <si>
    <t>#14,19# 6 * 27000, SDS-PAGE &lt;19&gt;; #14,19# 6 * 27000,  recombinant enzyme, SDS-PAGE &lt;24&gt;; #14# 6 * 27000, recombinant enzyme, crystal structure analysis &lt;29&gt;</t>
  </si>
  <si>
    <t>#19# x * 26000, calculated from sequence &lt;46&gt;</t>
  </si>
  <si>
    <t>#20# x * 31000, SDS-PAGE &lt;74&gt;</t>
  </si>
  <si>
    <t>#22# sequence analysis &lt;47&gt;</t>
  </si>
  <si>
    <t>#23# sequence analysis &lt;47&gt;</t>
  </si>
  <si>
    <t>#25# gel filtration &lt;67&gt;</t>
  </si>
  <si>
    <t>#28# gel filtration &lt;76&gt;</t>
  </si>
  <si>
    <t>#4# gel filtration &lt;20&gt;</t>
  </si>
  <si>
    <t>#4# gel filtration &lt;6&gt;</t>
  </si>
  <si>
    <t>#4# 3 * 32500, SDS-PAGE with addition of 8 M urea and 1%  2-mercaptoethanol &lt;17&gt;</t>
  </si>
  <si>
    <t>#4# 2 * 30300, SDS-PAGE &lt;6&gt;</t>
  </si>
  <si>
    <t>#5# gel filtration &lt;16&gt;; #4# recombinant enzyme, gel  filtration &lt;21&gt;</t>
  </si>
  <si>
    <t>#4,8# gel filtration &lt;17,18&gt;; #8# sedimentation  equilibrium &lt;18&gt;</t>
  </si>
  <si>
    <t>#25# SDS-PAGE &lt;67&gt;; #9,14# 6 * 30000, SDS-PAGE  &lt;31,38&gt;; #28# 3 * 30000, SDS-PAGE &lt;76&gt;; #4# 3 * 30000, recombinant enzyme, SDS-PAGE &lt;21&gt;</t>
  </si>
  <si>
    <t>#5# gel filtration &lt;4&gt;</t>
  </si>
  <si>
    <t>#8# 3 * 32000, SDS-PAGE &lt;18&gt;; #28# 3 * 32000, calculated  from amino acid sequence &lt;76&gt;</t>
  </si>
  <si>
    <t>#9,14# gel filtration &lt;31,38&gt;</t>
  </si>
  <si>
    <t>#1# gel filtration &lt;13&gt;; #12# gel filtration, 2 forms:  44000 Da and 50000 Da, in presence of 5 mM MgCl2 dissociation into a single form of apparent MW 30000 &lt;17&gt;</t>
  </si>
  <si>
    <t>#8# gel filtration &lt;10&gt;; #1# 2 * 23000, SDS-PAGE &lt;13&gt;</t>
  </si>
  <si>
    <t>#13# x * 29000, SDS-PAGE &lt;28&gt;</t>
  </si>
  <si>
    <t>#13# gel filtration &lt;1&gt;; #26# 2 * 25000, SDS-PAGE &lt;29&gt;</t>
  </si>
  <si>
    <t>#16# gel filtration &lt;14&gt;</t>
  </si>
  <si>
    <t>#17# gel filtration &lt;51&gt;</t>
  </si>
  <si>
    <t>#17# 2 * 24200, SDS-PAGE &lt;51&gt;</t>
  </si>
  <si>
    <t>#22# gel filtration &lt;18&gt;; #18# 2 * 28000,  SDS-PAGE &lt;21&gt;; #28,29,30# x * 28000, SDS-PAGE &lt;26&gt;</t>
  </si>
  <si>
    <t>#21# 2 * 27000, SDS-PAGE &lt;15&gt;</t>
  </si>
  <si>
    <t>#22# 2 * 15000, SDS-PAGE &lt;18&gt;</t>
  </si>
  <si>
    <t>#26# gel filtration &lt;29&gt;</t>
  </si>
  <si>
    <t>#3# gel filtration &lt;4&gt;</t>
  </si>
  <si>
    <t>#36# calculated from sequence from cDNA &lt;42&gt;</t>
  </si>
  <si>
    <t>#4# sedimentation equilibrium centrifugation &lt;7&gt;</t>
  </si>
  <si>
    <t>#4# 3 * 11100, SDS-PAGE &lt;8&gt;</t>
  </si>
  <si>
    <t>#4# x * 19481, determination of amino acid sequence &lt;19&gt;</t>
  </si>
  <si>
    <t>#4# gel filtration, sucrose density gradient  ultracentrifugation &lt;5,8&gt;; #6# 1 * 20000 + 1 * 34000, SDS-PAGE &lt;25&gt;</t>
  </si>
  <si>
    <t>#40# analytical ultracentrifugation analysis &lt;57&gt;</t>
  </si>
  <si>
    <t>#5# sucrose density gradient sedimentation &lt;6,12&gt;</t>
  </si>
  <si>
    <t>#5# x * 17500, SDS-PAGE &lt;6,12&gt;</t>
  </si>
  <si>
    <t>#6# 1 * 20000 + 1 * 34000, SDS-PAGE &lt;25&gt;</t>
  </si>
  <si>
    <t>#12# gel filtration, 2 forms: 44000 Da and 50000 Da, in  presence of 5 mM MgCl2 dissociation into a single form of apparent MW 30000 &lt;17&gt;; #6# gel filtration, in absence of Mg2+ the enzyme elutes as 2 distinct forms &lt;25&gt;</t>
  </si>
  <si>
    <t>#9,21# gel filtration &lt;3,15&gt;; #18# native PAGE &lt;21&gt;</t>
  </si>
  <si>
    <t>114,161</t>
  </si>
  <si>
    <t>151</t>
  </si>
  <si>
    <t>382</t>
  </si>
  <si>
    <t>58,379</t>
  </si>
  <si>
    <t>261</t>
  </si>
  <si>
    <t>49,67,82,141</t>
  </si>
  <si>
    <t>242</t>
  </si>
  <si>
    <t>263</t>
  </si>
  <si>
    <t>267</t>
  </si>
  <si>
    <t>272</t>
  </si>
  <si>
    <t>1,17</t>
  </si>
  <si>
    <t>365</t>
  </si>
  <si>
    <t>144</t>
  </si>
  <si>
    <t>293</t>
  </si>
  <si>
    <t>54,197</t>
  </si>
  <si>
    <t>224</t>
  </si>
  <si>
    <t>172</t>
  </si>
  <si>
    <t>289</t>
  </si>
  <si>
    <t>119,323</t>
  </si>
  <si>
    <t>331</t>
  </si>
  <si>
    <t>148</t>
  </si>
  <si>
    <t>332</t>
  </si>
  <si>
    <t>304</t>
  </si>
  <si>
    <t>54,99</t>
  </si>
  <si>
    <t>17,18,23,28,39,41,42,44,72</t>
  </si>
  <si>
    <t>21,44</t>
  </si>
  <si>
    <t>24,66,69</t>
  </si>
  <si>
    <t>27,50</t>
  </si>
  <si>
    <t>8,41,56</t>
  </si>
  <si>
    <t>56</t>
  </si>
  <si>
    <t>20,23</t>
  </si>
  <si>
    <t>46,60,63,94</t>
  </si>
  <si>
    <t>11,20</t>
  </si>
  <si>
    <t>1,3</t>
  </si>
  <si>
    <t>1,6</t>
  </si>
  <si>
    <t>19,24</t>
  </si>
  <si>
    <t>17,18</t>
  </si>
  <si>
    <t>31,38</t>
  </si>
  <si>
    <t>3,15</t>
  </si>
  <si>
    <t>MW</t>
  </si>
  <si>
    <t>Da</t>
  </si>
  <si>
    <t>Motif</t>
  </si>
  <si>
    <t>Block</t>
  </si>
  <si>
    <t>Role</t>
  </si>
  <si>
    <t>ID</t>
  </si>
  <si>
    <t>Name</t>
  </si>
  <si>
    <t>GPR</t>
  </si>
  <si>
    <t>Compartment</t>
  </si>
  <si>
    <t>Direction</t>
  </si>
  <si>
    <t>FormulaEquation</t>
  </si>
  <si>
    <t>NamesEquation</t>
  </si>
  <si>
    <t>Adenosine Triphosphate + L-Glutamate(m_in) + Ammonium  -&gt;  Adenosine Diphosphate + L-Glutamine(m_Fd_1) + Proton + Orthophosphate</t>
  </si>
  <si>
    <t>L-Glutamine(m_Fd_1) + Phenylacetyl Coenzyme A  -&gt;  Coenzyme A + (2S)-4-Carbamoyl-2-(2-Phenylacetamido)Butanoate</t>
  </si>
  <si>
    <t>2-Keto-4-Methylthiobutyrate + L-Glutamate(m_in)  -&gt;  2-Oxoglutarate + L-Methionine(m_Sf_1)</t>
  </si>
  <si>
    <t>L-Methionine(m_Sf_1) + Pyruvate  -&gt;  4-Methyl-Thio-Oxo-Butyrate + L-Alanine(m_d1)</t>
  </si>
  <si>
    <t>L-Alanine(m_d1) + Reduced Glutathione  -&gt;  L-Cysteinylglycine + 5-L-Glutamyl-L-Alanine</t>
  </si>
  <si>
    <t>L-Alanine(m_d1)  -&gt;  D-Alanine</t>
  </si>
  <si>
    <t>Water + O-Phospho-L-Serine  -&gt;  Orthophosphate + L-Serine(m_in_2)</t>
  </si>
  <si>
    <t>Phosphatidylcholine + L-Serine(m_in_2)  -&gt;  Choline(m_Fd_2) + Phosphatidylserine</t>
  </si>
  <si>
    <t>Adenosine Triphosphate + Choline(m_Fd_2)  -&gt;  Adenosine Diphosphate + Choline Phosphate + Proton</t>
  </si>
  <si>
    <t>Phosphatidylethanolamine + L-Serine(m_in_2)  -&gt;  Ethanolamine(m_Sf_2) + Phosphatidylserine</t>
  </si>
  <si>
    <t>Adenosine Triphosphate + Ethanolamine(m_Sf_2)  -&gt;  Adenosine Diphosphate + Ethanolamine Phosphate(m_d2) + Proton</t>
  </si>
  <si>
    <t>Ethanolamine Phosphate(m_d2) + Hexadecanal  -&gt;  (2S,3R)-2-Azaniumyl-3-Hydroxyoctadecyl Phosphate</t>
  </si>
  <si>
    <t>S-Adenosyl-L-Methionine + Ethanolamine Phosphate(m_d2)  -&gt;  N-Methylethanolaminium Phosphate + S-Adenosyl-L-Homocysteine(m_c) + Proton</t>
  </si>
  <si>
    <t>13-O-desmethyl tacrolimus, 13-DMT or M-I + S-Adenosyl-L-Homocysteine(m_c) + Proton  -&gt;  13,31-O-Didesmethyl-tacrolimus + S-Adenosyl-L-Methionine</t>
  </si>
  <si>
    <t>Cytidine-5'-Triphosphate + Ethanolamine Phosphate(m_d2) + Proton  -&gt;  Cytidine-5'-Diphosphate-Ethanolamine + Diphosphate</t>
  </si>
  <si>
    <t>5-Methylthioadenosine + Orthophosphate  -&gt;  5-Methylthio-5-Deoxy-D-Ribose 1-Phosphate + Adenine(m_out)</t>
  </si>
  <si>
    <t>Adenosine(m_b) + Orthophosphate  -&gt;  Adenine(m_out) + Alpha-D-Ribose 1-Phosphate</t>
  </si>
  <si>
    <t>Adenine(m_out) + 5-Phospho-Alpha-D-Ribose 1-Diphosphate  -&gt;  Adenosine Monophosphate + Diphosphate</t>
  </si>
  <si>
    <t>IDsEquation</t>
  </si>
  <si>
    <t>atp[c] + glu_L[c](m_in) + nh4[c]  -&gt;  adp[c] + gln_L[c](m_Fd_1) + h[c] + pi[c]</t>
  </si>
  <si>
    <t>gln_L[c](m_Fd_1) + phaccoa[c]  -&gt;  coa[c] + pheacgln[c]</t>
  </si>
  <si>
    <t>2kmb[c] + glu_L[c](m_in)  -&gt;  akg[c] + met_L[c](m_Sf_1)</t>
  </si>
  <si>
    <t>met_L[c](m_Sf_1) + pyr[c]  -&gt;  4mtob[c] + ala_L[c](m_d1)</t>
  </si>
  <si>
    <t>ala_L[c](m_d1) + gthrd[c]  -&gt;  cgly[c] + gluala[c]</t>
  </si>
  <si>
    <t>ala_L[c](m_d1)  -&gt;  ala_D[c]</t>
  </si>
  <si>
    <t>h2o[c] + pser_L[c]  -&gt;  pi[c] + ser_L[c](m_in_2)</t>
  </si>
  <si>
    <t>pchol_hs[c] + ser_L[c](m_in_2)  -&gt;  chol[c](m_Fd_2) + ps_hs[c]</t>
  </si>
  <si>
    <t>atp[c] + chol[c](m_Fd_2)  -&gt;  adp[c] + cholp[c] + h[c]</t>
  </si>
  <si>
    <t>pe_hs[c] + ser_L[c](m_in_2)  -&gt;  etha[c](m_Sf_2) + ps_hs[c]</t>
  </si>
  <si>
    <t>atp[c] + etha[c](m_Sf_2)  -&gt;  adp[c] + ethamp[c](m_d2) + h[c]</t>
  </si>
  <si>
    <t>ethamp[c](m_d2) + hxdcal[c]  -&gt;  sph1p[c]</t>
  </si>
  <si>
    <t>amet[c] + ethamp[c](m_d2)  -&gt;  HC00718[c] + ahcys[c](m_c) + h[c]</t>
  </si>
  <si>
    <t>13dmt[c] + ahcys[c](m_c) + h[c]  -&gt;  1331tacr[c] + amet[c]</t>
  </si>
  <si>
    <t>ctp[c] + ethamp[c](m_d2) + h[c]  -&gt;  cdpea[c] + ppi[c]</t>
  </si>
  <si>
    <t>5mta[c] + pi[c]  -&gt;  5mdr1p[c] + ade[c](m_out)</t>
  </si>
  <si>
    <t>adn[c](m_b) + pi[c]  -&gt;  ade[c](m_out) + r1p[c]</t>
  </si>
  <si>
    <t>ade[c](m_out) + prpp[c]  -&gt;  amp[c] + ppi[c]</t>
  </si>
  <si>
    <t>PathSubstrate</t>
  </si>
  <si>
    <t>EC in motif file</t>
  </si>
  <si>
    <t>EC actually queried</t>
  </si>
  <si>
    <t>EC resolution</t>
  </si>
  <si>
    <t>local BRENDA flat file (release 2026.1)</t>
  </si>
  <si>
    <t>no records in local BRENDA flat file</t>
  </si>
  <si>
    <t>Organism requested</t>
  </si>
  <si>
    <t>Km query</t>
  </si>
  <si>
    <t>OK (local BRENDA flat file: 0 record(s))</t>
  </si>
  <si>
    <t>OK (local BRENDA flat file: 134 record(s))</t>
  </si>
  <si>
    <t>OK (local BRENDA flat file: 167 record(s))</t>
  </si>
  <si>
    <t>OK (local BRENDA flat file: 169 record(s))</t>
  </si>
  <si>
    <t>OK (local BRENDA flat file: 32 record(s))</t>
  </si>
  <si>
    <t>OK (local BRENDA flat file: 3 record(s))</t>
  </si>
  <si>
    <t>OK (local BRENDA flat file: 23 record(s))</t>
  </si>
  <si>
    <t>OK (local BRENDA flat file: 13 record(s))</t>
  </si>
  <si>
    <t>OK (local BRENDA flat file: 73 record(s))</t>
  </si>
  <si>
    <t>OK (local BRENDA flat file: 30 record(s))</t>
  </si>
  <si>
    <t>OK (local BRENDA flat file: 108 record(s))</t>
  </si>
  <si>
    <t>OK (local BRENDA flat file: 79 record(s))</t>
  </si>
  <si>
    <t>kcat query</t>
  </si>
  <si>
    <t>OK (local BRENDA flat file: 55 record(s))</t>
  </si>
  <si>
    <t>OK (local BRENDA flat file: 44 record(s))</t>
  </si>
  <si>
    <t>OK (local BRENDA flat file: 92 record(s))</t>
  </si>
  <si>
    <t>OK (local BRENDA flat file: 15 record(s))</t>
  </si>
  <si>
    <t>OK (local BRENDA flat file: 2 record(s))</t>
  </si>
  <si>
    <t>OK (local BRENDA flat file: 45 record(s))</t>
  </si>
  <si>
    <t>OK (local BRENDA flat file: 11 record(s))</t>
  </si>
  <si>
    <t>OK (local BRENDA flat file: 76 record(s))</t>
  </si>
  <si>
    <t>OK (local BRENDA flat file: 33 record(s))</t>
  </si>
  <si>
    <t>SA query</t>
  </si>
  <si>
    <t>OK (local BRENDA flat file: 1 record(s))</t>
  </si>
  <si>
    <t>OK (local BRENDA flat file: 260 record(s))</t>
  </si>
  <si>
    <t>OK (local BRENDA flat file: 86 record(s))</t>
  </si>
  <si>
    <t>OK (local BRENDA flat file: 28 record(s))</t>
  </si>
  <si>
    <t>OK (local BRENDA flat file: 7 record(s))</t>
  </si>
  <si>
    <t>OK (local BRENDA flat file: 4 record(s))</t>
  </si>
  <si>
    <t>OK (local BRENDA flat file: 29 record(s))</t>
  </si>
  <si>
    <t>MW query</t>
  </si>
  <si>
    <t>OK (local BRENDA flat file: 126 record(s))</t>
  </si>
  <si>
    <t>OK (local BRENDA flat file: 81 record(s))</t>
  </si>
  <si>
    <t>OK (local BRENDA flat file: 71 record(s))</t>
  </si>
  <si>
    <t>OK (local BRENDA flat file: 22 record(s))</t>
  </si>
  <si>
    <t>OK (local BRENDA flat file: 10 record(s))</t>
  </si>
  <si>
    <t>OK (local BRENDA flat file: 14 record(s))</t>
  </si>
  <si>
    <t>OK (local BRENDA flat file: 21 record(s))</t>
  </si>
  <si>
    <t>Verdict</t>
  </si>
  <si>
    <t>Trail</t>
  </si>
  <si>
    <t>BRENDA records under the motif code</t>
  </si>
  <si>
    <t>BRENDA records under the live code</t>
  </si>
  <si>
    <t>Accepted name of the live entry</t>
  </si>
  <si>
    <t>Km substrate</t>
  </si>
  <si>
    <t>kcat substrate</t>
  </si>
  <si>
    <t>Km organism</t>
  </si>
  <si>
    <t>kcat organism</t>
  </si>
  <si>
    <t>Km literature</t>
  </si>
  <si>
    <t>kcat literature</t>
  </si>
  <si>
    <t>Km method</t>
  </si>
  <si>
    <t>kcat method</t>
  </si>
  <si>
    <t>Km n</t>
  </si>
  <si>
    <t>kcat n</t>
  </si>
  <si>
    <t>Km assay</t>
  </si>
  <si>
    <t>kcat assay</t>
  </si>
  <si>
    <t>Km source</t>
  </si>
  <si>
    <t>kcat source</t>
  </si>
  <si>
    <t>Assumptions</t>
  </si>
  <si>
    <t>Selected date</t>
  </si>
</sst>
</file>

<file path=xl/styles.xml><?xml version="1.0" encoding="utf-8"?>
<styleSheet xmlns="http://schemas.openxmlformats.org/spreadsheetml/2006/main" xmlns:r="http://schemas.openxmlformats.org/officeDocument/2006/relationships" xmlns:xdr="http://schemas.openxmlformats.org/drawingml/2006/spreadsheetDrawing">
  <fonts count="1">
    <font>
      <sz val="11"/>
      <name val="Calibri"/>
    </font>
  </fonts>
  <fills count="2">
    <fill>
      <patternFill patternType="none"/>
    </fill>
    <fill>
      <patternFill patternType="gray125"/>
    </fill>
  </fills>
  <borders count="2">
    <border>
      <left/>
      <right/>
      <top/>
      <bottom/>
      <diagonal/>
    </border>
    <border/>
  </borders>
  <cellStyleXfs count="1">
    <xf numFmtId="0" fontId="0" fillId="0" borderId="0"/>
  </cellStyleXfs>
  <cellXfs count="2">
    <xf numFmtId="0" fontId="0" fillId="0" borderId="0" xfId="0"/>
    <xf numFmtId="22" fontId="0" fillId="0" borderId="1" xfId="0" applyNumberFormat="true"/>
  </cellXfs>
  <cellStyles count="1">
    <cellStyle name="Normal" xfId="0" builtinId="0"/>
  </cellStyles>
</styleSheet>
</file>

<file path=xl/_rels/workbook.xml.rels><?xml version="1.0" encoding="UTF-8"?><Relationships xmlns="http://schemas.openxmlformats.org/package/2006/relationships"><Relationship Target="styles.xml" Type="http://schemas.openxmlformats.org/officeDocument/2006/relationships/styles" Id="rId1"/><Relationship Target="worksheets/sheet1.xml" Type="http://schemas.openxmlformats.org/officeDocument/2006/relationships/worksheet" Id="rId2"/><Relationship Target="sharedStrings.xml" Type="http://schemas.openxmlformats.org/officeDocument/2006/relationships/sharedStrings"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worksheets/sheet7.xml" Type="http://schemas.openxmlformats.org/officeDocument/2006/relationships/worksheet" Id="rId9"/><Relationship Target="worksheets/sheet8.xml" Type="http://schemas.openxmlformats.org/officeDocument/2006/relationships/worksheet" Id="rId10"/><Relationship Target="worksheets/sheet9.xml" Type="http://schemas.openxmlformats.org/officeDocument/2006/relationships/worksheet" Id="rId11"/><Relationship Target="worksheets/sheet10.xml" Type="http://schemas.openxmlformats.org/officeDocument/2006/relationships/worksheet" Id="rId12"/><Relationship Target="worksheets/sheet11.xml" Type="http://schemas.openxmlformats.org/officeDocument/2006/relationships/worksheet" Id="rId13"/></Relationships>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dr="http://schemas.openxmlformats.org/drawingml/2006/spreadsheetDrawing" mc:Ignorable="x14ac">
  <dimension ref="A1:S19"/>
  <sheetViews>
    <sheetView workbookViewId="0"/>
  </sheetViews>
  <sheetFormatPr defaultRowHeight="15"/>
  <cols>
    <col customWidth="true" max="1" min="1" width="14.453125"/>
    <col customWidth="true" max="2" min="2" width="8.08984375"/>
    <col customWidth="true" max="3" min="3" width="80.26953125"/>
    <col customWidth="true" max="4" min="4" width="8.54296875"/>
    <col customWidth="true" max="5" min="5" width="9.7265625"/>
    <col customWidth="true" max="6" min="6" width="16.36328125"/>
    <col customWidth="true" max="7" min="7" width="13.81640625"/>
    <col customWidth="true" max="8" min="8" width="49.1796875"/>
    <col customWidth="true" max="9" min="9" width="8.26953125"/>
    <col customWidth="true" max="10" min="10" width="73.36328125"/>
    <col customWidth="true" max="11" min="11" width="44.453125"/>
    <col customWidth="true" max="12" min="12" width="38.7265625"/>
    <col customWidth="true" max="13" min="13" width="34.90625"/>
    <col customWidth="true" max="14" min="14" width="3749.36328125"/>
    <col customWidth="true" max="15" min="15" width="9.90625"/>
    <col customWidth="true" max="16" min="16" width="17.453125"/>
    <col customWidth="true" max="17" min="17" width="203.54296875"/>
    <col customWidth="true" max="18" min="18" width="652.08984375"/>
    <col customWidth="true" max="19" min="19" width="130.36328125"/>
  </cols>
  <sheetData>
    <row r="1">
      <c r="A1" s="0" t="s">
        <v>0</v>
      </c>
      <c r="B1" s="0" t="s">
        <v>5</v>
      </c>
      <c r="C1" s="0" t="s">
        <v>24</v>
      </c>
      <c r="D1" s="0" t="s">
        <v>42</v>
      </c>
      <c r="E1" s="0" t="s">
        <v>56</v>
      </c>
      <c r="F1" s="0" t="s">
        <v>57</v>
      </c>
      <c r="G1" s="0" t="s">
        <v>58</v>
      </c>
      <c r="H1" s="0" t="s">
        <v>59</v>
      </c>
      <c r="I1" s="0" t="s">
        <v>78</v>
      </c>
      <c r="J1" s="0" t="s">
        <v>79</v>
      </c>
      <c r="K1" s="0" t="s">
        <v>98</v>
      </c>
      <c r="L1" s="0" t="s">
        <v>99</v>
      </c>
      <c r="M1" s="0" t="s">
        <v>104</v>
      </c>
      <c r="N1" s="0" t="s">
        <v>109</v>
      </c>
      <c r="O1" s="0" t="s">
        <v>126</v>
      </c>
      <c r="P1" s="0" t="s">
        <v>127</v>
      </c>
      <c r="Q1" s="0" t="s">
        <v>128</v>
      </c>
      <c r="R1" s="0" t="s">
        <v>144</v>
      </c>
      <c r="S1" s="0" t="s">
        <v>152</v>
      </c>
    </row>
    <row r="2">
      <c r="A2" s="0" t="s">
        <v>1</v>
      </c>
      <c r="B2" s="0" t="s">
        <v>6</v>
      </c>
      <c r="C2" s="0" t="s">
        <v>25</v>
      </c>
      <c r="D2" s="0"/>
      <c r="E2" s="0"/>
      <c r="F2" s="0"/>
      <c r="G2" s="0"/>
      <c r="H2" s="0">
        <f>IF(AND(ISNUMBER(F2),ISNUMBER(G2)),F2*G2/60,"")</f>
      </c>
      <c r="I2" s="0">
        <v>0</v>
      </c>
      <c r="J2" s="0">
        <f>IF(AND(ISNUMBER(H2),ISNUMBER(I2),ISNUMBER(E2)),IF(E2&gt;0,H2*I2/E2,""),"")</f>
      </c>
      <c r="K2" s="0" t="s">
        <v>7</v>
      </c>
      <c r="L2" s="0">
        <f>IFERROR(IF(COUNT(J2,J3)=2,J2/J3,""),"")</f>
      </c>
      <c r="M2" s="0">
        <f>IFERROR(IF(ISNUMBER(J3),1/J3,""),"")</f>
      </c>
      <c r="N2" s="0" t="s">
        <v>110</v>
      </c>
      <c r="O2" s="0"/>
      <c r="P2" s="0"/>
      <c r="Q2" s="0" t="s">
        <v>129</v>
      </c>
      <c r="R2" s="0"/>
      <c r="S2" s="0" t="s">
        <v>153</v>
      </c>
    </row>
    <row r="3">
      <c r="A3" s="0" t="s">
        <v>1</v>
      </c>
      <c r="B3" s="0" t="s">
        <v>7</v>
      </c>
      <c r="C3" s="0" t="s">
        <v>26</v>
      </c>
      <c r="D3" s="0" t="s">
        <v>43</v>
      </c>
      <c r="E3" s="0"/>
      <c r="F3" s="0">
        <v>-999</v>
      </c>
      <c r="G3" s="0">
        <v>30</v>
      </c>
      <c r="H3" s="0">
        <f>F3*G3/60</f>
        <v>-499.5</v>
      </c>
      <c r="I3" s="0">
        <v>0</v>
      </c>
      <c r="J3" s="0">
        <f>IF(AND(ISNUMBER(H3),ISNUMBER(I3),ISNUMBER(E3)),IF(E3&gt;0,H3*I3/E3,""),"")</f>
      </c>
      <c r="K3" s="0"/>
      <c r="L3" s="0"/>
      <c r="M3" s="0"/>
      <c r="N3" s="0" t="s">
        <v>111</v>
      </c>
      <c r="O3" s="0"/>
      <c r="P3" s="0"/>
      <c r="Q3" s="0" t="s">
        <v>130</v>
      </c>
      <c r="R3" s="0" t="s">
        <v>145</v>
      </c>
      <c r="S3" s="0" t="s">
        <v>154</v>
      </c>
    </row>
    <row r="4">
      <c r="A4" s="0" t="s">
        <v>1</v>
      </c>
      <c r="B4" s="0" t="s">
        <v>8</v>
      </c>
      <c r="C4" s="0" t="s">
        <v>27</v>
      </c>
      <c r="D4" s="0"/>
      <c r="E4" s="0"/>
      <c r="F4" s="0"/>
      <c r="G4" s="0"/>
      <c r="H4" s="0">
        <f>IF(AND(ISNUMBER(F4),ISNUMBER(G4)),F4*G4/60,"")</f>
      </c>
      <c r="I4" s="0">
        <v>0</v>
      </c>
      <c r="J4" s="0">
        <f>IF(AND(ISNUMBER(H4),ISNUMBER(I4),ISNUMBER(E4)),IF(E4&gt;0,H4*I4/E4,""),"")</f>
      </c>
      <c r="K4" s="0" t="s">
        <v>9</v>
      </c>
      <c r="L4" s="0">
        <f>IFERROR(IF(COUNT(J4,J5)=2,J4/J5,""),"")</f>
      </c>
      <c r="M4" s="0">
        <f>IFERROR(IF(ISNUMBER(J5),1/J5,""),"")</f>
      </c>
      <c r="N4" s="0" t="s">
        <v>110</v>
      </c>
      <c r="O4" s="0"/>
      <c r="P4" s="0"/>
      <c r="Q4" s="0" t="s">
        <v>129</v>
      </c>
      <c r="R4" s="0"/>
      <c r="S4" s="0" t="s">
        <v>153</v>
      </c>
    </row>
    <row r="5">
      <c r="A5" s="0" t="s">
        <v>1</v>
      </c>
      <c r="B5" s="0" t="s">
        <v>9</v>
      </c>
      <c r="C5" s="0" t="s">
        <v>28</v>
      </c>
      <c r="D5" s="0" t="s">
        <v>44</v>
      </c>
      <c r="E5" s="0">
        <v>17</v>
      </c>
      <c r="F5" s="0">
        <v>112.5</v>
      </c>
      <c r="G5" s="0">
        <v>48.450000000000003</v>
      </c>
      <c r="H5" s="0">
        <f>F5*G5/60</f>
        <v>90.84375</v>
      </c>
      <c r="I5" s="0">
        <v>0</v>
      </c>
      <c r="J5" s="0">
        <f>IF(AND(ISNUMBER(H5),ISNUMBER(I5),ISNUMBER(E5)),IF(E5&gt;0,H5*I5/E5,""),"")</f>
      </c>
      <c r="K5" s="0"/>
      <c r="L5" s="0"/>
      <c r="M5" s="0"/>
      <c r="N5" s="0" t="s">
        <v>112</v>
      </c>
      <c r="O5" s="0" t="s">
        <v>44</v>
      </c>
      <c r="P5" s="0"/>
      <c r="Q5" s="0" t="s">
        <v>131</v>
      </c>
      <c r="R5" s="0" t="s">
        <v>146</v>
      </c>
      <c r="S5" s="0" t="s">
        <v>155</v>
      </c>
    </row>
    <row r="6">
      <c r="A6" s="0" t="s">
        <v>1</v>
      </c>
      <c r="B6" s="0" t="s">
        <v>10</v>
      </c>
      <c r="C6" s="0" t="s">
        <v>29</v>
      </c>
      <c r="D6" s="0" t="s">
        <v>45</v>
      </c>
      <c r="E6" s="0">
        <v>7.9000000000000004</v>
      </c>
      <c r="F6" s="0">
        <v>120</v>
      </c>
      <c r="G6" s="0">
        <v>78</v>
      </c>
      <c r="H6" s="0">
        <f>F6*G6/60</f>
        <v>156</v>
      </c>
      <c r="I6" s="0">
        <v>0</v>
      </c>
      <c r="J6" s="0">
        <f>IF(AND(ISNUMBER(H6),ISNUMBER(I6),ISNUMBER(E6)),IF(E6&gt;0,H6*I6/E6,""),"")</f>
      </c>
      <c r="K6" s="0"/>
      <c r="L6" s="0"/>
      <c r="M6" s="0"/>
      <c r="N6" s="0" t="s">
        <v>113</v>
      </c>
      <c r="O6" s="0" t="s">
        <v>45</v>
      </c>
      <c r="P6" s="0"/>
      <c r="Q6" s="0" t="s">
        <v>132</v>
      </c>
      <c r="R6" s="0" t="s">
        <v>147</v>
      </c>
      <c r="S6" s="0" t="s">
        <v>156</v>
      </c>
    </row>
    <row r="7">
      <c r="A7" s="0" t="s">
        <v>1</v>
      </c>
      <c r="B7" s="0" t="s">
        <v>11</v>
      </c>
      <c r="C7" s="0" t="s">
        <v>30</v>
      </c>
      <c r="D7" s="0" t="s">
        <v>46</v>
      </c>
      <c r="E7" s="0">
        <v>8.8000000000000007</v>
      </c>
      <c r="F7" s="0">
        <v>176</v>
      </c>
      <c r="G7" s="0">
        <v>44.219999999999999</v>
      </c>
      <c r="H7" s="0">
        <f>F7*G7/60</f>
        <v>129.71199999999999</v>
      </c>
      <c r="I7" s="0">
        <v>0</v>
      </c>
      <c r="J7" s="0">
        <f>IF(AND(ISNUMBER(H7),ISNUMBER(I7),ISNUMBER(E7)),IF(E7&gt;0,H7*I7/E7,""),"")</f>
      </c>
      <c r="K7" s="0"/>
      <c r="L7" s="0"/>
      <c r="M7" s="0"/>
      <c r="N7" s="0" t="s">
        <v>114</v>
      </c>
      <c r="O7" s="0" t="s">
        <v>46</v>
      </c>
      <c r="P7" s="0"/>
      <c r="Q7" s="0" t="s">
        <v>133</v>
      </c>
      <c r="R7" s="0" t="s">
        <v>148</v>
      </c>
      <c r="S7" s="0" t="s">
        <v>157</v>
      </c>
    </row>
    <row r="8">
      <c r="A8" s="0" t="s">
        <v>2</v>
      </c>
      <c r="B8" s="0" t="s">
        <v>12</v>
      </c>
      <c r="C8" s="0" t="s">
        <v>31</v>
      </c>
      <c r="D8" s="0" t="s">
        <v>47</v>
      </c>
      <c r="E8" s="0">
        <v>0.1605</v>
      </c>
      <c r="F8" s="0">
        <v>17.300000000000001</v>
      </c>
      <c r="G8" s="0">
        <v>38</v>
      </c>
      <c r="H8" s="0">
        <f>F8*G8/60</f>
        <v>10.956666666666667</v>
      </c>
      <c r="I8" s="0">
        <v>0</v>
      </c>
      <c r="J8" s="0">
        <f>IF(AND(ISNUMBER(H8),ISNUMBER(I8),ISNUMBER(E8)),IF(E8&gt;0,H8*I8/E8,""),"")</f>
      </c>
      <c r="K8" s="0"/>
      <c r="L8" s="0"/>
      <c r="M8" s="0"/>
      <c r="N8" s="0" t="s">
        <v>115</v>
      </c>
      <c r="O8" s="0" t="s">
        <v>47</v>
      </c>
      <c r="P8" s="0"/>
      <c r="Q8" s="0" t="s">
        <v>134</v>
      </c>
      <c r="R8" s="0" t="s">
        <v>149</v>
      </c>
      <c r="S8" s="0" t="s">
        <v>158</v>
      </c>
    </row>
    <row r="9">
      <c r="A9" s="0" t="s">
        <v>2</v>
      </c>
      <c r="B9" s="0" t="s">
        <v>13</v>
      </c>
      <c r="C9" s="0" t="s">
        <v>32</v>
      </c>
      <c r="D9" s="0" t="s">
        <v>48</v>
      </c>
      <c r="E9" s="0">
        <v>1.24</v>
      </c>
      <c r="F9" s="0">
        <v>7.8600000000000003</v>
      </c>
      <c r="G9" s="0">
        <v>46.25</v>
      </c>
      <c r="H9" s="0">
        <f>F9*G9/60</f>
        <v>6.0587500000000007</v>
      </c>
      <c r="I9" s="0">
        <v>0</v>
      </c>
      <c r="J9" s="0">
        <f>IF(AND(ISNUMBER(H9),ISNUMBER(I9),ISNUMBER(E9)),IF(E9&gt;0,H9*I9/E9,""),"")</f>
      </c>
      <c r="K9" s="0" t="s">
        <v>14</v>
      </c>
      <c r="L9" s="0">
        <f>IFERROR(IF(COUNT(J9,J10)=2,J9/J10,""),"")</f>
      </c>
      <c r="M9" s="0">
        <f>IFERROR(IF(ISNUMBER(J10),1/J10,""),"")</f>
      </c>
      <c r="N9" s="0" t="s">
        <v>116</v>
      </c>
      <c r="O9" s="0" t="s">
        <v>48</v>
      </c>
      <c r="P9" s="0"/>
      <c r="Q9" s="0" t="s">
        <v>135</v>
      </c>
      <c r="R9" s="0" t="s">
        <v>150</v>
      </c>
      <c r="S9" s="0" t="s">
        <v>159</v>
      </c>
    </row>
    <row r="10">
      <c r="A10" s="0" t="s">
        <v>2</v>
      </c>
      <c r="B10" s="0" t="s">
        <v>14</v>
      </c>
      <c r="C10" s="0" t="s">
        <v>33</v>
      </c>
      <c r="D10" s="0"/>
      <c r="E10" s="0"/>
      <c r="F10" s="0"/>
      <c r="G10" s="0"/>
      <c r="H10" s="0">
        <f>IF(AND(ISNUMBER(F10),ISNUMBER(G10)),F10*G10/60,"")</f>
      </c>
      <c r="I10" s="0">
        <v>0</v>
      </c>
      <c r="J10" s="0">
        <f>IF(AND(ISNUMBER(H10),ISNUMBER(I10),ISNUMBER(E10)),IF(E10&gt;0,H10*I10/E10,""),"")</f>
      </c>
      <c r="K10" s="0"/>
      <c r="L10" s="0"/>
      <c r="M10" s="0"/>
      <c r="N10" s="0" t="s">
        <v>117</v>
      </c>
      <c r="O10" s="0"/>
      <c r="P10" s="0"/>
      <c r="Q10" s="0" t="s">
        <v>136</v>
      </c>
      <c r="R10" s="0"/>
      <c r="S10" s="0" t="s">
        <v>153</v>
      </c>
    </row>
    <row r="11">
      <c r="A11" s="0" t="s">
        <v>2</v>
      </c>
      <c r="B11" s="0" t="s">
        <v>15</v>
      </c>
      <c r="C11" s="0" t="s">
        <v>32</v>
      </c>
      <c r="D11" s="0" t="s">
        <v>48</v>
      </c>
      <c r="E11" s="0">
        <v>1.24</v>
      </c>
      <c r="F11" s="0">
        <v>7.8600000000000003</v>
      </c>
      <c r="G11" s="0">
        <v>46.25</v>
      </c>
      <c r="H11" s="0">
        <f>F11*G11/60</f>
        <v>6.0587500000000007</v>
      </c>
      <c r="I11" s="0">
        <v>0</v>
      </c>
      <c r="J11" s="0">
        <f>IF(AND(ISNUMBER(H11),ISNUMBER(I11),ISNUMBER(E11)),IF(E11&gt;0,H11*I11/E11,""),"")</f>
      </c>
      <c r="K11" s="0" t="s">
        <v>16</v>
      </c>
      <c r="L11" s="0">
        <f>IFERROR(IF(COUNT(J11,J12)=2,J11/J12,""),"")</f>
      </c>
      <c r="M11" s="0">
        <f>IFERROR(IF(ISNUMBER(J12),1/J12,""),"")</f>
      </c>
      <c r="N11" s="0" t="s">
        <v>116</v>
      </c>
      <c r="O11" s="0" t="s">
        <v>48</v>
      </c>
      <c r="P11" s="0"/>
      <c r="Q11" s="0" t="s">
        <v>135</v>
      </c>
      <c r="R11" s="0" t="s">
        <v>150</v>
      </c>
      <c r="S11" s="0" t="s">
        <v>159</v>
      </c>
    </row>
    <row r="12">
      <c r="A12" s="0" t="s">
        <v>2</v>
      </c>
      <c r="B12" s="0" t="s">
        <v>16</v>
      </c>
      <c r="C12" s="0" t="s">
        <v>34</v>
      </c>
      <c r="D12" s="0" t="s">
        <v>49</v>
      </c>
      <c r="E12" s="0">
        <v>0.25</v>
      </c>
      <c r="F12" s="0">
        <v>-999</v>
      </c>
      <c r="G12" s="0">
        <v>65.5</v>
      </c>
      <c r="H12" s="0">
        <f>F12*G12/60</f>
        <v>-1090.575</v>
      </c>
      <c r="I12" s="0">
        <v>0</v>
      </c>
      <c r="J12" s="0">
        <f>IF(AND(ISNUMBER(H12),ISNUMBER(I12),ISNUMBER(E12)),IF(E12&gt;0,H12*I12/E12,""),"")</f>
      </c>
      <c r="K12" s="0"/>
      <c r="L12" s="0"/>
      <c r="M12" s="0"/>
      <c r="N12" s="0" t="s">
        <v>118</v>
      </c>
      <c r="O12" s="0" t="s">
        <v>49</v>
      </c>
      <c r="P12" s="0"/>
      <c r="Q12" s="0" t="s">
        <v>137</v>
      </c>
      <c r="R12" s="0" t="s">
        <v>147</v>
      </c>
      <c r="S12" s="0" t="s">
        <v>160</v>
      </c>
    </row>
    <row r="13">
      <c r="A13" s="0" t="s">
        <v>2</v>
      </c>
      <c r="B13" s="0" t="s">
        <v>17</v>
      </c>
      <c r="C13" s="0" t="s">
        <v>35</v>
      </c>
      <c r="D13" s="0" t="s">
        <v>50</v>
      </c>
      <c r="E13" s="0">
        <v>0.035000000000000003</v>
      </c>
      <c r="F13" s="0">
        <v>-999</v>
      </c>
      <c r="G13" s="0">
        <v>63.485</v>
      </c>
      <c r="H13" s="0">
        <f>F13*G13/60</f>
        <v>-1057.0252499999999</v>
      </c>
      <c r="I13" s="0">
        <v>0</v>
      </c>
      <c r="J13" s="0">
        <f>IF(AND(ISNUMBER(H13),ISNUMBER(I13),ISNUMBER(E13)),IF(E13&gt;0,H13*I13/E13,""),"")</f>
      </c>
      <c r="K13" s="0"/>
      <c r="L13" s="0"/>
      <c r="M13" s="0"/>
      <c r="N13" s="0" t="s">
        <v>119</v>
      </c>
      <c r="O13" s="0" t="s">
        <v>50</v>
      </c>
      <c r="P13" s="0"/>
      <c r="Q13" s="0" t="s">
        <v>138</v>
      </c>
      <c r="R13" s="0" t="s">
        <v>147</v>
      </c>
      <c r="S13" s="0" t="s">
        <v>161</v>
      </c>
    </row>
    <row r="14">
      <c r="A14" s="0" t="s">
        <v>3</v>
      </c>
      <c r="B14" s="0" t="s">
        <v>18</v>
      </c>
      <c r="C14" s="0" t="s">
        <v>36</v>
      </c>
      <c r="D14" s="0" t="s">
        <v>51</v>
      </c>
      <c r="E14" s="0">
        <v>0.10000000000000001</v>
      </c>
      <c r="F14" s="0">
        <v>0.02</v>
      </c>
      <c r="G14" s="0">
        <v>53.549999999999997</v>
      </c>
      <c r="H14" s="0">
        <f>F14*G14/60</f>
        <v>0.017849999999999998</v>
      </c>
      <c r="I14" s="0">
        <v>0</v>
      </c>
      <c r="J14" s="0">
        <f>IF(AND(ISNUMBER(H14),ISNUMBER(I14),ISNUMBER(E14)),IF(E14&gt;0,H14*I14/E14,""),"")</f>
      </c>
      <c r="K14" s="0"/>
      <c r="L14" s="0"/>
      <c r="M14" s="0"/>
      <c r="N14" s="0" t="s">
        <v>120</v>
      </c>
      <c r="O14" s="0" t="s">
        <v>51</v>
      </c>
      <c r="P14" s="0"/>
      <c r="Q14" s="0" t="s">
        <v>139</v>
      </c>
      <c r="R14" s="0" t="s">
        <v>151</v>
      </c>
      <c r="S14" s="0" t="s">
        <v>162</v>
      </c>
    </row>
    <row r="15">
      <c r="A15" s="0" t="s">
        <v>3</v>
      </c>
      <c r="B15" s="0" t="s">
        <v>19</v>
      </c>
      <c r="C15" s="0" t="s">
        <v>37</v>
      </c>
      <c r="D15" s="0"/>
      <c r="E15" s="0"/>
      <c r="F15" s="0"/>
      <c r="G15" s="0"/>
      <c r="H15" s="0">
        <f>IF(AND(ISNUMBER(F15),ISNUMBER(G15)),F15*G15/60,"")</f>
      </c>
      <c r="I15" s="0">
        <v>0</v>
      </c>
      <c r="J15" s="0">
        <f>IF(AND(ISNUMBER(H15),ISNUMBER(I15),ISNUMBER(E15)),IF(E15&gt;0,H15*I15/E15,""),"")</f>
      </c>
      <c r="K15" s="0"/>
      <c r="L15" s="0"/>
      <c r="M15" s="0"/>
      <c r="N15" s="0" t="s">
        <v>121</v>
      </c>
      <c r="O15" s="0"/>
      <c r="P15" s="0"/>
      <c r="Q15" s="0" t="s">
        <v>140</v>
      </c>
      <c r="R15" s="0"/>
      <c r="S15" s="0" t="s">
        <v>153</v>
      </c>
    </row>
    <row r="16">
      <c r="A16" s="0" t="s">
        <v>3</v>
      </c>
      <c r="B16" s="0" t="s">
        <v>20</v>
      </c>
      <c r="C16" s="0" t="s">
        <v>38</v>
      </c>
      <c r="D16" s="0" t="s">
        <v>52</v>
      </c>
      <c r="E16" s="0">
        <v>0.28800000000000003</v>
      </c>
      <c r="F16" s="0">
        <v>2.9649999999999999</v>
      </c>
      <c r="G16" s="0">
        <v>50</v>
      </c>
      <c r="H16" s="0">
        <f>F16*G16/60</f>
        <v>2.4708333333333332</v>
      </c>
      <c r="I16" s="0">
        <v>0</v>
      </c>
      <c r="J16" s="0">
        <f>IF(AND(ISNUMBER(H16),ISNUMBER(I16),ISNUMBER(E16)),IF(E16&gt;0,H16*I16/E16,""),"")</f>
      </c>
      <c r="K16" s="0"/>
      <c r="L16" s="0"/>
      <c r="M16" s="0"/>
      <c r="N16" s="0" t="s">
        <v>122</v>
      </c>
      <c r="O16" s="0" t="s">
        <v>52</v>
      </c>
      <c r="P16" s="0"/>
      <c r="Q16" s="0" t="s">
        <v>139</v>
      </c>
      <c r="R16" s="0" t="s">
        <v>147</v>
      </c>
      <c r="S16" s="0" t="s">
        <v>163</v>
      </c>
    </row>
    <row r="17">
      <c r="A17" s="0" t="s">
        <v>4</v>
      </c>
      <c r="B17" s="0" t="s">
        <v>21</v>
      </c>
      <c r="C17" s="0" t="s">
        <v>39</v>
      </c>
      <c r="D17" s="0" t="s">
        <v>53</v>
      </c>
      <c r="E17" s="0">
        <v>0.012999999999999999</v>
      </c>
      <c r="F17" s="0">
        <v>0.26000000000000001</v>
      </c>
      <c r="G17" s="0">
        <v>43.25</v>
      </c>
      <c r="H17" s="0">
        <f>F17*G17/60</f>
        <v>0.18741666666666668</v>
      </c>
      <c r="I17" s="0">
        <v>0</v>
      </c>
      <c r="J17" s="0">
        <f>IF(AND(ISNUMBER(H17),ISNUMBER(I17),ISNUMBER(E17)),IF(E17&gt;0,H17*I17/E17,""),"")</f>
      </c>
      <c r="K17" s="0"/>
      <c r="L17" s="0"/>
      <c r="M17" s="0"/>
      <c r="N17" s="0" t="s">
        <v>123</v>
      </c>
      <c r="O17" s="0" t="s">
        <v>53</v>
      </c>
      <c r="P17" s="0"/>
      <c r="Q17" s="0" t="s">
        <v>141</v>
      </c>
      <c r="R17" s="0" t="s">
        <v>147</v>
      </c>
      <c r="S17" s="0" t="s">
        <v>164</v>
      </c>
    </row>
    <row r="18">
      <c r="A18" s="0" t="s">
        <v>4</v>
      </c>
      <c r="B18" s="0" t="s">
        <v>22</v>
      </c>
      <c r="C18" s="0" t="s">
        <v>40</v>
      </c>
      <c r="D18" s="0" t="s">
        <v>54</v>
      </c>
      <c r="E18" s="0"/>
      <c r="F18" s="0"/>
      <c r="G18" s="0"/>
      <c r="H18" s="0">
        <f>IF(AND(ISNUMBER(F18),ISNUMBER(G18)),F18*G18/60,"")</f>
      </c>
      <c r="I18" s="0">
        <v>0</v>
      </c>
      <c r="J18" s="0">
        <f>IF(AND(ISNUMBER(H18),ISNUMBER(I18),ISNUMBER(E18)),IF(E18&gt;0,H18*I18/E18,""),"")</f>
      </c>
      <c r="K18" s="0"/>
      <c r="L18" s="0"/>
      <c r="M18" s="0"/>
      <c r="N18" s="0" t="s">
        <v>124</v>
      </c>
      <c r="O18" s="0"/>
      <c r="P18" s="0"/>
      <c r="Q18" s="0" t="s">
        <v>142</v>
      </c>
      <c r="R18" s="0"/>
      <c r="S18" s="0" t="s">
        <v>165</v>
      </c>
    </row>
    <row r="19">
      <c r="A19" s="0" t="s">
        <v>4</v>
      </c>
      <c r="B19" s="0" t="s">
        <v>23</v>
      </c>
      <c r="C19" s="0" t="s">
        <v>41</v>
      </c>
      <c r="D19" s="0" t="s">
        <v>55</v>
      </c>
      <c r="E19" s="0">
        <v>0.0045500000000000002</v>
      </c>
      <c r="F19" s="0">
        <v>0.0040800000000000003</v>
      </c>
      <c r="G19" s="0">
        <v>34</v>
      </c>
      <c r="H19" s="0">
        <f>F19*G19/60</f>
        <v>0.0023120000000000003</v>
      </c>
      <c r="I19" s="0">
        <v>0</v>
      </c>
      <c r="J19" s="0">
        <f>IF(AND(ISNUMBER(H19),ISNUMBER(I19),ISNUMBER(E19)),IF(E19&gt;0,H19*I19/E19,""),"")</f>
      </c>
      <c r="K19" s="0"/>
      <c r="L19" s="0"/>
      <c r="M19" s="0"/>
      <c r="N19" s="0" t="s">
        <v>125</v>
      </c>
      <c r="O19" s="0" t="s">
        <v>55</v>
      </c>
      <c r="P19" s="0"/>
      <c r="Q19" s="0" t="s">
        <v>143</v>
      </c>
      <c r="R19" s="0" t="s">
        <v>147</v>
      </c>
      <c r="S19" s="0" t="s">
        <v>166</v>
      </c>
    </row>
  </sheetData>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K29"/>
  <sheetViews>
    <sheetView workbookViewId="0"/>
  </sheetViews>
  <sheetFormatPr defaultRowHeight="15"/>
  <cols>
    <col min="1" max="1" width="8.08984375" customWidth="true"/>
    <col min="2" max="2" width="14.7265625" customWidth="true"/>
    <col min="3" max="3" width="8.54296875" customWidth="true"/>
    <col min="4" max="4" width="23.1796875" customWidth="true"/>
    <col min="5" max="5" width="14.08984375" customWidth="true"/>
    <col min="6" max="6" width="9.7265625" customWidth="true"/>
    <col min="7" max="7" width="2.90625" customWidth="true"/>
    <col min="8" max="8" width="7.453125" customWidth="true"/>
    <col min="9" max="9" width="7.453125" customWidth="true"/>
    <col min="10" max="10" width="5.453125" customWidth="true"/>
    <col min="11" max="11" width="652.08984375" customWidth="true"/>
  </cols>
  <sheetData>
    <row r="1">
      <c r="A1" s="0" t="s">
        <v>5</v>
      </c>
      <c r="B1" s="0" t="s">
        <v>167</v>
      </c>
      <c r="C1" s="0" t="s">
        <v>182</v>
      </c>
      <c r="D1" s="0" t="s">
        <v>183</v>
      </c>
      <c r="E1" s="0" t="s">
        <v>205</v>
      </c>
      <c r="F1" s="0" t="s">
        <v>56</v>
      </c>
      <c r="G1" s="0" t="s">
        <v>208</v>
      </c>
      <c r="H1" s="0" t="s">
        <v>209</v>
      </c>
      <c r="I1" s="0" t="s">
        <v>210</v>
      </c>
      <c r="J1" s="0" t="s">
        <v>211</v>
      </c>
      <c r="K1" s="0" t="s">
        <v>212</v>
      </c>
    </row>
    <row r="2">
      <c r="A2" s="0" t="s">
        <v>7</v>
      </c>
      <c r="B2" s="0" t="s">
        <v>168</v>
      </c>
      <c r="C2" s="0" t="s">
        <v>43</v>
      </c>
      <c r="D2" s="0" t="s">
        <v>130</v>
      </c>
      <c r="E2" s="0" t="s">
        <v>206</v>
      </c>
      <c r="F2" s="0"/>
      <c r="G2" s="0">
        <v>0</v>
      </c>
      <c r="H2" s="0"/>
      <c r="I2" s="0"/>
      <c r="J2" s="0"/>
      <c r="K2" s="0"/>
    </row>
    <row r="3">
      <c r="A3" s="0" t="s">
        <v>7</v>
      </c>
      <c r="B3" s="0" t="s">
        <v>168</v>
      </c>
      <c r="C3" s="0" t="s">
        <v>43</v>
      </c>
      <c r="D3" s="0" t="s">
        <v>184</v>
      </c>
      <c r="E3" s="0" t="s">
        <v>206</v>
      </c>
      <c r="F3" s="0"/>
      <c r="G3" s="0">
        <v>0</v>
      </c>
      <c r="H3" s="0"/>
      <c r="I3" s="0"/>
      <c r="J3" s="0"/>
      <c r="K3" s="0"/>
    </row>
    <row r="4">
      <c r="A4" s="0" t="s">
        <v>9</v>
      </c>
      <c r="B4" s="0" t="s">
        <v>169</v>
      </c>
      <c r="C4" s="0" t="s">
        <v>44</v>
      </c>
      <c r="D4" s="0" t="s">
        <v>185</v>
      </c>
      <c r="E4" s="0" t="s">
        <v>206</v>
      </c>
      <c r="F4" s="0"/>
      <c r="G4" s="0">
        <v>0</v>
      </c>
      <c r="H4" s="0"/>
      <c r="I4" s="0"/>
      <c r="J4" s="0"/>
      <c r="K4" s="0"/>
    </row>
    <row r="5">
      <c r="A5" s="0" t="s">
        <v>9</v>
      </c>
      <c r="B5" s="0" t="s">
        <v>169</v>
      </c>
      <c r="C5" s="0" t="s">
        <v>44</v>
      </c>
      <c r="D5" s="0" t="s">
        <v>186</v>
      </c>
      <c r="E5" s="0" t="s">
        <v>206</v>
      </c>
      <c r="F5" s="0"/>
      <c r="G5" s="0">
        <v>0</v>
      </c>
      <c r="H5" s="0"/>
      <c r="I5" s="0"/>
      <c r="J5" s="0"/>
      <c r="K5" s="0"/>
    </row>
    <row r="6">
      <c r="A6" s="0" t="s">
        <v>10</v>
      </c>
      <c r="B6" s="0" t="s">
        <v>170</v>
      </c>
      <c r="C6" s="0" t="s">
        <v>45</v>
      </c>
      <c r="D6" s="0" t="s">
        <v>187</v>
      </c>
      <c r="E6" s="0" t="s">
        <v>206</v>
      </c>
      <c r="F6" s="0"/>
      <c r="G6" s="0">
        <v>0</v>
      </c>
      <c r="H6" s="0"/>
      <c r="I6" s="0"/>
      <c r="J6" s="0"/>
      <c r="K6" s="0"/>
    </row>
    <row r="7">
      <c r="A7" s="0" t="s">
        <v>10</v>
      </c>
      <c r="B7" s="0" t="s">
        <v>170</v>
      </c>
      <c r="C7" s="0" t="s">
        <v>45</v>
      </c>
      <c r="D7" s="0" t="s">
        <v>188</v>
      </c>
      <c r="E7" s="0" t="s">
        <v>206</v>
      </c>
      <c r="F7" s="0">
        <v>0.11</v>
      </c>
      <c r="G7" s="0">
        <v>9</v>
      </c>
      <c r="H7" s="0">
        <v>0.0057000000000000002</v>
      </c>
      <c r="I7" s="0">
        <v>0.11</v>
      </c>
      <c r="J7" s="0">
        <v>18</v>
      </c>
      <c r="K7" s="0" t="s">
        <v>213</v>
      </c>
    </row>
    <row r="8">
      <c r="A8" s="0" t="s">
        <v>11</v>
      </c>
      <c r="B8" s="0" t="s">
        <v>171</v>
      </c>
      <c r="C8" s="0" t="s">
        <v>46</v>
      </c>
      <c r="D8" s="0" t="s">
        <v>187</v>
      </c>
      <c r="E8" s="0" t="s">
        <v>207</v>
      </c>
      <c r="F8" s="0">
        <v>8.8000000000000007</v>
      </c>
      <c r="G8" s="0">
        <v>68</v>
      </c>
      <c r="H8" s="0">
        <v>0.045999999999999999</v>
      </c>
      <c r="I8" s="0">
        <v>8.8000000000000007</v>
      </c>
      <c r="J8" s="0">
        <v>780.20000000000005</v>
      </c>
      <c r="K8" s="0" t="s">
        <v>148</v>
      </c>
    </row>
    <row r="9">
      <c r="A9" s="0" t="s">
        <v>12</v>
      </c>
      <c r="B9" s="0" t="s">
        <v>172</v>
      </c>
      <c r="C9" s="0" t="s">
        <v>47</v>
      </c>
      <c r="D9" s="0" t="s">
        <v>189</v>
      </c>
      <c r="E9" s="0" t="s">
        <v>206</v>
      </c>
      <c r="F9" s="0"/>
      <c r="G9" s="0">
        <v>0</v>
      </c>
      <c r="H9" s="0"/>
      <c r="I9" s="0"/>
      <c r="J9" s="0"/>
      <c r="K9" s="0"/>
    </row>
    <row r="10">
      <c r="A10" s="0" t="s">
        <v>12</v>
      </c>
      <c r="B10" s="0" t="s">
        <v>172</v>
      </c>
      <c r="C10" s="0" t="s">
        <v>47</v>
      </c>
      <c r="D10" s="0" t="s">
        <v>190</v>
      </c>
      <c r="E10" s="0" t="s">
        <v>207</v>
      </c>
      <c r="F10" s="0">
        <v>0.1605</v>
      </c>
      <c r="G10" s="0">
        <v>10</v>
      </c>
      <c r="H10" s="0">
        <v>0.081000000000000003</v>
      </c>
      <c r="I10" s="0">
        <v>0.1605</v>
      </c>
      <c r="J10" s="0">
        <v>1.0269999999999999</v>
      </c>
      <c r="K10" s="0" t="s">
        <v>149</v>
      </c>
    </row>
    <row r="11">
      <c r="A11" s="0" t="s">
        <v>13</v>
      </c>
      <c r="B11" s="0" t="s">
        <v>173</v>
      </c>
      <c r="C11" s="0" t="s">
        <v>48</v>
      </c>
      <c r="D11" s="0" t="s">
        <v>191</v>
      </c>
      <c r="E11" s="0" t="s">
        <v>206</v>
      </c>
      <c r="F11" s="0"/>
      <c r="G11" s="0">
        <v>0</v>
      </c>
      <c r="H11" s="0"/>
      <c r="I11" s="0"/>
      <c r="J11" s="0"/>
      <c r="K11" s="0"/>
    </row>
    <row r="12">
      <c r="A12" s="0" t="s">
        <v>13</v>
      </c>
      <c r="B12" s="0" t="s">
        <v>173</v>
      </c>
      <c r="C12" s="0" t="s">
        <v>48</v>
      </c>
      <c r="D12" s="0" t="s">
        <v>192</v>
      </c>
      <c r="E12" s="0" t="s">
        <v>207</v>
      </c>
      <c r="F12" s="0">
        <v>1.24</v>
      </c>
      <c r="G12" s="0">
        <v>1</v>
      </c>
      <c r="H12" s="0">
        <v>1.24</v>
      </c>
      <c r="I12" s="0">
        <v>1.24</v>
      </c>
      <c r="J12" s="0">
        <v>1.24</v>
      </c>
      <c r="K12" s="0" t="s">
        <v>150</v>
      </c>
    </row>
    <row r="13">
      <c r="A13" s="0" t="s">
        <v>15</v>
      </c>
      <c r="B13" s="0" t="s">
        <v>174</v>
      </c>
      <c r="C13" s="0" t="s">
        <v>48</v>
      </c>
      <c r="D13" s="0" t="s">
        <v>193</v>
      </c>
      <c r="E13" s="0" t="s">
        <v>206</v>
      </c>
      <c r="F13" s="0"/>
      <c r="G13" s="0">
        <v>0</v>
      </c>
      <c r="H13" s="0"/>
      <c r="I13" s="0"/>
      <c r="J13" s="0"/>
      <c r="K13" s="0"/>
    </row>
    <row r="14">
      <c r="A14" s="0" t="s">
        <v>15</v>
      </c>
      <c r="B14" s="0" t="s">
        <v>174</v>
      </c>
      <c r="C14" s="0" t="s">
        <v>48</v>
      </c>
      <c r="D14" s="0" t="s">
        <v>192</v>
      </c>
      <c r="E14" s="0" t="s">
        <v>207</v>
      </c>
      <c r="F14" s="0">
        <v>1.24</v>
      </c>
      <c r="G14" s="0">
        <v>1</v>
      </c>
      <c r="H14" s="0">
        <v>1.24</v>
      </c>
      <c r="I14" s="0">
        <v>1.24</v>
      </c>
      <c r="J14" s="0">
        <v>1.24</v>
      </c>
      <c r="K14" s="0" t="s">
        <v>150</v>
      </c>
    </row>
    <row r="15">
      <c r="A15" s="0" t="s">
        <v>16</v>
      </c>
      <c r="B15" s="0" t="s">
        <v>175</v>
      </c>
      <c r="C15" s="0" t="s">
        <v>49</v>
      </c>
      <c r="D15" s="0" t="s">
        <v>194</v>
      </c>
      <c r="E15" s="0" t="s">
        <v>206</v>
      </c>
      <c r="F15" s="0">
        <v>0.5</v>
      </c>
      <c r="G15" s="0">
        <v>5</v>
      </c>
      <c r="H15" s="0">
        <v>0.0206</v>
      </c>
      <c r="I15" s="0">
        <v>0.5</v>
      </c>
      <c r="J15" s="0">
        <v>10</v>
      </c>
      <c r="K15" s="0" t="s">
        <v>214</v>
      </c>
    </row>
    <row r="16">
      <c r="A16" s="0" t="s">
        <v>16</v>
      </c>
      <c r="B16" s="0" t="s">
        <v>175</v>
      </c>
      <c r="C16" s="0" t="s">
        <v>49</v>
      </c>
      <c r="D16" s="0" t="s">
        <v>195</v>
      </c>
      <c r="E16" s="0" t="s">
        <v>207</v>
      </c>
      <c r="F16" s="0">
        <v>0.25</v>
      </c>
      <c r="G16" s="0">
        <v>1</v>
      </c>
      <c r="H16" s="0">
        <v>0.25</v>
      </c>
      <c r="I16" s="0">
        <v>0.25</v>
      </c>
      <c r="J16" s="0">
        <v>0.25</v>
      </c>
      <c r="K16" s="0" t="s">
        <v>147</v>
      </c>
    </row>
    <row r="17">
      <c r="A17" s="0" t="s">
        <v>17</v>
      </c>
      <c r="B17" s="0" t="s">
        <v>176</v>
      </c>
      <c r="C17" s="0" t="s">
        <v>50</v>
      </c>
      <c r="D17" s="0" t="s">
        <v>196</v>
      </c>
      <c r="E17" s="0" t="s">
        <v>206</v>
      </c>
      <c r="F17" s="0"/>
      <c r="G17" s="0">
        <v>0</v>
      </c>
      <c r="H17" s="0"/>
      <c r="I17" s="0"/>
      <c r="J17" s="0"/>
      <c r="K17" s="0"/>
    </row>
    <row r="18">
      <c r="A18" s="0" t="s">
        <v>17</v>
      </c>
      <c r="B18" s="0" t="s">
        <v>176</v>
      </c>
      <c r="C18" s="0" t="s">
        <v>50</v>
      </c>
      <c r="D18" s="0" t="s">
        <v>197</v>
      </c>
      <c r="E18" s="0" t="s">
        <v>206</v>
      </c>
      <c r="F18" s="0"/>
      <c r="G18" s="0">
        <v>0</v>
      </c>
      <c r="H18" s="0"/>
      <c r="I18" s="0"/>
      <c r="J18" s="0"/>
      <c r="K18" s="0"/>
    </row>
    <row r="19">
      <c r="A19" s="0" t="s">
        <v>18</v>
      </c>
      <c r="B19" s="0" t="s">
        <v>177</v>
      </c>
      <c r="C19" s="0" t="s">
        <v>51</v>
      </c>
      <c r="D19" s="0" t="s">
        <v>198</v>
      </c>
      <c r="E19" s="0" t="s">
        <v>206</v>
      </c>
      <c r="F19" s="0">
        <v>0.089700000000000002</v>
      </c>
      <c r="G19" s="0">
        <v>25</v>
      </c>
      <c r="H19" s="0">
        <v>0.01366</v>
      </c>
      <c r="I19" s="0">
        <v>0.089700000000000002</v>
      </c>
      <c r="J19" s="0">
        <v>0.308</v>
      </c>
      <c r="K19" s="0" t="s">
        <v>215</v>
      </c>
    </row>
    <row r="20">
      <c r="A20" s="0" t="s">
        <v>18</v>
      </c>
      <c r="B20" s="0" t="s">
        <v>177</v>
      </c>
      <c r="C20" s="0" t="s">
        <v>51</v>
      </c>
      <c r="D20" s="0" t="s">
        <v>196</v>
      </c>
      <c r="E20" s="0" t="s">
        <v>207</v>
      </c>
      <c r="F20" s="0">
        <v>0.10000000000000001</v>
      </c>
      <c r="G20" s="0">
        <v>27</v>
      </c>
      <c r="H20" s="0">
        <v>0.0099000000000000008</v>
      </c>
      <c r="I20" s="0">
        <v>0.10000000000000001</v>
      </c>
      <c r="J20" s="0">
        <v>21.170000000000002</v>
      </c>
      <c r="K20" s="0" t="s">
        <v>151</v>
      </c>
    </row>
    <row r="21">
      <c r="A21" s="0" t="s">
        <v>20</v>
      </c>
      <c r="B21" s="0" t="s">
        <v>178</v>
      </c>
      <c r="C21" s="0" t="s">
        <v>52</v>
      </c>
      <c r="D21" s="0" t="s">
        <v>199</v>
      </c>
      <c r="E21" s="0" t="s">
        <v>206</v>
      </c>
      <c r="F21" s="0">
        <v>0.060999999999999999</v>
      </c>
      <c r="G21" s="0">
        <v>4</v>
      </c>
      <c r="H21" s="0">
        <v>0.042000000000000003</v>
      </c>
      <c r="I21" s="0">
        <v>0.060999999999999999</v>
      </c>
      <c r="J21" s="0">
        <v>0.111</v>
      </c>
      <c r="K21" s="0" t="s">
        <v>147</v>
      </c>
    </row>
    <row r="22">
      <c r="A22" s="0" t="s">
        <v>20</v>
      </c>
      <c r="B22" s="0" t="s">
        <v>178</v>
      </c>
      <c r="C22" s="0" t="s">
        <v>52</v>
      </c>
      <c r="D22" s="0" t="s">
        <v>196</v>
      </c>
      <c r="E22" s="0" t="s">
        <v>207</v>
      </c>
      <c r="F22" s="0">
        <v>0.28800000000000003</v>
      </c>
      <c r="G22" s="0">
        <v>4</v>
      </c>
      <c r="H22" s="0">
        <v>0.17899999999999999</v>
      </c>
      <c r="I22" s="0">
        <v>0.28800000000000003</v>
      </c>
      <c r="J22" s="0">
        <v>0.88</v>
      </c>
      <c r="K22" s="0" t="s">
        <v>147</v>
      </c>
    </row>
    <row r="23">
      <c r="A23" s="0" t="s">
        <v>20</v>
      </c>
      <c r="B23" s="0" t="s">
        <v>178</v>
      </c>
      <c r="C23" s="0" t="s">
        <v>52</v>
      </c>
      <c r="D23" s="0" t="s">
        <v>200</v>
      </c>
      <c r="E23" s="0" t="s">
        <v>206</v>
      </c>
      <c r="F23" s="0"/>
      <c r="G23" s="0">
        <v>0</v>
      </c>
      <c r="H23" s="0"/>
      <c r="I23" s="0"/>
      <c r="J23" s="0"/>
      <c r="K23" s="0"/>
    </row>
    <row r="24">
      <c r="A24" s="0" t="s">
        <v>21</v>
      </c>
      <c r="B24" s="0" t="s">
        <v>179</v>
      </c>
      <c r="C24" s="0" t="s">
        <v>53</v>
      </c>
      <c r="D24" s="0" t="s">
        <v>201</v>
      </c>
      <c r="E24" s="0" t="s">
        <v>207</v>
      </c>
      <c r="F24" s="0">
        <v>0.012999999999999999</v>
      </c>
      <c r="G24" s="0">
        <v>11</v>
      </c>
      <c r="H24" s="0">
        <v>0.0018</v>
      </c>
      <c r="I24" s="0">
        <v>0.012999999999999999</v>
      </c>
      <c r="J24" s="0">
        <v>3.6000000000000001</v>
      </c>
      <c r="K24" s="0" t="s">
        <v>147</v>
      </c>
    </row>
    <row r="25">
      <c r="A25" s="0" t="s">
        <v>21</v>
      </c>
      <c r="B25" s="0" t="s">
        <v>179</v>
      </c>
      <c r="C25" s="0" t="s">
        <v>53</v>
      </c>
      <c r="D25" s="0" t="s">
        <v>202</v>
      </c>
      <c r="E25" s="0" t="s">
        <v>206</v>
      </c>
      <c r="F25" s="0">
        <v>0.75</v>
      </c>
      <c r="G25" s="0">
        <v>3</v>
      </c>
      <c r="H25" s="0">
        <v>0.32000000000000001</v>
      </c>
      <c r="I25" s="0">
        <v>0.75</v>
      </c>
      <c r="J25" s="0">
        <v>7.5</v>
      </c>
      <c r="K25" s="0" t="s">
        <v>147</v>
      </c>
    </row>
    <row r="26">
      <c r="A26" s="0" t="s">
        <v>22</v>
      </c>
      <c r="B26" s="0" t="s">
        <v>180</v>
      </c>
      <c r="C26" s="0" t="s">
        <v>54</v>
      </c>
      <c r="D26" s="0" t="s">
        <v>142</v>
      </c>
      <c r="E26" s="0" t="s">
        <v>206</v>
      </c>
      <c r="F26" s="0"/>
      <c r="G26" s="0">
        <v>0</v>
      </c>
      <c r="H26" s="0"/>
      <c r="I26" s="0"/>
      <c r="J26" s="0"/>
      <c r="K26" s="0"/>
    </row>
    <row r="27">
      <c r="A27" s="0" t="s">
        <v>22</v>
      </c>
      <c r="B27" s="0" t="s">
        <v>180</v>
      </c>
      <c r="C27" s="0" t="s">
        <v>54</v>
      </c>
      <c r="D27" s="0" t="s">
        <v>202</v>
      </c>
      <c r="E27" s="0" t="s">
        <v>206</v>
      </c>
      <c r="F27" s="0"/>
      <c r="G27" s="0">
        <v>0</v>
      </c>
      <c r="H27" s="0"/>
      <c r="I27" s="0"/>
      <c r="J27" s="0"/>
      <c r="K27" s="0"/>
    </row>
    <row r="28">
      <c r="A28" s="0" t="s">
        <v>23</v>
      </c>
      <c r="B28" s="0" t="s">
        <v>181</v>
      </c>
      <c r="C28" s="0" t="s">
        <v>55</v>
      </c>
      <c r="D28" s="0" t="s">
        <v>203</v>
      </c>
      <c r="E28" s="0" t="s">
        <v>207</v>
      </c>
      <c r="F28" s="0">
        <v>0.0045500000000000002</v>
      </c>
      <c r="G28" s="0">
        <v>8</v>
      </c>
      <c r="H28" s="0">
        <v>0.0016000000000000001</v>
      </c>
      <c r="I28" s="0">
        <v>0.0045500000000000002</v>
      </c>
      <c r="J28" s="0">
        <v>0.14000000000000001</v>
      </c>
      <c r="K28" s="0" t="s">
        <v>147</v>
      </c>
    </row>
    <row r="29">
      <c r="A29" s="0" t="s">
        <v>23</v>
      </c>
      <c r="B29" s="0" t="s">
        <v>181</v>
      </c>
      <c r="C29" s="0" t="s">
        <v>55</v>
      </c>
      <c r="D29" s="0" t="s">
        <v>204</v>
      </c>
      <c r="E29" s="0" t="s">
        <v>206</v>
      </c>
      <c r="F29" s="0">
        <v>0.00745</v>
      </c>
      <c r="G29" s="0">
        <v>4</v>
      </c>
      <c r="H29" s="0">
        <v>0.00084999999999999995</v>
      </c>
      <c r="I29" s="0">
        <v>0.00745</v>
      </c>
      <c r="J29" s="0">
        <v>0.016799999999999999</v>
      </c>
      <c r="K29" s="0" t="s">
        <v>147</v>
      </c>
    </row>
  </sheetData>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Q19"/>
  <sheetViews>
    <sheetView workbookViewId="0"/>
  </sheetViews>
  <sheetFormatPr defaultRowHeight="15"/>
  <cols>
    <col min="1" max="1" width="8.08984375" customWidth="true"/>
    <col min="2" max="2" width="14.7265625" customWidth="true"/>
    <col min="3" max="3" width="10.7265625" customWidth="true"/>
    <col min="4" max="4" width="8.54296875" customWidth="true"/>
    <col min="5" max="5" width="16.36328125" customWidth="true"/>
    <col min="6" max="6" width="3.90625" customWidth="true"/>
    <col min="7" max="7" width="5.453125" customWidth="true"/>
    <col min="8" max="8" width="7.1796875" customWidth="true"/>
    <col min="9" max="9" width="5.453125" customWidth="true"/>
    <col min="10" max="10" width="1718.26953125" customWidth="true"/>
    <col min="11" max="11" width="8.453125" customWidth="true"/>
    <col min="12" max="12" width="3.90625" customWidth="true"/>
    <col min="13" max="13" width="5.90625" customWidth="true"/>
    <col min="14" max="14" width="7.1796875" customWidth="true"/>
    <col min="15" max="15" width="5.90625" customWidth="true"/>
    <col min="16" max="16" width="1243.6328125" customWidth="true"/>
    <col min="17" max="17" width="47.81640625" customWidth="true"/>
  </cols>
  <sheetData>
    <row r="1">
      <c r="A1" s="0" t="s">
        <v>5</v>
      </c>
      <c r="B1" s="0" t="s">
        <v>167</v>
      </c>
      <c r="C1" s="0" t="s">
        <v>220</v>
      </c>
      <c r="D1" s="0" t="s">
        <v>182</v>
      </c>
      <c r="E1" s="0" t="s">
        <v>57</v>
      </c>
      <c r="F1" s="0" t="s">
        <v>208</v>
      </c>
      <c r="G1" s="0" t="s">
        <v>209</v>
      </c>
      <c r="H1" s="0" t="s">
        <v>210</v>
      </c>
      <c r="I1" s="0" t="s">
        <v>211</v>
      </c>
      <c r="J1" s="0" t="s">
        <v>221</v>
      </c>
      <c r="K1" s="0" t="s">
        <v>231</v>
      </c>
      <c r="L1" s="0" t="s">
        <v>208</v>
      </c>
      <c r="M1" s="0" t="s">
        <v>209</v>
      </c>
      <c r="N1" s="0" t="s">
        <v>210</v>
      </c>
      <c r="O1" s="0" t="s">
        <v>211</v>
      </c>
      <c r="P1" s="0" t="s">
        <v>232</v>
      </c>
      <c r="Q1" s="0" t="s">
        <v>237</v>
      </c>
    </row>
    <row r="2">
      <c r="A2" s="0" t="s">
        <v>6</v>
      </c>
      <c r="B2" s="0" t="s">
        <v>216</v>
      </c>
      <c r="C2" s="0"/>
      <c r="D2" s="0"/>
      <c r="E2" s="0"/>
      <c r="F2" s="0"/>
      <c r="G2" s="0"/>
      <c r="H2" s="0"/>
      <c r="I2" s="0"/>
      <c r="J2" s="0"/>
      <c r="K2" s="0"/>
      <c r="L2" s="0"/>
      <c r="M2" s="0"/>
      <c r="N2" s="0"/>
      <c r="O2" s="0"/>
      <c r="P2" s="0"/>
      <c r="Q2" s="0" t="s">
        <v>238</v>
      </c>
    </row>
    <row r="3">
      <c r="A3" s="0" t="s">
        <v>7</v>
      </c>
      <c r="B3" s="0" t="s">
        <v>168</v>
      </c>
      <c r="C3" s="0" t="s">
        <v>43</v>
      </c>
      <c r="D3" s="0"/>
      <c r="E3" s="0">
        <v>-999</v>
      </c>
      <c r="F3" s="0">
        <v>1</v>
      </c>
      <c r="G3" s="0">
        <v>-999</v>
      </c>
      <c r="H3" s="0">
        <v>-999</v>
      </c>
      <c r="I3" s="0">
        <v>-999</v>
      </c>
      <c r="J3" s="0" t="s">
        <v>222</v>
      </c>
      <c r="K3" s="0">
        <v>30000</v>
      </c>
      <c r="L3" s="0">
        <v>1</v>
      </c>
      <c r="M3" s="0">
        <v>30000</v>
      </c>
      <c r="N3" s="0">
        <v>30000</v>
      </c>
      <c r="O3" s="0">
        <v>30000</v>
      </c>
      <c r="P3" s="0" t="s">
        <v>222</v>
      </c>
      <c r="Q3" s="0" t="s">
        <v>238</v>
      </c>
    </row>
    <row r="4">
      <c r="A4" s="0" t="s">
        <v>8</v>
      </c>
      <c r="B4" s="0" t="s">
        <v>217</v>
      </c>
      <c r="C4" s="0"/>
      <c r="D4" s="0"/>
      <c r="E4" s="0"/>
      <c r="F4" s="0"/>
      <c r="G4" s="0"/>
      <c r="H4" s="0"/>
      <c r="I4" s="0"/>
      <c r="J4" s="0"/>
      <c r="K4" s="0"/>
      <c r="L4" s="0"/>
      <c r="M4" s="0"/>
      <c r="N4" s="0"/>
      <c r="O4" s="0"/>
      <c r="P4" s="0"/>
      <c r="Q4" s="0" t="s">
        <v>238</v>
      </c>
    </row>
    <row r="5">
      <c r="A5" s="0" t="s">
        <v>9</v>
      </c>
      <c r="B5" s="0" t="s">
        <v>169</v>
      </c>
      <c r="C5" s="0" t="s">
        <v>44</v>
      </c>
      <c r="D5" s="0" t="s">
        <v>44</v>
      </c>
      <c r="E5" s="0">
        <v>112.5</v>
      </c>
      <c r="F5" s="0">
        <v>260</v>
      </c>
      <c r="G5" s="0">
        <v>112.5</v>
      </c>
      <c r="H5" s="0">
        <v>112.5</v>
      </c>
      <c r="I5" s="0">
        <v>112.5</v>
      </c>
      <c r="J5" s="0" t="s">
        <v>223</v>
      </c>
      <c r="K5" s="0">
        <v>48450</v>
      </c>
      <c r="L5" s="0">
        <v>126</v>
      </c>
      <c r="M5" s="0">
        <v>48450</v>
      </c>
      <c r="N5" s="0">
        <v>48450</v>
      </c>
      <c r="O5" s="0">
        <v>48450</v>
      </c>
      <c r="P5" s="0" t="s">
        <v>233</v>
      </c>
      <c r="Q5" s="0" t="s">
        <v>238</v>
      </c>
    </row>
    <row r="6">
      <c r="A6" s="0" t="s">
        <v>10</v>
      </c>
      <c r="B6" s="0" t="s">
        <v>170</v>
      </c>
      <c r="C6" s="0" t="s">
        <v>45</v>
      </c>
      <c r="D6" s="0" t="s">
        <v>45</v>
      </c>
      <c r="E6" s="0">
        <v>120</v>
      </c>
      <c r="F6" s="0">
        <v>15</v>
      </c>
      <c r="G6" s="0">
        <v>120</v>
      </c>
      <c r="H6" s="0">
        <v>120</v>
      </c>
      <c r="I6" s="0">
        <v>120</v>
      </c>
      <c r="J6" s="0" t="s">
        <v>224</v>
      </c>
      <c r="K6" s="0">
        <v>78000</v>
      </c>
      <c r="L6" s="0">
        <v>33</v>
      </c>
      <c r="M6" s="0">
        <v>78000</v>
      </c>
      <c r="N6" s="0">
        <v>78000</v>
      </c>
      <c r="O6" s="0">
        <v>78000</v>
      </c>
      <c r="P6" s="0" t="s">
        <v>224</v>
      </c>
      <c r="Q6" s="0" t="s">
        <v>238</v>
      </c>
    </row>
    <row r="7">
      <c r="A7" s="0" t="s">
        <v>11</v>
      </c>
      <c r="B7" s="0" t="s">
        <v>171</v>
      </c>
      <c r="C7" s="0" t="s">
        <v>46</v>
      </c>
      <c r="D7" s="0" t="s">
        <v>46</v>
      </c>
      <c r="E7" s="0">
        <v>176</v>
      </c>
      <c r="F7" s="0">
        <v>28</v>
      </c>
      <c r="G7" s="0">
        <v>176</v>
      </c>
      <c r="H7" s="0">
        <v>176</v>
      </c>
      <c r="I7" s="0">
        <v>176</v>
      </c>
      <c r="J7" s="0" t="s">
        <v>225</v>
      </c>
      <c r="K7" s="0">
        <v>44220</v>
      </c>
      <c r="L7" s="0">
        <v>71</v>
      </c>
      <c r="M7" s="0">
        <v>44220</v>
      </c>
      <c r="N7" s="0">
        <v>44220</v>
      </c>
      <c r="O7" s="0">
        <v>44220</v>
      </c>
      <c r="P7" s="0" t="s">
        <v>234</v>
      </c>
      <c r="Q7" s="0" t="s">
        <v>238</v>
      </c>
    </row>
    <row r="8">
      <c r="A8" s="0" t="s">
        <v>12</v>
      </c>
      <c r="B8" s="0" t="s">
        <v>172</v>
      </c>
      <c r="C8" s="0" t="s">
        <v>47</v>
      </c>
      <c r="D8" s="0" t="s">
        <v>47</v>
      </c>
      <c r="E8" s="0">
        <v>17.300000000000001</v>
      </c>
      <c r="F8" s="0">
        <v>11</v>
      </c>
      <c r="G8" s="0">
        <v>17.300000000000001</v>
      </c>
      <c r="H8" s="0">
        <v>17.300000000000001</v>
      </c>
      <c r="I8" s="0">
        <v>17.300000000000001</v>
      </c>
      <c r="J8" s="0" t="s">
        <v>226</v>
      </c>
      <c r="K8" s="0">
        <v>38000</v>
      </c>
      <c r="L8" s="0">
        <v>11</v>
      </c>
      <c r="M8" s="0">
        <v>38000</v>
      </c>
      <c r="N8" s="0">
        <v>38000</v>
      </c>
      <c r="O8" s="0">
        <v>38000</v>
      </c>
      <c r="P8" s="0" t="s">
        <v>235</v>
      </c>
      <c r="Q8" s="0" t="s">
        <v>238</v>
      </c>
    </row>
    <row r="9">
      <c r="A9" s="0" t="s">
        <v>13</v>
      </c>
      <c r="B9" s="0" t="s">
        <v>173</v>
      </c>
      <c r="C9" s="0" t="s">
        <v>48</v>
      </c>
      <c r="D9" s="0" t="s">
        <v>48</v>
      </c>
      <c r="E9" s="0">
        <v>7.8600000000000003</v>
      </c>
      <c r="F9" s="0">
        <v>7</v>
      </c>
      <c r="G9" s="0">
        <v>7.8600000000000003</v>
      </c>
      <c r="H9" s="0">
        <v>7.8600000000000003</v>
      </c>
      <c r="I9" s="0">
        <v>7.8600000000000003</v>
      </c>
      <c r="J9" s="0" t="s">
        <v>227</v>
      </c>
      <c r="K9" s="0">
        <v>46250</v>
      </c>
      <c r="L9" s="0">
        <v>2</v>
      </c>
      <c r="M9" s="0">
        <v>46250</v>
      </c>
      <c r="N9" s="0">
        <v>46250</v>
      </c>
      <c r="O9" s="0">
        <v>46250</v>
      </c>
      <c r="P9" s="0" t="s">
        <v>224</v>
      </c>
      <c r="Q9" s="0" t="s">
        <v>238</v>
      </c>
    </row>
    <row r="10">
      <c r="A10" s="0" t="s">
        <v>14</v>
      </c>
      <c r="B10" s="0" t="s">
        <v>218</v>
      </c>
      <c r="C10" s="0"/>
      <c r="D10" s="0"/>
      <c r="E10" s="0"/>
      <c r="F10" s="0"/>
      <c r="G10" s="0"/>
      <c r="H10" s="0"/>
      <c r="I10" s="0"/>
      <c r="J10" s="0"/>
      <c r="K10" s="0"/>
      <c r="L10" s="0"/>
      <c r="M10" s="0"/>
      <c r="N10" s="0"/>
      <c r="O10" s="0"/>
      <c r="P10" s="0"/>
      <c r="Q10" s="0" t="s">
        <v>238</v>
      </c>
    </row>
    <row r="11">
      <c r="A11" s="0" t="s">
        <v>15</v>
      </c>
      <c r="B11" s="0" t="s">
        <v>174</v>
      </c>
      <c r="C11" s="0" t="s">
        <v>48</v>
      </c>
      <c r="D11" s="0" t="s">
        <v>48</v>
      </c>
      <c r="E11" s="0">
        <v>7.8600000000000003</v>
      </c>
      <c r="F11" s="0">
        <v>7</v>
      </c>
      <c r="G11" s="0">
        <v>7.8600000000000003</v>
      </c>
      <c r="H11" s="0">
        <v>7.8600000000000003</v>
      </c>
      <c r="I11" s="0">
        <v>7.8600000000000003</v>
      </c>
      <c r="J11" s="0" t="s">
        <v>227</v>
      </c>
      <c r="K11" s="0">
        <v>46250</v>
      </c>
      <c r="L11" s="0">
        <v>2</v>
      </c>
      <c r="M11" s="0">
        <v>46250</v>
      </c>
      <c r="N11" s="0">
        <v>46250</v>
      </c>
      <c r="O11" s="0">
        <v>46250</v>
      </c>
      <c r="P11" s="0" t="s">
        <v>224</v>
      </c>
      <c r="Q11" s="0" t="s">
        <v>238</v>
      </c>
    </row>
    <row r="12">
      <c r="A12" s="0" t="s">
        <v>16</v>
      </c>
      <c r="B12" s="0" t="s">
        <v>175</v>
      </c>
      <c r="C12" s="0" t="s">
        <v>49</v>
      </c>
      <c r="D12" s="0" t="s">
        <v>49</v>
      </c>
      <c r="E12" s="0">
        <v>-999</v>
      </c>
      <c r="F12" s="0">
        <v>1</v>
      </c>
      <c r="G12" s="0">
        <v>-999</v>
      </c>
      <c r="H12" s="0">
        <v>-999</v>
      </c>
      <c r="I12" s="0">
        <v>-999</v>
      </c>
      <c r="J12" s="0" t="s">
        <v>224</v>
      </c>
      <c r="K12" s="0">
        <v>65500</v>
      </c>
      <c r="L12" s="0">
        <v>2</v>
      </c>
      <c r="M12" s="0">
        <v>65500</v>
      </c>
      <c r="N12" s="0">
        <v>65500</v>
      </c>
      <c r="O12" s="0">
        <v>65500</v>
      </c>
      <c r="P12" s="0" t="s">
        <v>224</v>
      </c>
      <c r="Q12" s="0" t="s">
        <v>238</v>
      </c>
    </row>
    <row r="13">
      <c r="A13" s="0" t="s">
        <v>17</v>
      </c>
      <c r="B13" s="0" t="s">
        <v>176</v>
      </c>
      <c r="C13" s="0" t="s">
        <v>50</v>
      </c>
      <c r="D13" s="0" t="s">
        <v>50</v>
      </c>
      <c r="E13" s="0">
        <v>-999</v>
      </c>
      <c r="F13" s="0">
        <v>1</v>
      </c>
      <c r="G13" s="0">
        <v>-999</v>
      </c>
      <c r="H13" s="0">
        <v>-999</v>
      </c>
      <c r="I13" s="0">
        <v>-999</v>
      </c>
      <c r="J13" s="0" t="s">
        <v>228</v>
      </c>
      <c r="K13" s="0">
        <v>63485</v>
      </c>
      <c r="L13" s="0">
        <v>4</v>
      </c>
      <c r="M13" s="0">
        <v>63485</v>
      </c>
      <c r="N13" s="0">
        <v>63485</v>
      </c>
      <c r="O13" s="0">
        <v>63485</v>
      </c>
      <c r="P13" s="0" t="s">
        <v>224</v>
      </c>
      <c r="Q13" s="0" t="s">
        <v>238</v>
      </c>
    </row>
    <row r="14">
      <c r="A14" s="0" t="s">
        <v>18</v>
      </c>
      <c r="B14" s="0" t="s">
        <v>177</v>
      </c>
      <c r="C14" s="0" t="s">
        <v>51</v>
      </c>
      <c r="D14" s="0" t="s">
        <v>51</v>
      </c>
      <c r="E14" s="0">
        <v>0.02</v>
      </c>
      <c r="F14" s="0">
        <v>4</v>
      </c>
      <c r="G14" s="0">
        <v>0.02</v>
      </c>
      <c r="H14" s="0">
        <v>0.02</v>
      </c>
      <c r="I14" s="0">
        <v>0.02</v>
      </c>
      <c r="J14" s="0" t="s">
        <v>229</v>
      </c>
      <c r="K14" s="0">
        <v>53550</v>
      </c>
      <c r="L14" s="0">
        <v>14</v>
      </c>
      <c r="M14" s="0">
        <v>53550</v>
      </c>
      <c r="N14" s="0">
        <v>53550</v>
      </c>
      <c r="O14" s="0">
        <v>53550</v>
      </c>
      <c r="P14" s="0" t="s">
        <v>236</v>
      </c>
      <c r="Q14" s="0" t="s">
        <v>238</v>
      </c>
    </row>
    <row r="15">
      <c r="A15" s="0" t="s">
        <v>19</v>
      </c>
      <c r="B15" s="0" t="s">
        <v>219</v>
      </c>
      <c r="C15" s="0"/>
      <c r="D15" s="0"/>
      <c r="E15" s="0"/>
      <c r="F15" s="0"/>
      <c r="G15" s="0"/>
      <c r="H15" s="0"/>
      <c r="I15" s="0"/>
      <c r="J15" s="0"/>
      <c r="K15" s="0"/>
      <c r="L15" s="0"/>
      <c r="M15" s="0"/>
      <c r="N15" s="0"/>
      <c r="O15" s="0"/>
      <c r="P15" s="0"/>
      <c r="Q15" s="0" t="s">
        <v>238</v>
      </c>
    </row>
    <row r="16">
      <c r="A16" s="0" t="s">
        <v>20</v>
      </c>
      <c r="B16" s="0" t="s">
        <v>178</v>
      </c>
      <c r="C16" s="0" t="s">
        <v>52</v>
      </c>
      <c r="D16" s="0" t="s">
        <v>52</v>
      </c>
      <c r="E16" s="0">
        <v>2.9649999999999999</v>
      </c>
      <c r="F16" s="0">
        <v>4</v>
      </c>
      <c r="G16" s="0">
        <v>2.9649999999999999</v>
      </c>
      <c r="H16" s="0">
        <v>2.9649999999999999</v>
      </c>
      <c r="I16" s="0">
        <v>2.9649999999999999</v>
      </c>
      <c r="J16" s="0" t="s">
        <v>230</v>
      </c>
      <c r="K16" s="0">
        <v>50000</v>
      </c>
      <c r="L16" s="0">
        <v>1</v>
      </c>
      <c r="M16" s="0">
        <v>50000</v>
      </c>
      <c r="N16" s="0">
        <v>50000</v>
      </c>
      <c r="O16" s="0">
        <v>50000</v>
      </c>
      <c r="P16" s="0" t="s">
        <v>224</v>
      </c>
      <c r="Q16" s="0" t="s">
        <v>238</v>
      </c>
    </row>
    <row r="17">
      <c r="A17" s="0" t="s">
        <v>21</v>
      </c>
      <c r="B17" s="0" t="s">
        <v>179</v>
      </c>
      <c r="C17" s="0" t="s">
        <v>53</v>
      </c>
      <c r="D17" s="0" t="s">
        <v>53</v>
      </c>
      <c r="E17" s="0">
        <v>0.26000000000000001</v>
      </c>
      <c r="F17" s="0">
        <v>7</v>
      </c>
      <c r="G17" s="0">
        <v>0.26000000000000001</v>
      </c>
      <c r="H17" s="0">
        <v>0.26000000000000001</v>
      </c>
      <c r="I17" s="0">
        <v>0.26000000000000001</v>
      </c>
      <c r="J17" s="0" t="s">
        <v>224</v>
      </c>
      <c r="K17" s="0">
        <v>43250</v>
      </c>
      <c r="L17" s="0">
        <v>8</v>
      </c>
      <c r="M17" s="0">
        <v>43250</v>
      </c>
      <c r="N17" s="0">
        <v>43250</v>
      </c>
      <c r="O17" s="0">
        <v>43250</v>
      </c>
      <c r="P17" s="0" t="s">
        <v>224</v>
      </c>
      <c r="Q17" s="0" t="s">
        <v>238</v>
      </c>
    </row>
    <row r="18">
      <c r="A18" s="0" t="s">
        <v>22</v>
      </c>
      <c r="B18" s="0" t="s">
        <v>180</v>
      </c>
      <c r="C18" s="0" t="s">
        <v>54</v>
      </c>
      <c r="D18" s="0"/>
      <c r="E18" s="0"/>
      <c r="F18" s="0"/>
      <c r="G18" s="0"/>
      <c r="H18" s="0"/>
      <c r="I18" s="0"/>
      <c r="J18" s="0"/>
      <c r="K18" s="0"/>
      <c r="L18" s="0"/>
      <c r="M18" s="0"/>
      <c r="N18" s="0"/>
      <c r="O18" s="0"/>
      <c r="P18" s="0"/>
      <c r="Q18" s="0" t="s">
        <v>238</v>
      </c>
    </row>
    <row r="19">
      <c r="A19" s="0" t="s">
        <v>23</v>
      </c>
      <c r="B19" s="0" t="s">
        <v>181</v>
      </c>
      <c r="C19" s="0" t="s">
        <v>55</v>
      </c>
      <c r="D19" s="0" t="s">
        <v>55</v>
      </c>
      <c r="E19" s="0">
        <v>0.0040800000000000003</v>
      </c>
      <c r="F19" s="0">
        <v>6</v>
      </c>
      <c r="G19" s="0">
        <v>0.0040800000000000003</v>
      </c>
      <c r="H19" s="0">
        <v>0.0040800000000000003</v>
      </c>
      <c r="I19" s="0">
        <v>0.0040800000000000003</v>
      </c>
      <c r="J19" s="0" t="s">
        <v>224</v>
      </c>
      <c r="K19" s="0">
        <v>34000</v>
      </c>
      <c r="L19" s="0">
        <v>5</v>
      </c>
      <c r="M19" s="0">
        <v>34000</v>
      </c>
      <c r="N19" s="0">
        <v>34000</v>
      </c>
      <c r="O19" s="0">
        <v>34000</v>
      </c>
      <c r="P19" s="0" t="s">
        <v>224</v>
      </c>
      <c r="Q19" s="0" t="s">
        <v>238</v>
      </c>
    </row>
  </sheetData>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L832"/>
  <sheetViews>
    <sheetView workbookViewId="0"/>
  </sheetViews>
  <sheetFormatPr defaultRowHeight="15"/>
  <cols>
    <col min="1" max="1" width="8.54296875" customWidth="true"/>
    <col min="2" max="2" width="49.7265625" customWidth="true"/>
    <col min="3" max="3" width="65.26953125" customWidth="true"/>
    <col min="4" max="4" width="8.453125" customWidth="true"/>
    <col min="5" max="5" width="13.81640625" customWidth="true"/>
    <col min="6" max="6" width="8.7265625" customWidth="true"/>
    <col min="7" max="7" width="17.1796875" customWidth="true"/>
    <col min="8" max="8" width="909.54296875" customWidth="true"/>
    <col min="9" max="9" width="22.54296875" customWidth="true"/>
    <col min="10" max="10" width="15.1796875" customWidth="true"/>
    <col min="11" max="11" width="9.7265625" customWidth="true"/>
    <col min="12" max="12" width="4.26953125" customWidth="true"/>
  </cols>
  <sheetData>
    <row r="1">
      <c r="A1" s="0" t="s">
        <v>239</v>
      </c>
      <c r="B1" s="0" t="s">
        <v>240</v>
      </c>
      <c r="C1" s="0" t="s">
        <v>388</v>
      </c>
      <c r="D1" s="0" t="s">
        <v>566</v>
      </c>
      <c r="E1" s="0" t="s">
        <v>567</v>
      </c>
      <c r="F1" s="0" t="s">
        <v>568</v>
      </c>
      <c r="G1" s="0" t="s">
        <v>1135</v>
      </c>
      <c r="H1" s="0" t="s">
        <v>1136</v>
      </c>
      <c r="I1" s="0" t="s">
        <v>1650</v>
      </c>
      <c r="J1" s="0" t="s">
        <v>1809</v>
      </c>
      <c r="K1" s="0" t="s">
        <v>1810</v>
      </c>
      <c r="L1" s="0" t="s">
        <v>1812</v>
      </c>
    </row>
    <row r="2">
      <c r="A2" s="0" t="s">
        <v>44</v>
      </c>
      <c r="B2" s="0" t="s">
        <v>241</v>
      </c>
      <c r="C2" s="0" t="s">
        <v>389</v>
      </c>
      <c r="D2" s="0">
        <v>3.5</v>
      </c>
      <c r="E2" s="0"/>
      <c r="F2" s="0" t="s">
        <v>569</v>
      </c>
      <c r="G2" s="0"/>
      <c r="H2" s="0" t="s">
        <v>1137</v>
      </c>
      <c r="I2" s="0" t="s">
        <v>1651</v>
      </c>
      <c r="J2" s="0"/>
      <c r="K2" s="0" t="s">
        <v>1811</v>
      </c>
      <c r="L2" s="0" t="s">
        <v>1813</v>
      </c>
    </row>
    <row r="3">
      <c r="A3" s="0" t="s">
        <v>44</v>
      </c>
      <c r="B3" s="0" t="s">
        <v>241</v>
      </c>
      <c r="C3" s="0" t="s">
        <v>390</v>
      </c>
      <c r="D3" s="0">
        <v>1.5</v>
      </c>
      <c r="E3" s="0"/>
      <c r="F3" s="0" t="s">
        <v>570</v>
      </c>
      <c r="G3" s="0"/>
      <c r="H3" s="0" t="s">
        <v>1137</v>
      </c>
      <c r="I3" s="0" t="s">
        <v>1651</v>
      </c>
      <c r="J3" s="0"/>
      <c r="K3" s="0" t="s">
        <v>1811</v>
      </c>
      <c r="L3" s="0" t="s">
        <v>1813</v>
      </c>
    </row>
    <row r="4">
      <c r="A4" s="0" t="s">
        <v>44</v>
      </c>
      <c r="B4" s="0" t="s">
        <v>242</v>
      </c>
      <c r="C4" s="0" t="s">
        <v>131</v>
      </c>
      <c r="D4" s="0">
        <v>34.5</v>
      </c>
      <c r="E4" s="0"/>
      <c r="F4" s="0" t="s">
        <v>571</v>
      </c>
      <c r="G4" s="0"/>
      <c r="H4" s="0" t="s">
        <v>1138</v>
      </c>
      <c r="I4" s="0" t="s">
        <v>1652</v>
      </c>
      <c r="J4" s="0"/>
      <c r="K4" s="0" t="s">
        <v>1811</v>
      </c>
      <c r="L4" s="0" t="s">
        <v>1813</v>
      </c>
    </row>
    <row r="5">
      <c r="A5" s="0" t="s">
        <v>44</v>
      </c>
      <c r="B5" s="0" t="s">
        <v>242</v>
      </c>
      <c r="C5" s="0" t="s">
        <v>131</v>
      </c>
      <c r="D5" s="0">
        <v>31.25</v>
      </c>
      <c r="E5" s="0"/>
      <c r="F5" s="0" t="s">
        <v>572</v>
      </c>
      <c r="G5" s="0"/>
      <c r="H5" s="0" t="s">
        <v>1139</v>
      </c>
      <c r="I5" s="0" t="s">
        <v>1652</v>
      </c>
      <c r="J5" s="0"/>
      <c r="K5" s="0" t="s">
        <v>1811</v>
      </c>
      <c r="L5" s="0" t="s">
        <v>1813</v>
      </c>
    </row>
    <row r="6">
      <c r="A6" s="0" t="s">
        <v>44</v>
      </c>
      <c r="B6" s="0" t="s">
        <v>242</v>
      </c>
      <c r="C6" s="0" t="s">
        <v>131</v>
      </c>
      <c r="D6" s="0">
        <v>20.399999999999999</v>
      </c>
      <c r="E6" s="0"/>
      <c r="F6" s="0" t="s">
        <v>573</v>
      </c>
      <c r="G6" s="0"/>
      <c r="H6" s="0" t="s">
        <v>1140</v>
      </c>
      <c r="I6" s="0" t="s">
        <v>1653</v>
      </c>
      <c r="J6" s="0"/>
      <c r="K6" s="0" t="s">
        <v>1811</v>
      </c>
      <c r="L6" s="0" t="s">
        <v>1813</v>
      </c>
    </row>
    <row r="7">
      <c r="A7" s="0" t="s">
        <v>44</v>
      </c>
      <c r="B7" s="0" t="s">
        <v>243</v>
      </c>
      <c r="C7" s="0" t="s">
        <v>391</v>
      </c>
      <c r="D7" s="0">
        <v>0.33000000000000002</v>
      </c>
      <c r="E7" s="0"/>
      <c r="F7" s="0" t="s">
        <v>574</v>
      </c>
      <c r="G7" s="0"/>
      <c r="H7" s="0"/>
      <c r="I7" s="0" t="s">
        <v>1654</v>
      </c>
      <c r="J7" s="0"/>
      <c r="K7" s="0" t="s">
        <v>1811</v>
      </c>
      <c r="L7" s="0" t="s">
        <v>1813</v>
      </c>
    </row>
    <row r="8">
      <c r="A8" s="0" t="s">
        <v>44</v>
      </c>
      <c r="B8" s="0" t="s">
        <v>244</v>
      </c>
      <c r="C8" s="0" t="s">
        <v>390</v>
      </c>
      <c r="D8" s="0">
        <v>0.037999999999999999</v>
      </c>
      <c r="E8" s="0"/>
      <c r="F8" s="0" t="s">
        <v>575</v>
      </c>
      <c r="G8" s="0"/>
      <c r="H8" s="0" t="s">
        <v>1141</v>
      </c>
      <c r="I8" s="0" t="s">
        <v>1655</v>
      </c>
      <c r="J8" s="0"/>
      <c r="K8" s="0" t="s">
        <v>1811</v>
      </c>
      <c r="L8" s="0" t="s">
        <v>1813</v>
      </c>
    </row>
    <row r="9">
      <c r="A9" s="0" t="s">
        <v>44</v>
      </c>
      <c r="B9" s="0" t="s">
        <v>245</v>
      </c>
      <c r="C9" s="0" t="s">
        <v>392</v>
      </c>
      <c r="D9" s="0">
        <v>1.1000000000000001</v>
      </c>
      <c r="E9" s="0"/>
      <c r="F9" s="0" t="s">
        <v>576</v>
      </c>
      <c r="G9" s="0"/>
      <c r="H9" s="0" t="s">
        <v>1142</v>
      </c>
      <c r="I9" s="0" t="s">
        <v>1656</v>
      </c>
      <c r="J9" s="0"/>
      <c r="K9" s="0" t="s">
        <v>1811</v>
      </c>
      <c r="L9" s="0" t="s">
        <v>1813</v>
      </c>
    </row>
    <row r="10">
      <c r="A10" s="0" t="s">
        <v>44</v>
      </c>
      <c r="B10" s="0" t="s">
        <v>245</v>
      </c>
      <c r="C10" s="0" t="s">
        <v>393</v>
      </c>
      <c r="D10" s="0">
        <v>1.8200000000000001</v>
      </c>
      <c r="E10" s="0"/>
      <c r="F10" s="0" t="s">
        <v>577</v>
      </c>
      <c r="G10" s="0"/>
      <c r="H10" s="0" t="s">
        <v>1143</v>
      </c>
      <c r="I10" s="0" t="s">
        <v>1657</v>
      </c>
      <c r="J10" s="0"/>
      <c r="K10" s="0" t="s">
        <v>1811</v>
      </c>
      <c r="L10" s="0" t="s">
        <v>1813</v>
      </c>
    </row>
    <row r="11">
      <c r="A11" s="0" t="s">
        <v>44</v>
      </c>
      <c r="B11" s="0" t="s">
        <v>245</v>
      </c>
      <c r="C11" s="0" t="s">
        <v>393</v>
      </c>
      <c r="D11" s="0">
        <v>6.2400000000000002</v>
      </c>
      <c r="E11" s="0"/>
      <c r="F11" s="0" t="s">
        <v>578</v>
      </c>
      <c r="G11" s="0"/>
      <c r="H11" s="0" t="s">
        <v>1144</v>
      </c>
      <c r="I11" s="0" t="s">
        <v>1657</v>
      </c>
      <c r="J11" s="0"/>
      <c r="K11" s="0" t="s">
        <v>1811</v>
      </c>
      <c r="L11" s="0" t="s">
        <v>1813</v>
      </c>
    </row>
    <row r="12">
      <c r="A12" s="0" t="s">
        <v>44</v>
      </c>
      <c r="B12" s="0" t="s">
        <v>246</v>
      </c>
      <c r="C12" s="0" t="s">
        <v>394</v>
      </c>
      <c r="D12" s="0">
        <v>0.029999999999999999</v>
      </c>
      <c r="E12" s="0"/>
      <c r="F12" s="0" t="s">
        <v>579</v>
      </c>
      <c r="G12" s="0"/>
      <c r="H12" s="0"/>
      <c r="I12" s="0" t="s">
        <v>643</v>
      </c>
      <c r="J12" s="0"/>
      <c r="K12" s="0" t="s">
        <v>1811</v>
      </c>
      <c r="L12" s="0" t="s">
        <v>1813</v>
      </c>
    </row>
    <row r="13">
      <c r="A13" s="0" t="s">
        <v>44</v>
      </c>
      <c r="B13" s="0" t="s">
        <v>246</v>
      </c>
      <c r="C13" s="0" t="s">
        <v>395</v>
      </c>
      <c r="D13" s="0">
        <v>0.050000000000000003</v>
      </c>
      <c r="E13" s="0"/>
      <c r="F13" s="0" t="s">
        <v>580</v>
      </c>
      <c r="G13" s="0"/>
      <c r="H13" s="0"/>
      <c r="I13" s="0" t="s">
        <v>643</v>
      </c>
      <c r="J13" s="0"/>
      <c r="K13" s="0" t="s">
        <v>1811</v>
      </c>
      <c r="L13" s="0" t="s">
        <v>1813</v>
      </c>
    </row>
    <row r="14">
      <c r="A14" s="0" t="s">
        <v>44</v>
      </c>
      <c r="B14" s="0" t="s">
        <v>246</v>
      </c>
      <c r="C14" s="0" t="s">
        <v>396</v>
      </c>
      <c r="D14" s="0">
        <v>0.040000000000000001</v>
      </c>
      <c r="E14" s="0"/>
      <c r="F14" s="0" t="s">
        <v>581</v>
      </c>
      <c r="G14" s="0"/>
      <c r="H14" s="0"/>
      <c r="I14" s="0" t="s">
        <v>643</v>
      </c>
      <c r="J14" s="0"/>
      <c r="K14" s="0" t="s">
        <v>1811</v>
      </c>
      <c r="L14" s="0" t="s">
        <v>1813</v>
      </c>
    </row>
    <row r="15">
      <c r="A15" s="0" t="s">
        <v>44</v>
      </c>
      <c r="B15" s="0" t="s">
        <v>246</v>
      </c>
      <c r="C15" s="0" t="s">
        <v>397</v>
      </c>
      <c r="D15" s="0">
        <v>0.070000000000000007</v>
      </c>
      <c r="E15" s="0"/>
      <c r="F15" s="0" t="s">
        <v>582</v>
      </c>
      <c r="G15" s="0"/>
      <c r="H15" s="0"/>
      <c r="I15" s="0" t="s">
        <v>643</v>
      </c>
      <c r="J15" s="0"/>
      <c r="K15" s="0" t="s">
        <v>1811</v>
      </c>
      <c r="L15" s="0" t="s">
        <v>1813</v>
      </c>
    </row>
    <row r="16">
      <c r="A16" s="0" t="s">
        <v>44</v>
      </c>
      <c r="B16" s="0" t="s">
        <v>246</v>
      </c>
      <c r="C16" s="0" t="s">
        <v>398</v>
      </c>
      <c r="D16" s="0">
        <v>0.20000000000000001</v>
      </c>
      <c r="E16" s="0"/>
      <c r="F16" s="0" t="s">
        <v>583</v>
      </c>
      <c r="G16" s="0"/>
      <c r="H16" s="0"/>
      <c r="I16" s="0" t="s">
        <v>643</v>
      </c>
      <c r="J16" s="0"/>
      <c r="K16" s="0" t="s">
        <v>1811</v>
      </c>
      <c r="L16" s="0" t="s">
        <v>1813</v>
      </c>
    </row>
    <row r="17">
      <c r="A17" s="0" t="s">
        <v>44</v>
      </c>
      <c r="B17" s="0" t="s">
        <v>247</v>
      </c>
      <c r="C17" s="0" t="s">
        <v>395</v>
      </c>
      <c r="D17" s="0">
        <v>11.5</v>
      </c>
      <c r="E17" s="0"/>
      <c r="F17" s="0" t="s">
        <v>584</v>
      </c>
      <c r="G17" s="0"/>
      <c r="H17" s="0" t="s">
        <v>1145</v>
      </c>
      <c r="I17" s="0" t="s">
        <v>1658</v>
      </c>
      <c r="J17" s="0"/>
      <c r="K17" s="0" t="s">
        <v>1811</v>
      </c>
      <c r="L17" s="0" t="s">
        <v>1813</v>
      </c>
    </row>
    <row r="18">
      <c r="A18" s="0" t="s">
        <v>44</v>
      </c>
      <c r="B18" s="0" t="s">
        <v>248</v>
      </c>
      <c r="C18" s="0" t="s">
        <v>131</v>
      </c>
      <c r="D18" s="0">
        <v>17</v>
      </c>
      <c r="E18" s="0"/>
      <c r="F18" s="0" t="s">
        <v>585</v>
      </c>
      <c r="G18" s="0"/>
      <c r="H18" s="0" t="s">
        <v>1146</v>
      </c>
      <c r="I18" s="0" t="s">
        <v>1659</v>
      </c>
      <c r="J18" s="0"/>
      <c r="K18" s="0" t="s">
        <v>1811</v>
      </c>
      <c r="L18" s="0" t="s">
        <v>1813</v>
      </c>
    </row>
    <row r="19">
      <c r="A19" s="0" t="s">
        <v>44</v>
      </c>
      <c r="B19" s="0" t="s">
        <v>249</v>
      </c>
      <c r="C19" s="0" t="s">
        <v>392</v>
      </c>
      <c r="D19" s="0">
        <v>0.33000000000000002</v>
      </c>
      <c r="E19" s="0"/>
      <c r="F19" s="0" t="s">
        <v>574</v>
      </c>
      <c r="G19" s="0"/>
      <c r="H19" s="0" t="s">
        <v>1147</v>
      </c>
      <c r="I19" s="0" t="s">
        <v>1660</v>
      </c>
      <c r="J19" s="0"/>
      <c r="K19" s="0" t="s">
        <v>1811</v>
      </c>
      <c r="L19" s="0" t="s">
        <v>1813</v>
      </c>
    </row>
    <row r="20">
      <c r="A20" s="0" t="s">
        <v>44</v>
      </c>
      <c r="B20" s="0" t="s">
        <v>250</v>
      </c>
      <c r="C20" s="0" t="s">
        <v>392</v>
      </c>
      <c r="D20" s="0">
        <v>0.36799999999999999</v>
      </c>
      <c r="E20" s="0"/>
      <c r="F20" s="0" t="s">
        <v>586</v>
      </c>
      <c r="G20" s="0"/>
      <c r="H20" s="0" t="s">
        <v>1148</v>
      </c>
      <c r="I20" s="0" t="s">
        <v>1661</v>
      </c>
      <c r="J20" s="0"/>
      <c r="K20" s="0" t="s">
        <v>1811</v>
      </c>
      <c r="L20" s="0" t="s">
        <v>1813</v>
      </c>
    </row>
    <row r="21">
      <c r="A21" s="0" t="s">
        <v>44</v>
      </c>
      <c r="B21" s="0" t="s">
        <v>251</v>
      </c>
      <c r="C21" s="0" t="s">
        <v>399</v>
      </c>
      <c r="D21" s="0">
        <v>0.063</v>
      </c>
      <c r="E21" s="0"/>
      <c r="F21" s="0" t="s">
        <v>587</v>
      </c>
      <c r="G21" s="0"/>
      <c r="H21" s="0" t="s">
        <v>1149</v>
      </c>
      <c r="I21" s="0" t="s">
        <v>1662</v>
      </c>
      <c r="J21" s="0"/>
      <c r="K21" s="0" t="s">
        <v>1811</v>
      </c>
      <c r="L21" s="0" t="s">
        <v>1813</v>
      </c>
    </row>
    <row r="22">
      <c r="A22" s="0" t="s">
        <v>44</v>
      </c>
      <c r="B22" s="0" t="s">
        <v>251</v>
      </c>
      <c r="C22" s="0" t="s">
        <v>400</v>
      </c>
      <c r="D22" s="0">
        <v>0.037999999999999999</v>
      </c>
      <c r="E22" s="0"/>
      <c r="F22" s="0" t="s">
        <v>575</v>
      </c>
      <c r="G22" s="0"/>
      <c r="H22" s="0" t="s">
        <v>1150</v>
      </c>
      <c r="I22" s="0" t="s">
        <v>1662</v>
      </c>
      <c r="J22" s="0"/>
      <c r="K22" s="0" t="s">
        <v>1811</v>
      </c>
      <c r="L22" s="0" t="s">
        <v>1813</v>
      </c>
    </row>
    <row r="23">
      <c r="A23" s="0" t="s">
        <v>44</v>
      </c>
      <c r="B23" s="0" t="s">
        <v>251</v>
      </c>
      <c r="C23" s="0" t="s">
        <v>399</v>
      </c>
      <c r="D23" s="0">
        <v>0.055</v>
      </c>
      <c r="E23" s="0"/>
      <c r="F23" s="0" t="s">
        <v>588</v>
      </c>
      <c r="G23" s="0"/>
      <c r="H23" s="0" t="s">
        <v>1149</v>
      </c>
      <c r="I23" s="0" t="s">
        <v>1662</v>
      </c>
      <c r="J23" s="0"/>
      <c r="K23" s="0" t="s">
        <v>1811</v>
      </c>
      <c r="L23" s="0" t="s">
        <v>1813</v>
      </c>
    </row>
    <row r="24">
      <c r="A24" s="0" t="s">
        <v>44</v>
      </c>
      <c r="B24" s="0" t="s">
        <v>252</v>
      </c>
      <c r="C24" s="0" t="s">
        <v>392</v>
      </c>
      <c r="D24" s="0">
        <v>0.29999999999999999</v>
      </c>
      <c r="E24" s="0"/>
      <c r="F24" s="0" t="s">
        <v>589</v>
      </c>
      <c r="G24" s="0"/>
      <c r="H24" s="0" t="s">
        <v>1151</v>
      </c>
      <c r="I24" s="0" t="s">
        <v>1663</v>
      </c>
      <c r="J24" s="0"/>
      <c r="K24" s="0" t="s">
        <v>1811</v>
      </c>
      <c r="L24" s="0" t="s">
        <v>1813</v>
      </c>
    </row>
    <row r="25">
      <c r="A25" s="0" t="s">
        <v>44</v>
      </c>
      <c r="B25" s="0" t="s">
        <v>253</v>
      </c>
      <c r="C25" s="0" t="s">
        <v>390</v>
      </c>
      <c r="D25" s="0">
        <v>0.22</v>
      </c>
      <c r="E25" s="0"/>
      <c r="F25" s="0" t="s">
        <v>590</v>
      </c>
      <c r="G25" s="0"/>
      <c r="H25" s="0" t="s">
        <v>1152</v>
      </c>
      <c r="I25" s="0" t="s">
        <v>1664</v>
      </c>
      <c r="J25" s="0"/>
      <c r="K25" s="0" t="s">
        <v>1811</v>
      </c>
      <c r="L25" s="0" t="s">
        <v>1813</v>
      </c>
    </row>
    <row r="26">
      <c r="A26" s="0" t="s">
        <v>44</v>
      </c>
      <c r="B26" s="0" t="s">
        <v>253</v>
      </c>
      <c r="C26" s="0" t="s">
        <v>390</v>
      </c>
      <c r="D26" s="0">
        <v>0.32000000000000001</v>
      </c>
      <c r="E26" s="0"/>
      <c r="F26" s="0" t="s">
        <v>591</v>
      </c>
      <c r="G26" s="0"/>
      <c r="H26" s="0" t="s">
        <v>1153</v>
      </c>
      <c r="I26" s="0" t="s">
        <v>1664</v>
      </c>
      <c r="J26" s="0"/>
      <c r="K26" s="0" t="s">
        <v>1811</v>
      </c>
      <c r="L26" s="0" t="s">
        <v>1813</v>
      </c>
    </row>
    <row r="27">
      <c r="A27" s="0" t="s">
        <v>44</v>
      </c>
      <c r="B27" s="0" t="s">
        <v>254</v>
      </c>
      <c r="C27" s="0" t="s">
        <v>401</v>
      </c>
      <c r="D27" s="0">
        <v>330</v>
      </c>
      <c r="E27" s="0"/>
      <c r="F27" s="0" t="s">
        <v>592</v>
      </c>
      <c r="G27" s="0"/>
      <c r="H27" s="0" t="s">
        <v>1154</v>
      </c>
      <c r="I27" s="0" t="s">
        <v>1665</v>
      </c>
      <c r="J27" s="0"/>
      <c r="K27" s="0" t="s">
        <v>1811</v>
      </c>
      <c r="L27" s="0" t="s">
        <v>1813</v>
      </c>
    </row>
    <row r="28">
      <c r="A28" s="0" t="s">
        <v>44</v>
      </c>
      <c r="B28" s="0" t="s">
        <v>254</v>
      </c>
      <c r="C28" s="0" t="s">
        <v>401</v>
      </c>
      <c r="D28" s="0">
        <v>534</v>
      </c>
      <c r="E28" s="0"/>
      <c r="F28" s="0" t="s">
        <v>593</v>
      </c>
      <c r="G28" s="0"/>
      <c r="H28" s="0" t="s">
        <v>1155</v>
      </c>
      <c r="I28" s="0" t="s">
        <v>1665</v>
      </c>
      <c r="J28" s="0"/>
      <c r="K28" s="0" t="s">
        <v>1811</v>
      </c>
      <c r="L28" s="0" t="s">
        <v>1813</v>
      </c>
    </row>
    <row r="29">
      <c r="A29" s="0" t="s">
        <v>44</v>
      </c>
      <c r="B29" s="0" t="s">
        <v>255</v>
      </c>
      <c r="C29" s="0" t="s">
        <v>402</v>
      </c>
      <c r="D29" s="0">
        <v>0.068000000000000005</v>
      </c>
      <c r="E29" s="0"/>
      <c r="F29" s="0" t="s">
        <v>594</v>
      </c>
      <c r="G29" s="0"/>
      <c r="H29" s="0" t="s">
        <v>1156</v>
      </c>
      <c r="I29" s="0" t="s">
        <v>1666</v>
      </c>
      <c r="J29" s="0"/>
      <c r="K29" s="0" t="s">
        <v>1811</v>
      </c>
      <c r="L29" s="0" t="s">
        <v>1813</v>
      </c>
    </row>
    <row r="30">
      <c r="A30" s="0" t="s">
        <v>44</v>
      </c>
      <c r="B30" s="0" t="s">
        <v>256</v>
      </c>
      <c r="C30" s="0" t="s">
        <v>392</v>
      </c>
      <c r="D30" s="0">
        <v>11</v>
      </c>
      <c r="E30" s="0"/>
      <c r="F30" s="0" t="s">
        <v>595</v>
      </c>
      <c r="G30" s="0"/>
      <c r="H30" s="0" t="s">
        <v>1157</v>
      </c>
      <c r="I30" s="0" t="s">
        <v>1667</v>
      </c>
      <c r="J30" s="0"/>
      <c r="K30" s="0" t="s">
        <v>1811</v>
      </c>
      <c r="L30" s="0" t="s">
        <v>1813</v>
      </c>
    </row>
    <row r="31">
      <c r="A31" s="0" t="s">
        <v>44</v>
      </c>
      <c r="B31" s="0" t="s">
        <v>256</v>
      </c>
      <c r="C31" s="0" t="s">
        <v>131</v>
      </c>
      <c r="D31" s="0">
        <v>16.600000000000001</v>
      </c>
      <c r="E31" s="0"/>
      <c r="F31" s="0" t="s">
        <v>596</v>
      </c>
      <c r="G31" s="0"/>
      <c r="H31" s="0" t="s">
        <v>1157</v>
      </c>
      <c r="I31" s="0" t="s">
        <v>1667</v>
      </c>
      <c r="J31" s="0"/>
      <c r="K31" s="0" t="s">
        <v>1811</v>
      </c>
      <c r="L31" s="0" t="s">
        <v>1813</v>
      </c>
    </row>
    <row r="32">
      <c r="A32" s="0" t="s">
        <v>44</v>
      </c>
      <c r="B32" s="0" t="s">
        <v>257</v>
      </c>
      <c r="C32" s="0" t="s">
        <v>392</v>
      </c>
      <c r="D32" s="0">
        <v>0.47999999999999998</v>
      </c>
      <c r="E32" s="0"/>
      <c r="F32" s="0" t="s">
        <v>597</v>
      </c>
      <c r="G32" s="0"/>
      <c r="H32" s="0" t="s">
        <v>1158</v>
      </c>
      <c r="I32" s="0" t="s">
        <v>1668</v>
      </c>
      <c r="J32" s="0"/>
      <c r="K32" s="0" t="s">
        <v>1811</v>
      </c>
      <c r="L32" s="0" t="s">
        <v>1813</v>
      </c>
    </row>
    <row r="33">
      <c r="A33" s="0" t="s">
        <v>44</v>
      </c>
      <c r="B33" s="0" t="s">
        <v>258</v>
      </c>
      <c r="C33" s="0" t="s">
        <v>403</v>
      </c>
      <c r="D33" s="0">
        <v>0.59999999999999998</v>
      </c>
      <c r="E33" s="0"/>
      <c r="F33" s="0" t="s">
        <v>598</v>
      </c>
      <c r="G33" s="0"/>
      <c r="H33" s="0" t="s">
        <v>1159</v>
      </c>
      <c r="I33" s="0" t="s">
        <v>1669</v>
      </c>
      <c r="J33" s="0"/>
      <c r="K33" s="0" t="s">
        <v>1811</v>
      </c>
      <c r="L33" s="0" t="s">
        <v>1813</v>
      </c>
    </row>
    <row r="34">
      <c r="A34" s="0" t="s">
        <v>44</v>
      </c>
      <c r="B34" s="0" t="s">
        <v>253</v>
      </c>
      <c r="C34" s="0" t="s">
        <v>403</v>
      </c>
      <c r="D34" s="0">
        <v>0.00072999999999999996</v>
      </c>
      <c r="E34" s="0"/>
      <c r="F34" s="0" t="s">
        <v>599</v>
      </c>
      <c r="G34" s="0"/>
      <c r="H34" s="0" t="s">
        <v>1160</v>
      </c>
      <c r="I34" s="0" t="s">
        <v>1670</v>
      </c>
      <c r="J34" s="0"/>
      <c r="K34" s="0" t="s">
        <v>1811</v>
      </c>
      <c r="L34" s="0" t="s">
        <v>1813</v>
      </c>
    </row>
    <row r="35">
      <c r="A35" s="0" t="s">
        <v>44</v>
      </c>
      <c r="B35" s="0" t="s">
        <v>242</v>
      </c>
      <c r="C35" s="0" t="s">
        <v>390</v>
      </c>
      <c r="D35" s="0">
        <v>0.42999999999999999</v>
      </c>
      <c r="E35" s="0"/>
      <c r="F35" s="0" t="s">
        <v>600</v>
      </c>
      <c r="G35" s="0"/>
      <c r="H35" s="0" t="s">
        <v>1161</v>
      </c>
      <c r="I35" s="0" t="s">
        <v>1671</v>
      </c>
      <c r="J35" s="0"/>
      <c r="K35" s="0" t="s">
        <v>1811</v>
      </c>
      <c r="L35" s="0" t="s">
        <v>1813</v>
      </c>
    </row>
    <row r="36">
      <c r="A36" s="0" t="s">
        <v>44</v>
      </c>
      <c r="B36" s="0" t="s">
        <v>242</v>
      </c>
      <c r="C36" s="0" t="s">
        <v>390</v>
      </c>
      <c r="D36" s="0">
        <v>0.76000000000000001</v>
      </c>
      <c r="E36" s="0"/>
      <c r="F36" s="0" t="s">
        <v>601</v>
      </c>
      <c r="G36" s="0"/>
      <c r="H36" s="0" t="s">
        <v>1162</v>
      </c>
      <c r="I36" s="0" t="s">
        <v>1671</v>
      </c>
      <c r="J36" s="0"/>
      <c r="K36" s="0" t="s">
        <v>1811</v>
      </c>
      <c r="L36" s="0" t="s">
        <v>1813</v>
      </c>
    </row>
    <row r="37">
      <c r="A37" s="0" t="s">
        <v>44</v>
      </c>
      <c r="B37" s="0" t="s">
        <v>242</v>
      </c>
      <c r="C37" s="0" t="s">
        <v>390</v>
      </c>
      <c r="D37" s="0">
        <v>0.64000000000000001</v>
      </c>
      <c r="E37" s="0"/>
      <c r="F37" s="0" t="s">
        <v>602</v>
      </c>
      <c r="G37" s="0"/>
      <c r="H37" s="0" t="s">
        <v>1163</v>
      </c>
      <c r="I37" s="0" t="s">
        <v>1671</v>
      </c>
      <c r="J37" s="0"/>
      <c r="K37" s="0" t="s">
        <v>1811</v>
      </c>
      <c r="L37" s="0" t="s">
        <v>1813</v>
      </c>
    </row>
    <row r="38">
      <c r="A38" s="0" t="s">
        <v>44</v>
      </c>
      <c r="B38" s="0" t="s">
        <v>259</v>
      </c>
      <c r="C38" s="0" t="s">
        <v>404</v>
      </c>
      <c r="D38" s="0">
        <v>0.0046699999999999997</v>
      </c>
      <c r="E38" s="0"/>
      <c r="F38" s="0" t="s">
        <v>603</v>
      </c>
      <c r="G38" s="0"/>
      <c r="H38" s="0" t="s">
        <v>1164</v>
      </c>
      <c r="I38" s="0" t="s">
        <v>1672</v>
      </c>
      <c r="J38" s="0"/>
      <c r="K38" s="0" t="s">
        <v>1811</v>
      </c>
      <c r="L38" s="0" t="s">
        <v>1813</v>
      </c>
    </row>
    <row r="39">
      <c r="A39" s="0" t="s">
        <v>44</v>
      </c>
      <c r="B39" s="0" t="s">
        <v>260</v>
      </c>
      <c r="C39" s="0" t="s">
        <v>392</v>
      </c>
      <c r="D39" s="0">
        <v>0.69499999999999995</v>
      </c>
      <c r="E39" s="0"/>
      <c r="F39" s="0" t="s">
        <v>604</v>
      </c>
      <c r="G39" s="0"/>
      <c r="H39" s="0" t="s">
        <v>1165</v>
      </c>
      <c r="I39" s="0" t="s">
        <v>1673</v>
      </c>
      <c r="J39" s="0"/>
      <c r="K39" s="0" t="s">
        <v>1811</v>
      </c>
      <c r="L39" s="0" t="s">
        <v>1813</v>
      </c>
    </row>
    <row r="40">
      <c r="A40" s="0" t="s">
        <v>44</v>
      </c>
      <c r="B40" s="0" t="s">
        <v>242</v>
      </c>
      <c r="C40" s="0" t="s">
        <v>401</v>
      </c>
      <c r="D40" s="0">
        <v>100</v>
      </c>
      <c r="E40" s="0"/>
      <c r="F40" s="0" t="s">
        <v>605</v>
      </c>
      <c r="G40" s="0"/>
      <c r="H40" s="0" t="s">
        <v>1166</v>
      </c>
      <c r="I40" s="0" t="s">
        <v>1653</v>
      </c>
      <c r="J40" s="0"/>
      <c r="K40" s="0" t="s">
        <v>1811</v>
      </c>
      <c r="L40" s="0" t="s">
        <v>1813</v>
      </c>
    </row>
    <row r="41">
      <c r="A41" s="0" t="s">
        <v>44</v>
      </c>
      <c r="B41" s="0" t="s">
        <v>242</v>
      </c>
      <c r="C41" s="0" t="s">
        <v>131</v>
      </c>
      <c r="D41" s="0">
        <v>4.7000000000000002</v>
      </c>
      <c r="E41" s="0"/>
      <c r="F41" s="0" t="s">
        <v>606</v>
      </c>
      <c r="G41" s="0"/>
      <c r="H41" s="0" t="s">
        <v>1167</v>
      </c>
      <c r="I41" s="0" t="s">
        <v>1653</v>
      </c>
      <c r="J41" s="0"/>
      <c r="K41" s="0" t="s">
        <v>1811</v>
      </c>
      <c r="L41" s="0" t="s">
        <v>1813</v>
      </c>
    </row>
    <row r="42">
      <c r="A42" s="0" t="s">
        <v>44</v>
      </c>
      <c r="B42" s="0" t="s">
        <v>242</v>
      </c>
      <c r="C42" s="0" t="s">
        <v>401</v>
      </c>
      <c r="D42" s="0">
        <v>5</v>
      </c>
      <c r="E42" s="0"/>
      <c r="F42" s="0" t="s">
        <v>607</v>
      </c>
      <c r="G42" s="0"/>
      <c r="H42" s="0" t="s">
        <v>1167</v>
      </c>
      <c r="I42" s="0" t="s">
        <v>1653</v>
      </c>
      <c r="J42" s="0"/>
      <c r="K42" s="0" t="s">
        <v>1811</v>
      </c>
      <c r="L42" s="0" t="s">
        <v>1813</v>
      </c>
    </row>
    <row r="43">
      <c r="A43" s="0" t="s">
        <v>44</v>
      </c>
      <c r="B43" s="0" t="s">
        <v>242</v>
      </c>
      <c r="C43" s="0" t="s">
        <v>401</v>
      </c>
      <c r="D43" s="0">
        <v>35.700000000000003</v>
      </c>
      <c r="E43" s="0"/>
      <c r="F43" s="0" t="s">
        <v>608</v>
      </c>
      <c r="G43" s="0"/>
      <c r="H43" s="0" t="s">
        <v>1168</v>
      </c>
      <c r="I43" s="0" t="s">
        <v>1653</v>
      </c>
      <c r="J43" s="0"/>
      <c r="K43" s="0" t="s">
        <v>1811</v>
      </c>
      <c r="L43" s="0" t="s">
        <v>1813</v>
      </c>
    </row>
    <row r="44">
      <c r="A44" s="0" t="s">
        <v>44</v>
      </c>
      <c r="B44" s="0" t="s">
        <v>242</v>
      </c>
      <c r="C44" s="0" t="s">
        <v>131</v>
      </c>
      <c r="D44" s="0">
        <v>18.899999999999999</v>
      </c>
      <c r="E44" s="0"/>
      <c r="F44" s="0" t="s">
        <v>609</v>
      </c>
      <c r="G44" s="0"/>
      <c r="H44" s="0" t="s">
        <v>1166</v>
      </c>
      <c r="I44" s="0" t="s">
        <v>1653</v>
      </c>
      <c r="J44" s="0"/>
      <c r="K44" s="0" t="s">
        <v>1811</v>
      </c>
      <c r="L44" s="0" t="s">
        <v>1813</v>
      </c>
    </row>
    <row r="45">
      <c r="A45" s="0" t="s">
        <v>44</v>
      </c>
      <c r="B45" s="0" t="s">
        <v>242</v>
      </c>
      <c r="C45" s="0" t="s">
        <v>131</v>
      </c>
      <c r="D45" s="0">
        <v>13.9</v>
      </c>
      <c r="E45" s="0"/>
      <c r="F45" s="0" t="s">
        <v>610</v>
      </c>
      <c r="G45" s="0"/>
      <c r="H45" s="0" t="s">
        <v>1169</v>
      </c>
      <c r="I45" s="0" t="s">
        <v>1653</v>
      </c>
      <c r="J45" s="0"/>
      <c r="K45" s="0" t="s">
        <v>1811</v>
      </c>
      <c r="L45" s="0" t="s">
        <v>1813</v>
      </c>
    </row>
    <row r="46">
      <c r="A46" s="0" t="s">
        <v>44</v>
      </c>
      <c r="B46" s="0" t="s">
        <v>242</v>
      </c>
      <c r="C46" s="0" t="s">
        <v>401</v>
      </c>
      <c r="D46" s="0">
        <v>27.800000000000001</v>
      </c>
      <c r="E46" s="0"/>
      <c r="F46" s="0" t="s">
        <v>611</v>
      </c>
      <c r="G46" s="0"/>
      <c r="H46" s="0" t="s">
        <v>1169</v>
      </c>
      <c r="I46" s="0" t="s">
        <v>1653</v>
      </c>
      <c r="J46" s="0"/>
      <c r="K46" s="0" t="s">
        <v>1811</v>
      </c>
      <c r="L46" s="0" t="s">
        <v>1813</v>
      </c>
    </row>
    <row r="47">
      <c r="A47" s="0" t="s">
        <v>44</v>
      </c>
      <c r="B47" s="0" t="s">
        <v>261</v>
      </c>
      <c r="C47" s="0" t="s">
        <v>395</v>
      </c>
      <c r="D47" s="0">
        <v>7.5700000000000003</v>
      </c>
      <c r="E47" s="0"/>
      <c r="F47" s="0" t="s">
        <v>612</v>
      </c>
      <c r="G47" s="0"/>
      <c r="H47" s="0" t="s">
        <v>1170</v>
      </c>
      <c r="I47" s="0" t="s">
        <v>872</v>
      </c>
      <c r="J47" s="0"/>
      <c r="K47" s="0" t="s">
        <v>1811</v>
      </c>
      <c r="L47" s="0" t="s">
        <v>1813</v>
      </c>
    </row>
    <row r="48">
      <c r="A48" s="0" t="s">
        <v>44</v>
      </c>
      <c r="B48" s="0" t="s">
        <v>262</v>
      </c>
      <c r="C48" s="0" t="s">
        <v>405</v>
      </c>
      <c r="D48" s="0">
        <v>1.1699999999999999</v>
      </c>
      <c r="E48" s="0"/>
      <c r="F48" s="0" t="s">
        <v>613</v>
      </c>
      <c r="G48" s="0"/>
      <c r="H48" s="0" t="s">
        <v>1171</v>
      </c>
      <c r="I48" s="0" t="s">
        <v>1674</v>
      </c>
      <c r="J48" s="0"/>
      <c r="K48" s="0" t="s">
        <v>1811</v>
      </c>
      <c r="L48" s="0" t="s">
        <v>1813</v>
      </c>
    </row>
    <row r="49">
      <c r="A49" s="0" t="s">
        <v>44</v>
      </c>
      <c r="B49" s="0" t="s">
        <v>262</v>
      </c>
      <c r="C49" s="0" t="s">
        <v>405</v>
      </c>
      <c r="D49" s="0">
        <v>2.0099999999999998</v>
      </c>
      <c r="E49" s="0"/>
      <c r="F49" s="0" t="s">
        <v>614</v>
      </c>
      <c r="G49" s="0"/>
      <c r="H49" s="0" t="s">
        <v>1172</v>
      </c>
      <c r="I49" s="0" t="s">
        <v>1674</v>
      </c>
      <c r="J49" s="0"/>
      <c r="K49" s="0" t="s">
        <v>1811</v>
      </c>
      <c r="L49" s="0" t="s">
        <v>1813</v>
      </c>
    </row>
    <row r="50">
      <c r="A50" s="0" t="s">
        <v>44</v>
      </c>
      <c r="B50" s="0" t="s">
        <v>262</v>
      </c>
      <c r="C50" s="0" t="s">
        <v>405</v>
      </c>
      <c r="D50" s="0">
        <v>1.53</v>
      </c>
      <c r="E50" s="0"/>
      <c r="F50" s="0" t="s">
        <v>615</v>
      </c>
      <c r="G50" s="0"/>
      <c r="H50" s="0" t="s">
        <v>1173</v>
      </c>
      <c r="I50" s="0" t="s">
        <v>1674</v>
      </c>
      <c r="J50" s="0"/>
      <c r="K50" s="0" t="s">
        <v>1811</v>
      </c>
      <c r="L50" s="0" t="s">
        <v>1813</v>
      </c>
    </row>
    <row r="51">
      <c r="A51" s="0" t="s">
        <v>44</v>
      </c>
      <c r="B51" s="0" t="s">
        <v>262</v>
      </c>
      <c r="C51" s="0" t="s">
        <v>406</v>
      </c>
      <c r="D51" s="0">
        <v>6.2599999999999998</v>
      </c>
      <c r="E51" s="0"/>
      <c r="F51" s="0" t="s">
        <v>616</v>
      </c>
      <c r="G51" s="0"/>
      <c r="H51" s="0" t="s">
        <v>1174</v>
      </c>
      <c r="I51" s="0" t="s">
        <v>1675</v>
      </c>
      <c r="J51" s="0"/>
      <c r="K51" s="0" t="s">
        <v>1811</v>
      </c>
      <c r="L51" s="0" t="s">
        <v>1813</v>
      </c>
    </row>
    <row r="52">
      <c r="A52" s="0" t="s">
        <v>44</v>
      </c>
      <c r="B52" s="0" t="s">
        <v>262</v>
      </c>
      <c r="C52" s="0" t="s">
        <v>406</v>
      </c>
      <c r="D52" s="0">
        <v>51.700000000000003</v>
      </c>
      <c r="E52" s="0"/>
      <c r="F52" s="0" t="s">
        <v>617</v>
      </c>
      <c r="G52" s="0"/>
      <c r="H52" s="0" t="s">
        <v>1175</v>
      </c>
      <c r="I52" s="0" t="s">
        <v>1675</v>
      </c>
      <c r="J52" s="0"/>
      <c r="K52" s="0" t="s">
        <v>1811</v>
      </c>
      <c r="L52" s="0" t="s">
        <v>1813</v>
      </c>
    </row>
    <row r="53">
      <c r="A53" s="0" t="s">
        <v>44</v>
      </c>
      <c r="B53" s="0" t="s">
        <v>262</v>
      </c>
      <c r="C53" s="0" t="s">
        <v>406</v>
      </c>
      <c r="D53" s="0">
        <v>6.7599999999999998</v>
      </c>
      <c r="E53" s="0"/>
      <c r="F53" s="0" t="s">
        <v>618</v>
      </c>
      <c r="G53" s="0"/>
      <c r="H53" s="0" t="s">
        <v>1176</v>
      </c>
      <c r="I53" s="0" t="s">
        <v>1675</v>
      </c>
      <c r="J53" s="0"/>
      <c r="K53" s="0" t="s">
        <v>1811</v>
      </c>
      <c r="L53" s="0" t="s">
        <v>1813</v>
      </c>
    </row>
    <row r="54">
      <c r="A54" s="0" t="s">
        <v>44</v>
      </c>
      <c r="B54" s="0" t="s">
        <v>262</v>
      </c>
      <c r="C54" s="0" t="s">
        <v>406</v>
      </c>
      <c r="D54" s="0">
        <v>45.799999999999997</v>
      </c>
      <c r="E54" s="0"/>
      <c r="F54" s="0" t="s">
        <v>619</v>
      </c>
      <c r="G54" s="0"/>
      <c r="H54" s="0" t="s">
        <v>1177</v>
      </c>
      <c r="I54" s="0" t="s">
        <v>1675</v>
      </c>
      <c r="J54" s="0"/>
      <c r="K54" s="0" t="s">
        <v>1811</v>
      </c>
      <c r="L54" s="0" t="s">
        <v>1813</v>
      </c>
    </row>
    <row r="55">
      <c r="A55" s="0" t="s">
        <v>44</v>
      </c>
      <c r="B55" s="0" t="s">
        <v>262</v>
      </c>
      <c r="C55" s="0" t="s">
        <v>406</v>
      </c>
      <c r="D55" s="0">
        <v>7.4900000000000002</v>
      </c>
      <c r="E55" s="0"/>
      <c r="F55" s="0" t="s">
        <v>620</v>
      </c>
      <c r="G55" s="0"/>
      <c r="H55" s="0" t="s">
        <v>1178</v>
      </c>
      <c r="I55" s="0" t="s">
        <v>1675</v>
      </c>
      <c r="J55" s="0"/>
      <c r="K55" s="0" t="s">
        <v>1811</v>
      </c>
      <c r="L55" s="0" t="s">
        <v>1813</v>
      </c>
    </row>
    <row r="56">
      <c r="A56" s="0" t="s">
        <v>44</v>
      </c>
      <c r="B56" s="0" t="s">
        <v>262</v>
      </c>
      <c r="C56" s="0" t="s">
        <v>406</v>
      </c>
      <c r="D56" s="0">
        <v>50.600000000000001</v>
      </c>
      <c r="E56" s="0"/>
      <c r="F56" s="0" t="s">
        <v>621</v>
      </c>
      <c r="G56" s="0"/>
      <c r="H56" s="0" t="s">
        <v>1179</v>
      </c>
      <c r="I56" s="0" t="s">
        <v>1675</v>
      </c>
      <c r="J56" s="0"/>
      <c r="K56" s="0" t="s">
        <v>1811</v>
      </c>
      <c r="L56" s="0" t="s">
        <v>1813</v>
      </c>
    </row>
    <row r="57">
      <c r="A57" s="0" t="s">
        <v>44</v>
      </c>
      <c r="B57" s="0" t="s">
        <v>263</v>
      </c>
      <c r="C57" s="0" t="s">
        <v>392</v>
      </c>
      <c r="D57" s="0">
        <v>0.67400000000000004</v>
      </c>
      <c r="E57" s="0"/>
      <c r="F57" s="0" t="s">
        <v>622</v>
      </c>
      <c r="G57" s="0"/>
      <c r="H57" s="0" t="s">
        <v>1180</v>
      </c>
      <c r="I57" s="0" t="s">
        <v>1676</v>
      </c>
      <c r="J57" s="0"/>
      <c r="K57" s="0" t="s">
        <v>1811</v>
      </c>
      <c r="L57" s="0" t="s">
        <v>1813</v>
      </c>
    </row>
    <row r="58">
      <c r="A58" s="0" t="s">
        <v>44</v>
      </c>
      <c r="B58" s="0" t="s">
        <v>264</v>
      </c>
      <c r="C58" s="0" t="s">
        <v>392</v>
      </c>
      <c r="D58" s="0">
        <v>50</v>
      </c>
      <c r="E58" s="0"/>
      <c r="F58" s="0" t="s">
        <v>623</v>
      </c>
      <c r="G58" s="0"/>
      <c r="H58" s="0" t="s">
        <v>1181</v>
      </c>
      <c r="I58" s="0" t="s">
        <v>1677</v>
      </c>
      <c r="J58" s="0"/>
      <c r="K58" s="0" t="s">
        <v>1811</v>
      </c>
      <c r="L58" s="0" t="s">
        <v>1813</v>
      </c>
    </row>
    <row r="59">
      <c r="A59" s="0" t="s">
        <v>44</v>
      </c>
      <c r="B59" s="0" t="s">
        <v>264</v>
      </c>
      <c r="C59" s="0" t="s">
        <v>392</v>
      </c>
      <c r="D59" s="0">
        <v>70.400000000000006</v>
      </c>
      <c r="E59" s="0"/>
      <c r="F59" s="0" t="s">
        <v>624</v>
      </c>
      <c r="G59" s="0"/>
      <c r="H59" s="0" t="s">
        <v>1182</v>
      </c>
      <c r="I59" s="0" t="s">
        <v>1678</v>
      </c>
      <c r="J59" s="0"/>
      <c r="K59" s="0" t="s">
        <v>1811</v>
      </c>
      <c r="L59" s="0" t="s">
        <v>1813</v>
      </c>
    </row>
    <row r="60">
      <c r="A60" s="0" t="s">
        <v>44</v>
      </c>
      <c r="B60" s="0" t="s">
        <v>264</v>
      </c>
      <c r="C60" s="0" t="s">
        <v>392</v>
      </c>
      <c r="D60" s="0">
        <v>589</v>
      </c>
      <c r="E60" s="0"/>
      <c r="F60" s="0" t="s">
        <v>625</v>
      </c>
      <c r="G60" s="0"/>
      <c r="H60" s="0" t="s">
        <v>1183</v>
      </c>
      <c r="I60" s="0" t="s">
        <v>1679</v>
      </c>
      <c r="J60" s="0"/>
      <c r="K60" s="0" t="s">
        <v>1811</v>
      </c>
      <c r="L60" s="0" t="s">
        <v>1813</v>
      </c>
    </row>
    <row r="61">
      <c r="A61" s="0" t="s">
        <v>44</v>
      </c>
      <c r="B61" s="0" t="s">
        <v>264</v>
      </c>
      <c r="C61" s="0" t="s">
        <v>392</v>
      </c>
      <c r="D61" s="0">
        <v>679.79999999999996</v>
      </c>
      <c r="E61" s="0"/>
      <c r="F61" s="0" t="s">
        <v>626</v>
      </c>
      <c r="G61" s="0"/>
      <c r="H61" s="0" t="s">
        <v>1184</v>
      </c>
      <c r="I61" s="0" t="s">
        <v>1679</v>
      </c>
      <c r="J61" s="0"/>
      <c r="K61" s="0" t="s">
        <v>1811</v>
      </c>
      <c r="L61" s="0" t="s">
        <v>1813</v>
      </c>
    </row>
    <row r="62">
      <c r="A62" s="0" t="s">
        <v>44</v>
      </c>
      <c r="B62" s="0" t="s">
        <v>265</v>
      </c>
      <c r="C62" s="0" t="s">
        <v>401</v>
      </c>
      <c r="D62" s="0">
        <v>0.0016000000000000001</v>
      </c>
      <c r="E62" s="0"/>
      <c r="F62" s="0" t="s">
        <v>627</v>
      </c>
      <c r="G62" s="0"/>
      <c r="H62" s="0" t="s">
        <v>1185</v>
      </c>
      <c r="I62" s="0" t="s">
        <v>1680</v>
      </c>
      <c r="J62" s="0"/>
      <c r="K62" s="0" t="s">
        <v>1811</v>
      </c>
      <c r="L62" s="0" t="s">
        <v>1813</v>
      </c>
    </row>
    <row r="63">
      <c r="A63" s="0" t="s">
        <v>44</v>
      </c>
      <c r="B63" s="0" t="s">
        <v>266</v>
      </c>
      <c r="C63" s="0" t="s">
        <v>131</v>
      </c>
      <c r="D63" s="0">
        <v>14.699999999999999</v>
      </c>
      <c r="E63" s="0"/>
      <c r="F63" s="0" t="s">
        <v>628</v>
      </c>
      <c r="G63" s="0"/>
      <c r="H63" s="0" t="s">
        <v>1186</v>
      </c>
      <c r="I63" s="0" t="s">
        <v>1681</v>
      </c>
      <c r="J63" s="0"/>
      <c r="K63" s="0" t="s">
        <v>1811</v>
      </c>
      <c r="L63" s="0" t="s">
        <v>1813</v>
      </c>
    </row>
    <row r="64">
      <c r="A64" s="0" t="s">
        <v>44</v>
      </c>
      <c r="B64" s="0" t="s">
        <v>266</v>
      </c>
      <c r="C64" s="0" t="s">
        <v>131</v>
      </c>
      <c r="D64" s="0">
        <v>24.399999999999999</v>
      </c>
      <c r="E64" s="0"/>
      <c r="F64" s="0" t="s">
        <v>629</v>
      </c>
      <c r="G64" s="0"/>
      <c r="H64" s="0" t="s">
        <v>1187</v>
      </c>
      <c r="I64" s="0" t="s">
        <v>1681</v>
      </c>
      <c r="J64" s="0"/>
      <c r="K64" s="0" t="s">
        <v>1811</v>
      </c>
      <c r="L64" s="0" t="s">
        <v>1813</v>
      </c>
    </row>
    <row r="65">
      <c r="A65" s="0" t="s">
        <v>44</v>
      </c>
      <c r="B65" s="0" t="s">
        <v>267</v>
      </c>
      <c r="C65" s="0" t="s">
        <v>392</v>
      </c>
      <c r="D65" s="0">
        <v>0.77000000000000002</v>
      </c>
      <c r="E65" s="0"/>
      <c r="F65" s="0" t="s">
        <v>630</v>
      </c>
      <c r="G65" s="0"/>
      <c r="H65" s="0" t="s">
        <v>1188</v>
      </c>
      <c r="I65" s="0" t="s">
        <v>1682</v>
      </c>
      <c r="J65" s="0"/>
      <c r="K65" s="0" t="s">
        <v>1811</v>
      </c>
      <c r="L65" s="0" t="s">
        <v>1813</v>
      </c>
    </row>
    <row r="66">
      <c r="A66" s="0" t="s">
        <v>44</v>
      </c>
      <c r="B66" s="0" t="s">
        <v>267</v>
      </c>
      <c r="C66" s="0" t="s">
        <v>392</v>
      </c>
      <c r="D66" s="0">
        <v>0.65000000000000002</v>
      </c>
      <c r="E66" s="0"/>
      <c r="F66" s="0" t="s">
        <v>631</v>
      </c>
      <c r="G66" s="0"/>
      <c r="H66" s="0" t="s">
        <v>1189</v>
      </c>
      <c r="I66" s="0" t="s">
        <v>1682</v>
      </c>
      <c r="J66" s="0"/>
      <c r="K66" s="0" t="s">
        <v>1811</v>
      </c>
      <c r="L66" s="0" t="s">
        <v>1813</v>
      </c>
    </row>
    <row r="67">
      <c r="A67" s="0" t="s">
        <v>44</v>
      </c>
      <c r="B67" s="0" t="s">
        <v>267</v>
      </c>
      <c r="C67" s="0" t="s">
        <v>392</v>
      </c>
      <c r="D67" s="0">
        <v>0.5</v>
      </c>
      <c r="E67" s="0"/>
      <c r="F67" s="0" t="s">
        <v>632</v>
      </c>
      <c r="G67" s="0"/>
      <c r="H67" s="0" t="s">
        <v>1190</v>
      </c>
      <c r="I67" s="0" t="s">
        <v>1682</v>
      </c>
      <c r="J67" s="0"/>
      <c r="K67" s="0" t="s">
        <v>1811</v>
      </c>
      <c r="L67" s="0" t="s">
        <v>1813</v>
      </c>
    </row>
    <row r="68">
      <c r="A68" s="0" t="s">
        <v>44</v>
      </c>
      <c r="B68" s="0" t="s">
        <v>268</v>
      </c>
      <c r="C68" s="0" t="s">
        <v>407</v>
      </c>
      <c r="D68" s="0">
        <v>222</v>
      </c>
      <c r="E68" s="0"/>
      <c r="F68" s="0" t="s">
        <v>633</v>
      </c>
      <c r="G68" s="0"/>
      <c r="H68" s="0" t="s">
        <v>1191</v>
      </c>
      <c r="I68" s="0" t="s">
        <v>1683</v>
      </c>
      <c r="J68" s="0"/>
      <c r="K68" s="0" t="s">
        <v>1811</v>
      </c>
      <c r="L68" s="0" t="s">
        <v>1813</v>
      </c>
    </row>
    <row r="69">
      <c r="A69" s="0" t="s">
        <v>44</v>
      </c>
      <c r="B69" s="0" t="s">
        <v>269</v>
      </c>
      <c r="C69" s="0" t="s">
        <v>408</v>
      </c>
      <c r="D69" s="0">
        <v>0.623</v>
      </c>
      <c r="E69" s="0"/>
      <c r="F69" s="0" t="s">
        <v>634</v>
      </c>
      <c r="G69" s="0"/>
      <c r="H69" s="0" t="s">
        <v>1192</v>
      </c>
      <c r="I69" s="0" t="s">
        <v>1684</v>
      </c>
      <c r="J69" s="0"/>
      <c r="K69" s="0" t="s">
        <v>1811</v>
      </c>
      <c r="L69" s="0" t="s">
        <v>1813</v>
      </c>
    </row>
    <row r="70">
      <c r="A70" s="0" t="s">
        <v>44</v>
      </c>
      <c r="B70" s="0" t="s">
        <v>270</v>
      </c>
      <c r="C70" s="0" t="s">
        <v>403</v>
      </c>
      <c r="D70" s="0">
        <v>0.69999999999999996</v>
      </c>
      <c r="E70" s="0"/>
      <c r="F70" s="0" t="s">
        <v>635</v>
      </c>
      <c r="G70" s="0"/>
      <c r="H70" s="0"/>
      <c r="I70" s="0" t="s">
        <v>1685</v>
      </c>
      <c r="J70" s="0"/>
      <c r="K70" s="0" t="s">
        <v>1811</v>
      </c>
      <c r="L70" s="0" t="s">
        <v>1813</v>
      </c>
    </row>
    <row r="71">
      <c r="A71" s="0" t="s">
        <v>44</v>
      </c>
      <c r="B71" s="0" t="s">
        <v>270</v>
      </c>
      <c r="C71" s="0" t="s">
        <v>390</v>
      </c>
      <c r="D71" s="0">
        <v>2.7000000000000002</v>
      </c>
      <c r="E71" s="0"/>
      <c r="F71" s="0" t="s">
        <v>636</v>
      </c>
      <c r="G71" s="0"/>
      <c r="H71" s="0"/>
      <c r="I71" s="0" t="s">
        <v>1685</v>
      </c>
      <c r="J71" s="0"/>
      <c r="K71" s="0" t="s">
        <v>1811</v>
      </c>
      <c r="L71" s="0" t="s">
        <v>1813</v>
      </c>
    </row>
    <row r="72">
      <c r="A72" s="0" t="s">
        <v>44</v>
      </c>
      <c r="B72" s="0" t="s">
        <v>271</v>
      </c>
      <c r="C72" s="0" t="s">
        <v>392</v>
      </c>
      <c r="D72" s="0">
        <v>28</v>
      </c>
      <c r="E72" s="0"/>
      <c r="F72" s="0" t="s">
        <v>637</v>
      </c>
      <c r="G72" s="0"/>
      <c r="H72" s="0" t="s">
        <v>1193</v>
      </c>
      <c r="I72" s="0" t="s">
        <v>1686</v>
      </c>
      <c r="J72" s="0"/>
      <c r="K72" s="0" t="s">
        <v>1811</v>
      </c>
      <c r="L72" s="0" t="s">
        <v>1813</v>
      </c>
    </row>
    <row r="73">
      <c r="A73" s="0" t="s">
        <v>44</v>
      </c>
      <c r="B73" s="0" t="s">
        <v>272</v>
      </c>
      <c r="C73" s="0" t="s">
        <v>390</v>
      </c>
      <c r="D73" s="0">
        <v>2.2000000000000002</v>
      </c>
      <c r="E73" s="0"/>
      <c r="F73" s="0" t="s">
        <v>638</v>
      </c>
      <c r="G73" s="0"/>
      <c r="H73" s="0" t="s">
        <v>1194</v>
      </c>
      <c r="I73" s="0" t="s">
        <v>1687</v>
      </c>
      <c r="J73" s="0"/>
      <c r="K73" s="0" t="s">
        <v>1811</v>
      </c>
      <c r="L73" s="0" t="s">
        <v>1813</v>
      </c>
    </row>
    <row r="74">
      <c r="A74" s="0" t="s">
        <v>44</v>
      </c>
      <c r="B74" s="0" t="s">
        <v>272</v>
      </c>
      <c r="C74" s="0" t="s">
        <v>403</v>
      </c>
      <c r="D74" s="0">
        <v>2.5</v>
      </c>
      <c r="E74" s="0"/>
      <c r="F74" s="0" t="s">
        <v>639</v>
      </c>
      <c r="G74" s="0"/>
      <c r="H74" s="0" t="s">
        <v>1195</v>
      </c>
      <c r="I74" s="0" t="s">
        <v>1688</v>
      </c>
      <c r="J74" s="0"/>
      <c r="K74" s="0" t="s">
        <v>1811</v>
      </c>
      <c r="L74" s="0" t="s">
        <v>1813</v>
      </c>
    </row>
    <row r="75">
      <c r="A75" s="0" t="s">
        <v>44</v>
      </c>
      <c r="B75" s="0" t="s">
        <v>263</v>
      </c>
      <c r="C75" s="0" t="s">
        <v>409</v>
      </c>
      <c r="D75" s="0">
        <v>12</v>
      </c>
      <c r="E75" s="0"/>
      <c r="F75" s="0" t="s">
        <v>640</v>
      </c>
      <c r="G75" s="0"/>
      <c r="H75" s="0" t="s">
        <v>1196</v>
      </c>
      <c r="I75" s="0" t="s">
        <v>1689</v>
      </c>
      <c r="J75" s="0"/>
      <c r="K75" s="0" t="s">
        <v>1811</v>
      </c>
      <c r="L75" s="0" t="s">
        <v>1813</v>
      </c>
    </row>
    <row r="76">
      <c r="A76" s="0" t="s">
        <v>44</v>
      </c>
      <c r="B76" s="0" t="s">
        <v>263</v>
      </c>
      <c r="C76" s="0" t="s">
        <v>410</v>
      </c>
      <c r="D76" s="0">
        <v>15</v>
      </c>
      <c r="E76" s="0"/>
      <c r="F76" s="0" t="s">
        <v>641</v>
      </c>
      <c r="G76" s="0"/>
      <c r="H76" s="0" t="s">
        <v>1196</v>
      </c>
      <c r="I76" s="0" t="s">
        <v>1689</v>
      </c>
      <c r="J76" s="0"/>
      <c r="K76" s="0" t="s">
        <v>1811</v>
      </c>
      <c r="L76" s="0" t="s">
        <v>1813</v>
      </c>
    </row>
    <row r="77">
      <c r="A77" s="0" t="s">
        <v>44</v>
      </c>
      <c r="B77" s="0" t="s">
        <v>263</v>
      </c>
      <c r="C77" s="0" t="s">
        <v>131</v>
      </c>
      <c r="D77" s="0">
        <v>34</v>
      </c>
      <c r="E77" s="0"/>
      <c r="F77" s="0" t="s">
        <v>642</v>
      </c>
      <c r="G77" s="0"/>
      <c r="H77" s="0" t="s">
        <v>1196</v>
      </c>
      <c r="I77" s="0" t="s">
        <v>1689</v>
      </c>
      <c r="J77" s="0"/>
      <c r="K77" s="0" t="s">
        <v>1811</v>
      </c>
      <c r="L77" s="0" t="s">
        <v>1813</v>
      </c>
    </row>
    <row r="78">
      <c r="A78" s="0" t="s">
        <v>44</v>
      </c>
      <c r="B78" s="0" t="s">
        <v>263</v>
      </c>
      <c r="C78" s="0" t="s">
        <v>392</v>
      </c>
      <c r="D78" s="0">
        <v>29</v>
      </c>
      <c r="E78" s="0"/>
      <c r="F78" s="0" t="s">
        <v>643</v>
      </c>
      <c r="G78" s="0"/>
      <c r="H78" s="0" t="s">
        <v>1196</v>
      </c>
      <c r="I78" s="0" t="s">
        <v>1689</v>
      </c>
      <c r="J78" s="0"/>
      <c r="K78" s="0" t="s">
        <v>1811</v>
      </c>
      <c r="L78" s="0" t="s">
        <v>1813</v>
      </c>
    </row>
    <row r="79">
      <c r="A79" s="0" t="s">
        <v>44</v>
      </c>
      <c r="B79" s="0" t="s">
        <v>263</v>
      </c>
      <c r="C79" s="0" t="s">
        <v>411</v>
      </c>
      <c r="D79" s="0">
        <v>22</v>
      </c>
      <c r="E79" s="0"/>
      <c r="F79" s="0" t="s">
        <v>644</v>
      </c>
      <c r="G79" s="0"/>
      <c r="H79" s="0" t="s">
        <v>1196</v>
      </c>
      <c r="I79" s="0" t="s">
        <v>1689</v>
      </c>
      <c r="J79" s="0"/>
      <c r="K79" s="0" t="s">
        <v>1811</v>
      </c>
      <c r="L79" s="0" t="s">
        <v>1813</v>
      </c>
    </row>
    <row r="80">
      <c r="A80" s="0" t="s">
        <v>44</v>
      </c>
      <c r="B80" s="0" t="s">
        <v>263</v>
      </c>
      <c r="C80" s="0" t="s">
        <v>395</v>
      </c>
      <c r="D80" s="0">
        <v>9.3000000000000007</v>
      </c>
      <c r="E80" s="0"/>
      <c r="F80" s="0" t="s">
        <v>645</v>
      </c>
      <c r="G80" s="0"/>
      <c r="H80" s="0" t="s">
        <v>1196</v>
      </c>
      <c r="I80" s="0" t="s">
        <v>1689</v>
      </c>
      <c r="J80" s="0"/>
      <c r="K80" s="0" t="s">
        <v>1811</v>
      </c>
      <c r="L80" s="0" t="s">
        <v>1813</v>
      </c>
    </row>
    <row r="81">
      <c r="A81" s="0" t="s">
        <v>44</v>
      </c>
      <c r="B81" s="0" t="s">
        <v>273</v>
      </c>
      <c r="C81" s="0" t="s">
        <v>392</v>
      </c>
      <c r="D81" s="0">
        <v>0.099000000000000005</v>
      </c>
      <c r="E81" s="0"/>
      <c r="F81" s="0" t="s">
        <v>646</v>
      </c>
      <c r="G81" s="0"/>
      <c r="H81" s="0" t="s">
        <v>1197</v>
      </c>
      <c r="I81" s="0" t="s">
        <v>1690</v>
      </c>
      <c r="J81" s="0"/>
      <c r="K81" s="0" t="s">
        <v>1811</v>
      </c>
      <c r="L81" s="0" t="s">
        <v>1813</v>
      </c>
    </row>
    <row r="82">
      <c r="A82" s="0" t="s">
        <v>44</v>
      </c>
      <c r="B82" s="0" t="s">
        <v>274</v>
      </c>
      <c r="C82" s="0" t="s">
        <v>403</v>
      </c>
      <c r="D82" s="0">
        <v>5.0499999999999998</v>
      </c>
      <c r="E82" s="0"/>
      <c r="F82" s="0" t="s">
        <v>647</v>
      </c>
      <c r="G82" s="0"/>
      <c r="H82" s="0" t="s">
        <v>1198</v>
      </c>
      <c r="I82" s="0" t="s">
        <v>1691</v>
      </c>
      <c r="J82" s="0"/>
      <c r="K82" s="0" t="s">
        <v>1811</v>
      </c>
      <c r="L82" s="0" t="s">
        <v>1813</v>
      </c>
    </row>
    <row r="83">
      <c r="A83" s="0" t="s">
        <v>44</v>
      </c>
      <c r="B83" s="0" t="s">
        <v>150</v>
      </c>
      <c r="C83" s="0" t="s">
        <v>390</v>
      </c>
      <c r="D83" s="0">
        <v>0.40999999999999998</v>
      </c>
      <c r="E83" s="0"/>
      <c r="F83" s="0" t="s">
        <v>648</v>
      </c>
      <c r="G83" s="0"/>
      <c r="H83" s="0" t="s">
        <v>1199</v>
      </c>
      <c r="I83" s="0" t="s">
        <v>1692</v>
      </c>
      <c r="J83" s="0"/>
      <c r="K83" s="0" t="s">
        <v>1811</v>
      </c>
      <c r="L83" s="0" t="s">
        <v>1813</v>
      </c>
    </row>
    <row r="84">
      <c r="A84" s="0" t="s">
        <v>44</v>
      </c>
      <c r="B84" s="0" t="s">
        <v>150</v>
      </c>
      <c r="C84" s="0" t="s">
        <v>403</v>
      </c>
      <c r="D84" s="0">
        <v>0.5</v>
      </c>
      <c r="E84" s="0"/>
      <c r="F84" s="0" t="s">
        <v>632</v>
      </c>
      <c r="G84" s="0"/>
      <c r="H84" s="0" t="s">
        <v>1199</v>
      </c>
      <c r="I84" s="0" t="s">
        <v>1692</v>
      </c>
      <c r="J84" s="0"/>
      <c r="K84" s="0" t="s">
        <v>1811</v>
      </c>
      <c r="L84" s="0" t="s">
        <v>1813</v>
      </c>
    </row>
    <row r="85">
      <c r="A85" s="0" t="s">
        <v>44</v>
      </c>
      <c r="B85" s="0" t="s">
        <v>150</v>
      </c>
      <c r="C85" s="0" t="s">
        <v>392</v>
      </c>
      <c r="D85" s="0">
        <v>0.35999999999999999</v>
      </c>
      <c r="E85" s="0"/>
      <c r="F85" s="0" t="s">
        <v>649</v>
      </c>
      <c r="G85" s="0"/>
      <c r="H85" s="0" t="s">
        <v>1200</v>
      </c>
      <c r="I85" s="0" t="s">
        <v>1692</v>
      </c>
      <c r="J85" s="0"/>
      <c r="K85" s="0" t="s">
        <v>1811</v>
      </c>
      <c r="L85" s="0" t="s">
        <v>1813</v>
      </c>
    </row>
    <row r="86">
      <c r="A86" s="0" t="s">
        <v>44</v>
      </c>
      <c r="B86" s="0" t="s">
        <v>150</v>
      </c>
      <c r="C86" s="0" t="s">
        <v>412</v>
      </c>
      <c r="D86" s="0">
        <v>0.27000000000000002</v>
      </c>
      <c r="E86" s="0"/>
      <c r="F86" s="0" t="s">
        <v>650</v>
      </c>
      <c r="G86" s="0"/>
      <c r="H86" s="0" t="s">
        <v>1200</v>
      </c>
      <c r="I86" s="0" t="s">
        <v>1692</v>
      </c>
      <c r="J86" s="0"/>
      <c r="K86" s="0" t="s">
        <v>1811</v>
      </c>
      <c r="L86" s="0" t="s">
        <v>1813</v>
      </c>
    </row>
    <row r="87">
      <c r="A87" s="0" t="s">
        <v>44</v>
      </c>
      <c r="B87" s="0" t="s">
        <v>275</v>
      </c>
      <c r="C87" s="0" t="s">
        <v>392</v>
      </c>
      <c r="D87" s="0">
        <v>0.88</v>
      </c>
      <c r="E87" s="0"/>
      <c r="F87" s="0" t="s">
        <v>651</v>
      </c>
      <c r="G87" s="0"/>
      <c r="H87" s="0" t="s">
        <v>1201</v>
      </c>
      <c r="I87" s="0" t="s">
        <v>1693</v>
      </c>
      <c r="J87" s="0"/>
      <c r="K87" s="0" t="s">
        <v>1811</v>
      </c>
      <c r="L87" s="0" t="s">
        <v>1813</v>
      </c>
    </row>
    <row r="88">
      <c r="A88" s="0" t="s">
        <v>44</v>
      </c>
      <c r="B88" s="0" t="s">
        <v>276</v>
      </c>
      <c r="C88" s="0" t="s">
        <v>412</v>
      </c>
      <c r="D88" s="0">
        <v>1.7</v>
      </c>
      <c r="E88" s="0"/>
      <c r="F88" s="0" t="s">
        <v>652</v>
      </c>
      <c r="G88" s="0"/>
      <c r="H88" s="0" t="s">
        <v>1202</v>
      </c>
      <c r="I88" s="0" t="s">
        <v>1694</v>
      </c>
      <c r="J88" s="0"/>
      <c r="K88" s="0" t="s">
        <v>1811</v>
      </c>
      <c r="L88" s="0" t="s">
        <v>1813</v>
      </c>
    </row>
    <row r="89">
      <c r="A89" s="0" t="s">
        <v>44</v>
      </c>
      <c r="B89" s="0" t="s">
        <v>277</v>
      </c>
      <c r="C89" s="0" t="s">
        <v>392</v>
      </c>
      <c r="D89" s="0">
        <v>0.23999999999999999</v>
      </c>
      <c r="E89" s="0"/>
      <c r="F89" s="0" t="s">
        <v>653</v>
      </c>
      <c r="G89" s="0"/>
      <c r="H89" s="0" t="s">
        <v>1203</v>
      </c>
      <c r="I89" s="0" t="s">
        <v>1695</v>
      </c>
      <c r="J89" s="0"/>
      <c r="K89" s="0" t="s">
        <v>1811</v>
      </c>
      <c r="L89" s="0" t="s">
        <v>1813</v>
      </c>
    </row>
    <row r="90">
      <c r="A90" s="0" t="s">
        <v>44</v>
      </c>
      <c r="B90" s="0" t="s">
        <v>256</v>
      </c>
      <c r="C90" s="0" t="s">
        <v>392</v>
      </c>
      <c r="D90" s="0">
        <v>0.11</v>
      </c>
      <c r="E90" s="0"/>
      <c r="F90" s="0" t="s">
        <v>654</v>
      </c>
      <c r="G90" s="0"/>
      <c r="H90" s="0" t="s">
        <v>1204</v>
      </c>
      <c r="I90" s="0" t="s">
        <v>1696</v>
      </c>
      <c r="J90" s="0"/>
      <c r="K90" s="0" t="s">
        <v>1811</v>
      </c>
      <c r="L90" s="0" t="s">
        <v>1813</v>
      </c>
    </row>
    <row r="91">
      <c r="A91" s="0" t="s">
        <v>44</v>
      </c>
      <c r="B91" s="0" t="s">
        <v>256</v>
      </c>
      <c r="C91" s="0" t="s">
        <v>392</v>
      </c>
      <c r="D91" s="0">
        <v>0.12</v>
      </c>
      <c r="E91" s="0"/>
      <c r="F91" s="0" t="s">
        <v>655</v>
      </c>
      <c r="G91" s="0"/>
      <c r="H91" s="0" t="s">
        <v>1205</v>
      </c>
      <c r="I91" s="0" t="s">
        <v>1696</v>
      </c>
      <c r="J91" s="0"/>
      <c r="K91" s="0" t="s">
        <v>1811</v>
      </c>
      <c r="L91" s="0" t="s">
        <v>1813</v>
      </c>
    </row>
    <row r="92">
      <c r="A92" s="0" t="s">
        <v>44</v>
      </c>
      <c r="B92" s="0" t="s">
        <v>256</v>
      </c>
      <c r="C92" s="0" t="s">
        <v>392</v>
      </c>
      <c r="D92" s="0">
        <v>12</v>
      </c>
      <c r="E92" s="0"/>
      <c r="F92" s="0" t="s">
        <v>640</v>
      </c>
      <c r="G92" s="0"/>
      <c r="H92" s="0"/>
      <c r="I92" s="0" t="s">
        <v>1685</v>
      </c>
      <c r="J92" s="0"/>
      <c r="K92" s="0" t="s">
        <v>1811</v>
      </c>
      <c r="L92" s="0" t="s">
        <v>1813</v>
      </c>
    </row>
    <row r="93">
      <c r="A93" s="0" t="s">
        <v>44</v>
      </c>
      <c r="B93" s="0" t="s">
        <v>278</v>
      </c>
      <c r="C93" s="0" t="s">
        <v>413</v>
      </c>
      <c r="D93" s="0">
        <v>1.02</v>
      </c>
      <c r="E93" s="0"/>
      <c r="F93" s="0" t="s">
        <v>656</v>
      </c>
      <c r="G93" s="0"/>
      <c r="H93" s="0" t="s">
        <v>1206</v>
      </c>
      <c r="I93" s="0" t="s">
        <v>1697</v>
      </c>
      <c r="J93" s="0"/>
      <c r="K93" s="0" t="s">
        <v>1811</v>
      </c>
      <c r="L93" s="0" t="s">
        <v>1813</v>
      </c>
    </row>
    <row r="94">
      <c r="A94" s="0" t="s">
        <v>44</v>
      </c>
      <c r="B94" s="0" t="s">
        <v>278</v>
      </c>
      <c r="C94" s="0" t="s">
        <v>395</v>
      </c>
      <c r="D94" s="0">
        <v>6.71</v>
      </c>
      <c r="E94" s="0"/>
      <c r="F94" s="0" t="s">
        <v>657</v>
      </c>
      <c r="G94" s="0"/>
      <c r="H94" s="0" t="s">
        <v>1206</v>
      </c>
      <c r="I94" s="0" t="s">
        <v>1697</v>
      </c>
      <c r="J94" s="0"/>
      <c r="K94" s="0" t="s">
        <v>1811</v>
      </c>
      <c r="L94" s="0" t="s">
        <v>1813</v>
      </c>
    </row>
    <row r="95">
      <c r="A95" s="0" t="s">
        <v>44</v>
      </c>
      <c r="B95" s="0" t="s">
        <v>278</v>
      </c>
      <c r="C95" s="0" t="s">
        <v>389</v>
      </c>
      <c r="D95" s="0">
        <v>0.045330000000000002</v>
      </c>
      <c r="E95" s="0"/>
      <c r="F95" s="0" t="s">
        <v>658</v>
      </c>
      <c r="G95" s="0"/>
      <c r="H95" s="0" t="s">
        <v>1207</v>
      </c>
      <c r="I95" s="0" t="s">
        <v>1698</v>
      </c>
      <c r="J95" s="0"/>
      <c r="K95" s="0" t="s">
        <v>1811</v>
      </c>
      <c r="L95" s="0" t="s">
        <v>1813</v>
      </c>
    </row>
    <row r="96">
      <c r="A96" s="0" t="s">
        <v>44</v>
      </c>
      <c r="B96" s="0" t="s">
        <v>278</v>
      </c>
      <c r="C96" s="0" t="s">
        <v>389</v>
      </c>
      <c r="D96" s="0">
        <v>2.766</v>
      </c>
      <c r="E96" s="0"/>
      <c r="F96" s="0" t="s">
        <v>659</v>
      </c>
      <c r="G96" s="0"/>
      <c r="H96" s="0" t="s">
        <v>1208</v>
      </c>
      <c r="I96" s="0" t="s">
        <v>1698</v>
      </c>
      <c r="J96" s="0"/>
      <c r="K96" s="0" t="s">
        <v>1811</v>
      </c>
      <c r="L96" s="0" t="s">
        <v>1813</v>
      </c>
    </row>
    <row r="97">
      <c r="A97" s="0" t="s">
        <v>44</v>
      </c>
      <c r="B97" s="0" t="s">
        <v>278</v>
      </c>
      <c r="C97" s="0" t="s">
        <v>414</v>
      </c>
      <c r="D97" s="0">
        <v>0.1089</v>
      </c>
      <c r="E97" s="0"/>
      <c r="F97" s="0" t="s">
        <v>660</v>
      </c>
      <c r="G97" s="0"/>
      <c r="H97" s="0" t="s">
        <v>1209</v>
      </c>
      <c r="I97" s="0" t="s">
        <v>1698</v>
      </c>
      <c r="J97" s="0"/>
      <c r="K97" s="0" t="s">
        <v>1811</v>
      </c>
      <c r="L97" s="0" t="s">
        <v>1813</v>
      </c>
    </row>
    <row r="98">
      <c r="A98" s="0" t="s">
        <v>44</v>
      </c>
      <c r="B98" s="0" t="s">
        <v>278</v>
      </c>
      <c r="C98" s="0" t="s">
        <v>414</v>
      </c>
      <c r="D98" s="0">
        <v>0.14080000000000001</v>
      </c>
      <c r="E98" s="0"/>
      <c r="F98" s="0" t="s">
        <v>661</v>
      </c>
      <c r="G98" s="0"/>
      <c r="H98" s="0" t="s">
        <v>1210</v>
      </c>
      <c r="I98" s="0" t="s">
        <v>1698</v>
      </c>
      <c r="J98" s="0"/>
      <c r="K98" s="0" t="s">
        <v>1811</v>
      </c>
      <c r="L98" s="0" t="s">
        <v>1813</v>
      </c>
    </row>
    <row r="99">
      <c r="A99" s="0" t="s">
        <v>44</v>
      </c>
      <c r="B99" s="0" t="s">
        <v>279</v>
      </c>
      <c r="C99" s="0" t="s">
        <v>415</v>
      </c>
      <c r="D99" s="0">
        <v>0.129</v>
      </c>
      <c r="E99" s="0"/>
      <c r="F99" s="0" t="s">
        <v>662</v>
      </c>
      <c r="G99" s="0"/>
      <c r="H99" s="0" t="s">
        <v>1211</v>
      </c>
      <c r="I99" s="0" t="s">
        <v>1699</v>
      </c>
      <c r="J99" s="0"/>
      <c r="K99" s="0" t="s">
        <v>1811</v>
      </c>
      <c r="L99" s="0" t="s">
        <v>1813</v>
      </c>
    </row>
    <row r="100">
      <c r="A100" s="0" t="s">
        <v>44</v>
      </c>
      <c r="B100" s="0" t="s">
        <v>279</v>
      </c>
      <c r="C100" s="0" t="s">
        <v>402</v>
      </c>
      <c r="D100" s="0">
        <v>0.046600000000000003</v>
      </c>
      <c r="E100" s="0"/>
      <c r="F100" s="0" t="s">
        <v>663</v>
      </c>
      <c r="G100" s="0"/>
      <c r="H100" s="0" t="s">
        <v>1211</v>
      </c>
      <c r="I100" s="0" t="s">
        <v>1699</v>
      </c>
      <c r="J100" s="0"/>
      <c r="K100" s="0" t="s">
        <v>1811</v>
      </c>
      <c r="L100" s="0" t="s">
        <v>1813</v>
      </c>
    </row>
    <row r="101">
      <c r="A101" s="0" t="s">
        <v>44</v>
      </c>
      <c r="B101" s="0" t="s">
        <v>279</v>
      </c>
      <c r="C101" s="0" t="s">
        <v>392</v>
      </c>
      <c r="D101" s="0">
        <v>0.0241</v>
      </c>
      <c r="E101" s="0"/>
      <c r="F101" s="0" t="s">
        <v>664</v>
      </c>
      <c r="G101" s="0"/>
      <c r="H101" s="0" t="s">
        <v>1211</v>
      </c>
      <c r="I101" s="0" t="s">
        <v>1699</v>
      </c>
      <c r="J101" s="0"/>
      <c r="K101" s="0" t="s">
        <v>1811</v>
      </c>
      <c r="L101" s="0" t="s">
        <v>1813</v>
      </c>
    </row>
    <row r="102">
      <c r="A102" s="0" t="s">
        <v>44</v>
      </c>
      <c r="B102" s="0" t="s">
        <v>280</v>
      </c>
      <c r="C102" s="0" t="s">
        <v>416</v>
      </c>
      <c r="D102" s="0">
        <v>0.059999999999999998</v>
      </c>
      <c r="E102" s="0"/>
      <c r="F102" s="0" t="s">
        <v>665</v>
      </c>
      <c r="G102" s="0"/>
      <c r="H102" s="0" t="s">
        <v>1212</v>
      </c>
      <c r="I102" s="0" t="s">
        <v>1700</v>
      </c>
      <c r="J102" s="0"/>
      <c r="K102" s="0" t="s">
        <v>1811</v>
      </c>
      <c r="L102" s="0" t="s">
        <v>1813</v>
      </c>
    </row>
    <row r="103">
      <c r="A103" s="0" t="s">
        <v>44</v>
      </c>
      <c r="B103" s="0" t="s">
        <v>280</v>
      </c>
      <c r="C103" s="0" t="s">
        <v>393</v>
      </c>
      <c r="D103" s="0">
        <v>0.59999999999999998</v>
      </c>
      <c r="E103" s="0"/>
      <c r="F103" s="0" t="s">
        <v>598</v>
      </c>
      <c r="G103" s="0"/>
      <c r="H103" s="0" t="s">
        <v>1212</v>
      </c>
      <c r="I103" s="0" t="s">
        <v>1700</v>
      </c>
      <c r="J103" s="0"/>
      <c r="K103" s="0" t="s">
        <v>1811</v>
      </c>
      <c r="L103" s="0" t="s">
        <v>1813</v>
      </c>
    </row>
    <row r="104">
      <c r="A104" s="0" t="s">
        <v>44</v>
      </c>
      <c r="B104" s="0" t="s">
        <v>280</v>
      </c>
      <c r="C104" s="0" t="s">
        <v>417</v>
      </c>
      <c r="D104" s="0">
        <v>0.080000000000000002</v>
      </c>
      <c r="E104" s="0"/>
      <c r="F104" s="0" t="s">
        <v>666</v>
      </c>
      <c r="G104" s="0"/>
      <c r="H104" s="0" t="s">
        <v>1212</v>
      </c>
      <c r="I104" s="0" t="s">
        <v>1700</v>
      </c>
      <c r="J104" s="0"/>
      <c r="K104" s="0" t="s">
        <v>1811</v>
      </c>
      <c r="L104" s="0" t="s">
        <v>1813</v>
      </c>
    </row>
    <row r="105">
      <c r="A105" s="0" t="s">
        <v>44</v>
      </c>
      <c r="B105" s="0" t="s">
        <v>280</v>
      </c>
      <c r="C105" s="0" t="s">
        <v>131</v>
      </c>
      <c r="D105" s="0">
        <v>5</v>
      </c>
      <c r="E105" s="0"/>
      <c r="F105" s="0" t="s">
        <v>607</v>
      </c>
      <c r="G105" s="0"/>
      <c r="H105" s="0" t="s">
        <v>1212</v>
      </c>
      <c r="I105" s="0" t="s">
        <v>1700</v>
      </c>
      <c r="J105" s="0"/>
      <c r="K105" s="0" t="s">
        <v>1811</v>
      </c>
      <c r="L105" s="0" t="s">
        <v>1813</v>
      </c>
    </row>
    <row r="106">
      <c r="A106" s="0" t="s">
        <v>44</v>
      </c>
      <c r="B106" s="0" t="s">
        <v>281</v>
      </c>
      <c r="C106" s="0" t="s">
        <v>392</v>
      </c>
      <c r="D106" s="0">
        <v>0.17000000000000001</v>
      </c>
      <c r="E106" s="0"/>
      <c r="F106" s="0" t="s">
        <v>667</v>
      </c>
      <c r="G106" s="0"/>
      <c r="H106" s="0" t="s">
        <v>1213</v>
      </c>
      <c r="I106" s="0" t="s">
        <v>1701</v>
      </c>
      <c r="J106" s="0"/>
      <c r="K106" s="0" t="s">
        <v>1811</v>
      </c>
      <c r="L106" s="0" t="s">
        <v>1813</v>
      </c>
    </row>
    <row r="107">
      <c r="A107" s="0" t="s">
        <v>44</v>
      </c>
      <c r="B107" s="0" t="s">
        <v>281</v>
      </c>
      <c r="C107" s="0" t="s">
        <v>392</v>
      </c>
      <c r="D107" s="0">
        <v>0.00017000000000000001</v>
      </c>
      <c r="E107" s="0"/>
      <c r="F107" s="0" t="s">
        <v>668</v>
      </c>
      <c r="G107" s="0"/>
      <c r="H107" s="0" t="s">
        <v>1214</v>
      </c>
      <c r="I107" s="0" t="s">
        <v>1702</v>
      </c>
      <c r="J107" s="0"/>
      <c r="K107" s="0" t="s">
        <v>1811</v>
      </c>
      <c r="L107" s="0" t="s">
        <v>1813</v>
      </c>
    </row>
    <row r="108">
      <c r="A108" s="0" t="s">
        <v>44</v>
      </c>
      <c r="B108" s="0" t="s">
        <v>281</v>
      </c>
      <c r="C108" s="0" t="s">
        <v>392</v>
      </c>
      <c r="D108" s="0">
        <v>0.13600000000000001</v>
      </c>
      <c r="E108" s="0"/>
      <c r="F108" s="0" t="s">
        <v>669</v>
      </c>
      <c r="G108" s="0"/>
      <c r="H108" s="0" t="s">
        <v>1215</v>
      </c>
      <c r="I108" s="0" t="s">
        <v>1701</v>
      </c>
      <c r="J108" s="0"/>
      <c r="K108" s="0" t="s">
        <v>1811</v>
      </c>
      <c r="L108" s="0" t="s">
        <v>1813</v>
      </c>
    </row>
    <row r="109">
      <c r="A109" s="0" t="s">
        <v>44</v>
      </c>
      <c r="B109" s="0" t="s">
        <v>281</v>
      </c>
      <c r="C109" s="0" t="s">
        <v>392</v>
      </c>
      <c r="D109" s="0">
        <v>0.27400000000000002</v>
      </c>
      <c r="E109" s="0"/>
      <c r="F109" s="0" t="s">
        <v>670</v>
      </c>
      <c r="G109" s="0"/>
      <c r="H109" s="0" t="s">
        <v>1216</v>
      </c>
      <c r="I109" s="0" t="s">
        <v>1701</v>
      </c>
      <c r="J109" s="0"/>
      <c r="K109" s="0" t="s">
        <v>1811</v>
      </c>
      <c r="L109" s="0" t="s">
        <v>1813</v>
      </c>
    </row>
    <row r="110">
      <c r="A110" s="0" t="s">
        <v>44</v>
      </c>
      <c r="B110" s="0" t="s">
        <v>281</v>
      </c>
      <c r="C110" s="0" t="s">
        <v>392</v>
      </c>
      <c r="D110" s="0">
        <v>0.158</v>
      </c>
      <c r="E110" s="0"/>
      <c r="F110" s="0" t="s">
        <v>671</v>
      </c>
      <c r="G110" s="0"/>
      <c r="H110" s="0" t="s">
        <v>1217</v>
      </c>
      <c r="I110" s="0" t="s">
        <v>1701</v>
      </c>
      <c r="J110" s="0"/>
      <c r="K110" s="0" t="s">
        <v>1811</v>
      </c>
      <c r="L110" s="0" t="s">
        <v>1813</v>
      </c>
    </row>
    <row r="111">
      <c r="A111" s="0" t="s">
        <v>44</v>
      </c>
      <c r="B111" s="0" t="s">
        <v>281</v>
      </c>
      <c r="C111" s="0" t="s">
        <v>392</v>
      </c>
      <c r="D111" s="0">
        <v>0.089230000000000004</v>
      </c>
      <c r="E111" s="0"/>
      <c r="F111" s="0" t="s">
        <v>672</v>
      </c>
      <c r="G111" s="0"/>
      <c r="H111" s="0" t="s">
        <v>1218</v>
      </c>
      <c r="I111" s="0" t="s">
        <v>1702</v>
      </c>
      <c r="J111" s="0"/>
      <c r="K111" s="0" t="s">
        <v>1811</v>
      </c>
      <c r="L111" s="0" t="s">
        <v>1813</v>
      </c>
    </row>
    <row r="112">
      <c r="A112" s="0" t="s">
        <v>44</v>
      </c>
      <c r="B112" s="0" t="s">
        <v>282</v>
      </c>
      <c r="C112" s="0" t="s">
        <v>418</v>
      </c>
      <c r="D112" s="0">
        <v>-999</v>
      </c>
      <c r="E112" s="0"/>
      <c r="F112" s="0" t="s">
        <v>673</v>
      </c>
      <c r="G112" s="0"/>
      <c r="H112" s="0" t="s">
        <v>1219</v>
      </c>
      <c r="I112" s="0" t="s">
        <v>1703</v>
      </c>
      <c r="J112" s="0"/>
      <c r="K112" s="0" t="s">
        <v>1811</v>
      </c>
      <c r="L112" s="0" t="s">
        <v>1813</v>
      </c>
    </row>
    <row r="113">
      <c r="A113" s="0" t="s">
        <v>44</v>
      </c>
      <c r="B113" s="0" t="s">
        <v>283</v>
      </c>
      <c r="C113" s="0" t="s">
        <v>419</v>
      </c>
      <c r="D113" s="0">
        <v>11</v>
      </c>
      <c r="E113" s="0"/>
      <c r="F113" s="0" t="s">
        <v>595</v>
      </c>
      <c r="G113" s="0"/>
      <c r="H113" s="0" t="s">
        <v>1220</v>
      </c>
      <c r="I113" s="0" t="s">
        <v>1704</v>
      </c>
      <c r="J113" s="0"/>
      <c r="K113" s="0" t="s">
        <v>1811</v>
      </c>
      <c r="L113" s="0" t="s">
        <v>1813</v>
      </c>
    </row>
    <row r="114">
      <c r="A114" s="0" t="s">
        <v>44</v>
      </c>
      <c r="B114" s="0" t="s">
        <v>283</v>
      </c>
      <c r="C114" s="0" t="s">
        <v>131</v>
      </c>
      <c r="D114" s="0">
        <v>5.5</v>
      </c>
      <c r="E114" s="0"/>
      <c r="F114" s="0" t="s">
        <v>674</v>
      </c>
      <c r="G114" s="0"/>
      <c r="H114" s="0" t="s">
        <v>1220</v>
      </c>
      <c r="I114" s="0" t="s">
        <v>1704</v>
      </c>
      <c r="J114" s="0"/>
      <c r="K114" s="0" t="s">
        <v>1811</v>
      </c>
      <c r="L114" s="0" t="s">
        <v>1813</v>
      </c>
    </row>
    <row r="115">
      <c r="A115" s="0" t="s">
        <v>44</v>
      </c>
      <c r="B115" s="0" t="s">
        <v>284</v>
      </c>
      <c r="C115" s="0" t="s">
        <v>412</v>
      </c>
      <c r="D115" s="0">
        <v>0.31</v>
      </c>
      <c r="E115" s="0"/>
      <c r="F115" s="0" t="s">
        <v>675</v>
      </c>
      <c r="G115" s="0"/>
      <c r="H115" s="0" t="s">
        <v>1221</v>
      </c>
      <c r="I115" s="0" t="s">
        <v>1705</v>
      </c>
      <c r="J115" s="0"/>
      <c r="K115" s="0" t="s">
        <v>1811</v>
      </c>
      <c r="L115" s="0" t="s">
        <v>1813</v>
      </c>
    </row>
    <row r="116">
      <c r="A116" s="0" t="s">
        <v>44</v>
      </c>
      <c r="B116" s="0" t="s">
        <v>285</v>
      </c>
      <c r="C116" s="0" t="s">
        <v>420</v>
      </c>
      <c r="D116" s="0">
        <v>0.037999999999999999</v>
      </c>
      <c r="E116" s="0"/>
      <c r="F116" s="0" t="s">
        <v>575</v>
      </c>
      <c r="G116" s="0"/>
      <c r="H116" s="0" t="s">
        <v>1222</v>
      </c>
      <c r="I116" s="0" t="s">
        <v>1706</v>
      </c>
      <c r="J116" s="0"/>
      <c r="K116" s="0" t="s">
        <v>1811</v>
      </c>
      <c r="L116" s="0" t="s">
        <v>1813</v>
      </c>
    </row>
    <row r="117">
      <c r="A117" s="0" t="s">
        <v>44</v>
      </c>
      <c r="B117" s="0" t="s">
        <v>285</v>
      </c>
      <c r="C117" s="0" t="s">
        <v>394</v>
      </c>
      <c r="D117" s="0">
        <v>0.34999999999999998</v>
      </c>
      <c r="E117" s="0"/>
      <c r="F117" s="0" t="s">
        <v>676</v>
      </c>
      <c r="G117" s="0"/>
      <c r="H117" s="0" t="s">
        <v>1222</v>
      </c>
      <c r="I117" s="0" t="s">
        <v>1706</v>
      </c>
      <c r="J117" s="0"/>
      <c r="K117" s="0" t="s">
        <v>1811</v>
      </c>
      <c r="L117" s="0" t="s">
        <v>1813</v>
      </c>
    </row>
    <row r="118">
      <c r="A118" s="0" t="s">
        <v>44</v>
      </c>
      <c r="B118" s="0" t="s">
        <v>285</v>
      </c>
      <c r="C118" s="0" t="s">
        <v>421</v>
      </c>
      <c r="D118" s="0">
        <v>0.78900000000000003</v>
      </c>
      <c r="E118" s="0"/>
      <c r="F118" s="0" t="s">
        <v>677</v>
      </c>
      <c r="G118" s="0"/>
      <c r="H118" s="0" t="s">
        <v>1222</v>
      </c>
      <c r="I118" s="0" t="s">
        <v>1706</v>
      </c>
      <c r="J118" s="0"/>
      <c r="K118" s="0" t="s">
        <v>1811</v>
      </c>
      <c r="L118" s="0" t="s">
        <v>1813</v>
      </c>
    </row>
    <row r="119">
      <c r="A119" s="0" t="s">
        <v>44</v>
      </c>
      <c r="B119" s="0" t="s">
        <v>286</v>
      </c>
      <c r="C119" s="0" t="s">
        <v>395</v>
      </c>
      <c r="D119" s="0">
        <v>0.81999999999999995</v>
      </c>
      <c r="E119" s="0"/>
      <c r="F119" s="0" t="s">
        <v>678</v>
      </c>
      <c r="G119" s="0"/>
      <c r="H119" s="0"/>
      <c r="I119" s="0" t="s">
        <v>1019</v>
      </c>
      <c r="J119" s="0"/>
      <c r="K119" s="0" t="s">
        <v>1811</v>
      </c>
      <c r="L119" s="0" t="s">
        <v>1813</v>
      </c>
    </row>
    <row r="120">
      <c r="A120" s="0" t="s">
        <v>44</v>
      </c>
      <c r="B120" s="0" t="s">
        <v>286</v>
      </c>
      <c r="C120" s="0" t="s">
        <v>391</v>
      </c>
      <c r="D120" s="0">
        <v>0.91000000000000003</v>
      </c>
      <c r="E120" s="0"/>
      <c r="F120" s="0" t="s">
        <v>679</v>
      </c>
      <c r="G120" s="0"/>
      <c r="H120" s="0" t="s">
        <v>1223</v>
      </c>
      <c r="I120" s="0" t="s">
        <v>1707</v>
      </c>
      <c r="J120" s="0"/>
      <c r="K120" s="0" t="s">
        <v>1811</v>
      </c>
      <c r="L120" s="0" t="s">
        <v>1813</v>
      </c>
    </row>
    <row r="121">
      <c r="A121" s="0" t="s">
        <v>44</v>
      </c>
      <c r="B121" s="0" t="s">
        <v>286</v>
      </c>
      <c r="C121" s="0" t="s">
        <v>391</v>
      </c>
      <c r="D121" s="0">
        <v>1.02</v>
      </c>
      <c r="E121" s="0"/>
      <c r="F121" s="0" t="s">
        <v>656</v>
      </c>
      <c r="G121" s="0"/>
      <c r="H121" s="0" t="s">
        <v>1224</v>
      </c>
      <c r="I121" s="0" t="s">
        <v>1707</v>
      </c>
      <c r="J121" s="0"/>
      <c r="K121" s="0" t="s">
        <v>1811</v>
      </c>
      <c r="L121" s="0" t="s">
        <v>1813</v>
      </c>
    </row>
    <row r="122">
      <c r="A122" s="0" t="s">
        <v>44</v>
      </c>
      <c r="B122" s="0" t="s">
        <v>286</v>
      </c>
      <c r="C122" s="0" t="s">
        <v>391</v>
      </c>
      <c r="D122" s="0">
        <v>1.55</v>
      </c>
      <c r="E122" s="0"/>
      <c r="F122" s="0" t="s">
        <v>680</v>
      </c>
      <c r="G122" s="0"/>
      <c r="H122" s="0" t="s">
        <v>1225</v>
      </c>
      <c r="I122" s="0" t="s">
        <v>1707</v>
      </c>
      <c r="J122" s="0"/>
      <c r="K122" s="0" t="s">
        <v>1811</v>
      </c>
      <c r="L122" s="0" t="s">
        <v>1813</v>
      </c>
    </row>
    <row r="123">
      <c r="A123" s="0" t="s">
        <v>44</v>
      </c>
      <c r="B123" s="0" t="s">
        <v>287</v>
      </c>
      <c r="C123" s="0" t="s">
        <v>389</v>
      </c>
      <c r="D123" s="0">
        <v>14</v>
      </c>
      <c r="E123" s="0"/>
      <c r="F123" s="0" t="s">
        <v>681</v>
      </c>
      <c r="G123" s="0"/>
      <c r="H123" s="0" t="s">
        <v>1226</v>
      </c>
      <c r="I123" s="0" t="s">
        <v>1708</v>
      </c>
      <c r="J123" s="0"/>
      <c r="K123" s="0" t="s">
        <v>1811</v>
      </c>
      <c r="L123" s="0" t="s">
        <v>1813</v>
      </c>
    </row>
    <row r="124">
      <c r="A124" s="0" t="s">
        <v>44</v>
      </c>
      <c r="B124" s="0" t="s">
        <v>262</v>
      </c>
      <c r="C124" s="0" t="s">
        <v>422</v>
      </c>
      <c r="D124" s="0">
        <v>34.039999999999999</v>
      </c>
      <c r="E124" s="0"/>
      <c r="F124" s="0" t="s">
        <v>682</v>
      </c>
      <c r="G124" s="0"/>
      <c r="H124" s="0" t="s">
        <v>1227</v>
      </c>
      <c r="I124" s="0" t="s">
        <v>1709</v>
      </c>
      <c r="J124" s="0"/>
      <c r="K124" s="0" t="s">
        <v>1811</v>
      </c>
      <c r="L124" s="0" t="s">
        <v>1813</v>
      </c>
    </row>
    <row r="125">
      <c r="A125" s="0" t="s">
        <v>44</v>
      </c>
      <c r="B125" s="0" t="s">
        <v>262</v>
      </c>
      <c r="C125" s="0" t="s">
        <v>423</v>
      </c>
      <c r="D125" s="0">
        <v>138.28</v>
      </c>
      <c r="E125" s="0"/>
      <c r="F125" s="0" t="s">
        <v>683</v>
      </c>
      <c r="G125" s="0"/>
      <c r="H125" s="0" t="s">
        <v>1227</v>
      </c>
      <c r="I125" s="0" t="s">
        <v>1709</v>
      </c>
      <c r="J125" s="0"/>
      <c r="K125" s="0" t="s">
        <v>1811</v>
      </c>
      <c r="L125" s="0" t="s">
        <v>1813</v>
      </c>
    </row>
    <row r="126">
      <c r="A126" s="0" t="s">
        <v>44</v>
      </c>
      <c r="B126" s="0" t="s">
        <v>288</v>
      </c>
      <c r="C126" s="0" t="s">
        <v>403</v>
      </c>
      <c r="D126" s="0">
        <v>0.60799999999999999</v>
      </c>
      <c r="E126" s="0"/>
      <c r="F126" s="0" t="s">
        <v>684</v>
      </c>
      <c r="G126" s="0"/>
      <c r="H126" s="0"/>
      <c r="I126" s="0" t="s">
        <v>1710</v>
      </c>
      <c r="J126" s="0"/>
      <c r="K126" s="0" t="s">
        <v>1811</v>
      </c>
      <c r="L126" s="0" t="s">
        <v>1813</v>
      </c>
    </row>
    <row r="127">
      <c r="A127" s="0" t="s">
        <v>44</v>
      </c>
      <c r="B127" s="0" t="s">
        <v>289</v>
      </c>
      <c r="C127" s="0" t="s">
        <v>424</v>
      </c>
      <c r="D127" s="0">
        <v>41.030000000000001</v>
      </c>
      <c r="E127" s="0"/>
      <c r="F127" s="0" t="s">
        <v>685</v>
      </c>
      <c r="G127" s="0"/>
      <c r="H127" s="0" t="s">
        <v>1228</v>
      </c>
      <c r="I127" s="0" t="s">
        <v>1711</v>
      </c>
      <c r="J127" s="0"/>
      <c r="K127" s="0" t="s">
        <v>1811</v>
      </c>
      <c r="L127" s="0" t="s">
        <v>1813</v>
      </c>
    </row>
    <row r="128">
      <c r="A128" s="0" t="s">
        <v>44</v>
      </c>
      <c r="B128" s="0" t="s">
        <v>254</v>
      </c>
      <c r="C128" s="0" t="s">
        <v>425</v>
      </c>
      <c r="D128" s="0">
        <v>0.46999999999999997</v>
      </c>
      <c r="E128" s="0"/>
      <c r="F128" s="0" t="s">
        <v>686</v>
      </c>
      <c r="G128" s="0"/>
      <c r="H128" s="0" t="s">
        <v>1229</v>
      </c>
      <c r="I128" s="0" t="s">
        <v>1712</v>
      </c>
      <c r="J128" s="0"/>
      <c r="K128" s="0" t="s">
        <v>1811</v>
      </c>
      <c r="L128" s="0" t="s">
        <v>1813</v>
      </c>
    </row>
    <row r="129">
      <c r="A129" s="0" t="s">
        <v>44</v>
      </c>
      <c r="B129" s="0" t="s">
        <v>254</v>
      </c>
      <c r="C129" s="0" t="s">
        <v>395</v>
      </c>
      <c r="D129" s="0">
        <v>0.35999999999999999</v>
      </c>
      <c r="E129" s="0"/>
      <c r="F129" s="0" t="s">
        <v>649</v>
      </c>
      <c r="G129" s="0"/>
      <c r="H129" s="0" t="s">
        <v>1229</v>
      </c>
      <c r="I129" s="0" t="s">
        <v>1712</v>
      </c>
      <c r="J129" s="0"/>
      <c r="K129" s="0" t="s">
        <v>1811</v>
      </c>
      <c r="L129" s="0" t="s">
        <v>1813</v>
      </c>
    </row>
    <row r="130">
      <c r="A130" s="0" t="s">
        <v>44</v>
      </c>
      <c r="B130" s="0" t="s">
        <v>254</v>
      </c>
      <c r="C130" s="0" t="s">
        <v>426</v>
      </c>
      <c r="D130" s="0">
        <v>0.85999999999999999</v>
      </c>
      <c r="E130" s="0"/>
      <c r="F130" s="0" t="s">
        <v>687</v>
      </c>
      <c r="G130" s="0"/>
      <c r="H130" s="0" t="s">
        <v>1229</v>
      </c>
      <c r="I130" s="0" t="s">
        <v>1712</v>
      </c>
      <c r="J130" s="0"/>
      <c r="K130" s="0" t="s">
        <v>1811</v>
      </c>
      <c r="L130" s="0" t="s">
        <v>1813</v>
      </c>
    </row>
    <row r="131">
      <c r="A131" s="0" t="s">
        <v>44</v>
      </c>
      <c r="B131" s="0" t="s">
        <v>254</v>
      </c>
      <c r="C131" s="0" t="s">
        <v>390</v>
      </c>
      <c r="D131" s="0">
        <v>4.9000000000000004</v>
      </c>
      <c r="E131" s="0"/>
      <c r="F131" s="0" t="s">
        <v>688</v>
      </c>
      <c r="G131" s="0"/>
      <c r="H131" s="0" t="s">
        <v>1230</v>
      </c>
      <c r="I131" s="0" t="s">
        <v>1713</v>
      </c>
      <c r="J131" s="0"/>
      <c r="K131" s="0" t="s">
        <v>1811</v>
      </c>
      <c r="L131" s="0" t="s">
        <v>1813</v>
      </c>
    </row>
    <row r="132">
      <c r="A132" s="0" t="s">
        <v>44</v>
      </c>
      <c r="B132" s="0" t="s">
        <v>254</v>
      </c>
      <c r="C132" s="0" t="s">
        <v>427</v>
      </c>
      <c r="D132" s="0">
        <v>1.1699999999999999</v>
      </c>
      <c r="E132" s="0"/>
      <c r="F132" s="0" t="s">
        <v>613</v>
      </c>
      <c r="G132" s="0"/>
      <c r="H132" s="0" t="s">
        <v>1229</v>
      </c>
      <c r="I132" s="0" t="s">
        <v>1712</v>
      </c>
      <c r="J132" s="0"/>
      <c r="K132" s="0" t="s">
        <v>1811</v>
      </c>
      <c r="L132" s="0" t="s">
        <v>1813</v>
      </c>
    </row>
    <row r="133">
      <c r="A133" s="0" t="s">
        <v>44</v>
      </c>
      <c r="B133" s="0" t="s">
        <v>254</v>
      </c>
      <c r="C133" s="0" t="s">
        <v>390</v>
      </c>
      <c r="D133" s="0">
        <v>7.6399999999999997</v>
      </c>
      <c r="E133" s="0"/>
      <c r="F133" s="0" t="s">
        <v>689</v>
      </c>
      <c r="G133" s="0"/>
      <c r="H133" s="0" t="s">
        <v>1231</v>
      </c>
      <c r="I133" s="0" t="s">
        <v>1713</v>
      </c>
      <c r="J133" s="0"/>
      <c r="K133" s="0" t="s">
        <v>1811</v>
      </c>
      <c r="L133" s="0" t="s">
        <v>1813</v>
      </c>
    </row>
    <row r="134">
      <c r="A134" s="0" t="s">
        <v>44</v>
      </c>
      <c r="B134" s="0" t="s">
        <v>254</v>
      </c>
      <c r="C134" s="0" t="s">
        <v>390</v>
      </c>
      <c r="D134" s="0">
        <v>7.4199999999999999</v>
      </c>
      <c r="E134" s="0"/>
      <c r="F134" s="0" t="s">
        <v>690</v>
      </c>
      <c r="G134" s="0"/>
      <c r="H134" s="0" t="s">
        <v>1232</v>
      </c>
      <c r="I134" s="0" t="s">
        <v>1713</v>
      </c>
      <c r="J134" s="0"/>
      <c r="K134" s="0" t="s">
        <v>1811</v>
      </c>
      <c r="L134" s="0" t="s">
        <v>1813</v>
      </c>
    </row>
    <row r="135">
      <c r="A135" s="0" t="s">
        <v>44</v>
      </c>
      <c r="B135" s="0" t="s">
        <v>290</v>
      </c>
      <c r="C135" s="0" t="s">
        <v>402</v>
      </c>
      <c r="D135" s="0">
        <v>0.078</v>
      </c>
      <c r="E135" s="0"/>
      <c r="F135" s="0" t="s">
        <v>691</v>
      </c>
      <c r="G135" s="0"/>
      <c r="H135" s="0" t="s">
        <v>1233</v>
      </c>
      <c r="I135" s="0" t="s">
        <v>1666</v>
      </c>
      <c r="J135" s="0"/>
      <c r="K135" s="0" t="s">
        <v>1811</v>
      </c>
      <c r="L135" s="0" t="s">
        <v>1813</v>
      </c>
    </row>
    <row r="136">
      <c r="A136" s="0" t="s">
        <v>45</v>
      </c>
      <c r="B136" s="0" t="s">
        <v>291</v>
      </c>
      <c r="C136" s="0" t="s">
        <v>418</v>
      </c>
      <c r="D136" s="0">
        <v>-999</v>
      </c>
      <c r="E136" s="0"/>
      <c r="F136" s="0" t="s">
        <v>673</v>
      </c>
      <c r="G136" s="0"/>
      <c r="H136" s="0" t="s">
        <v>1234</v>
      </c>
      <c r="I136" s="0" t="s">
        <v>1714</v>
      </c>
      <c r="J136" s="0"/>
      <c r="K136" s="0" t="s">
        <v>1811</v>
      </c>
      <c r="L136" s="0" t="s">
        <v>1813</v>
      </c>
    </row>
    <row r="137">
      <c r="A137" s="0" t="s">
        <v>45</v>
      </c>
      <c r="B137" s="0" t="s">
        <v>251</v>
      </c>
      <c r="C137" s="0" t="s">
        <v>428</v>
      </c>
      <c r="D137" s="0">
        <v>0.29999999999999999</v>
      </c>
      <c r="E137" s="0"/>
      <c r="F137" s="0" t="s">
        <v>589</v>
      </c>
      <c r="G137" s="0"/>
      <c r="H137" s="0" t="s">
        <v>1235</v>
      </c>
      <c r="I137" s="0" t="s">
        <v>1715</v>
      </c>
      <c r="J137" s="0"/>
      <c r="K137" s="0" t="s">
        <v>1811</v>
      </c>
      <c r="L137" s="0" t="s">
        <v>1813</v>
      </c>
    </row>
    <row r="138">
      <c r="A138" s="0" t="s">
        <v>45</v>
      </c>
      <c r="B138" s="0" t="s">
        <v>251</v>
      </c>
      <c r="C138" s="0" t="s">
        <v>429</v>
      </c>
      <c r="D138" s="0">
        <v>1.3</v>
      </c>
      <c r="E138" s="0"/>
      <c r="F138" s="0" t="s">
        <v>692</v>
      </c>
      <c r="G138" s="0"/>
      <c r="H138" s="0" t="s">
        <v>1236</v>
      </c>
      <c r="I138" s="0" t="s">
        <v>641</v>
      </c>
      <c r="J138" s="0"/>
      <c r="K138" s="0" t="s">
        <v>1811</v>
      </c>
      <c r="L138" s="0" t="s">
        <v>1813</v>
      </c>
    </row>
    <row r="139">
      <c r="A139" s="0" t="s">
        <v>45</v>
      </c>
      <c r="B139" s="0" t="s">
        <v>251</v>
      </c>
      <c r="C139" s="0" t="s">
        <v>430</v>
      </c>
      <c r="D139" s="0">
        <v>0.12</v>
      </c>
      <c r="E139" s="0"/>
      <c r="F139" s="0" t="s">
        <v>655</v>
      </c>
      <c r="G139" s="0"/>
      <c r="H139" s="0" t="s">
        <v>1235</v>
      </c>
      <c r="I139" s="0" t="s">
        <v>1715</v>
      </c>
      <c r="J139" s="0"/>
      <c r="K139" s="0" t="s">
        <v>1811</v>
      </c>
      <c r="L139" s="0" t="s">
        <v>1813</v>
      </c>
    </row>
    <row r="140">
      <c r="A140" s="0" t="s">
        <v>45</v>
      </c>
      <c r="B140" s="0" t="s">
        <v>251</v>
      </c>
      <c r="C140" s="0" t="s">
        <v>431</v>
      </c>
      <c r="D140" s="0">
        <v>0.22</v>
      </c>
      <c r="E140" s="0"/>
      <c r="F140" s="0" t="s">
        <v>590</v>
      </c>
      <c r="G140" s="0"/>
      <c r="H140" s="0" t="s">
        <v>1237</v>
      </c>
      <c r="I140" s="0" t="s">
        <v>1715</v>
      </c>
      <c r="J140" s="0"/>
      <c r="K140" s="0" t="s">
        <v>1811</v>
      </c>
      <c r="L140" s="0" t="s">
        <v>1813</v>
      </c>
    </row>
    <row r="141">
      <c r="A141" s="0" t="s">
        <v>45</v>
      </c>
      <c r="B141" s="0" t="s">
        <v>251</v>
      </c>
      <c r="C141" s="0" t="s">
        <v>432</v>
      </c>
      <c r="D141" s="0">
        <v>0.73999999999999999</v>
      </c>
      <c r="E141" s="0"/>
      <c r="F141" s="0" t="s">
        <v>693</v>
      </c>
      <c r="G141" s="0"/>
      <c r="H141" s="0" t="s">
        <v>1237</v>
      </c>
      <c r="I141" s="0" t="s">
        <v>1715</v>
      </c>
      <c r="J141" s="0"/>
      <c r="K141" s="0" t="s">
        <v>1811</v>
      </c>
      <c r="L141" s="0" t="s">
        <v>1813</v>
      </c>
    </row>
    <row r="142">
      <c r="A142" s="0" t="s">
        <v>45</v>
      </c>
      <c r="B142" s="0" t="s">
        <v>251</v>
      </c>
      <c r="C142" s="0" t="s">
        <v>132</v>
      </c>
      <c r="D142" s="0">
        <v>10</v>
      </c>
      <c r="E142" s="0"/>
      <c r="F142" s="0" t="s">
        <v>694</v>
      </c>
      <c r="G142" s="0"/>
      <c r="H142" s="0"/>
      <c r="I142" s="0" t="s">
        <v>640</v>
      </c>
      <c r="J142" s="0"/>
      <c r="K142" s="0" t="s">
        <v>1811</v>
      </c>
      <c r="L142" s="0" t="s">
        <v>1813</v>
      </c>
    </row>
    <row r="143">
      <c r="A143" s="0" t="s">
        <v>45</v>
      </c>
      <c r="B143" s="0" t="s">
        <v>251</v>
      </c>
      <c r="C143" s="0" t="s">
        <v>433</v>
      </c>
      <c r="D143" s="0">
        <v>0.23000000000000001</v>
      </c>
      <c r="E143" s="0"/>
      <c r="F143" s="0" t="s">
        <v>695</v>
      </c>
      <c r="G143" s="0"/>
      <c r="H143" s="0" t="s">
        <v>1237</v>
      </c>
      <c r="I143" s="0" t="s">
        <v>1715</v>
      </c>
      <c r="J143" s="0"/>
      <c r="K143" s="0" t="s">
        <v>1811</v>
      </c>
      <c r="L143" s="0" t="s">
        <v>1813</v>
      </c>
    </row>
    <row r="144">
      <c r="A144" s="0" t="s">
        <v>45</v>
      </c>
      <c r="B144" s="0" t="s">
        <v>251</v>
      </c>
      <c r="C144" s="0" t="s">
        <v>434</v>
      </c>
      <c r="D144" s="0">
        <v>0.074999999999999997</v>
      </c>
      <c r="E144" s="0"/>
      <c r="F144" s="0" t="s">
        <v>696</v>
      </c>
      <c r="G144" s="0"/>
      <c r="H144" s="0" t="s">
        <v>1237</v>
      </c>
      <c r="I144" s="0" t="s">
        <v>1715</v>
      </c>
      <c r="J144" s="0"/>
      <c r="K144" s="0" t="s">
        <v>1811</v>
      </c>
      <c r="L144" s="0" t="s">
        <v>1813</v>
      </c>
    </row>
    <row r="145">
      <c r="A145" s="0" t="s">
        <v>45</v>
      </c>
      <c r="B145" s="0" t="s">
        <v>251</v>
      </c>
      <c r="C145" s="0" t="s">
        <v>429</v>
      </c>
      <c r="D145" s="0">
        <v>1.25</v>
      </c>
      <c r="E145" s="0"/>
      <c r="F145" s="0" t="s">
        <v>697</v>
      </c>
      <c r="G145" s="0"/>
      <c r="H145" s="0" t="s">
        <v>1238</v>
      </c>
      <c r="I145" s="0" t="s">
        <v>637</v>
      </c>
      <c r="J145" s="0"/>
      <c r="K145" s="0" t="s">
        <v>1811</v>
      </c>
      <c r="L145" s="0" t="s">
        <v>1813</v>
      </c>
    </row>
    <row r="146">
      <c r="A146" s="0" t="s">
        <v>45</v>
      </c>
      <c r="B146" s="0" t="s">
        <v>251</v>
      </c>
      <c r="C146" s="0" t="s">
        <v>435</v>
      </c>
      <c r="D146" s="0">
        <v>0.39800000000000002</v>
      </c>
      <c r="E146" s="0"/>
      <c r="F146" s="0" t="s">
        <v>698</v>
      </c>
      <c r="G146" s="0"/>
      <c r="H146" s="0" t="s">
        <v>1239</v>
      </c>
      <c r="I146" s="0" t="s">
        <v>1716</v>
      </c>
      <c r="J146" s="0"/>
      <c r="K146" s="0" t="s">
        <v>1811</v>
      </c>
      <c r="L146" s="0" t="s">
        <v>1813</v>
      </c>
    </row>
    <row r="147">
      <c r="A147" s="0" t="s">
        <v>45</v>
      </c>
      <c r="B147" s="0" t="s">
        <v>251</v>
      </c>
      <c r="C147" s="0" t="s">
        <v>436</v>
      </c>
      <c r="D147" s="0">
        <v>0.30099999999999999</v>
      </c>
      <c r="E147" s="0"/>
      <c r="F147" s="0" t="s">
        <v>699</v>
      </c>
      <c r="G147" s="0"/>
      <c r="H147" s="0" t="s">
        <v>1240</v>
      </c>
      <c r="I147" s="0" t="s">
        <v>1716</v>
      </c>
      <c r="J147" s="0"/>
      <c r="K147" s="0" t="s">
        <v>1811</v>
      </c>
      <c r="L147" s="0" t="s">
        <v>1813</v>
      </c>
    </row>
    <row r="148">
      <c r="A148" s="0" t="s">
        <v>45</v>
      </c>
      <c r="B148" s="0" t="s">
        <v>251</v>
      </c>
      <c r="C148" s="0" t="s">
        <v>437</v>
      </c>
      <c r="D148" s="0">
        <v>0.68700000000000006</v>
      </c>
      <c r="E148" s="0"/>
      <c r="F148" s="0" t="s">
        <v>700</v>
      </c>
      <c r="G148" s="0"/>
      <c r="H148" s="0" t="s">
        <v>1239</v>
      </c>
      <c r="I148" s="0" t="s">
        <v>1716</v>
      </c>
      <c r="J148" s="0"/>
      <c r="K148" s="0" t="s">
        <v>1811</v>
      </c>
      <c r="L148" s="0" t="s">
        <v>1813</v>
      </c>
    </row>
    <row r="149">
      <c r="A149" s="0" t="s">
        <v>45</v>
      </c>
      <c r="B149" s="0" t="s">
        <v>252</v>
      </c>
      <c r="C149" s="0" t="s">
        <v>438</v>
      </c>
      <c r="D149" s="0">
        <v>0.20000000000000001</v>
      </c>
      <c r="E149" s="0"/>
      <c r="F149" s="0" t="s">
        <v>583</v>
      </c>
      <c r="G149" s="0"/>
      <c r="H149" s="0" t="s">
        <v>1241</v>
      </c>
      <c r="I149" s="0" t="s">
        <v>1679</v>
      </c>
      <c r="J149" s="0"/>
      <c r="K149" s="0" t="s">
        <v>1811</v>
      </c>
      <c r="L149" s="0" t="s">
        <v>1813</v>
      </c>
    </row>
    <row r="150">
      <c r="A150" s="0" t="s">
        <v>45</v>
      </c>
      <c r="B150" s="0" t="s">
        <v>292</v>
      </c>
      <c r="C150" s="0" t="s">
        <v>439</v>
      </c>
      <c r="D150" s="0">
        <v>2.8999999999999999</v>
      </c>
      <c r="E150" s="0"/>
      <c r="F150" s="0" t="s">
        <v>701</v>
      </c>
      <c r="G150" s="0"/>
      <c r="H150" s="0" t="s">
        <v>1242</v>
      </c>
      <c r="I150" s="0" t="s">
        <v>643</v>
      </c>
      <c r="J150" s="0"/>
      <c r="K150" s="0" t="s">
        <v>1811</v>
      </c>
      <c r="L150" s="0" t="s">
        <v>1813</v>
      </c>
    </row>
    <row r="151">
      <c r="A151" s="0" t="s">
        <v>45</v>
      </c>
      <c r="B151" s="0" t="s">
        <v>293</v>
      </c>
      <c r="C151" s="0" t="s">
        <v>440</v>
      </c>
      <c r="D151" s="0">
        <v>0.17999999999999999</v>
      </c>
      <c r="E151" s="0"/>
      <c r="F151" s="0" t="s">
        <v>702</v>
      </c>
      <c r="G151" s="0"/>
      <c r="H151" s="0" t="s">
        <v>1243</v>
      </c>
      <c r="I151" s="0" t="s">
        <v>623</v>
      </c>
      <c r="J151" s="0"/>
      <c r="K151" s="0" t="s">
        <v>1811</v>
      </c>
      <c r="L151" s="0" t="s">
        <v>1813</v>
      </c>
    </row>
    <row r="152">
      <c r="A152" s="0" t="s">
        <v>45</v>
      </c>
      <c r="B152" s="0" t="s">
        <v>293</v>
      </c>
      <c r="C152" s="0" t="s">
        <v>429</v>
      </c>
      <c r="D152" s="0">
        <v>0.31</v>
      </c>
      <c r="E152" s="0"/>
      <c r="F152" s="0" t="s">
        <v>675</v>
      </c>
      <c r="G152" s="0"/>
      <c r="H152" s="0" t="s">
        <v>1244</v>
      </c>
      <c r="I152" s="0" t="s">
        <v>623</v>
      </c>
      <c r="J152" s="0"/>
      <c r="K152" s="0" t="s">
        <v>1811</v>
      </c>
      <c r="L152" s="0" t="s">
        <v>1813</v>
      </c>
    </row>
    <row r="153">
      <c r="A153" s="0" t="s">
        <v>45</v>
      </c>
      <c r="B153" s="0" t="s">
        <v>293</v>
      </c>
      <c r="C153" s="0" t="s">
        <v>429</v>
      </c>
      <c r="D153" s="0">
        <v>0.40000000000000002</v>
      </c>
      <c r="E153" s="0"/>
      <c r="F153" s="0" t="s">
        <v>703</v>
      </c>
      <c r="G153" s="0"/>
      <c r="H153" s="0" t="s">
        <v>1243</v>
      </c>
      <c r="I153" s="0" t="s">
        <v>623</v>
      </c>
      <c r="J153" s="0"/>
      <c r="K153" s="0" t="s">
        <v>1811</v>
      </c>
      <c r="L153" s="0" t="s">
        <v>1813</v>
      </c>
    </row>
    <row r="154">
      <c r="A154" s="0" t="s">
        <v>45</v>
      </c>
      <c r="B154" s="0" t="s">
        <v>293</v>
      </c>
      <c r="C154" s="0" t="s">
        <v>441</v>
      </c>
      <c r="D154" s="0">
        <v>10</v>
      </c>
      <c r="E154" s="0"/>
      <c r="F154" s="0" t="s">
        <v>694</v>
      </c>
      <c r="G154" s="0"/>
      <c r="H154" s="0" t="s">
        <v>1244</v>
      </c>
      <c r="I154" s="0" t="s">
        <v>623</v>
      </c>
      <c r="J154" s="0"/>
      <c r="K154" s="0" t="s">
        <v>1811</v>
      </c>
      <c r="L154" s="0" t="s">
        <v>1813</v>
      </c>
    </row>
    <row r="155">
      <c r="A155" s="0" t="s">
        <v>45</v>
      </c>
      <c r="B155" s="0" t="s">
        <v>293</v>
      </c>
      <c r="C155" s="0" t="s">
        <v>440</v>
      </c>
      <c r="D155" s="0">
        <v>0.033000000000000002</v>
      </c>
      <c r="E155" s="0"/>
      <c r="F155" s="0" t="s">
        <v>704</v>
      </c>
      <c r="G155" s="0"/>
      <c r="H155" s="0" t="s">
        <v>1244</v>
      </c>
      <c r="I155" s="0" t="s">
        <v>623</v>
      </c>
      <c r="J155" s="0"/>
      <c r="K155" s="0" t="s">
        <v>1811</v>
      </c>
      <c r="L155" s="0" t="s">
        <v>1813</v>
      </c>
    </row>
    <row r="156">
      <c r="A156" s="0" t="s">
        <v>45</v>
      </c>
      <c r="B156" s="0" t="s">
        <v>293</v>
      </c>
      <c r="C156" s="0" t="s">
        <v>442</v>
      </c>
      <c r="D156" s="0">
        <v>32</v>
      </c>
      <c r="E156" s="0"/>
      <c r="F156" s="0" t="s">
        <v>705</v>
      </c>
      <c r="G156" s="0"/>
      <c r="H156" s="0"/>
      <c r="I156" s="0" t="s">
        <v>623</v>
      </c>
      <c r="J156" s="0"/>
      <c r="K156" s="0" t="s">
        <v>1811</v>
      </c>
      <c r="L156" s="0" t="s">
        <v>1813</v>
      </c>
    </row>
    <row r="157">
      <c r="A157" s="0" t="s">
        <v>45</v>
      </c>
      <c r="B157" s="0" t="s">
        <v>294</v>
      </c>
      <c r="C157" s="0" t="s">
        <v>443</v>
      </c>
      <c r="D157" s="0">
        <v>0.029999999999999999</v>
      </c>
      <c r="E157" s="0"/>
      <c r="F157" s="0" t="s">
        <v>579</v>
      </c>
      <c r="G157" s="0"/>
      <c r="H157" s="0"/>
      <c r="I157" s="0" t="s">
        <v>1685</v>
      </c>
      <c r="J157" s="0"/>
      <c r="K157" s="0" t="s">
        <v>1811</v>
      </c>
      <c r="L157" s="0" t="s">
        <v>1813</v>
      </c>
    </row>
    <row r="158">
      <c r="A158" s="0" t="s">
        <v>45</v>
      </c>
      <c r="B158" s="0" t="s">
        <v>294</v>
      </c>
      <c r="C158" s="0" t="s">
        <v>132</v>
      </c>
      <c r="D158" s="0">
        <v>1.28</v>
      </c>
      <c r="E158" s="0"/>
      <c r="F158" s="0" t="s">
        <v>706</v>
      </c>
      <c r="G158" s="0"/>
      <c r="H158" s="0"/>
      <c r="I158" s="0" t="s">
        <v>1685</v>
      </c>
      <c r="J158" s="0"/>
      <c r="K158" s="0" t="s">
        <v>1811</v>
      </c>
      <c r="L158" s="0" t="s">
        <v>1813</v>
      </c>
    </row>
    <row r="159">
      <c r="A159" s="0" t="s">
        <v>45</v>
      </c>
      <c r="B159" s="0" t="s">
        <v>263</v>
      </c>
      <c r="C159" s="0" t="s">
        <v>432</v>
      </c>
      <c r="D159" s="0">
        <v>0.089999999999999997</v>
      </c>
      <c r="E159" s="0"/>
      <c r="F159" s="0" t="s">
        <v>707</v>
      </c>
      <c r="G159" s="0"/>
      <c r="H159" s="0" t="s">
        <v>1245</v>
      </c>
      <c r="I159" s="0" t="s">
        <v>1717</v>
      </c>
      <c r="J159" s="0"/>
      <c r="K159" s="0" t="s">
        <v>1811</v>
      </c>
      <c r="L159" s="0" t="s">
        <v>1813</v>
      </c>
    </row>
    <row r="160">
      <c r="A160" s="0" t="s">
        <v>45</v>
      </c>
      <c r="B160" s="0" t="s">
        <v>263</v>
      </c>
      <c r="C160" s="0" t="s">
        <v>432</v>
      </c>
      <c r="D160" s="0">
        <v>0.070000000000000007</v>
      </c>
      <c r="E160" s="0"/>
      <c r="F160" s="0" t="s">
        <v>582</v>
      </c>
      <c r="G160" s="0"/>
      <c r="H160" s="0" t="s">
        <v>1246</v>
      </c>
      <c r="I160" s="0" t="s">
        <v>1717</v>
      </c>
      <c r="J160" s="0"/>
      <c r="K160" s="0" t="s">
        <v>1811</v>
      </c>
      <c r="L160" s="0" t="s">
        <v>1813</v>
      </c>
    </row>
    <row r="161">
      <c r="A161" s="0" t="s">
        <v>45</v>
      </c>
      <c r="B161" s="0" t="s">
        <v>263</v>
      </c>
      <c r="C161" s="0" t="s">
        <v>432</v>
      </c>
      <c r="D161" s="0">
        <v>0.11</v>
      </c>
      <c r="E161" s="0"/>
      <c r="F161" s="0" t="s">
        <v>654</v>
      </c>
      <c r="G161" s="0"/>
      <c r="H161" s="0" t="s">
        <v>1247</v>
      </c>
      <c r="I161" s="0" t="s">
        <v>1717</v>
      </c>
      <c r="J161" s="0"/>
      <c r="K161" s="0" t="s">
        <v>1811</v>
      </c>
      <c r="L161" s="0" t="s">
        <v>1813</v>
      </c>
    </row>
    <row r="162">
      <c r="A162" s="0" t="s">
        <v>45</v>
      </c>
      <c r="B162" s="0" t="s">
        <v>263</v>
      </c>
      <c r="C162" s="0" t="s">
        <v>432</v>
      </c>
      <c r="D162" s="0">
        <v>0.25</v>
      </c>
      <c r="E162" s="0"/>
      <c r="F162" s="0" t="s">
        <v>708</v>
      </c>
      <c r="G162" s="0"/>
      <c r="H162" s="0" t="s">
        <v>1248</v>
      </c>
      <c r="I162" s="0" t="s">
        <v>1718</v>
      </c>
      <c r="J162" s="0"/>
      <c r="K162" s="0" t="s">
        <v>1811</v>
      </c>
      <c r="L162" s="0" t="s">
        <v>1813</v>
      </c>
    </row>
    <row r="163">
      <c r="A163" s="0" t="s">
        <v>45</v>
      </c>
      <c r="B163" s="0" t="s">
        <v>263</v>
      </c>
      <c r="C163" s="0" t="s">
        <v>432</v>
      </c>
      <c r="D163" s="0">
        <v>0.22</v>
      </c>
      <c r="E163" s="0"/>
      <c r="F163" s="0" t="s">
        <v>590</v>
      </c>
      <c r="G163" s="0"/>
      <c r="H163" s="0" t="s">
        <v>1249</v>
      </c>
      <c r="I163" s="0" t="s">
        <v>1718</v>
      </c>
      <c r="J163" s="0"/>
      <c r="K163" s="0" t="s">
        <v>1811</v>
      </c>
      <c r="L163" s="0" t="s">
        <v>1813</v>
      </c>
    </row>
    <row r="164">
      <c r="A164" s="0" t="s">
        <v>45</v>
      </c>
      <c r="B164" s="0" t="s">
        <v>263</v>
      </c>
      <c r="C164" s="0" t="s">
        <v>432</v>
      </c>
      <c r="D164" s="0">
        <v>5.2000000000000002</v>
      </c>
      <c r="E164" s="0"/>
      <c r="F164" s="0" t="s">
        <v>709</v>
      </c>
      <c r="G164" s="0"/>
      <c r="H164" s="0" t="s">
        <v>1250</v>
      </c>
      <c r="I164" s="0" t="s">
        <v>1718</v>
      </c>
      <c r="J164" s="0"/>
      <c r="K164" s="0" t="s">
        <v>1811</v>
      </c>
      <c r="L164" s="0" t="s">
        <v>1813</v>
      </c>
    </row>
    <row r="165">
      <c r="A165" s="0" t="s">
        <v>45</v>
      </c>
      <c r="B165" s="0" t="s">
        <v>295</v>
      </c>
      <c r="C165" s="0" t="s">
        <v>429</v>
      </c>
      <c r="D165" s="0">
        <v>1.7</v>
      </c>
      <c r="E165" s="0"/>
      <c r="F165" s="0" t="s">
        <v>652</v>
      </c>
      <c r="G165" s="0"/>
      <c r="H165" s="0" t="s">
        <v>1251</v>
      </c>
      <c r="I165" s="0" t="s">
        <v>1719</v>
      </c>
      <c r="J165" s="0"/>
      <c r="K165" s="0" t="s">
        <v>1811</v>
      </c>
      <c r="L165" s="0" t="s">
        <v>1813</v>
      </c>
    </row>
    <row r="166">
      <c r="A166" s="0" t="s">
        <v>45</v>
      </c>
      <c r="B166" s="0" t="s">
        <v>295</v>
      </c>
      <c r="C166" s="0" t="s">
        <v>440</v>
      </c>
      <c r="D166" s="0">
        <v>0.089999999999999997</v>
      </c>
      <c r="E166" s="0"/>
      <c r="F166" s="0" t="s">
        <v>707</v>
      </c>
      <c r="G166" s="0"/>
      <c r="H166" s="0" t="s">
        <v>1252</v>
      </c>
      <c r="I166" s="0" t="s">
        <v>1719</v>
      </c>
      <c r="J166" s="0"/>
      <c r="K166" s="0" t="s">
        <v>1811</v>
      </c>
      <c r="L166" s="0" t="s">
        <v>1813</v>
      </c>
    </row>
    <row r="167">
      <c r="A167" s="0" t="s">
        <v>45</v>
      </c>
      <c r="B167" s="0" t="s">
        <v>295</v>
      </c>
      <c r="C167" s="0" t="s">
        <v>440</v>
      </c>
      <c r="D167" s="0">
        <v>0.11</v>
      </c>
      <c r="E167" s="0"/>
      <c r="F167" s="0" t="s">
        <v>654</v>
      </c>
      <c r="G167" s="0"/>
      <c r="H167" s="0" t="s">
        <v>1253</v>
      </c>
      <c r="I167" s="0" t="s">
        <v>1719</v>
      </c>
      <c r="J167" s="0"/>
      <c r="K167" s="0" t="s">
        <v>1811</v>
      </c>
      <c r="L167" s="0" t="s">
        <v>1813</v>
      </c>
    </row>
    <row r="168">
      <c r="A168" s="0" t="s">
        <v>45</v>
      </c>
      <c r="B168" s="0" t="s">
        <v>296</v>
      </c>
      <c r="C168" s="0" t="s">
        <v>438</v>
      </c>
      <c r="D168" s="0">
        <v>0.214</v>
      </c>
      <c r="E168" s="0"/>
      <c r="F168" s="0" t="s">
        <v>710</v>
      </c>
      <c r="G168" s="0"/>
      <c r="H168" s="0" t="s">
        <v>1254</v>
      </c>
      <c r="I168" s="0" t="s">
        <v>1667</v>
      </c>
      <c r="J168" s="0"/>
      <c r="K168" s="0" t="s">
        <v>1811</v>
      </c>
      <c r="L168" s="0" t="s">
        <v>1813</v>
      </c>
    </row>
    <row r="169">
      <c r="A169" s="0" t="s">
        <v>45</v>
      </c>
      <c r="B169" s="0" t="s">
        <v>297</v>
      </c>
      <c r="C169" s="0" t="s">
        <v>444</v>
      </c>
      <c r="D169" s="0">
        <v>2.5</v>
      </c>
      <c r="E169" s="0"/>
      <c r="F169" s="0" t="s">
        <v>639</v>
      </c>
      <c r="G169" s="0"/>
      <c r="H169" s="0" t="s">
        <v>1255</v>
      </c>
      <c r="I169" s="0" t="s">
        <v>1720</v>
      </c>
      <c r="J169" s="0"/>
      <c r="K169" s="0" t="s">
        <v>1811</v>
      </c>
      <c r="L169" s="0" t="s">
        <v>1813</v>
      </c>
    </row>
    <row r="170">
      <c r="A170" s="0" t="s">
        <v>45</v>
      </c>
      <c r="B170" s="0" t="s">
        <v>297</v>
      </c>
      <c r="C170" s="0" t="s">
        <v>432</v>
      </c>
      <c r="D170" s="0">
        <v>0.0109</v>
      </c>
      <c r="E170" s="0"/>
      <c r="F170" s="0" t="s">
        <v>711</v>
      </c>
      <c r="G170" s="0"/>
      <c r="H170" s="0" t="s">
        <v>1256</v>
      </c>
      <c r="I170" s="0" t="s">
        <v>1720</v>
      </c>
      <c r="J170" s="0"/>
      <c r="K170" s="0" t="s">
        <v>1811</v>
      </c>
      <c r="L170" s="0" t="s">
        <v>1813</v>
      </c>
    </row>
    <row r="171">
      <c r="A171" s="0" t="s">
        <v>45</v>
      </c>
      <c r="B171" s="0" t="s">
        <v>276</v>
      </c>
      <c r="C171" s="0" t="s">
        <v>432</v>
      </c>
      <c r="D171" s="0">
        <v>0.072999999999999996</v>
      </c>
      <c r="E171" s="0"/>
      <c r="F171" s="0" t="s">
        <v>712</v>
      </c>
      <c r="G171" s="0"/>
      <c r="H171" s="0" t="s">
        <v>1257</v>
      </c>
      <c r="I171" s="0" t="s">
        <v>1721</v>
      </c>
      <c r="J171" s="0"/>
      <c r="K171" s="0" t="s">
        <v>1811</v>
      </c>
      <c r="L171" s="0" t="s">
        <v>1813</v>
      </c>
    </row>
    <row r="172">
      <c r="A172" s="0" t="s">
        <v>45</v>
      </c>
      <c r="B172" s="0" t="s">
        <v>298</v>
      </c>
      <c r="C172" s="0" t="s">
        <v>445</v>
      </c>
      <c r="D172" s="0">
        <v>0.40999999999999998</v>
      </c>
      <c r="E172" s="0"/>
      <c r="F172" s="0" t="s">
        <v>648</v>
      </c>
      <c r="G172" s="0"/>
      <c r="H172" s="0" t="s">
        <v>1258</v>
      </c>
      <c r="I172" s="0" t="s">
        <v>1722</v>
      </c>
      <c r="J172" s="0"/>
      <c r="K172" s="0" t="s">
        <v>1811</v>
      </c>
      <c r="L172" s="0" t="s">
        <v>1813</v>
      </c>
    </row>
    <row r="173">
      <c r="A173" s="0" t="s">
        <v>45</v>
      </c>
      <c r="B173" s="0" t="s">
        <v>298</v>
      </c>
      <c r="C173" s="0" t="s">
        <v>446</v>
      </c>
      <c r="D173" s="0">
        <v>0.59999999999999998</v>
      </c>
      <c r="E173" s="0"/>
      <c r="F173" s="0" t="s">
        <v>598</v>
      </c>
      <c r="G173" s="0"/>
      <c r="H173" s="0" t="s">
        <v>1259</v>
      </c>
      <c r="I173" s="0" t="s">
        <v>1722</v>
      </c>
      <c r="J173" s="0"/>
      <c r="K173" s="0" t="s">
        <v>1811</v>
      </c>
      <c r="L173" s="0" t="s">
        <v>1813</v>
      </c>
    </row>
    <row r="174">
      <c r="A174" s="0" t="s">
        <v>45</v>
      </c>
      <c r="B174" s="0" t="s">
        <v>298</v>
      </c>
      <c r="C174" s="0" t="s">
        <v>445</v>
      </c>
      <c r="D174" s="0">
        <v>0.20999999999999999</v>
      </c>
      <c r="E174" s="0"/>
      <c r="F174" s="0" t="s">
        <v>713</v>
      </c>
      <c r="G174" s="0"/>
      <c r="H174" s="0" t="s">
        <v>1260</v>
      </c>
      <c r="I174" s="0" t="s">
        <v>1722</v>
      </c>
      <c r="J174" s="0"/>
      <c r="K174" s="0" t="s">
        <v>1811</v>
      </c>
      <c r="L174" s="0" t="s">
        <v>1813</v>
      </c>
    </row>
    <row r="175">
      <c r="A175" s="0" t="s">
        <v>45</v>
      </c>
      <c r="B175" s="0" t="s">
        <v>298</v>
      </c>
      <c r="C175" s="0" t="s">
        <v>446</v>
      </c>
      <c r="D175" s="0">
        <v>0.032000000000000001</v>
      </c>
      <c r="E175" s="0"/>
      <c r="F175" s="0" t="s">
        <v>714</v>
      </c>
      <c r="G175" s="0"/>
      <c r="H175" s="0" t="s">
        <v>1261</v>
      </c>
      <c r="I175" s="0" t="s">
        <v>1722</v>
      </c>
      <c r="J175" s="0"/>
      <c r="K175" s="0" t="s">
        <v>1811</v>
      </c>
      <c r="L175" s="0" t="s">
        <v>1813</v>
      </c>
    </row>
    <row r="176">
      <c r="A176" s="0" t="s">
        <v>45</v>
      </c>
      <c r="B176" s="0" t="s">
        <v>298</v>
      </c>
      <c r="C176" s="0" t="s">
        <v>447</v>
      </c>
      <c r="D176" s="0">
        <v>0.037999999999999999</v>
      </c>
      <c r="E176" s="0"/>
      <c r="F176" s="0" t="s">
        <v>575</v>
      </c>
      <c r="G176" s="0"/>
      <c r="H176" s="0" t="s">
        <v>1260</v>
      </c>
      <c r="I176" s="0" t="s">
        <v>1722</v>
      </c>
      <c r="J176" s="0"/>
      <c r="K176" s="0" t="s">
        <v>1811</v>
      </c>
      <c r="L176" s="0" t="s">
        <v>1813</v>
      </c>
    </row>
    <row r="177">
      <c r="A177" s="0" t="s">
        <v>45</v>
      </c>
      <c r="B177" s="0" t="s">
        <v>298</v>
      </c>
      <c r="C177" s="0" t="s">
        <v>448</v>
      </c>
      <c r="D177" s="0">
        <v>0.037999999999999999</v>
      </c>
      <c r="E177" s="0"/>
      <c r="F177" s="0" t="s">
        <v>575</v>
      </c>
      <c r="G177" s="0"/>
      <c r="H177" s="0" t="s">
        <v>1262</v>
      </c>
      <c r="I177" s="0" t="s">
        <v>1722</v>
      </c>
      <c r="J177" s="0"/>
      <c r="K177" s="0" t="s">
        <v>1811</v>
      </c>
      <c r="L177" s="0" t="s">
        <v>1813</v>
      </c>
    </row>
    <row r="178">
      <c r="A178" s="0" t="s">
        <v>45</v>
      </c>
      <c r="B178" s="0" t="s">
        <v>298</v>
      </c>
      <c r="C178" s="0" t="s">
        <v>446</v>
      </c>
      <c r="D178" s="0">
        <v>0.042000000000000003</v>
      </c>
      <c r="E178" s="0"/>
      <c r="F178" s="0" t="s">
        <v>715</v>
      </c>
      <c r="G178" s="0"/>
      <c r="H178" s="0" t="s">
        <v>1263</v>
      </c>
      <c r="I178" s="0" t="s">
        <v>1722</v>
      </c>
      <c r="J178" s="0"/>
      <c r="K178" s="0" t="s">
        <v>1811</v>
      </c>
      <c r="L178" s="0" t="s">
        <v>1813</v>
      </c>
    </row>
    <row r="179">
      <c r="A179" s="0" t="s">
        <v>45</v>
      </c>
      <c r="B179" s="0" t="s">
        <v>298</v>
      </c>
      <c r="C179" s="0" t="s">
        <v>447</v>
      </c>
      <c r="D179" s="0">
        <v>0.042000000000000003</v>
      </c>
      <c r="E179" s="0"/>
      <c r="F179" s="0" t="s">
        <v>715</v>
      </c>
      <c r="G179" s="0"/>
      <c r="H179" s="0" t="s">
        <v>1264</v>
      </c>
      <c r="I179" s="0" t="s">
        <v>1722</v>
      </c>
      <c r="J179" s="0"/>
      <c r="K179" s="0" t="s">
        <v>1811</v>
      </c>
      <c r="L179" s="0" t="s">
        <v>1813</v>
      </c>
    </row>
    <row r="180">
      <c r="A180" s="0" t="s">
        <v>45</v>
      </c>
      <c r="B180" s="0" t="s">
        <v>298</v>
      </c>
      <c r="C180" s="0" t="s">
        <v>445</v>
      </c>
      <c r="D180" s="0">
        <v>0.22</v>
      </c>
      <c r="E180" s="0"/>
      <c r="F180" s="0" t="s">
        <v>590</v>
      </c>
      <c r="G180" s="0"/>
      <c r="H180" s="0" t="s">
        <v>1264</v>
      </c>
      <c r="I180" s="0" t="s">
        <v>1722</v>
      </c>
      <c r="J180" s="0"/>
      <c r="K180" s="0" t="s">
        <v>1811</v>
      </c>
      <c r="L180" s="0" t="s">
        <v>1813</v>
      </c>
    </row>
    <row r="181">
      <c r="A181" s="0" t="s">
        <v>45</v>
      </c>
      <c r="B181" s="0" t="s">
        <v>298</v>
      </c>
      <c r="C181" s="0" t="s">
        <v>448</v>
      </c>
      <c r="D181" s="0">
        <v>2.3999999999999999</v>
      </c>
      <c r="E181" s="0"/>
      <c r="F181" s="0" t="s">
        <v>716</v>
      </c>
      <c r="G181" s="0"/>
      <c r="H181" s="0" t="s">
        <v>1265</v>
      </c>
      <c r="I181" s="0" t="s">
        <v>1722</v>
      </c>
      <c r="J181" s="0"/>
      <c r="K181" s="0" t="s">
        <v>1811</v>
      </c>
      <c r="L181" s="0" t="s">
        <v>1813</v>
      </c>
    </row>
    <row r="182">
      <c r="A182" s="0" t="s">
        <v>45</v>
      </c>
      <c r="B182" s="0" t="s">
        <v>298</v>
      </c>
      <c r="C182" s="0" t="s">
        <v>432</v>
      </c>
      <c r="D182" s="0">
        <v>4.2999999999999998</v>
      </c>
      <c r="E182" s="0"/>
      <c r="F182" s="0" t="s">
        <v>717</v>
      </c>
      <c r="G182" s="0"/>
      <c r="H182" s="0" t="s">
        <v>1266</v>
      </c>
      <c r="I182" s="0" t="s">
        <v>1722</v>
      </c>
      <c r="J182" s="0"/>
      <c r="K182" s="0" t="s">
        <v>1811</v>
      </c>
      <c r="L182" s="0" t="s">
        <v>1813</v>
      </c>
    </row>
    <row r="183">
      <c r="A183" s="0" t="s">
        <v>45</v>
      </c>
      <c r="B183" s="0" t="s">
        <v>298</v>
      </c>
      <c r="C183" s="0" t="s">
        <v>432</v>
      </c>
      <c r="D183" s="0">
        <v>0.045999999999999999</v>
      </c>
      <c r="E183" s="0"/>
      <c r="F183" s="0" t="s">
        <v>718</v>
      </c>
      <c r="G183" s="0"/>
      <c r="H183" s="0" t="s">
        <v>1267</v>
      </c>
      <c r="I183" s="0" t="s">
        <v>1722</v>
      </c>
      <c r="J183" s="0"/>
      <c r="K183" s="0" t="s">
        <v>1811</v>
      </c>
      <c r="L183" s="0" t="s">
        <v>1813</v>
      </c>
    </row>
    <row r="184">
      <c r="A184" s="0" t="s">
        <v>45</v>
      </c>
      <c r="B184" s="0" t="s">
        <v>298</v>
      </c>
      <c r="C184" s="0" t="s">
        <v>448</v>
      </c>
      <c r="D184" s="0">
        <v>0.045999999999999999</v>
      </c>
      <c r="E184" s="0"/>
      <c r="F184" s="0" t="s">
        <v>718</v>
      </c>
      <c r="G184" s="0"/>
      <c r="H184" s="0" t="s">
        <v>1268</v>
      </c>
      <c r="I184" s="0" t="s">
        <v>1722</v>
      </c>
      <c r="J184" s="0"/>
      <c r="K184" s="0" t="s">
        <v>1811</v>
      </c>
      <c r="L184" s="0" t="s">
        <v>1813</v>
      </c>
    </row>
    <row r="185">
      <c r="A185" s="0" t="s">
        <v>45</v>
      </c>
      <c r="B185" s="0" t="s">
        <v>298</v>
      </c>
      <c r="C185" s="0" t="s">
        <v>447</v>
      </c>
      <c r="D185" s="0">
        <v>0.39000000000000001</v>
      </c>
      <c r="E185" s="0"/>
      <c r="F185" s="0" t="s">
        <v>719</v>
      </c>
      <c r="G185" s="0"/>
      <c r="H185" s="0" t="s">
        <v>1269</v>
      </c>
      <c r="I185" s="0" t="s">
        <v>1722</v>
      </c>
      <c r="J185" s="0"/>
      <c r="K185" s="0" t="s">
        <v>1811</v>
      </c>
      <c r="L185" s="0" t="s">
        <v>1813</v>
      </c>
    </row>
    <row r="186">
      <c r="A186" s="0" t="s">
        <v>45</v>
      </c>
      <c r="B186" s="0" t="s">
        <v>298</v>
      </c>
      <c r="C186" s="0" t="s">
        <v>445</v>
      </c>
      <c r="D186" s="0">
        <v>0.46999999999999997</v>
      </c>
      <c r="E186" s="0"/>
      <c r="F186" s="0" t="s">
        <v>686</v>
      </c>
      <c r="G186" s="0"/>
      <c r="H186" s="0" t="s">
        <v>1270</v>
      </c>
      <c r="I186" s="0" t="s">
        <v>1722</v>
      </c>
      <c r="J186" s="0"/>
      <c r="K186" s="0" t="s">
        <v>1811</v>
      </c>
      <c r="L186" s="0" t="s">
        <v>1813</v>
      </c>
    </row>
    <row r="187">
      <c r="A187" s="0" t="s">
        <v>45</v>
      </c>
      <c r="B187" s="0" t="s">
        <v>298</v>
      </c>
      <c r="C187" s="0" t="s">
        <v>432</v>
      </c>
      <c r="D187" s="0">
        <v>0.024</v>
      </c>
      <c r="E187" s="0"/>
      <c r="F187" s="0" t="s">
        <v>720</v>
      </c>
      <c r="G187" s="0"/>
      <c r="H187" s="0" t="s">
        <v>1271</v>
      </c>
      <c r="I187" s="0" t="s">
        <v>1722</v>
      </c>
      <c r="J187" s="0"/>
      <c r="K187" s="0" t="s">
        <v>1811</v>
      </c>
      <c r="L187" s="0" t="s">
        <v>1813</v>
      </c>
    </row>
    <row r="188">
      <c r="A188" s="0" t="s">
        <v>45</v>
      </c>
      <c r="B188" s="0" t="s">
        <v>298</v>
      </c>
      <c r="C188" s="0" t="s">
        <v>448</v>
      </c>
      <c r="D188" s="0">
        <v>2.2999999999999998</v>
      </c>
      <c r="E188" s="0"/>
      <c r="F188" s="0" t="s">
        <v>721</v>
      </c>
      <c r="G188" s="0"/>
      <c r="H188" s="0" t="s">
        <v>1272</v>
      </c>
      <c r="I188" s="0" t="s">
        <v>1722</v>
      </c>
      <c r="J188" s="0"/>
      <c r="K188" s="0" t="s">
        <v>1811</v>
      </c>
      <c r="L188" s="0" t="s">
        <v>1813</v>
      </c>
    </row>
    <row r="189">
      <c r="A189" s="0" t="s">
        <v>45</v>
      </c>
      <c r="B189" s="0" t="s">
        <v>298</v>
      </c>
      <c r="C189" s="0" t="s">
        <v>446</v>
      </c>
      <c r="D189" s="0">
        <v>0.66000000000000003</v>
      </c>
      <c r="E189" s="0"/>
      <c r="F189" s="0" t="s">
        <v>722</v>
      </c>
      <c r="G189" s="0"/>
      <c r="H189" s="0" t="s">
        <v>1269</v>
      </c>
      <c r="I189" s="0" t="s">
        <v>1722</v>
      </c>
      <c r="J189" s="0"/>
      <c r="K189" s="0" t="s">
        <v>1811</v>
      </c>
      <c r="L189" s="0" t="s">
        <v>1813</v>
      </c>
    </row>
    <row r="190">
      <c r="A190" s="0" t="s">
        <v>45</v>
      </c>
      <c r="B190" s="0" t="s">
        <v>298</v>
      </c>
      <c r="C190" s="0" t="s">
        <v>447</v>
      </c>
      <c r="D190" s="0">
        <v>0.44</v>
      </c>
      <c r="E190" s="0"/>
      <c r="F190" s="0" t="s">
        <v>723</v>
      </c>
      <c r="G190" s="0"/>
      <c r="H190" s="0" t="s">
        <v>1259</v>
      </c>
      <c r="I190" s="0" t="s">
        <v>1722</v>
      </c>
      <c r="J190" s="0"/>
      <c r="K190" s="0" t="s">
        <v>1811</v>
      </c>
      <c r="L190" s="0" t="s">
        <v>1813</v>
      </c>
    </row>
    <row r="191">
      <c r="A191" s="0" t="s">
        <v>45</v>
      </c>
      <c r="B191" s="0" t="s">
        <v>298</v>
      </c>
      <c r="C191" s="0" t="s">
        <v>432</v>
      </c>
      <c r="D191" s="0">
        <v>4.4000000000000004</v>
      </c>
      <c r="E191" s="0"/>
      <c r="F191" s="0" t="s">
        <v>724</v>
      </c>
      <c r="G191" s="0"/>
      <c r="H191" s="0" t="s">
        <v>1273</v>
      </c>
      <c r="I191" s="0" t="s">
        <v>1722</v>
      </c>
      <c r="J191" s="0"/>
      <c r="K191" s="0" t="s">
        <v>1811</v>
      </c>
      <c r="L191" s="0" t="s">
        <v>1813</v>
      </c>
    </row>
    <row r="192">
      <c r="A192" s="0" t="s">
        <v>45</v>
      </c>
      <c r="B192" s="0" t="s">
        <v>299</v>
      </c>
      <c r="C192" s="0" t="s">
        <v>449</v>
      </c>
      <c r="D192" s="0">
        <v>11.300000000000001</v>
      </c>
      <c r="E192" s="0"/>
      <c r="F192" s="0" t="s">
        <v>725</v>
      </c>
      <c r="G192" s="0"/>
      <c r="H192" s="0" t="s">
        <v>1274</v>
      </c>
      <c r="I192" s="0" t="s">
        <v>1664</v>
      </c>
      <c r="J192" s="0"/>
      <c r="K192" s="0" t="s">
        <v>1811</v>
      </c>
      <c r="L192" s="0" t="s">
        <v>1813</v>
      </c>
    </row>
    <row r="193">
      <c r="A193" s="0" t="s">
        <v>45</v>
      </c>
      <c r="B193" s="0" t="s">
        <v>300</v>
      </c>
      <c r="C193" s="0" t="s">
        <v>432</v>
      </c>
      <c r="D193" s="0">
        <v>12</v>
      </c>
      <c r="E193" s="0"/>
      <c r="F193" s="0" t="s">
        <v>640</v>
      </c>
      <c r="G193" s="0"/>
      <c r="H193" s="0"/>
      <c r="I193" s="0" t="s">
        <v>1723</v>
      </c>
      <c r="J193" s="0"/>
      <c r="K193" s="0" t="s">
        <v>1811</v>
      </c>
      <c r="L193" s="0" t="s">
        <v>1813</v>
      </c>
    </row>
    <row r="194">
      <c r="A194" s="0" t="s">
        <v>45</v>
      </c>
      <c r="B194" s="0" t="s">
        <v>301</v>
      </c>
      <c r="C194" s="0" t="s">
        <v>432</v>
      </c>
      <c r="D194" s="0">
        <v>10.4</v>
      </c>
      <c r="E194" s="0"/>
      <c r="F194" s="0" t="s">
        <v>726</v>
      </c>
      <c r="G194" s="0"/>
      <c r="H194" s="0" t="s">
        <v>1275</v>
      </c>
      <c r="I194" s="0" t="s">
        <v>1724</v>
      </c>
      <c r="J194" s="0"/>
      <c r="K194" s="0" t="s">
        <v>1811</v>
      </c>
      <c r="L194" s="0" t="s">
        <v>1813</v>
      </c>
    </row>
    <row r="195">
      <c r="A195" s="0" t="s">
        <v>45</v>
      </c>
      <c r="B195" s="0" t="s">
        <v>301</v>
      </c>
      <c r="C195" s="0" t="s">
        <v>450</v>
      </c>
      <c r="D195" s="0">
        <v>16.699999999999999</v>
      </c>
      <c r="E195" s="0"/>
      <c r="F195" s="0" t="s">
        <v>727</v>
      </c>
      <c r="G195" s="0"/>
      <c r="H195" s="0" t="s">
        <v>1276</v>
      </c>
      <c r="I195" s="0" t="s">
        <v>751</v>
      </c>
      <c r="J195" s="0"/>
      <c r="K195" s="0" t="s">
        <v>1811</v>
      </c>
      <c r="L195" s="0" t="s">
        <v>1813</v>
      </c>
    </row>
    <row r="196">
      <c r="A196" s="0" t="s">
        <v>45</v>
      </c>
      <c r="B196" s="0" t="s">
        <v>301</v>
      </c>
      <c r="C196" s="0" t="s">
        <v>450</v>
      </c>
      <c r="D196" s="0">
        <v>26.899999999999999</v>
      </c>
      <c r="E196" s="0"/>
      <c r="F196" s="0" t="s">
        <v>728</v>
      </c>
      <c r="G196" s="0"/>
      <c r="H196" s="0" t="s">
        <v>1276</v>
      </c>
      <c r="I196" s="0" t="s">
        <v>751</v>
      </c>
      <c r="J196" s="0"/>
      <c r="K196" s="0" t="s">
        <v>1811</v>
      </c>
      <c r="L196" s="0" t="s">
        <v>1813</v>
      </c>
    </row>
    <row r="197">
      <c r="A197" s="0" t="s">
        <v>45</v>
      </c>
      <c r="B197" s="0" t="s">
        <v>301</v>
      </c>
      <c r="C197" s="0" t="s">
        <v>450</v>
      </c>
      <c r="D197" s="0">
        <v>25.899999999999999</v>
      </c>
      <c r="E197" s="0"/>
      <c r="F197" s="0" t="s">
        <v>729</v>
      </c>
      <c r="G197" s="0"/>
      <c r="H197" s="0" t="s">
        <v>1276</v>
      </c>
      <c r="I197" s="0" t="s">
        <v>751</v>
      </c>
      <c r="J197" s="0"/>
      <c r="K197" s="0" t="s">
        <v>1811</v>
      </c>
      <c r="L197" s="0" t="s">
        <v>1813</v>
      </c>
    </row>
    <row r="198">
      <c r="A198" s="0" t="s">
        <v>45</v>
      </c>
      <c r="B198" s="0" t="s">
        <v>301</v>
      </c>
      <c r="C198" s="0" t="s">
        <v>432</v>
      </c>
      <c r="D198" s="0">
        <v>15.300000000000001</v>
      </c>
      <c r="E198" s="0"/>
      <c r="F198" s="0" t="s">
        <v>730</v>
      </c>
      <c r="G198" s="0"/>
      <c r="H198" s="0" t="s">
        <v>1277</v>
      </c>
      <c r="I198" s="0" t="s">
        <v>1724</v>
      </c>
      <c r="J198" s="0"/>
      <c r="K198" s="0" t="s">
        <v>1811</v>
      </c>
      <c r="L198" s="0" t="s">
        <v>1813</v>
      </c>
    </row>
    <row r="199">
      <c r="A199" s="0" t="s">
        <v>45</v>
      </c>
      <c r="B199" s="0" t="s">
        <v>301</v>
      </c>
      <c r="C199" s="0" t="s">
        <v>438</v>
      </c>
      <c r="D199" s="0">
        <v>0.59699999999999998</v>
      </c>
      <c r="E199" s="0"/>
      <c r="F199" s="0" t="s">
        <v>731</v>
      </c>
      <c r="G199" s="0"/>
      <c r="H199" s="0" t="s">
        <v>1278</v>
      </c>
      <c r="I199" s="0" t="s">
        <v>1725</v>
      </c>
      <c r="J199" s="0"/>
      <c r="K199" s="0" t="s">
        <v>1811</v>
      </c>
      <c r="L199" s="0" t="s">
        <v>1813</v>
      </c>
    </row>
    <row r="200">
      <c r="A200" s="0" t="s">
        <v>45</v>
      </c>
      <c r="B200" s="0" t="s">
        <v>301</v>
      </c>
      <c r="C200" s="0" t="s">
        <v>438</v>
      </c>
      <c r="D200" s="0">
        <v>0.879</v>
      </c>
      <c r="E200" s="0"/>
      <c r="F200" s="0" t="s">
        <v>732</v>
      </c>
      <c r="G200" s="0"/>
      <c r="H200" s="0" t="s">
        <v>1279</v>
      </c>
      <c r="I200" s="0" t="s">
        <v>1725</v>
      </c>
      <c r="J200" s="0"/>
      <c r="K200" s="0" t="s">
        <v>1811</v>
      </c>
      <c r="L200" s="0" t="s">
        <v>1813</v>
      </c>
    </row>
    <row r="201">
      <c r="A201" s="0" t="s">
        <v>45</v>
      </c>
      <c r="B201" s="0" t="s">
        <v>301</v>
      </c>
      <c r="C201" s="0" t="s">
        <v>438</v>
      </c>
      <c r="D201" s="0">
        <v>0.57899999999999996</v>
      </c>
      <c r="E201" s="0"/>
      <c r="F201" s="0" t="s">
        <v>733</v>
      </c>
      <c r="G201" s="0"/>
      <c r="H201" s="0" t="s">
        <v>1280</v>
      </c>
      <c r="I201" s="0" t="s">
        <v>1725</v>
      </c>
      <c r="J201" s="0"/>
      <c r="K201" s="0" t="s">
        <v>1811</v>
      </c>
      <c r="L201" s="0" t="s">
        <v>1813</v>
      </c>
    </row>
    <row r="202">
      <c r="A202" s="0" t="s">
        <v>45</v>
      </c>
      <c r="B202" s="0" t="s">
        <v>302</v>
      </c>
      <c r="C202" s="0" t="s">
        <v>429</v>
      </c>
      <c r="D202" s="0">
        <v>4</v>
      </c>
      <c r="E202" s="0"/>
      <c r="F202" s="0" t="s">
        <v>734</v>
      </c>
      <c r="G202" s="0"/>
      <c r="H202" s="0"/>
      <c r="I202" s="0" t="s">
        <v>1726</v>
      </c>
      <c r="J202" s="0"/>
      <c r="K202" s="0" t="s">
        <v>1811</v>
      </c>
      <c r="L202" s="0" t="s">
        <v>1813</v>
      </c>
    </row>
    <row r="203">
      <c r="A203" s="0" t="s">
        <v>45</v>
      </c>
      <c r="B203" s="0" t="s">
        <v>303</v>
      </c>
      <c r="C203" s="0" t="s">
        <v>429</v>
      </c>
      <c r="D203" s="0">
        <v>0.0067999999999999996</v>
      </c>
      <c r="E203" s="0"/>
      <c r="F203" s="0" t="s">
        <v>735</v>
      </c>
      <c r="G203" s="0"/>
      <c r="H203" s="0" t="s">
        <v>1281</v>
      </c>
      <c r="I203" s="0" t="s">
        <v>1727</v>
      </c>
      <c r="J203" s="0"/>
      <c r="K203" s="0" t="s">
        <v>1811</v>
      </c>
      <c r="L203" s="0" t="s">
        <v>1813</v>
      </c>
    </row>
    <row r="204">
      <c r="A204" s="0" t="s">
        <v>45</v>
      </c>
      <c r="B204" s="0" t="s">
        <v>303</v>
      </c>
      <c r="C204" s="0" t="s">
        <v>132</v>
      </c>
      <c r="D204" s="0">
        <v>48</v>
      </c>
      <c r="E204" s="0"/>
      <c r="F204" s="0" t="s">
        <v>736</v>
      </c>
      <c r="G204" s="0"/>
      <c r="H204" s="0"/>
      <c r="I204" s="0" t="s">
        <v>1727</v>
      </c>
      <c r="J204" s="0"/>
      <c r="K204" s="0" t="s">
        <v>1811</v>
      </c>
      <c r="L204" s="0" t="s">
        <v>1813</v>
      </c>
    </row>
    <row r="205">
      <c r="A205" s="0" t="s">
        <v>45</v>
      </c>
      <c r="B205" s="0" t="s">
        <v>304</v>
      </c>
      <c r="C205" s="0" t="s">
        <v>432</v>
      </c>
      <c r="D205" s="0">
        <v>0.83999999999999997</v>
      </c>
      <c r="E205" s="0"/>
      <c r="F205" s="0" t="s">
        <v>737</v>
      </c>
      <c r="G205" s="0"/>
      <c r="H205" s="0" t="s">
        <v>1282</v>
      </c>
      <c r="I205" s="0" t="s">
        <v>1728</v>
      </c>
      <c r="J205" s="0"/>
      <c r="K205" s="0" t="s">
        <v>1811</v>
      </c>
      <c r="L205" s="0" t="s">
        <v>1813</v>
      </c>
    </row>
    <row r="206">
      <c r="A206" s="0" t="s">
        <v>45</v>
      </c>
      <c r="B206" s="0" t="s">
        <v>304</v>
      </c>
      <c r="C206" s="0" t="s">
        <v>432</v>
      </c>
      <c r="D206" s="0">
        <v>0.75</v>
      </c>
      <c r="E206" s="0"/>
      <c r="F206" s="0" t="s">
        <v>738</v>
      </c>
      <c r="G206" s="0"/>
      <c r="H206" s="0" t="s">
        <v>1283</v>
      </c>
      <c r="I206" s="0" t="s">
        <v>1728</v>
      </c>
      <c r="J206" s="0"/>
      <c r="K206" s="0" t="s">
        <v>1811</v>
      </c>
      <c r="L206" s="0" t="s">
        <v>1813</v>
      </c>
    </row>
    <row r="207">
      <c r="A207" s="0" t="s">
        <v>45</v>
      </c>
      <c r="B207" s="0" t="s">
        <v>305</v>
      </c>
      <c r="C207" s="0" t="s">
        <v>440</v>
      </c>
      <c r="D207" s="0">
        <v>0.67000000000000004</v>
      </c>
      <c r="E207" s="0"/>
      <c r="F207" s="0" t="s">
        <v>739</v>
      </c>
      <c r="G207" s="0"/>
      <c r="H207" s="0"/>
      <c r="I207" s="0" t="s">
        <v>1729</v>
      </c>
      <c r="J207" s="0"/>
      <c r="K207" s="0" t="s">
        <v>1811</v>
      </c>
      <c r="L207" s="0" t="s">
        <v>1813</v>
      </c>
    </row>
    <row r="208">
      <c r="A208" s="0" t="s">
        <v>45</v>
      </c>
      <c r="B208" s="0" t="s">
        <v>305</v>
      </c>
      <c r="C208" s="0" t="s">
        <v>429</v>
      </c>
      <c r="D208" s="0">
        <v>0.67000000000000004</v>
      </c>
      <c r="E208" s="0"/>
      <c r="F208" s="0" t="s">
        <v>739</v>
      </c>
      <c r="G208" s="0"/>
      <c r="H208" s="0"/>
      <c r="I208" s="0" t="s">
        <v>1729</v>
      </c>
      <c r="J208" s="0"/>
      <c r="K208" s="0" t="s">
        <v>1811</v>
      </c>
      <c r="L208" s="0" t="s">
        <v>1813</v>
      </c>
    </row>
    <row r="209">
      <c r="A209" s="0" t="s">
        <v>45</v>
      </c>
      <c r="B209" s="0" t="s">
        <v>306</v>
      </c>
      <c r="C209" s="0" t="s">
        <v>440</v>
      </c>
      <c r="D209" s="0">
        <v>0.25</v>
      </c>
      <c r="E209" s="0"/>
      <c r="F209" s="0" t="s">
        <v>708</v>
      </c>
      <c r="G209" s="0"/>
      <c r="H209" s="0"/>
      <c r="I209" s="0" t="s">
        <v>1730</v>
      </c>
      <c r="J209" s="0"/>
      <c r="K209" s="0" t="s">
        <v>1811</v>
      </c>
      <c r="L209" s="0" t="s">
        <v>1813</v>
      </c>
    </row>
    <row r="210">
      <c r="A210" s="0" t="s">
        <v>45</v>
      </c>
      <c r="B210" s="0" t="s">
        <v>147</v>
      </c>
      <c r="C210" s="0" t="s">
        <v>432</v>
      </c>
      <c r="D210" s="0">
        <v>1.3</v>
      </c>
      <c r="E210" s="0"/>
      <c r="F210" s="0" t="s">
        <v>692</v>
      </c>
      <c r="G210" s="0"/>
      <c r="H210" s="0" t="s">
        <v>1284</v>
      </c>
      <c r="I210" s="0" t="s">
        <v>1731</v>
      </c>
      <c r="J210" s="0"/>
      <c r="K210" s="0" t="s">
        <v>1811</v>
      </c>
      <c r="L210" s="0" t="s">
        <v>1813</v>
      </c>
    </row>
    <row r="211">
      <c r="A211" s="0" t="s">
        <v>45</v>
      </c>
      <c r="B211" s="0" t="s">
        <v>147</v>
      </c>
      <c r="C211" s="0" t="s">
        <v>447</v>
      </c>
      <c r="D211" s="0">
        <v>0.0080000000000000002</v>
      </c>
      <c r="E211" s="0"/>
      <c r="F211" s="0" t="s">
        <v>740</v>
      </c>
      <c r="G211" s="0"/>
      <c r="H211" s="0" t="s">
        <v>1285</v>
      </c>
      <c r="I211" s="0" t="s">
        <v>1732</v>
      </c>
      <c r="J211" s="0"/>
      <c r="K211" s="0" t="s">
        <v>1811</v>
      </c>
      <c r="L211" s="0" t="s">
        <v>1813</v>
      </c>
    </row>
    <row r="212">
      <c r="A212" s="0" t="s">
        <v>45</v>
      </c>
      <c r="B212" s="0" t="s">
        <v>147</v>
      </c>
      <c r="C212" s="0" t="s">
        <v>432</v>
      </c>
      <c r="D212" s="0">
        <v>1.2</v>
      </c>
      <c r="E212" s="0"/>
      <c r="F212" s="0" t="s">
        <v>741</v>
      </c>
      <c r="G212" s="0"/>
      <c r="H212" s="0" t="s">
        <v>1286</v>
      </c>
      <c r="I212" s="0" t="s">
        <v>1731</v>
      </c>
      <c r="J212" s="0"/>
      <c r="K212" s="0" t="s">
        <v>1811</v>
      </c>
      <c r="L212" s="0" t="s">
        <v>1813</v>
      </c>
    </row>
    <row r="213">
      <c r="A213" s="0" t="s">
        <v>45</v>
      </c>
      <c r="B213" s="0" t="s">
        <v>147</v>
      </c>
      <c r="C213" s="0" t="s">
        <v>438</v>
      </c>
      <c r="D213" s="0">
        <v>1.2</v>
      </c>
      <c r="E213" s="0"/>
      <c r="F213" s="0" t="s">
        <v>741</v>
      </c>
      <c r="G213" s="0"/>
      <c r="H213" s="0" t="s">
        <v>1287</v>
      </c>
      <c r="I213" s="0" t="s">
        <v>1733</v>
      </c>
      <c r="J213" s="0"/>
      <c r="K213" s="0" t="s">
        <v>1811</v>
      </c>
      <c r="L213" s="0" t="s">
        <v>1813</v>
      </c>
    </row>
    <row r="214">
      <c r="A214" s="0" t="s">
        <v>45</v>
      </c>
      <c r="B214" s="0" t="s">
        <v>147</v>
      </c>
      <c r="C214" s="0" t="s">
        <v>432</v>
      </c>
      <c r="D214" s="0">
        <v>1.1000000000000001</v>
      </c>
      <c r="E214" s="0"/>
      <c r="F214" s="0" t="s">
        <v>576</v>
      </c>
      <c r="G214" s="0"/>
      <c r="H214" s="0" t="s">
        <v>1288</v>
      </c>
      <c r="I214" s="0" t="s">
        <v>1731</v>
      </c>
      <c r="J214" s="0"/>
      <c r="K214" s="0" t="s">
        <v>1811</v>
      </c>
      <c r="L214" s="0" t="s">
        <v>1813</v>
      </c>
    </row>
    <row r="215">
      <c r="A215" s="0" t="s">
        <v>45</v>
      </c>
      <c r="B215" s="0" t="s">
        <v>147</v>
      </c>
      <c r="C215" s="0" t="s">
        <v>451</v>
      </c>
      <c r="D215" s="0">
        <v>0.0099000000000000008</v>
      </c>
      <c r="E215" s="0"/>
      <c r="F215" s="0" t="s">
        <v>742</v>
      </c>
      <c r="G215" s="0"/>
      <c r="H215" s="0" t="s">
        <v>1289</v>
      </c>
      <c r="I215" s="0" t="s">
        <v>1732</v>
      </c>
      <c r="J215" s="0"/>
      <c r="K215" s="0" t="s">
        <v>1811</v>
      </c>
      <c r="L215" s="0" t="s">
        <v>1813</v>
      </c>
    </row>
    <row r="216">
      <c r="A216" s="0" t="s">
        <v>45</v>
      </c>
      <c r="B216" s="0" t="s">
        <v>147</v>
      </c>
      <c r="C216" s="0" t="s">
        <v>452</v>
      </c>
      <c r="D216" s="0">
        <v>0.010800000000000001</v>
      </c>
      <c r="E216" s="0"/>
      <c r="F216" s="0" t="s">
        <v>743</v>
      </c>
      <c r="G216" s="0"/>
      <c r="H216" s="0" t="s">
        <v>1290</v>
      </c>
      <c r="I216" s="0" t="s">
        <v>1732</v>
      </c>
      <c r="J216" s="0"/>
      <c r="K216" s="0" t="s">
        <v>1811</v>
      </c>
      <c r="L216" s="0" t="s">
        <v>1813</v>
      </c>
    </row>
    <row r="217">
      <c r="A217" s="0" t="s">
        <v>45</v>
      </c>
      <c r="B217" s="0" t="s">
        <v>147</v>
      </c>
      <c r="C217" s="0" t="s">
        <v>453</v>
      </c>
      <c r="D217" s="0">
        <v>0.013100000000000001</v>
      </c>
      <c r="E217" s="0"/>
      <c r="F217" s="0" t="s">
        <v>744</v>
      </c>
      <c r="G217" s="0"/>
      <c r="H217" s="0" t="s">
        <v>1291</v>
      </c>
      <c r="I217" s="0" t="s">
        <v>1732</v>
      </c>
      <c r="J217" s="0"/>
      <c r="K217" s="0" t="s">
        <v>1811</v>
      </c>
      <c r="L217" s="0" t="s">
        <v>1813</v>
      </c>
    </row>
    <row r="218">
      <c r="A218" s="0" t="s">
        <v>45</v>
      </c>
      <c r="B218" s="0" t="s">
        <v>147</v>
      </c>
      <c r="C218" s="0" t="s">
        <v>454</v>
      </c>
      <c r="D218" s="0">
        <v>0.034599999999999999</v>
      </c>
      <c r="E218" s="0"/>
      <c r="F218" s="0" t="s">
        <v>745</v>
      </c>
      <c r="G218" s="0"/>
      <c r="H218" s="0" t="s">
        <v>1289</v>
      </c>
      <c r="I218" s="0" t="s">
        <v>1732</v>
      </c>
      <c r="J218" s="0"/>
      <c r="K218" s="0" t="s">
        <v>1811</v>
      </c>
      <c r="L218" s="0" t="s">
        <v>1813</v>
      </c>
    </row>
    <row r="219">
      <c r="A219" s="0" t="s">
        <v>45</v>
      </c>
      <c r="B219" s="0" t="s">
        <v>147</v>
      </c>
      <c r="C219" s="0" t="s">
        <v>446</v>
      </c>
      <c r="D219" s="0">
        <v>0.0106</v>
      </c>
      <c r="E219" s="0"/>
      <c r="F219" s="0" t="s">
        <v>746</v>
      </c>
      <c r="G219" s="0"/>
      <c r="H219" s="0" t="s">
        <v>1285</v>
      </c>
      <c r="I219" s="0" t="s">
        <v>1732</v>
      </c>
      <c r="J219" s="0"/>
      <c r="K219" s="0" t="s">
        <v>1811</v>
      </c>
      <c r="L219" s="0" t="s">
        <v>1813</v>
      </c>
    </row>
    <row r="220">
      <c r="A220" s="0" t="s">
        <v>45</v>
      </c>
      <c r="B220" s="0" t="s">
        <v>147</v>
      </c>
      <c r="C220" s="0" t="s">
        <v>455</v>
      </c>
      <c r="D220" s="0">
        <v>0.033399999999999999</v>
      </c>
      <c r="E220" s="0"/>
      <c r="F220" s="0" t="s">
        <v>747</v>
      </c>
      <c r="G220" s="0"/>
      <c r="H220" s="0" t="s">
        <v>1289</v>
      </c>
      <c r="I220" s="0" t="s">
        <v>1732</v>
      </c>
      <c r="J220" s="0"/>
      <c r="K220" s="0" t="s">
        <v>1811</v>
      </c>
      <c r="L220" s="0" t="s">
        <v>1813</v>
      </c>
    </row>
    <row r="221">
      <c r="A221" s="0" t="s">
        <v>45</v>
      </c>
      <c r="B221" s="0" t="s">
        <v>307</v>
      </c>
      <c r="C221" s="0" t="s">
        <v>456</v>
      </c>
      <c r="D221" s="0">
        <v>0.13700000000000001</v>
      </c>
      <c r="E221" s="0"/>
      <c r="F221" s="0" t="s">
        <v>748</v>
      </c>
      <c r="G221" s="0"/>
      <c r="H221" s="0"/>
      <c r="I221" s="0" t="s">
        <v>1734</v>
      </c>
      <c r="J221" s="0"/>
      <c r="K221" s="0" t="s">
        <v>1811</v>
      </c>
      <c r="L221" s="0" t="s">
        <v>1813</v>
      </c>
    </row>
    <row r="222">
      <c r="A222" s="0" t="s">
        <v>45</v>
      </c>
      <c r="B222" s="0" t="s">
        <v>307</v>
      </c>
      <c r="C222" s="0" t="s">
        <v>440</v>
      </c>
      <c r="D222" s="0">
        <v>0.035000000000000003</v>
      </c>
      <c r="E222" s="0"/>
      <c r="F222" s="0" t="s">
        <v>749</v>
      </c>
      <c r="G222" s="0"/>
      <c r="H222" s="0"/>
      <c r="I222" s="0" t="s">
        <v>736</v>
      </c>
      <c r="J222" s="0"/>
      <c r="K222" s="0" t="s">
        <v>1811</v>
      </c>
      <c r="L222" s="0" t="s">
        <v>1813</v>
      </c>
    </row>
    <row r="223">
      <c r="A223" s="0" t="s">
        <v>45</v>
      </c>
      <c r="B223" s="0" t="s">
        <v>307</v>
      </c>
      <c r="C223" s="0" t="s">
        <v>429</v>
      </c>
      <c r="D223" s="0">
        <v>0.035000000000000003</v>
      </c>
      <c r="E223" s="0"/>
      <c r="F223" s="0" t="s">
        <v>749</v>
      </c>
      <c r="G223" s="0"/>
      <c r="H223" s="0"/>
      <c r="I223" s="0" t="s">
        <v>736</v>
      </c>
      <c r="J223" s="0"/>
      <c r="K223" s="0" t="s">
        <v>1811</v>
      </c>
      <c r="L223" s="0" t="s">
        <v>1813</v>
      </c>
    </row>
    <row r="224">
      <c r="A224" s="0" t="s">
        <v>45</v>
      </c>
      <c r="B224" s="0" t="s">
        <v>307</v>
      </c>
      <c r="C224" s="0" t="s">
        <v>457</v>
      </c>
      <c r="D224" s="0">
        <v>0.0083000000000000001</v>
      </c>
      <c r="E224" s="0"/>
      <c r="F224" s="0" t="s">
        <v>750</v>
      </c>
      <c r="G224" s="0"/>
      <c r="H224" s="0"/>
      <c r="I224" s="0" t="s">
        <v>1734</v>
      </c>
      <c r="J224" s="0"/>
      <c r="K224" s="0" t="s">
        <v>1811</v>
      </c>
      <c r="L224" s="0" t="s">
        <v>1813</v>
      </c>
    </row>
    <row r="225">
      <c r="A225" s="0" t="s">
        <v>45</v>
      </c>
      <c r="B225" s="0" t="s">
        <v>307</v>
      </c>
      <c r="C225" s="0" t="s">
        <v>458</v>
      </c>
      <c r="D225" s="0">
        <v>210</v>
      </c>
      <c r="E225" s="0"/>
      <c r="F225" s="0" t="s">
        <v>751</v>
      </c>
      <c r="G225" s="0"/>
      <c r="H225" s="0"/>
      <c r="I225" s="0" t="s">
        <v>736</v>
      </c>
      <c r="J225" s="0"/>
      <c r="K225" s="0" t="s">
        <v>1811</v>
      </c>
      <c r="L225" s="0" t="s">
        <v>1813</v>
      </c>
    </row>
    <row r="226">
      <c r="A226" s="0" t="s">
        <v>45</v>
      </c>
      <c r="B226" s="0" t="s">
        <v>307</v>
      </c>
      <c r="C226" s="0" t="s">
        <v>429</v>
      </c>
      <c r="D226" s="0">
        <v>0.068000000000000005</v>
      </c>
      <c r="E226" s="0"/>
      <c r="F226" s="0" t="s">
        <v>594</v>
      </c>
      <c r="G226" s="0"/>
      <c r="H226" s="0" t="s">
        <v>1292</v>
      </c>
      <c r="I226" s="0" t="s">
        <v>736</v>
      </c>
      <c r="J226" s="0"/>
      <c r="K226" s="0" t="s">
        <v>1811</v>
      </c>
      <c r="L226" s="0" t="s">
        <v>1813</v>
      </c>
    </row>
    <row r="227">
      <c r="A227" s="0" t="s">
        <v>45</v>
      </c>
      <c r="B227" s="0" t="s">
        <v>307</v>
      </c>
      <c r="C227" s="0" t="s">
        <v>459</v>
      </c>
      <c r="D227" s="0">
        <v>0.27800000000000003</v>
      </c>
      <c r="E227" s="0"/>
      <c r="F227" s="0" t="s">
        <v>752</v>
      </c>
      <c r="G227" s="0"/>
      <c r="H227" s="0"/>
      <c r="I227" s="0" t="s">
        <v>1734</v>
      </c>
      <c r="J227" s="0"/>
      <c r="K227" s="0" t="s">
        <v>1811</v>
      </c>
      <c r="L227" s="0" t="s">
        <v>1813</v>
      </c>
    </row>
    <row r="228">
      <c r="A228" s="0" t="s">
        <v>45</v>
      </c>
      <c r="B228" s="0" t="s">
        <v>307</v>
      </c>
      <c r="C228" s="0" t="s">
        <v>132</v>
      </c>
      <c r="D228" s="0">
        <v>590</v>
      </c>
      <c r="E228" s="0"/>
      <c r="F228" s="0" t="s">
        <v>753</v>
      </c>
      <c r="G228" s="0"/>
      <c r="H228" s="0"/>
      <c r="I228" s="0" t="s">
        <v>736</v>
      </c>
      <c r="J228" s="0"/>
      <c r="K228" s="0" t="s">
        <v>1811</v>
      </c>
      <c r="L228" s="0" t="s">
        <v>1813</v>
      </c>
    </row>
    <row r="229">
      <c r="A229" s="0" t="s">
        <v>45</v>
      </c>
      <c r="B229" s="0" t="s">
        <v>307</v>
      </c>
      <c r="C229" s="0" t="s">
        <v>432</v>
      </c>
      <c r="D229" s="0">
        <v>0.012500000000000001</v>
      </c>
      <c r="E229" s="0"/>
      <c r="F229" s="0" t="s">
        <v>754</v>
      </c>
      <c r="G229" s="0"/>
      <c r="H229" s="0" t="s">
        <v>1293</v>
      </c>
      <c r="I229" s="0" t="s">
        <v>1720</v>
      </c>
      <c r="J229" s="0"/>
      <c r="K229" s="0" t="s">
        <v>1811</v>
      </c>
      <c r="L229" s="0" t="s">
        <v>1813</v>
      </c>
    </row>
    <row r="230">
      <c r="A230" s="0" t="s">
        <v>45</v>
      </c>
      <c r="B230" s="0" t="s">
        <v>307</v>
      </c>
      <c r="C230" s="0" t="s">
        <v>460</v>
      </c>
      <c r="D230" s="0">
        <v>0.029000000000000001</v>
      </c>
      <c r="E230" s="0"/>
      <c r="F230" s="0" t="s">
        <v>755</v>
      </c>
      <c r="G230" s="0"/>
      <c r="H230" s="0" t="s">
        <v>1294</v>
      </c>
      <c r="I230" s="0" t="s">
        <v>642</v>
      </c>
      <c r="J230" s="0"/>
      <c r="K230" s="0" t="s">
        <v>1811</v>
      </c>
      <c r="L230" s="0" t="s">
        <v>1813</v>
      </c>
    </row>
    <row r="231">
      <c r="A231" s="0" t="s">
        <v>45</v>
      </c>
      <c r="B231" s="0" t="s">
        <v>263</v>
      </c>
      <c r="C231" s="0" t="s">
        <v>432</v>
      </c>
      <c r="D231" s="0">
        <v>0.021000000000000001</v>
      </c>
      <c r="E231" s="0"/>
      <c r="F231" s="0" t="s">
        <v>756</v>
      </c>
      <c r="G231" s="0"/>
      <c r="H231" s="0"/>
      <c r="I231" s="0" t="s">
        <v>1735</v>
      </c>
      <c r="J231" s="0"/>
      <c r="K231" s="0" t="s">
        <v>1811</v>
      </c>
      <c r="L231" s="0" t="s">
        <v>1813</v>
      </c>
    </row>
    <row r="232">
      <c r="A232" s="0" t="s">
        <v>45</v>
      </c>
      <c r="B232" s="0" t="s">
        <v>263</v>
      </c>
      <c r="C232" s="0" t="s">
        <v>432</v>
      </c>
      <c r="D232" s="0">
        <v>0.080000000000000002</v>
      </c>
      <c r="E232" s="0"/>
      <c r="F232" s="0" t="s">
        <v>666</v>
      </c>
      <c r="G232" s="0"/>
      <c r="H232" s="0" t="s">
        <v>1295</v>
      </c>
      <c r="I232" s="0" t="s">
        <v>1736</v>
      </c>
      <c r="J232" s="0"/>
      <c r="K232" s="0" t="s">
        <v>1811</v>
      </c>
      <c r="L232" s="0" t="s">
        <v>1813</v>
      </c>
    </row>
    <row r="233">
      <c r="A233" s="0" t="s">
        <v>45</v>
      </c>
      <c r="B233" s="0" t="s">
        <v>307</v>
      </c>
      <c r="C233" s="0" t="s">
        <v>432</v>
      </c>
      <c r="D233" s="0">
        <v>0.044999999999999998</v>
      </c>
      <c r="E233" s="0"/>
      <c r="F233" s="0" t="s">
        <v>757</v>
      </c>
      <c r="G233" s="0"/>
      <c r="H233" s="0" t="s">
        <v>1296</v>
      </c>
      <c r="I233" s="0" t="s">
        <v>1737</v>
      </c>
      <c r="J233" s="0"/>
      <c r="K233" s="0" t="s">
        <v>1811</v>
      </c>
      <c r="L233" s="0" t="s">
        <v>1813</v>
      </c>
    </row>
    <row r="234">
      <c r="A234" s="0" t="s">
        <v>45</v>
      </c>
      <c r="B234" s="0" t="s">
        <v>307</v>
      </c>
      <c r="C234" s="0" t="s">
        <v>432</v>
      </c>
      <c r="D234" s="0">
        <v>0.058000000000000003</v>
      </c>
      <c r="E234" s="0"/>
      <c r="F234" s="0" t="s">
        <v>758</v>
      </c>
      <c r="G234" s="0"/>
      <c r="H234" s="0" t="s">
        <v>1297</v>
      </c>
      <c r="I234" s="0" t="s">
        <v>1737</v>
      </c>
      <c r="J234" s="0"/>
      <c r="K234" s="0" t="s">
        <v>1811</v>
      </c>
      <c r="L234" s="0" t="s">
        <v>1813</v>
      </c>
    </row>
    <row r="235">
      <c r="A235" s="0" t="s">
        <v>45</v>
      </c>
      <c r="B235" s="0" t="s">
        <v>147</v>
      </c>
      <c r="C235" s="0" t="s">
        <v>429</v>
      </c>
      <c r="D235" s="0">
        <v>0.0080000000000000002</v>
      </c>
      <c r="E235" s="0"/>
      <c r="F235" s="0" t="s">
        <v>740</v>
      </c>
      <c r="G235" s="0"/>
      <c r="H235" s="0" t="s">
        <v>1298</v>
      </c>
      <c r="I235" s="0" t="s">
        <v>1738</v>
      </c>
      <c r="J235" s="0"/>
      <c r="K235" s="0" t="s">
        <v>1811</v>
      </c>
      <c r="L235" s="0" t="s">
        <v>1813</v>
      </c>
    </row>
    <row r="236">
      <c r="A236" s="0" t="s">
        <v>45</v>
      </c>
      <c r="B236" s="0" t="s">
        <v>147</v>
      </c>
      <c r="C236" s="0" t="s">
        <v>429</v>
      </c>
      <c r="D236" s="0">
        <v>1.3999999999999999</v>
      </c>
      <c r="E236" s="0"/>
      <c r="F236" s="0" t="s">
        <v>759</v>
      </c>
      <c r="G236" s="0"/>
      <c r="H236" s="0" t="s">
        <v>1299</v>
      </c>
      <c r="I236" s="0" t="s">
        <v>1738</v>
      </c>
      <c r="J236" s="0"/>
      <c r="K236" s="0" t="s">
        <v>1811</v>
      </c>
      <c r="L236" s="0" t="s">
        <v>1813</v>
      </c>
    </row>
    <row r="237">
      <c r="A237" s="0" t="s">
        <v>45</v>
      </c>
      <c r="B237" s="0" t="s">
        <v>147</v>
      </c>
      <c r="C237" s="0" t="s">
        <v>432</v>
      </c>
      <c r="D237" s="0">
        <v>1.8</v>
      </c>
      <c r="E237" s="0"/>
      <c r="F237" s="0" t="s">
        <v>760</v>
      </c>
      <c r="G237" s="0"/>
      <c r="H237" s="0"/>
      <c r="I237" s="0" t="s">
        <v>1739</v>
      </c>
      <c r="J237" s="0"/>
      <c r="K237" s="0" t="s">
        <v>1811</v>
      </c>
      <c r="L237" s="0" t="s">
        <v>1813</v>
      </c>
    </row>
    <row r="238">
      <c r="A238" s="0" t="s">
        <v>45</v>
      </c>
      <c r="B238" s="0" t="s">
        <v>147</v>
      </c>
      <c r="C238" s="0" t="s">
        <v>429</v>
      </c>
      <c r="D238" s="0">
        <v>1.5</v>
      </c>
      <c r="E238" s="0"/>
      <c r="F238" s="0" t="s">
        <v>570</v>
      </c>
      <c r="G238" s="0"/>
      <c r="H238" s="0" t="s">
        <v>1300</v>
      </c>
      <c r="I238" s="0" t="s">
        <v>1740</v>
      </c>
      <c r="J238" s="0"/>
      <c r="K238" s="0" t="s">
        <v>1811</v>
      </c>
      <c r="L238" s="0" t="s">
        <v>1813</v>
      </c>
    </row>
    <row r="239">
      <c r="A239" s="0" t="s">
        <v>45</v>
      </c>
      <c r="B239" s="0" t="s">
        <v>147</v>
      </c>
      <c r="C239" s="0" t="s">
        <v>429</v>
      </c>
      <c r="D239" s="0">
        <v>0.81000000000000005</v>
      </c>
      <c r="E239" s="0"/>
      <c r="F239" s="0" t="s">
        <v>761</v>
      </c>
      <c r="G239" s="0"/>
      <c r="H239" s="0"/>
      <c r="I239" s="0" t="s">
        <v>1741</v>
      </c>
      <c r="J239" s="0"/>
      <c r="K239" s="0" t="s">
        <v>1811</v>
      </c>
      <c r="L239" s="0" t="s">
        <v>1813</v>
      </c>
    </row>
    <row r="240">
      <c r="A240" s="0" t="s">
        <v>45</v>
      </c>
      <c r="B240" s="0" t="s">
        <v>147</v>
      </c>
      <c r="C240" s="0" t="s">
        <v>461</v>
      </c>
      <c r="D240" s="0">
        <v>0.65000000000000002</v>
      </c>
      <c r="E240" s="0"/>
      <c r="F240" s="0" t="s">
        <v>631</v>
      </c>
      <c r="G240" s="0"/>
      <c r="H240" s="0"/>
      <c r="I240" s="0" t="s">
        <v>1742</v>
      </c>
      <c r="J240" s="0"/>
      <c r="K240" s="0" t="s">
        <v>1811</v>
      </c>
      <c r="L240" s="0" t="s">
        <v>1813</v>
      </c>
    </row>
    <row r="241">
      <c r="A241" s="0" t="s">
        <v>45</v>
      </c>
      <c r="B241" s="0" t="s">
        <v>147</v>
      </c>
      <c r="C241" s="0" t="s">
        <v>461</v>
      </c>
      <c r="D241" s="0">
        <v>1.0900000000000001</v>
      </c>
      <c r="E241" s="0"/>
      <c r="F241" s="0" t="s">
        <v>762</v>
      </c>
      <c r="G241" s="0"/>
      <c r="H241" s="0"/>
      <c r="I241" s="0" t="s">
        <v>776</v>
      </c>
      <c r="J241" s="0"/>
      <c r="K241" s="0" t="s">
        <v>1811</v>
      </c>
      <c r="L241" s="0" t="s">
        <v>1813</v>
      </c>
    </row>
    <row r="242">
      <c r="A242" s="0" t="s">
        <v>45</v>
      </c>
      <c r="B242" s="0" t="s">
        <v>147</v>
      </c>
      <c r="C242" s="0" t="s">
        <v>452</v>
      </c>
      <c r="D242" s="0">
        <v>0.010200000000000001</v>
      </c>
      <c r="E242" s="0"/>
      <c r="F242" s="0" t="s">
        <v>763</v>
      </c>
      <c r="G242" s="0"/>
      <c r="H242" s="0" t="s">
        <v>1301</v>
      </c>
      <c r="I242" s="0" t="s">
        <v>1732</v>
      </c>
      <c r="J242" s="0"/>
      <c r="K242" s="0" t="s">
        <v>1811</v>
      </c>
      <c r="L242" s="0" t="s">
        <v>1813</v>
      </c>
    </row>
    <row r="243">
      <c r="A243" s="0" t="s">
        <v>45</v>
      </c>
      <c r="B243" s="0" t="s">
        <v>147</v>
      </c>
      <c r="C243" s="0" t="s">
        <v>132</v>
      </c>
      <c r="D243" s="0">
        <v>3.3999999999999999</v>
      </c>
      <c r="E243" s="0"/>
      <c r="F243" s="0" t="s">
        <v>764</v>
      </c>
      <c r="G243" s="0"/>
      <c r="H243" s="0" t="s">
        <v>1302</v>
      </c>
      <c r="I243" s="0" t="s">
        <v>1740</v>
      </c>
      <c r="J243" s="0"/>
      <c r="K243" s="0" t="s">
        <v>1811</v>
      </c>
      <c r="L243" s="0" t="s">
        <v>1813</v>
      </c>
    </row>
    <row r="244">
      <c r="A244" s="0" t="s">
        <v>45</v>
      </c>
      <c r="B244" s="0" t="s">
        <v>147</v>
      </c>
      <c r="C244" s="0" t="s">
        <v>451</v>
      </c>
      <c r="D244" s="0">
        <v>0.018200000000000001</v>
      </c>
      <c r="E244" s="0"/>
      <c r="F244" s="0" t="s">
        <v>765</v>
      </c>
      <c r="G244" s="0"/>
      <c r="H244" s="0" t="s">
        <v>1303</v>
      </c>
      <c r="I244" s="0" t="s">
        <v>1732</v>
      </c>
      <c r="J244" s="0"/>
      <c r="K244" s="0" t="s">
        <v>1811</v>
      </c>
      <c r="L244" s="0" t="s">
        <v>1813</v>
      </c>
    </row>
    <row r="245">
      <c r="A245" s="0" t="s">
        <v>45</v>
      </c>
      <c r="B245" s="0" t="s">
        <v>147</v>
      </c>
      <c r="C245" s="0" t="s">
        <v>446</v>
      </c>
      <c r="D245" s="0">
        <v>0.010500000000000001</v>
      </c>
      <c r="E245" s="0"/>
      <c r="F245" s="0" t="s">
        <v>766</v>
      </c>
      <c r="G245" s="0"/>
      <c r="H245" s="0" t="s">
        <v>1304</v>
      </c>
      <c r="I245" s="0" t="s">
        <v>1732</v>
      </c>
      <c r="J245" s="0"/>
      <c r="K245" s="0" t="s">
        <v>1811</v>
      </c>
      <c r="L245" s="0" t="s">
        <v>1813</v>
      </c>
    </row>
    <row r="246">
      <c r="A246" s="0" t="s">
        <v>45</v>
      </c>
      <c r="B246" s="0" t="s">
        <v>147</v>
      </c>
      <c r="C246" s="0" t="s">
        <v>453</v>
      </c>
      <c r="D246" s="0">
        <v>0.014800000000000001</v>
      </c>
      <c r="E246" s="0"/>
      <c r="F246" s="0" t="s">
        <v>767</v>
      </c>
      <c r="G246" s="0"/>
      <c r="H246" s="0" t="s">
        <v>1291</v>
      </c>
      <c r="I246" s="0" t="s">
        <v>1732</v>
      </c>
      <c r="J246" s="0"/>
      <c r="K246" s="0" t="s">
        <v>1811</v>
      </c>
      <c r="L246" s="0" t="s">
        <v>1813</v>
      </c>
    </row>
    <row r="247">
      <c r="A247" s="0" t="s">
        <v>45</v>
      </c>
      <c r="B247" s="0" t="s">
        <v>147</v>
      </c>
      <c r="C247" s="0" t="s">
        <v>462</v>
      </c>
      <c r="D247" s="0">
        <v>0.0126</v>
      </c>
      <c r="E247" s="0"/>
      <c r="F247" s="0" t="s">
        <v>768</v>
      </c>
      <c r="G247" s="0"/>
      <c r="H247" s="0" t="s">
        <v>1305</v>
      </c>
      <c r="I247" s="0" t="s">
        <v>1743</v>
      </c>
      <c r="J247" s="0"/>
      <c r="K247" s="0" t="s">
        <v>1811</v>
      </c>
      <c r="L247" s="0" t="s">
        <v>1813</v>
      </c>
    </row>
    <row r="248">
      <c r="A248" s="0" t="s">
        <v>45</v>
      </c>
      <c r="B248" s="0" t="s">
        <v>147</v>
      </c>
      <c r="C248" s="0" t="s">
        <v>132</v>
      </c>
      <c r="D248" s="0">
        <v>12.4</v>
      </c>
      <c r="E248" s="0"/>
      <c r="F248" s="0" t="s">
        <v>769</v>
      </c>
      <c r="G248" s="0"/>
      <c r="H248" s="0"/>
      <c r="I248" s="0" t="s">
        <v>1741</v>
      </c>
      <c r="J248" s="0"/>
      <c r="K248" s="0" t="s">
        <v>1811</v>
      </c>
      <c r="L248" s="0" t="s">
        <v>1813</v>
      </c>
    </row>
    <row r="249">
      <c r="A249" s="0" t="s">
        <v>45</v>
      </c>
      <c r="B249" s="0" t="s">
        <v>147</v>
      </c>
      <c r="C249" s="0" t="s">
        <v>132</v>
      </c>
      <c r="D249" s="0">
        <v>16.899999999999999</v>
      </c>
      <c r="E249" s="0"/>
      <c r="F249" s="0" t="s">
        <v>770</v>
      </c>
      <c r="G249" s="0"/>
      <c r="H249" s="0"/>
      <c r="I249" s="0" t="s">
        <v>1739</v>
      </c>
      <c r="J249" s="0"/>
      <c r="K249" s="0" t="s">
        <v>1811</v>
      </c>
      <c r="L249" s="0" t="s">
        <v>1813</v>
      </c>
    </row>
    <row r="250">
      <c r="A250" s="0" t="s">
        <v>45</v>
      </c>
      <c r="B250" s="0" t="s">
        <v>147</v>
      </c>
      <c r="C250" s="0" t="s">
        <v>463</v>
      </c>
      <c r="D250" s="0">
        <v>3.6099999999999999</v>
      </c>
      <c r="E250" s="0"/>
      <c r="F250" s="0" t="s">
        <v>771</v>
      </c>
      <c r="G250" s="0"/>
      <c r="H250" s="0"/>
      <c r="I250" s="0" t="s">
        <v>1742</v>
      </c>
      <c r="J250" s="0"/>
      <c r="K250" s="0" t="s">
        <v>1811</v>
      </c>
      <c r="L250" s="0" t="s">
        <v>1813</v>
      </c>
    </row>
    <row r="251">
      <c r="A251" s="0" t="s">
        <v>45</v>
      </c>
      <c r="B251" s="0" t="s">
        <v>147</v>
      </c>
      <c r="C251" s="0" t="s">
        <v>447</v>
      </c>
      <c r="D251" s="0">
        <v>0.042599999999999999</v>
      </c>
      <c r="E251" s="0"/>
      <c r="F251" s="0" t="s">
        <v>772</v>
      </c>
      <c r="G251" s="0"/>
      <c r="H251" s="0" t="s">
        <v>1306</v>
      </c>
      <c r="I251" s="0" t="s">
        <v>1732</v>
      </c>
      <c r="J251" s="0"/>
      <c r="K251" s="0" t="s">
        <v>1811</v>
      </c>
      <c r="L251" s="0" t="s">
        <v>1813</v>
      </c>
    </row>
    <row r="252">
      <c r="A252" s="0" t="s">
        <v>45</v>
      </c>
      <c r="B252" s="0" t="s">
        <v>147</v>
      </c>
      <c r="C252" s="0" t="s">
        <v>464</v>
      </c>
      <c r="D252" s="0">
        <v>0.0751</v>
      </c>
      <c r="E252" s="0"/>
      <c r="F252" s="0" t="s">
        <v>773</v>
      </c>
      <c r="G252" s="0"/>
      <c r="H252" s="0" t="s">
        <v>1307</v>
      </c>
      <c r="I252" s="0" t="s">
        <v>1732</v>
      </c>
      <c r="J252" s="0"/>
      <c r="K252" s="0" t="s">
        <v>1811</v>
      </c>
      <c r="L252" s="0" t="s">
        <v>1813</v>
      </c>
    </row>
    <row r="253">
      <c r="A253" s="0" t="s">
        <v>45</v>
      </c>
      <c r="B253" s="0" t="s">
        <v>147</v>
      </c>
      <c r="C253" s="0" t="s">
        <v>429</v>
      </c>
      <c r="D253" s="0">
        <v>0.80000000000000004</v>
      </c>
      <c r="E253" s="0"/>
      <c r="F253" s="0" t="s">
        <v>774</v>
      </c>
      <c r="G253" s="0"/>
      <c r="H253" s="0" t="s">
        <v>1308</v>
      </c>
      <c r="I253" s="0" t="s">
        <v>1730</v>
      </c>
      <c r="J253" s="0"/>
      <c r="K253" s="0" t="s">
        <v>1811</v>
      </c>
      <c r="L253" s="0" t="s">
        <v>1813</v>
      </c>
    </row>
    <row r="254">
      <c r="A254" s="0" t="s">
        <v>45</v>
      </c>
      <c r="B254" s="0" t="s">
        <v>147</v>
      </c>
      <c r="C254" s="0" t="s">
        <v>429</v>
      </c>
      <c r="D254" s="0">
        <v>2.1000000000000001</v>
      </c>
      <c r="E254" s="0"/>
      <c r="F254" s="0" t="s">
        <v>775</v>
      </c>
      <c r="G254" s="0"/>
      <c r="H254" s="0" t="s">
        <v>1309</v>
      </c>
      <c r="I254" s="0" t="s">
        <v>1719</v>
      </c>
      <c r="J254" s="0"/>
      <c r="K254" s="0" t="s">
        <v>1811</v>
      </c>
      <c r="L254" s="0" t="s">
        <v>1813</v>
      </c>
    </row>
    <row r="255">
      <c r="A255" s="0" t="s">
        <v>45</v>
      </c>
      <c r="B255" s="0" t="s">
        <v>147</v>
      </c>
      <c r="C255" s="0" t="s">
        <v>429</v>
      </c>
      <c r="D255" s="0">
        <v>1</v>
      </c>
      <c r="E255" s="0"/>
      <c r="F255" s="0" t="s">
        <v>776</v>
      </c>
      <c r="G255" s="0"/>
      <c r="H255" s="0"/>
      <c r="I255" s="0" t="s">
        <v>1744</v>
      </c>
      <c r="J255" s="0"/>
      <c r="K255" s="0" t="s">
        <v>1811</v>
      </c>
      <c r="L255" s="0" t="s">
        <v>1813</v>
      </c>
    </row>
    <row r="256">
      <c r="A256" s="0" t="s">
        <v>45</v>
      </c>
      <c r="B256" s="0" t="s">
        <v>147</v>
      </c>
      <c r="C256" s="0" t="s">
        <v>132</v>
      </c>
      <c r="D256" s="0">
        <v>2.8999999999999999</v>
      </c>
      <c r="E256" s="0"/>
      <c r="F256" s="0" t="s">
        <v>701</v>
      </c>
      <c r="G256" s="0"/>
      <c r="H256" s="0" t="s">
        <v>1310</v>
      </c>
      <c r="I256" s="0" t="s">
        <v>1740</v>
      </c>
      <c r="J256" s="0"/>
      <c r="K256" s="0" t="s">
        <v>1811</v>
      </c>
      <c r="L256" s="0" t="s">
        <v>1813</v>
      </c>
    </row>
    <row r="257">
      <c r="A257" s="0" t="s">
        <v>45</v>
      </c>
      <c r="B257" s="0" t="s">
        <v>274</v>
      </c>
      <c r="C257" s="0" t="s">
        <v>465</v>
      </c>
      <c r="D257" s="0">
        <v>0.045999999999999999</v>
      </c>
      <c r="E257" s="0"/>
      <c r="F257" s="0" t="s">
        <v>718</v>
      </c>
      <c r="G257" s="0"/>
      <c r="H257" s="0" t="s">
        <v>1311</v>
      </c>
      <c r="I257" s="0" t="s">
        <v>1745</v>
      </c>
      <c r="J257" s="0"/>
      <c r="K257" s="0" t="s">
        <v>1811</v>
      </c>
      <c r="L257" s="0" t="s">
        <v>1813</v>
      </c>
    </row>
    <row r="258">
      <c r="A258" s="0" t="s">
        <v>45</v>
      </c>
      <c r="B258" s="0" t="s">
        <v>274</v>
      </c>
      <c r="C258" s="0" t="s">
        <v>465</v>
      </c>
      <c r="D258" s="0">
        <v>0.048000000000000001</v>
      </c>
      <c r="E258" s="0"/>
      <c r="F258" s="0" t="s">
        <v>777</v>
      </c>
      <c r="G258" s="0"/>
      <c r="H258" s="0" t="s">
        <v>1311</v>
      </c>
      <c r="I258" s="0" t="s">
        <v>1745</v>
      </c>
      <c r="J258" s="0"/>
      <c r="K258" s="0" t="s">
        <v>1811</v>
      </c>
      <c r="L258" s="0" t="s">
        <v>1813</v>
      </c>
    </row>
    <row r="259">
      <c r="A259" s="0" t="s">
        <v>45</v>
      </c>
      <c r="B259" s="0" t="s">
        <v>274</v>
      </c>
      <c r="C259" s="0" t="s">
        <v>465</v>
      </c>
      <c r="D259" s="0">
        <v>0.053999999999999999</v>
      </c>
      <c r="E259" s="0"/>
      <c r="F259" s="0" t="s">
        <v>778</v>
      </c>
      <c r="G259" s="0"/>
      <c r="H259" s="0" t="s">
        <v>1311</v>
      </c>
      <c r="I259" s="0" t="s">
        <v>1745</v>
      </c>
      <c r="J259" s="0"/>
      <c r="K259" s="0" t="s">
        <v>1811</v>
      </c>
      <c r="L259" s="0" t="s">
        <v>1813</v>
      </c>
    </row>
    <row r="260">
      <c r="A260" s="0" t="s">
        <v>45</v>
      </c>
      <c r="B260" s="0" t="s">
        <v>308</v>
      </c>
      <c r="C260" s="0" t="s">
        <v>466</v>
      </c>
      <c r="D260" s="0">
        <v>0.10000000000000001</v>
      </c>
      <c r="E260" s="0"/>
      <c r="F260" s="0" t="s">
        <v>779</v>
      </c>
      <c r="G260" s="0"/>
      <c r="H260" s="0" t="s">
        <v>1312</v>
      </c>
      <c r="I260" s="0" t="s">
        <v>1746</v>
      </c>
      <c r="J260" s="0"/>
      <c r="K260" s="0" t="s">
        <v>1811</v>
      </c>
      <c r="L260" s="0" t="s">
        <v>1813</v>
      </c>
    </row>
    <row r="261">
      <c r="A261" s="0" t="s">
        <v>45</v>
      </c>
      <c r="B261" s="0" t="s">
        <v>308</v>
      </c>
      <c r="C261" s="0" t="s">
        <v>466</v>
      </c>
      <c r="D261" s="0">
        <v>0.0143</v>
      </c>
      <c r="E261" s="0"/>
      <c r="F261" s="0" t="s">
        <v>780</v>
      </c>
      <c r="G261" s="0"/>
      <c r="H261" s="0" t="s">
        <v>1313</v>
      </c>
      <c r="I261" s="0" t="s">
        <v>1746</v>
      </c>
      <c r="J261" s="0"/>
      <c r="K261" s="0" t="s">
        <v>1811</v>
      </c>
      <c r="L261" s="0" t="s">
        <v>1813</v>
      </c>
    </row>
    <row r="262">
      <c r="A262" s="0" t="s">
        <v>45</v>
      </c>
      <c r="B262" s="0" t="s">
        <v>308</v>
      </c>
      <c r="C262" s="0" t="s">
        <v>466</v>
      </c>
      <c r="D262" s="0">
        <v>0.025000000000000001</v>
      </c>
      <c r="E262" s="0"/>
      <c r="F262" s="0" t="s">
        <v>781</v>
      </c>
      <c r="G262" s="0"/>
      <c r="H262" s="0" t="s">
        <v>1314</v>
      </c>
      <c r="I262" s="0" t="s">
        <v>1746</v>
      </c>
      <c r="J262" s="0"/>
      <c r="K262" s="0" t="s">
        <v>1811</v>
      </c>
      <c r="L262" s="0" t="s">
        <v>1813</v>
      </c>
    </row>
    <row r="263">
      <c r="A263" s="0" t="s">
        <v>45</v>
      </c>
      <c r="B263" s="0" t="s">
        <v>308</v>
      </c>
      <c r="C263" s="0" t="s">
        <v>466</v>
      </c>
      <c r="D263" s="0">
        <v>0.067000000000000004</v>
      </c>
      <c r="E263" s="0"/>
      <c r="F263" s="0" t="s">
        <v>782</v>
      </c>
      <c r="G263" s="0"/>
      <c r="H263" s="0" t="s">
        <v>1315</v>
      </c>
      <c r="I263" s="0" t="s">
        <v>1746</v>
      </c>
      <c r="J263" s="0"/>
      <c r="K263" s="0" t="s">
        <v>1811</v>
      </c>
      <c r="L263" s="0" t="s">
        <v>1813</v>
      </c>
    </row>
    <row r="264">
      <c r="A264" s="0" t="s">
        <v>45</v>
      </c>
      <c r="B264" s="0" t="s">
        <v>263</v>
      </c>
      <c r="C264" s="0" t="s">
        <v>438</v>
      </c>
      <c r="D264" s="0">
        <v>0.29999999999999999</v>
      </c>
      <c r="E264" s="0"/>
      <c r="F264" s="0" t="s">
        <v>589</v>
      </c>
      <c r="G264" s="0"/>
      <c r="H264" s="0" t="s">
        <v>1316</v>
      </c>
      <c r="I264" s="0" t="s">
        <v>1747</v>
      </c>
      <c r="J264" s="0"/>
      <c r="K264" s="0" t="s">
        <v>1811</v>
      </c>
      <c r="L264" s="0" t="s">
        <v>1813</v>
      </c>
    </row>
    <row r="265">
      <c r="A265" s="0" t="s">
        <v>45</v>
      </c>
      <c r="B265" s="0" t="s">
        <v>263</v>
      </c>
      <c r="C265" s="0" t="s">
        <v>438</v>
      </c>
      <c r="D265" s="0">
        <v>0.40000000000000002</v>
      </c>
      <c r="E265" s="0"/>
      <c r="F265" s="0" t="s">
        <v>703</v>
      </c>
      <c r="G265" s="0"/>
      <c r="H265" s="0" t="s">
        <v>1317</v>
      </c>
      <c r="I265" s="0" t="s">
        <v>1747</v>
      </c>
      <c r="J265" s="0"/>
      <c r="K265" s="0" t="s">
        <v>1811</v>
      </c>
      <c r="L265" s="0" t="s">
        <v>1813</v>
      </c>
    </row>
    <row r="266">
      <c r="A266" s="0" t="s">
        <v>45</v>
      </c>
      <c r="B266" s="0" t="s">
        <v>263</v>
      </c>
      <c r="C266" s="0" t="s">
        <v>132</v>
      </c>
      <c r="D266" s="0">
        <v>0.80000000000000004</v>
      </c>
      <c r="E266" s="0"/>
      <c r="F266" s="0" t="s">
        <v>774</v>
      </c>
      <c r="G266" s="0"/>
      <c r="H266" s="0" t="s">
        <v>1318</v>
      </c>
      <c r="I266" s="0" t="s">
        <v>1747</v>
      </c>
      <c r="J266" s="0"/>
      <c r="K266" s="0" t="s">
        <v>1811</v>
      </c>
      <c r="L266" s="0" t="s">
        <v>1813</v>
      </c>
    </row>
    <row r="267">
      <c r="A267" s="0" t="s">
        <v>45</v>
      </c>
      <c r="B267" s="0" t="s">
        <v>263</v>
      </c>
      <c r="C267" s="0" t="s">
        <v>132</v>
      </c>
      <c r="D267" s="0">
        <v>1.5</v>
      </c>
      <c r="E267" s="0"/>
      <c r="F267" s="0" t="s">
        <v>570</v>
      </c>
      <c r="G267" s="0"/>
      <c r="H267" s="0" t="s">
        <v>1319</v>
      </c>
      <c r="I267" s="0" t="s">
        <v>1747</v>
      </c>
      <c r="J267" s="0"/>
      <c r="K267" s="0" t="s">
        <v>1811</v>
      </c>
      <c r="L267" s="0" t="s">
        <v>1813</v>
      </c>
    </row>
    <row r="268">
      <c r="A268" s="0" t="s">
        <v>45</v>
      </c>
      <c r="B268" s="0" t="s">
        <v>263</v>
      </c>
      <c r="C268" s="0" t="s">
        <v>132</v>
      </c>
      <c r="D268" s="0">
        <v>0.69999999999999996</v>
      </c>
      <c r="E268" s="0"/>
      <c r="F268" s="0" t="s">
        <v>635</v>
      </c>
      <c r="G268" s="0"/>
      <c r="H268" s="0" t="s">
        <v>1320</v>
      </c>
      <c r="I268" s="0" t="s">
        <v>1747</v>
      </c>
      <c r="J268" s="0"/>
      <c r="K268" s="0" t="s">
        <v>1811</v>
      </c>
      <c r="L268" s="0" t="s">
        <v>1813</v>
      </c>
    </row>
    <row r="269">
      <c r="A269" s="0" t="s">
        <v>45</v>
      </c>
      <c r="B269" s="0" t="s">
        <v>263</v>
      </c>
      <c r="C269" s="0" t="s">
        <v>438</v>
      </c>
      <c r="D269" s="0">
        <v>0.69999999999999996</v>
      </c>
      <c r="E269" s="0"/>
      <c r="F269" s="0" t="s">
        <v>635</v>
      </c>
      <c r="G269" s="0"/>
      <c r="H269" s="0" t="s">
        <v>1321</v>
      </c>
      <c r="I269" s="0" t="s">
        <v>1747</v>
      </c>
      <c r="J269" s="0"/>
      <c r="K269" s="0" t="s">
        <v>1811</v>
      </c>
      <c r="L269" s="0" t="s">
        <v>1813</v>
      </c>
    </row>
    <row r="270">
      <c r="A270" s="0" t="s">
        <v>45</v>
      </c>
      <c r="B270" s="0" t="s">
        <v>263</v>
      </c>
      <c r="C270" s="0" t="s">
        <v>132</v>
      </c>
      <c r="D270" s="0">
        <v>1.6000000000000001</v>
      </c>
      <c r="E270" s="0"/>
      <c r="F270" s="0" t="s">
        <v>783</v>
      </c>
      <c r="G270" s="0"/>
      <c r="H270" s="0" t="s">
        <v>1322</v>
      </c>
      <c r="I270" s="0" t="s">
        <v>1747</v>
      </c>
      <c r="J270" s="0"/>
      <c r="K270" s="0" t="s">
        <v>1811</v>
      </c>
      <c r="L270" s="0" t="s">
        <v>1813</v>
      </c>
    </row>
    <row r="271">
      <c r="A271" s="0" t="s">
        <v>45</v>
      </c>
      <c r="B271" s="0" t="s">
        <v>263</v>
      </c>
      <c r="C271" s="0" t="s">
        <v>438</v>
      </c>
      <c r="D271" s="0">
        <v>10.6</v>
      </c>
      <c r="E271" s="0"/>
      <c r="F271" s="0" t="s">
        <v>784</v>
      </c>
      <c r="G271" s="0"/>
      <c r="H271" s="0" t="s">
        <v>1323</v>
      </c>
      <c r="I271" s="0" t="s">
        <v>1747</v>
      </c>
      <c r="J271" s="0"/>
      <c r="K271" s="0" t="s">
        <v>1811</v>
      </c>
      <c r="L271" s="0" t="s">
        <v>1813</v>
      </c>
    </row>
    <row r="272">
      <c r="A272" s="0" t="s">
        <v>45</v>
      </c>
      <c r="B272" s="0" t="s">
        <v>263</v>
      </c>
      <c r="C272" s="0" t="s">
        <v>132</v>
      </c>
      <c r="D272" s="0">
        <v>0.93999999999999995</v>
      </c>
      <c r="E272" s="0"/>
      <c r="F272" s="0" t="s">
        <v>785</v>
      </c>
      <c r="G272" s="0"/>
      <c r="H272" s="0" t="s">
        <v>1324</v>
      </c>
      <c r="I272" s="0" t="s">
        <v>1747</v>
      </c>
      <c r="J272" s="0"/>
      <c r="K272" s="0" t="s">
        <v>1811</v>
      </c>
      <c r="L272" s="0" t="s">
        <v>1813</v>
      </c>
    </row>
    <row r="273">
      <c r="A273" s="0" t="s">
        <v>45</v>
      </c>
      <c r="B273" s="0" t="s">
        <v>263</v>
      </c>
      <c r="C273" s="0" t="s">
        <v>438</v>
      </c>
      <c r="D273" s="0">
        <v>8.1999999999999993</v>
      </c>
      <c r="E273" s="0"/>
      <c r="F273" s="0" t="s">
        <v>786</v>
      </c>
      <c r="G273" s="0"/>
      <c r="H273" s="0" t="s">
        <v>1325</v>
      </c>
      <c r="I273" s="0" t="s">
        <v>1747</v>
      </c>
      <c r="J273" s="0"/>
      <c r="K273" s="0" t="s">
        <v>1811</v>
      </c>
      <c r="L273" s="0" t="s">
        <v>1813</v>
      </c>
    </row>
    <row r="274">
      <c r="A274" s="0" t="s">
        <v>45</v>
      </c>
      <c r="B274" s="0" t="s">
        <v>286</v>
      </c>
      <c r="C274" s="0" t="s">
        <v>443</v>
      </c>
      <c r="D274" s="0">
        <v>0.40999999999999998</v>
      </c>
      <c r="E274" s="0"/>
      <c r="F274" s="0" t="s">
        <v>648</v>
      </c>
      <c r="G274" s="0"/>
      <c r="H274" s="0"/>
      <c r="I274" s="0" t="s">
        <v>907</v>
      </c>
      <c r="J274" s="0"/>
      <c r="K274" s="0" t="s">
        <v>1811</v>
      </c>
      <c r="L274" s="0" t="s">
        <v>1813</v>
      </c>
    </row>
    <row r="275">
      <c r="A275" s="0" t="s">
        <v>45</v>
      </c>
      <c r="B275" s="0" t="s">
        <v>286</v>
      </c>
      <c r="C275" s="0" t="s">
        <v>429</v>
      </c>
      <c r="D275" s="0">
        <v>0.20999999999999999</v>
      </c>
      <c r="E275" s="0"/>
      <c r="F275" s="0" t="s">
        <v>713</v>
      </c>
      <c r="G275" s="0"/>
      <c r="H275" s="0" t="s">
        <v>1326</v>
      </c>
      <c r="I275" s="0" t="s">
        <v>828</v>
      </c>
      <c r="J275" s="0"/>
      <c r="K275" s="0" t="s">
        <v>1811</v>
      </c>
      <c r="L275" s="0" t="s">
        <v>1813</v>
      </c>
    </row>
    <row r="276">
      <c r="A276" s="0" t="s">
        <v>45</v>
      </c>
      <c r="B276" s="0" t="s">
        <v>286</v>
      </c>
      <c r="C276" s="0" t="s">
        <v>443</v>
      </c>
      <c r="D276" s="0">
        <v>0.48999999999999999</v>
      </c>
      <c r="E276" s="0"/>
      <c r="F276" s="0" t="s">
        <v>787</v>
      </c>
      <c r="G276" s="0"/>
      <c r="H276" s="0" t="s">
        <v>1327</v>
      </c>
      <c r="I276" s="0" t="s">
        <v>1748</v>
      </c>
      <c r="J276" s="0"/>
      <c r="K276" s="0" t="s">
        <v>1811</v>
      </c>
      <c r="L276" s="0" t="s">
        <v>1813</v>
      </c>
    </row>
    <row r="277">
      <c r="A277" s="0" t="s">
        <v>45</v>
      </c>
      <c r="B277" s="0" t="s">
        <v>286</v>
      </c>
      <c r="C277" s="0" t="s">
        <v>429</v>
      </c>
      <c r="D277" s="0">
        <v>0.90000000000000002</v>
      </c>
      <c r="E277" s="0"/>
      <c r="F277" s="0" t="s">
        <v>788</v>
      </c>
      <c r="G277" s="0"/>
      <c r="H277" s="0" t="s">
        <v>1328</v>
      </c>
      <c r="I277" s="0" t="s">
        <v>803</v>
      </c>
      <c r="J277" s="0"/>
      <c r="K277" s="0" t="s">
        <v>1811</v>
      </c>
      <c r="L277" s="0" t="s">
        <v>1813</v>
      </c>
    </row>
    <row r="278">
      <c r="A278" s="0" t="s">
        <v>45</v>
      </c>
      <c r="B278" s="0" t="s">
        <v>286</v>
      </c>
      <c r="C278" s="0" t="s">
        <v>132</v>
      </c>
      <c r="D278" s="0">
        <v>20</v>
      </c>
      <c r="E278" s="0"/>
      <c r="F278" s="0" t="s">
        <v>789</v>
      </c>
      <c r="G278" s="0"/>
      <c r="H278" s="0"/>
      <c r="I278" s="0" t="s">
        <v>1749</v>
      </c>
      <c r="J278" s="0"/>
      <c r="K278" s="0" t="s">
        <v>1811</v>
      </c>
      <c r="L278" s="0" t="s">
        <v>1813</v>
      </c>
    </row>
    <row r="279">
      <c r="A279" s="0" t="s">
        <v>45</v>
      </c>
      <c r="B279" s="0" t="s">
        <v>286</v>
      </c>
      <c r="C279" s="0" t="s">
        <v>429</v>
      </c>
      <c r="D279" s="0">
        <v>0.32000000000000001</v>
      </c>
      <c r="E279" s="0"/>
      <c r="F279" s="0" t="s">
        <v>591</v>
      </c>
      <c r="G279" s="0"/>
      <c r="H279" s="0" t="s">
        <v>1329</v>
      </c>
      <c r="I279" s="0" t="s">
        <v>828</v>
      </c>
      <c r="J279" s="0"/>
      <c r="K279" s="0" t="s">
        <v>1811</v>
      </c>
      <c r="L279" s="0" t="s">
        <v>1813</v>
      </c>
    </row>
    <row r="280">
      <c r="A280" s="0" t="s">
        <v>45</v>
      </c>
      <c r="B280" s="0" t="s">
        <v>286</v>
      </c>
      <c r="C280" s="0" t="s">
        <v>443</v>
      </c>
      <c r="D280" s="0">
        <v>0.39000000000000001</v>
      </c>
      <c r="E280" s="0"/>
      <c r="F280" s="0" t="s">
        <v>719</v>
      </c>
      <c r="G280" s="0"/>
      <c r="H280" s="0" t="s">
        <v>1330</v>
      </c>
      <c r="I280" s="0" t="s">
        <v>1748</v>
      </c>
      <c r="J280" s="0"/>
      <c r="K280" s="0" t="s">
        <v>1811</v>
      </c>
      <c r="L280" s="0" t="s">
        <v>1813</v>
      </c>
    </row>
    <row r="281">
      <c r="A281" s="0" t="s">
        <v>45</v>
      </c>
      <c r="B281" s="0" t="s">
        <v>286</v>
      </c>
      <c r="C281" s="0" t="s">
        <v>132</v>
      </c>
      <c r="D281" s="0">
        <v>4</v>
      </c>
      <c r="E281" s="0"/>
      <c r="F281" s="0" t="s">
        <v>734</v>
      </c>
      <c r="G281" s="0"/>
      <c r="H281" s="0" t="s">
        <v>1331</v>
      </c>
      <c r="I281" s="0" t="s">
        <v>828</v>
      </c>
      <c r="J281" s="0"/>
      <c r="K281" s="0" t="s">
        <v>1811</v>
      </c>
      <c r="L281" s="0" t="s">
        <v>1813</v>
      </c>
    </row>
    <row r="282">
      <c r="A282" s="0" t="s">
        <v>45</v>
      </c>
      <c r="B282" s="0" t="s">
        <v>286</v>
      </c>
      <c r="C282" s="0" t="s">
        <v>467</v>
      </c>
      <c r="D282" s="0">
        <v>0.031</v>
      </c>
      <c r="E282" s="0"/>
      <c r="F282" s="0" t="s">
        <v>790</v>
      </c>
      <c r="G282" s="0"/>
      <c r="H282" s="0"/>
      <c r="I282" s="0" t="s">
        <v>642</v>
      </c>
      <c r="J282" s="0"/>
      <c r="K282" s="0" t="s">
        <v>1811</v>
      </c>
      <c r="L282" s="0" t="s">
        <v>1813</v>
      </c>
    </row>
    <row r="283">
      <c r="A283" s="0" t="s">
        <v>45</v>
      </c>
      <c r="B283" s="0" t="s">
        <v>286</v>
      </c>
      <c r="C283" s="0" t="s">
        <v>468</v>
      </c>
      <c r="D283" s="0">
        <v>1.0900000000000001</v>
      </c>
      <c r="E283" s="0"/>
      <c r="F283" s="0" t="s">
        <v>762</v>
      </c>
      <c r="G283" s="0"/>
      <c r="H283" s="0" t="s">
        <v>1332</v>
      </c>
      <c r="I283" s="0" t="s">
        <v>642</v>
      </c>
      <c r="J283" s="0"/>
      <c r="K283" s="0" t="s">
        <v>1811</v>
      </c>
      <c r="L283" s="0" t="s">
        <v>1813</v>
      </c>
    </row>
    <row r="284">
      <c r="A284" s="0" t="s">
        <v>45</v>
      </c>
      <c r="B284" s="0" t="s">
        <v>286</v>
      </c>
      <c r="C284" s="0" t="s">
        <v>429</v>
      </c>
      <c r="D284" s="0">
        <v>1.1000000000000001</v>
      </c>
      <c r="E284" s="0"/>
      <c r="F284" s="0" t="s">
        <v>576</v>
      </c>
      <c r="G284" s="0"/>
      <c r="H284" s="0"/>
      <c r="I284" s="0" t="s">
        <v>585</v>
      </c>
      <c r="J284" s="0"/>
      <c r="K284" s="0" t="s">
        <v>1811</v>
      </c>
      <c r="L284" s="0" t="s">
        <v>1813</v>
      </c>
    </row>
    <row r="285">
      <c r="A285" s="0" t="s">
        <v>45</v>
      </c>
      <c r="B285" s="0" t="s">
        <v>286</v>
      </c>
      <c r="C285" s="0" t="s">
        <v>457</v>
      </c>
      <c r="D285" s="0">
        <v>0.76000000000000001</v>
      </c>
      <c r="E285" s="0"/>
      <c r="F285" s="0" t="s">
        <v>601</v>
      </c>
      <c r="G285" s="0"/>
      <c r="H285" s="0" t="s">
        <v>1333</v>
      </c>
      <c r="I285" s="0" t="s">
        <v>642</v>
      </c>
      <c r="J285" s="0"/>
      <c r="K285" s="0" t="s">
        <v>1811</v>
      </c>
      <c r="L285" s="0" t="s">
        <v>1813</v>
      </c>
    </row>
    <row r="286">
      <c r="A286" s="0" t="s">
        <v>45</v>
      </c>
      <c r="B286" s="0" t="s">
        <v>286</v>
      </c>
      <c r="C286" s="0" t="s">
        <v>132</v>
      </c>
      <c r="D286" s="0">
        <v>7.5999999999999997</v>
      </c>
      <c r="E286" s="0"/>
      <c r="F286" s="0" t="s">
        <v>791</v>
      </c>
      <c r="G286" s="0"/>
      <c r="H286" s="0"/>
      <c r="I286" s="0" t="s">
        <v>819</v>
      </c>
      <c r="J286" s="0"/>
      <c r="K286" s="0" t="s">
        <v>1811</v>
      </c>
      <c r="L286" s="0" t="s">
        <v>1813</v>
      </c>
    </row>
    <row r="287">
      <c r="A287" s="0" t="s">
        <v>45</v>
      </c>
      <c r="B287" s="0" t="s">
        <v>286</v>
      </c>
      <c r="C287" s="0" t="s">
        <v>132</v>
      </c>
      <c r="D287" s="0">
        <v>4.3499999999999996</v>
      </c>
      <c r="E287" s="0"/>
      <c r="F287" s="0" t="s">
        <v>792</v>
      </c>
      <c r="G287" s="0"/>
      <c r="H287" s="0" t="s">
        <v>1334</v>
      </c>
      <c r="I287" s="0" t="s">
        <v>828</v>
      </c>
      <c r="J287" s="0"/>
      <c r="K287" s="0" t="s">
        <v>1811</v>
      </c>
      <c r="L287" s="0" t="s">
        <v>1813</v>
      </c>
    </row>
    <row r="288">
      <c r="A288" s="0" t="s">
        <v>45</v>
      </c>
      <c r="B288" s="0" t="s">
        <v>286</v>
      </c>
      <c r="C288" s="0" t="s">
        <v>429</v>
      </c>
      <c r="D288" s="0">
        <v>0.20999999999999999</v>
      </c>
      <c r="E288" s="0"/>
      <c r="F288" s="0" t="s">
        <v>713</v>
      </c>
      <c r="G288" s="0"/>
      <c r="H288" s="0" t="s">
        <v>1335</v>
      </c>
      <c r="I288" s="0" t="s">
        <v>642</v>
      </c>
      <c r="J288" s="0"/>
      <c r="K288" s="0" t="s">
        <v>1811</v>
      </c>
      <c r="L288" s="0" t="s">
        <v>1813</v>
      </c>
    </row>
    <row r="289">
      <c r="A289" s="0" t="s">
        <v>45</v>
      </c>
      <c r="B289" s="0" t="s">
        <v>286</v>
      </c>
      <c r="C289" s="0" t="s">
        <v>132</v>
      </c>
      <c r="D289" s="0">
        <v>4</v>
      </c>
      <c r="E289" s="0"/>
      <c r="F289" s="0" t="s">
        <v>734</v>
      </c>
      <c r="G289" s="0"/>
      <c r="H289" s="0" t="s">
        <v>1336</v>
      </c>
      <c r="I289" s="0" t="s">
        <v>642</v>
      </c>
      <c r="J289" s="0"/>
      <c r="K289" s="0" t="s">
        <v>1811</v>
      </c>
      <c r="L289" s="0" t="s">
        <v>1813</v>
      </c>
    </row>
    <row r="290">
      <c r="A290" s="0" t="s">
        <v>45</v>
      </c>
      <c r="B290" s="0" t="s">
        <v>286</v>
      </c>
      <c r="C290" s="0" t="s">
        <v>429</v>
      </c>
      <c r="D290" s="0">
        <v>0.13</v>
      </c>
      <c r="E290" s="0"/>
      <c r="F290" s="0" t="s">
        <v>793</v>
      </c>
      <c r="G290" s="0"/>
      <c r="H290" s="0" t="s">
        <v>1337</v>
      </c>
      <c r="I290" s="0" t="s">
        <v>623</v>
      </c>
      <c r="J290" s="0"/>
      <c r="K290" s="0" t="s">
        <v>1811</v>
      </c>
      <c r="L290" s="0" t="s">
        <v>1813</v>
      </c>
    </row>
    <row r="291">
      <c r="A291" s="0" t="s">
        <v>45</v>
      </c>
      <c r="B291" s="0" t="s">
        <v>286</v>
      </c>
      <c r="C291" s="0" t="s">
        <v>429</v>
      </c>
      <c r="D291" s="0">
        <v>0.0050000000000000001</v>
      </c>
      <c r="E291" s="0"/>
      <c r="F291" s="0" t="s">
        <v>794</v>
      </c>
      <c r="G291" s="0"/>
      <c r="H291" s="0" t="s">
        <v>1338</v>
      </c>
      <c r="I291" s="0" t="s">
        <v>1750</v>
      </c>
      <c r="J291" s="0"/>
      <c r="K291" s="0" t="s">
        <v>1811</v>
      </c>
      <c r="L291" s="0" t="s">
        <v>1813</v>
      </c>
    </row>
    <row r="292">
      <c r="A292" s="0" t="s">
        <v>45</v>
      </c>
      <c r="B292" s="0" t="s">
        <v>263</v>
      </c>
      <c r="C292" s="0" t="s">
        <v>438</v>
      </c>
      <c r="D292" s="0">
        <v>0.68999999999999995</v>
      </c>
      <c r="E292" s="0"/>
      <c r="F292" s="0" t="s">
        <v>795</v>
      </c>
      <c r="G292" s="0"/>
      <c r="H292" s="0" t="s">
        <v>1339</v>
      </c>
      <c r="I292" s="0" t="s">
        <v>1751</v>
      </c>
      <c r="J292" s="0"/>
      <c r="K292" s="0" t="s">
        <v>1811</v>
      </c>
      <c r="L292" s="0" t="s">
        <v>1813</v>
      </c>
    </row>
    <row r="293">
      <c r="A293" s="0" t="s">
        <v>45</v>
      </c>
      <c r="B293" s="0" t="s">
        <v>263</v>
      </c>
      <c r="C293" s="0" t="s">
        <v>438</v>
      </c>
      <c r="D293" s="0">
        <v>0.57999999999999996</v>
      </c>
      <c r="E293" s="0"/>
      <c r="F293" s="0" t="s">
        <v>796</v>
      </c>
      <c r="G293" s="0"/>
      <c r="H293" s="0" t="s">
        <v>1340</v>
      </c>
      <c r="I293" s="0" t="s">
        <v>1751</v>
      </c>
      <c r="J293" s="0"/>
      <c r="K293" s="0" t="s">
        <v>1811</v>
      </c>
      <c r="L293" s="0" t="s">
        <v>1813</v>
      </c>
    </row>
    <row r="294">
      <c r="A294" s="0" t="s">
        <v>45</v>
      </c>
      <c r="B294" s="0" t="s">
        <v>263</v>
      </c>
      <c r="C294" s="0" t="s">
        <v>438</v>
      </c>
      <c r="D294" s="0">
        <v>0.76000000000000001</v>
      </c>
      <c r="E294" s="0"/>
      <c r="F294" s="0" t="s">
        <v>601</v>
      </c>
      <c r="G294" s="0"/>
      <c r="H294" s="0" t="s">
        <v>1341</v>
      </c>
      <c r="I294" s="0" t="s">
        <v>1751</v>
      </c>
      <c r="J294" s="0"/>
      <c r="K294" s="0" t="s">
        <v>1811</v>
      </c>
      <c r="L294" s="0" t="s">
        <v>1813</v>
      </c>
    </row>
    <row r="295">
      <c r="A295" s="0" t="s">
        <v>45</v>
      </c>
      <c r="B295" s="0" t="s">
        <v>263</v>
      </c>
      <c r="C295" s="0" t="s">
        <v>438</v>
      </c>
      <c r="D295" s="0">
        <v>0.41999999999999999</v>
      </c>
      <c r="E295" s="0"/>
      <c r="F295" s="0" t="s">
        <v>797</v>
      </c>
      <c r="G295" s="0"/>
      <c r="H295" s="0" t="s">
        <v>1342</v>
      </c>
      <c r="I295" s="0" t="s">
        <v>1751</v>
      </c>
      <c r="J295" s="0"/>
      <c r="K295" s="0" t="s">
        <v>1811</v>
      </c>
      <c r="L295" s="0" t="s">
        <v>1813</v>
      </c>
    </row>
    <row r="296">
      <c r="A296" s="0" t="s">
        <v>45</v>
      </c>
      <c r="B296" s="0" t="s">
        <v>309</v>
      </c>
      <c r="C296" s="0" t="s">
        <v>438</v>
      </c>
      <c r="D296" s="0">
        <v>0.123</v>
      </c>
      <c r="E296" s="0"/>
      <c r="F296" s="0" t="s">
        <v>798</v>
      </c>
      <c r="G296" s="0"/>
      <c r="H296" s="0" t="s">
        <v>1343</v>
      </c>
      <c r="I296" s="0" t="s">
        <v>1752</v>
      </c>
      <c r="J296" s="0"/>
      <c r="K296" s="0" t="s">
        <v>1811</v>
      </c>
      <c r="L296" s="0" t="s">
        <v>1813</v>
      </c>
    </row>
    <row r="297">
      <c r="A297" s="0" t="s">
        <v>45</v>
      </c>
      <c r="B297" s="0" t="s">
        <v>299</v>
      </c>
      <c r="C297" s="0" t="s">
        <v>438</v>
      </c>
      <c r="D297" s="0">
        <v>0.021000000000000001</v>
      </c>
      <c r="E297" s="0"/>
      <c r="F297" s="0" t="s">
        <v>756</v>
      </c>
      <c r="G297" s="0"/>
      <c r="H297" s="0" t="s">
        <v>1344</v>
      </c>
      <c r="I297" s="0" t="s">
        <v>1753</v>
      </c>
      <c r="J297" s="0"/>
      <c r="K297" s="0" t="s">
        <v>1811</v>
      </c>
      <c r="L297" s="0" t="s">
        <v>1813</v>
      </c>
    </row>
    <row r="298">
      <c r="A298" s="0" t="s">
        <v>45</v>
      </c>
      <c r="B298" s="0" t="s">
        <v>299</v>
      </c>
      <c r="C298" s="0" t="s">
        <v>132</v>
      </c>
      <c r="D298" s="0">
        <v>0.0070000000000000001</v>
      </c>
      <c r="E298" s="0"/>
      <c r="F298" s="0" t="s">
        <v>799</v>
      </c>
      <c r="G298" s="0"/>
      <c r="H298" s="0" t="s">
        <v>1344</v>
      </c>
      <c r="I298" s="0" t="s">
        <v>1753</v>
      </c>
      <c r="J298" s="0"/>
      <c r="K298" s="0" t="s">
        <v>1811</v>
      </c>
      <c r="L298" s="0" t="s">
        <v>1813</v>
      </c>
    </row>
    <row r="299">
      <c r="A299" s="0" t="s">
        <v>45</v>
      </c>
      <c r="B299" s="0" t="s">
        <v>310</v>
      </c>
      <c r="C299" s="0" t="s">
        <v>438</v>
      </c>
      <c r="D299" s="0">
        <v>3.6000000000000001</v>
      </c>
      <c r="E299" s="0"/>
      <c r="F299" s="0" t="s">
        <v>800</v>
      </c>
      <c r="G299" s="0"/>
      <c r="H299" s="0" t="s">
        <v>1345</v>
      </c>
      <c r="I299" s="0" t="s">
        <v>1754</v>
      </c>
      <c r="J299" s="0"/>
      <c r="K299" s="0" t="s">
        <v>1811</v>
      </c>
      <c r="L299" s="0" t="s">
        <v>1813</v>
      </c>
    </row>
    <row r="300">
      <c r="A300" s="0" t="s">
        <v>45</v>
      </c>
      <c r="B300" s="0" t="s">
        <v>254</v>
      </c>
      <c r="C300" s="0" t="s">
        <v>440</v>
      </c>
      <c r="D300" s="0">
        <v>0.0057000000000000002</v>
      </c>
      <c r="E300" s="0"/>
      <c r="F300" s="0" t="s">
        <v>801</v>
      </c>
      <c r="G300" s="0"/>
      <c r="H300" s="0"/>
      <c r="I300" s="0" t="s">
        <v>705</v>
      </c>
      <c r="J300" s="0"/>
      <c r="K300" s="0" t="s">
        <v>1811</v>
      </c>
      <c r="L300" s="0" t="s">
        <v>1813</v>
      </c>
    </row>
    <row r="301">
      <c r="A301" s="0" t="s">
        <v>45</v>
      </c>
      <c r="B301" s="0" t="s">
        <v>254</v>
      </c>
      <c r="C301" s="0" t="s">
        <v>469</v>
      </c>
      <c r="D301" s="0">
        <v>0.0056</v>
      </c>
      <c r="E301" s="0"/>
      <c r="F301" s="0" t="s">
        <v>802</v>
      </c>
      <c r="G301" s="0"/>
      <c r="H301" s="0"/>
      <c r="I301" s="0" t="s">
        <v>705</v>
      </c>
      <c r="J301" s="0"/>
      <c r="K301" s="0" t="s">
        <v>1811</v>
      </c>
      <c r="L301" s="0" t="s">
        <v>1813</v>
      </c>
    </row>
    <row r="302">
      <c r="A302" s="0" t="s">
        <v>45</v>
      </c>
      <c r="B302" s="0" t="s">
        <v>241</v>
      </c>
      <c r="C302" s="0" t="s">
        <v>440</v>
      </c>
      <c r="D302" s="0">
        <v>18</v>
      </c>
      <c r="E302" s="0"/>
      <c r="F302" s="0" t="s">
        <v>803</v>
      </c>
      <c r="G302" s="0"/>
      <c r="H302" s="0"/>
      <c r="I302" s="0" t="s">
        <v>1755</v>
      </c>
      <c r="J302" s="0"/>
      <c r="K302" s="0" t="s">
        <v>1811</v>
      </c>
      <c r="L302" s="0" t="s">
        <v>1813</v>
      </c>
    </row>
    <row r="303">
      <c r="A303" s="0" t="s">
        <v>46</v>
      </c>
      <c r="B303" s="0" t="s">
        <v>311</v>
      </c>
      <c r="C303" s="0" t="s">
        <v>470</v>
      </c>
      <c r="D303" s="0">
        <v>0.5</v>
      </c>
      <c r="E303" s="0"/>
      <c r="F303" s="0" t="s">
        <v>632</v>
      </c>
      <c r="G303" s="0"/>
      <c r="H303" s="0" t="s">
        <v>1346</v>
      </c>
      <c r="I303" s="0" t="s">
        <v>640</v>
      </c>
      <c r="J303" s="0"/>
      <c r="K303" s="0" t="s">
        <v>1811</v>
      </c>
      <c r="L303" s="0" t="s">
        <v>1813</v>
      </c>
    </row>
    <row r="304">
      <c r="A304" s="0" t="s">
        <v>46</v>
      </c>
      <c r="B304" s="0" t="s">
        <v>311</v>
      </c>
      <c r="C304" s="0" t="s">
        <v>471</v>
      </c>
      <c r="D304" s="0">
        <v>1.7</v>
      </c>
      <c r="E304" s="0"/>
      <c r="F304" s="0" t="s">
        <v>652</v>
      </c>
      <c r="G304" s="0"/>
      <c r="H304" s="0" t="s">
        <v>1346</v>
      </c>
      <c r="I304" s="0" t="s">
        <v>640</v>
      </c>
      <c r="J304" s="0"/>
      <c r="K304" s="0" t="s">
        <v>1811</v>
      </c>
      <c r="L304" s="0" t="s">
        <v>1813</v>
      </c>
    </row>
    <row r="305">
      <c r="A305" s="0" t="s">
        <v>46</v>
      </c>
      <c r="B305" s="0" t="s">
        <v>311</v>
      </c>
      <c r="C305" s="0" t="s">
        <v>470</v>
      </c>
      <c r="D305" s="0">
        <v>2.1000000000000001</v>
      </c>
      <c r="E305" s="0"/>
      <c r="F305" s="0" t="s">
        <v>775</v>
      </c>
      <c r="G305" s="0"/>
      <c r="H305" s="0"/>
      <c r="I305" s="0" t="s">
        <v>1756</v>
      </c>
      <c r="J305" s="0"/>
      <c r="K305" s="0" t="s">
        <v>1811</v>
      </c>
      <c r="L305" s="0" t="s">
        <v>1813</v>
      </c>
    </row>
    <row r="306">
      <c r="A306" s="0" t="s">
        <v>46</v>
      </c>
      <c r="B306" s="0" t="s">
        <v>311</v>
      </c>
      <c r="C306" s="0" t="s">
        <v>471</v>
      </c>
      <c r="D306" s="0">
        <v>11</v>
      </c>
      <c r="E306" s="0"/>
      <c r="F306" s="0" t="s">
        <v>595</v>
      </c>
      <c r="G306" s="0"/>
      <c r="H306" s="0" t="s">
        <v>1347</v>
      </c>
      <c r="I306" s="0" t="s">
        <v>640</v>
      </c>
      <c r="J306" s="0"/>
      <c r="K306" s="0" t="s">
        <v>1811</v>
      </c>
      <c r="L306" s="0" t="s">
        <v>1813</v>
      </c>
    </row>
    <row r="307">
      <c r="A307" s="0" t="s">
        <v>46</v>
      </c>
      <c r="B307" s="0" t="s">
        <v>311</v>
      </c>
      <c r="C307" s="0" t="s">
        <v>471</v>
      </c>
      <c r="D307" s="0">
        <v>8.1999999999999993</v>
      </c>
      <c r="E307" s="0"/>
      <c r="F307" s="0" t="s">
        <v>786</v>
      </c>
      <c r="G307" s="0"/>
      <c r="H307" s="0"/>
      <c r="I307" s="0" t="s">
        <v>1756</v>
      </c>
      <c r="J307" s="0"/>
      <c r="K307" s="0" t="s">
        <v>1811</v>
      </c>
      <c r="L307" s="0" t="s">
        <v>1813</v>
      </c>
    </row>
    <row r="308">
      <c r="A308" s="0" t="s">
        <v>46</v>
      </c>
      <c r="B308" s="0" t="s">
        <v>311</v>
      </c>
      <c r="C308" s="0" t="s">
        <v>472</v>
      </c>
      <c r="D308" s="0">
        <v>6.0999999999999997</v>
      </c>
      <c r="E308" s="0"/>
      <c r="F308" s="0" t="s">
        <v>804</v>
      </c>
      <c r="G308" s="0"/>
      <c r="H308" s="0" t="s">
        <v>1348</v>
      </c>
      <c r="I308" s="0" t="s">
        <v>1722</v>
      </c>
      <c r="J308" s="0"/>
      <c r="K308" s="0" t="s">
        <v>1811</v>
      </c>
      <c r="L308" s="0" t="s">
        <v>1813</v>
      </c>
    </row>
    <row r="309">
      <c r="A309" s="0" t="s">
        <v>46</v>
      </c>
      <c r="B309" s="0" t="s">
        <v>311</v>
      </c>
      <c r="C309" s="0" t="s">
        <v>133</v>
      </c>
      <c r="D309" s="0">
        <v>9.3000000000000007</v>
      </c>
      <c r="E309" s="0"/>
      <c r="F309" s="0" t="s">
        <v>645</v>
      </c>
      <c r="G309" s="0"/>
      <c r="H309" s="0" t="s">
        <v>1348</v>
      </c>
      <c r="I309" s="0" t="s">
        <v>1722</v>
      </c>
      <c r="J309" s="0"/>
      <c r="K309" s="0" t="s">
        <v>1811</v>
      </c>
      <c r="L309" s="0" t="s">
        <v>1813</v>
      </c>
    </row>
    <row r="310">
      <c r="A310" s="0" t="s">
        <v>46</v>
      </c>
      <c r="B310" s="0" t="s">
        <v>311</v>
      </c>
      <c r="C310" s="0" t="s">
        <v>470</v>
      </c>
      <c r="D310" s="0">
        <v>2.2000000000000002</v>
      </c>
      <c r="E310" s="0"/>
      <c r="F310" s="0" t="s">
        <v>638</v>
      </c>
      <c r="G310" s="0"/>
      <c r="H310" s="0" t="s">
        <v>1349</v>
      </c>
      <c r="I310" s="0" t="s">
        <v>640</v>
      </c>
      <c r="J310" s="0"/>
      <c r="K310" s="0" t="s">
        <v>1811</v>
      </c>
      <c r="L310" s="0" t="s">
        <v>1813</v>
      </c>
    </row>
    <row r="311">
      <c r="A311" s="0" t="s">
        <v>46</v>
      </c>
      <c r="B311" s="0" t="s">
        <v>311</v>
      </c>
      <c r="C311" s="0" t="s">
        <v>470</v>
      </c>
      <c r="D311" s="0">
        <v>2</v>
      </c>
      <c r="E311" s="0"/>
      <c r="F311" s="0" t="s">
        <v>805</v>
      </c>
      <c r="G311" s="0"/>
      <c r="H311" s="0"/>
      <c r="I311" s="0" t="s">
        <v>1757</v>
      </c>
      <c r="J311" s="0"/>
      <c r="K311" s="0" t="s">
        <v>1811</v>
      </c>
      <c r="L311" s="0" t="s">
        <v>1813</v>
      </c>
    </row>
    <row r="312">
      <c r="A312" s="0" t="s">
        <v>46</v>
      </c>
      <c r="B312" s="0" t="s">
        <v>311</v>
      </c>
      <c r="C312" s="0" t="s">
        <v>471</v>
      </c>
      <c r="D312" s="0">
        <v>2.7000000000000002</v>
      </c>
      <c r="E312" s="0"/>
      <c r="F312" s="0" t="s">
        <v>636</v>
      </c>
      <c r="G312" s="0"/>
      <c r="H312" s="0" t="s">
        <v>1350</v>
      </c>
      <c r="I312" s="0" t="s">
        <v>1758</v>
      </c>
      <c r="J312" s="0"/>
      <c r="K312" s="0" t="s">
        <v>1811</v>
      </c>
      <c r="L312" s="0" t="s">
        <v>1813</v>
      </c>
    </row>
    <row r="313">
      <c r="A313" s="0" t="s">
        <v>46</v>
      </c>
      <c r="B313" s="0" t="s">
        <v>264</v>
      </c>
      <c r="C313" s="0" t="s">
        <v>471</v>
      </c>
      <c r="D313" s="0">
        <v>1.3999999999999999</v>
      </c>
      <c r="E313" s="0"/>
      <c r="F313" s="0" t="s">
        <v>759</v>
      </c>
      <c r="G313" s="0"/>
      <c r="H313" s="0" t="s">
        <v>1351</v>
      </c>
      <c r="I313" s="0" t="s">
        <v>1759</v>
      </c>
      <c r="J313" s="0"/>
      <c r="K313" s="0" t="s">
        <v>1811</v>
      </c>
      <c r="L313" s="0" t="s">
        <v>1813</v>
      </c>
    </row>
    <row r="314">
      <c r="A314" s="0" t="s">
        <v>46</v>
      </c>
      <c r="B314" s="0" t="s">
        <v>264</v>
      </c>
      <c r="C314" s="0" t="s">
        <v>470</v>
      </c>
      <c r="D314" s="0">
        <v>1.3999999999999999</v>
      </c>
      <c r="E314" s="0"/>
      <c r="F314" s="0" t="s">
        <v>759</v>
      </c>
      <c r="G314" s="0"/>
      <c r="H314" s="0" t="s">
        <v>1351</v>
      </c>
      <c r="I314" s="0" t="s">
        <v>1759</v>
      </c>
      <c r="J314" s="0"/>
      <c r="K314" s="0" t="s">
        <v>1811</v>
      </c>
      <c r="L314" s="0" t="s">
        <v>1813</v>
      </c>
    </row>
    <row r="315">
      <c r="A315" s="0" t="s">
        <v>46</v>
      </c>
      <c r="B315" s="0" t="s">
        <v>264</v>
      </c>
      <c r="C315" s="0" t="s">
        <v>471</v>
      </c>
      <c r="D315" s="0">
        <v>1.1000000000000001</v>
      </c>
      <c r="E315" s="0"/>
      <c r="F315" s="0" t="s">
        <v>576</v>
      </c>
      <c r="G315" s="0"/>
      <c r="H315" s="0" t="s">
        <v>1352</v>
      </c>
      <c r="I315" s="0" t="s">
        <v>1759</v>
      </c>
      <c r="J315" s="0"/>
      <c r="K315" s="0" t="s">
        <v>1811</v>
      </c>
      <c r="L315" s="0" t="s">
        <v>1813</v>
      </c>
    </row>
    <row r="316">
      <c r="A316" s="0" t="s">
        <v>46</v>
      </c>
      <c r="B316" s="0" t="s">
        <v>264</v>
      </c>
      <c r="C316" s="0" t="s">
        <v>472</v>
      </c>
      <c r="D316" s="0">
        <v>4.2000000000000002</v>
      </c>
      <c r="E316" s="0"/>
      <c r="F316" s="0" t="s">
        <v>806</v>
      </c>
      <c r="G316" s="0"/>
      <c r="H316" s="0" t="s">
        <v>1353</v>
      </c>
      <c r="I316" s="0" t="s">
        <v>1722</v>
      </c>
      <c r="J316" s="0"/>
      <c r="K316" s="0" t="s">
        <v>1811</v>
      </c>
      <c r="L316" s="0" t="s">
        <v>1813</v>
      </c>
    </row>
    <row r="317">
      <c r="A317" s="0" t="s">
        <v>46</v>
      </c>
      <c r="B317" s="0" t="s">
        <v>264</v>
      </c>
      <c r="C317" s="0" t="s">
        <v>133</v>
      </c>
      <c r="D317" s="0">
        <v>9.8000000000000007</v>
      </c>
      <c r="E317" s="0"/>
      <c r="F317" s="0" t="s">
        <v>807</v>
      </c>
      <c r="G317" s="0"/>
      <c r="H317" s="0" t="s">
        <v>1353</v>
      </c>
      <c r="I317" s="0" t="s">
        <v>1722</v>
      </c>
      <c r="J317" s="0"/>
      <c r="K317" s="0" t="s">
        <v>1811</v>
      </c>
      <c r="L317" s="0" t="s">
        <v>1813</v>
      </c>
    </row>
    <row r="318">
      <c r="A318" s="0" t="s">
        <v>46</v>
      </c>
      <c r="B318" s="0" t="s">
        <v>264</v>
      </c>
      <c r="C318" s="0" t="s">
        <v>470</v>
      </c>
      <c r="D318" s="0">
        <v>1.1000000000000001</v>
      </c>
      <c r="E318" s="0"/>
      <c r="F318" s="0" t="s">
        <v>576</v>
      </c>
      <c r="G318" s="0"/>
      <c r="H318" s="0" t="s">
        <v>1354</v>
      </c>
      <c r="I318" s="0" t="s">
        <v>824</v>
      </c>
      <c r="J318" s="0"/>
      <c r="K318" s="0" t="s">
        <v>1811</v>
      </c>
      <c r="L318" s="0" t="s">
        <v>1813</v>
      </c>
    </row>
    <row r="319">
      <c r="A319" s="0" t="s">
        <v>46</v>
      </c>
      <c r="B319" s="0" t="s">
        <v>264</v>
      </c>
      <c r="C319" s="0" t="s">
        <v>133</v>
      </c>
      <c r="D319" s="0">
        <v>4.0999999999999996</v>
      </c>
      <c r="E319" s="0"/>
      <c r="F319" s="0" t="s">
        <v>808</v>
      </c>
      <c r="G319" s="0"/>
      <c r="H319" s="0" t="s">
        <v>1355</v>
      </c>
      <c r="I319" s="0" t="s">
        <v>1760</v>
      </c>
      <c r="J319" s="0"/>
      <c r="K319" s="0" t="s">
        <v>1811</v>
      </c>
      <c r="L319" s="0" t="s">
        <v>1813</v>
      </c>
    </row>
    <row r="320">
      <c r="A320" s="0" t="s">
        <v>46</v>
      </c>
      <c r="B320" s="0" t="s">
        <v>264</v>
      </c>
      <c r="C320" s="0" t="s">
        <v>472</v>
      </c>
      <c r="D320" s="0">
        <v>5.5999999999999996</v>
      </c>
      <c r="E320" s="0"/>
      <c r="F320" s="0" t="s">
        <v>809</v>
      </c>
      <c r="G320" s="0"/>
      <c r="H320" s="0" t="s">
        <v>1355</v>
      </c>
      <c r="I320" s="0" t="s">
        <v>1760</v>
      </c>
      <c r="J320" s="0"/>
      <c r="K320" s="0" t="s">
        <v>1811</v>
      </c>
      <c r="L320" s="0" t="s">
        <v>1813</v>
      </c>
    </row>
    <row r="321">
      <c r="A321" s="0" t="s">
        <v>46</v>
      </c>
      <c r="B321" s="0" t="s">
        <v>312</v>
      </c>
      <c r="C321" s="0" t="s">
        <v>133</v>
      </c>
      <c r="D321" s="0">
        <v>7.4000000000000004</v>
      </c>
      <c r="E321" s="0"/>
      <c r="F321" s="0" t="s">
        <v>810</v>
      </c>
      <c r="G321" s="0"/>
      <c r="H321" s="0" t="s">
        <v>1356</v>
      </c>
      <c r="I321" s="0" t="s">
        <v>1722</v>
      </c>
      <c r="J321" s="0"/>
      <c r="K321" s="0" t="s">
        <v>1811</v>
      </c>
      <c r="L321" s="0" t="s">
        <v>1813</v>
      </c>
    </row>
    <row r="322">
      <c r="A322" s="0" t="s">
        <v>46</v>
      </c>
      <c r="B322" s="0" t="s">
        <v>312</v>
      </c>
      <c r="C322" s="0" t="s">
        <v>472</v>
      </c>
      <c r="D322" s="0">
        <v>7.2999999999999998</v>
      </c>
      <c r="E322" s="0"/>
      <c r="F322" s="0" t="s">
        <v>811</v>
      </c>
      <c r="G322" s="0"/>
      <c r="H322" s="0" t="s">
        <v>1356</v>
      </c>
      <c r="I322" s="0" t="s">
        <v>1722</v>
      </c>
      <c r="J322" s="0"/>
      <c r="K322" s="0" t="s">
        <v>1811</v>
      </c>
      <c r="L322" s="0" t="s">
        <v>1813</v>
      </c>
    </row>
    <row r="323">
      <c r="A323" s="0" t="s">
        <v>46</v>
      </c>
      <c r="B323" s="0" t="s">
        <v>312</v>
      </c>
      <c r="C323" s="0" t="s">
        <v>133</v>
      </c>
      <c r="D323" s="0">
        <v>10.34</v>
      </c>
      <c r="E323" s="0"/>
      <c r="F323" s="0" t="s">
        <v>812</v>
      </c>
      <c r="G323" s="0"/>
      <c r="H323" s="0" t="s">
        <v>1357</v>
      </c>
      <c r="I323" s="0" t="s">
        <v>1761</v>
      </c>
      <c r="J323" s="0"/>
      <c r="K323" s="0" t="s">
        <v>1811</v>
      </c>
      <c r="L323" s="0" t="s">
        <v>1813</v>
      </c>
    </row>
    <row r="324">
      <c r="A324" s="0" t="s">
        <v>46</v>
      </c>
      <c r="B324" s="0" t="s">
        <v>313</v>
      </c>
      <c r="C324" s="0" t="s">
        <v>133</v>
      </c>
      <c r="D324" s="0">
        <v>6.7999999999999998</v>
      </c>
      <c r="E324" s="0"/>
      <c r="F324" s="0" t="s">
        <v>813</v>
      </c>
      <c r="G324" s="0"/>
      <c r="H324" s="0" t="s">
        <v>1358</v>
      </c>
      <c r="I324" s="0" t="s">
        <v>1762</v>
      </c>
      <c r="J324" s="0"/>
      <c r="K324" s="0" t="s">
        <v>1811</v>
      </c>
      <c r="L324" s="0" t="s">
        <v>1813</v>
      </c>
    </row>
    <row r="325">
      <c r="A325" s="0" t="s">
        <v>46</v>
      </c>
      <c r="B325" s="0" t="s">
        <v>313</v>
      </c>
      <c r="C325" s="0" t="s">
        <v>472</v>
      </c>
      <c r="D325" s="0">
        <v>0.47999999999999998</v>
      </c>
      <c r="E325" s="0"/>
      <c r="F325" s="0" t="s">
        <v>597</v>
      </c>
      <c r="G325" s="0"/>
      <c r="H325" s="0" t="s">
        <v>1358</v>
      </c>
      <c r="I325" s="0" t="s">
        <v>1762</v>
      </c>
      <c r="J325" s="0"/>
      <c r="K325" s="0" t="s">
        <v>1811</v>
      </c>
      <c r="L325" s="0" t="s">
        <v>1813</v>
      </c>
    </row>
    <row r="326">
      <c r="A326" s="0" t="s">
        <v>46</v>
      </c>
      <c r="B326" s="0" t="s">
        <v>313</v>
      </c>
      <c r="C326" s="0" t="s">
        <v>471</v>
      </c>
      <c r="D326" s="0">
        <v>7.7999999999999998</v>
      </c>
      <c r="E326" s="0"/>
      <c r="F326" s="0" t="s">
        <v>814</v>
      </c>
      <c r="G326" s="0"/>
      <c r="H326" s="0"/>
      <c r="I326" s="0" t="s">
        <v>884</v>
      </c>
      <c r="J326" s="0"/>
      <c r="K326" s="0" t="s">
        <v>1811</v>
      </c>
      <c r="L326" s="0" t="s">
        <v>1813</v>
      </c>
    </row>
    <row r="327">
      <c r="A327" s="0" t="s">
        <v>46</v>
      </c>
      <c r="B327" s="0" t="s">
        <v>313</v>
      </c>
      <c r="C327" s="0" t="s">
        <v>473</v>
      </c>
      <c r="D327" s="0">
        <v>8.5</v>
      </c>
      <c r="E327" s="0"/>
      <c r="F327" s="0" t="s">
        <v>815</v>
      </c>
      <c r="G327" s="0"/>
      <c r="H327" s="0"/>
      <c r="I327" s="0" t="s">
        <v>805</v>
      </c>
      <c r="J327" s="0"/>
      <c r="K327" s="0" t="s">
        <v>1811</v>
      </c>
      <c r="L327" s="0" t="s">
        <v>1813</v>
      </c>
    </row>
    <row r="328">
      <c r="A328" s="0" t="s">
        <v>46</v>
      </c>
      <c r="B328" s="0" t="s">
        <v>314</v>
      </c>
      <c r="C328" s="0" t="s">
        <v>471</v>
      </c>
      <c r="D328" s="0">
        <v>0.5</v>
      </c>
      <c r="E328" s="0"/>
      <c r="F328" s="0" t="s">
        <v>632</v>
      </c>
      <c r="G328" s="0"/>
      <c r="H328" s="0"/>
      <c r="I328" s="0" t="s">
        <v>824</v>
      </c>
      <c r="J328" s="0"/>
      <c r="K328" s="0" t="s">
        <v>1811</v>
      </c>
      <c r="L328" s="0" t="s">
        <v>1813</v>
      </c>
    </row>
    <row r="329">
      <c r="A329" s="0" t="s">
        <v>46</v>
      </c>
      <c r="B329" s="0" t="s">
        <v>314</v>
      </c>
      <c r="C329" s="0" t="s">
        <v>470</v>
      </c>
      <c r="D329" s="0">
        <v>0.40000000000000002</v>
      </c>
      <c r="E329" s="0"/>
      <c r="F329" s="0" t="s">
        <v>703</v>
      </c>
      <c r="G329" s="0"/>
      <c r="H329" s="0"/>
      <c r="I329" s="0" t="s">
        <v>824</v>
      </c>
      <c r="J329" s="0"/>
      <c r="K329" s="0" t="s">
        <v>1811</v>
      </c>
      <c r="L329" s="0" t="s">
        <v>1813</v>
      </c>
    </row>
    <row r="330">
      <c r="A330" s="0" t="s">
        <v>46</v>
      </c>
      <c r="B330" s="0" t="s">
        <v>309</v>
      </c>
      <c r="C330" s="0" t="s">
        <v>472</v>
      </c>
      <c r="D330" s="0">
        <v>5.2400000000000002</v>
      </c>
      <c r="E330" s="0"/>
      <c r="F330" s="0" t="s">
        <v>816</v>
      </c>
      <c r="G330" s="0"/>
      <c r="H330" s="0"/>
      <c r="I330" s="0" t="s">
        <v>1755</v>
      </c>
      <c r="J330" s="0"/>
      <c r="K330" s="0" t="s">
        <v>1811</v>
      </c>
      <c r="L330" s="0" t="s">
        <v>1813</v>
      </c>
    </row>
    <row r="331">
      <c r="A331" s="0" t="s">
        <v>46</v>
      </c>
      <c r="B331" s="0" t="s">
        <v>309</v>
      </c>
      <c r="C331" s="0" t="s">
        <v>133</v>
      </c>
      <c r="D331" s="0">
        <v>5.0099999999999998</v>
      </c>
      <c r="E331" s="0"/>
      <c r="F331" s="0" t="s">
        <v>817</v>
      </c>
      <c r="G331" s="0"/>
      <c r="H331" s="0"/>
      <c r="I331" s="0" t="s">
        <v>1755</v>
      </c>
      <c r="J331" s="0"/>
      <c r="K331" s="0" t="s">
        <v>1811</v>
      </c>
      <c r="L331" s="0" t="s">
        <v>1813</v>
      </c>
    </row>
    <row r="332">
      <c r="A332" s="0" t="s">
        <v>46</v>
      </c>
      <c r="B332" s="0" t="s">
        <v>315</v>
      </c>
      <c r="C332" s="0" t="s">
        <v>472</v>
      </c>
      <c r="D332" s="0">
        <v>12</v>
      </c>
      <c r="E332" s="0"/>
      <c r="F332" s="0" t="s">
        <v>640</v>
      </c>
      <c r="G332" s="0"/>
      <c r="H332" s="0" t="s">
        <v>1359</v>
      </c>
      <c r="I332" s="0" t="s">
        <v>1734</v>
      </c>
      <c r="J332" s="0"/>
      <c r="K332" s="0" t="s">
        <v>1811</v>
      </c>
      <c r="L332" s="0" t="s">
        <v>1813</v>
      </c>
    </row>
    <row r="333">
      <c r="A333" s="0" t="s">
        <v>46</v>
      </c>
      <c r="B333" s="0" t="s">
        <v>315</v>
      </c>
      <c r="C333" s="0" t="s">
        <v>133</v>
      </c>
      <c r="D333" s="0">
        <v>29.600000000000001</v>
      </c>
      <c r="E333" s="0"/>
      <c r="F333" s="0" t="s">
        <v>818</v>
      </c>
      <c r="G333" s="0"/>
      <c r="H333" s="0" t="s">
        <v>1360</v>
      </c>
      <c r="I333" s="0" t="s">
        <v>1734</v>
      </c>
      <c r="J333" s="0"/>
      <c r="K333" s="0" t="s">
        <v>1811</v>
      </c>
      <c r="L333" s="0" t="s">
        <v>1813</v>
      </c>
    </row>
    <row r="334">
      <c r="A334" s="0" t="s">
        <v>46</v>
      </c>
      <c r="B334" s="0" t="s">
        <v>316</v>
      </c>
      <c r="C334" s="0" t="s">
        <v>470</v>
      </c>
      <c r="D334" s="0">
        <v>24</v>
      </c>
      <c r="E334" s="0"/>
      <c r="F334" s="0" t="s">
        <v>819</v>
      </c>
      <c r="G334" s="0"/>
      <c r="H334" s="0"/>
      <c r="I334" s="0" t="s">
        <v>1763</v>
      </c>
      <c r="J334" s="0"/>
      <c r="K334" s="0" t="s">
        <v>1811</v>
      </c>
      <c r="L334" s="0" t="s">
        <v>1813</v>
      </c>
    </row>
    <row r="335">
      <c r="A335" s="0" t="s">
        <v>46</v>
      </c>
      <c r="B335" s="0" t="s">
        <v>316</v>
      </c>
      <c r="C335" s="0" t="s">
        <v>471</v>
      </c>
      <c r="D335" s="0">
        <v>50</v>
      </c>
      <c r="E335" s="0"/>
      <c r="F335" s="0" t="s">
        <v>623</v>
      </c>
      <c r="G335" s="0"/>
      <c r="H335" s="0"/>
      <c r="I335" s="0" t="s">
        <v>1763</v>
      </c>
      <c r="J335" s="0"/>
      <c r="K335" s="0" t="s">
        <v>1811</v>
      </c>
      <c r="L335" s="0" t="s">
        <v>1813</v>
      </c>
    </row>
    <row r="336">
      <c r="A336" s="0" t="s">
        <v>46</v>
      </c>
      <c r="B336" s="0" t="s">
        <v>316</v>
      </c>
      <c r="C336" s="0" t="s">
        <v>470</v>
      </c>
      <c r="D336" s="0">
        <v>119</v>
      </c>
      <c r="E336" s="0"/>
      <c r="F336" s="0" t="s">
        <v>820</v>
      </c>
      <c r="G336" s="0"/>
      <c r="H336" s="0"/>
      <c r="I336" s="0" t="s">
        <v>1729</v>
      </c>
      <c r="J336" s="0"/>
      <c r="K336" s="0" t="s">
        <v>1811</v>
      </c>
      <c r="L336" s="0" t="s">
        <v>1813</v>
      </c>
    </row>
    <row r="337">
      <c r="A337" s="0" t="s">
        <v>46</v>
      </c>
      <c r="B337" s="0" t="s">
        <v>316</v>
      </c>
      <c r="C337" s="0" t="s">
        <v>471</v>
      </c>
      <c r="D337" s="0">
        <v>167</v>
      </c>
      <c r="E337" s="0"/>
      <c r="F337" s="0" t="s">
        <v>821</v>
      </c>
      <c r="G337" s="0"/>
      <c r="H337" s="0" t="s">
        <v>1361</v>
      </c>
      <c r="I337" s="0" t="s">
        <v>1726</v>
      </c>
      <c r="J337" s="0"/>
      <c r="K337" s="0" t="s">
        <v>1811</v>
      </c>
      <c r="L337" s="0" t="s">
        <v>1813</v>
      </c>
    </row>
    <row r="338">
      <c r="A338" s="0" t="s">
        <v>46</v>
      </c>
      <c r="B338" s="0" t="s">
        <v>316</v>
      </c>
      <c r="C338" s="0" t="s">
        <v>470</v>
      </c>
      <c r="D338" s="0">
        <v>179</v>
      </c>
      <c r="E338" s="0"/>
      <c r="F338" s="0" t="s">
        <v>822</v>
      </c>
      <c r="G338" s="0"/>
      <c r="H338" s="0" t="s">
        <v>1361</v>
      </c>
      <c r="I338" s="0" t="s">
        <v>1726</v>
      </c>
      <c r="J338" s="0"/>
      <c r="K338" s="0" t="s">
        <v>1811</v>
      </c>
      <c r="L338" s="0" t="s">
        <v>1813</v>
      </c>
    </row>
    <row r="339">
      <c r="A339" s="0" t="s">
        <v>46</v>
      </c>
      <c r="B339" s="0" t="s">
        <v>317</v>
      </c>
      <c r="C339" s="0" t="s">
        <v>472</v>
      </c>
      <c r="D339" s="0">
        <v>1.3999999999999999</v>
      </c>
      <c r="E339" s="0"/>
      <c r="F339" s="0" t="s">
        <v>759</v>
      </c>
      <c r="G339" s="0"/>
      <c r="H339" s="0" t="s">
        <v>1362</v>
      </c>
      <c r="I339" s="0" t="s">
        <v>1764</v>
      </c>
      <c r="J339" s="0"/>
      <c r="K339" s="0" t="s">
        <v>1811</v>
      </c>
      <c r="L339" s="0" t="s">
        <v>1813</v>
      </c>
    </row>
    <row r="340">
      <c r="A340" s="0" t="s">
        <v>46</v>
      </c>
      <c r="B340" s="0" t="s">
        <v>317</v>
      </c>
      <c r="C340" s="0" t="s">
        <v>133</v>
      </c>
      <c r="D340" s="0">
        <v>4.7999999999999998</v>
      </c>
      <c r="E340" s="0"/>
      <c r="F340" s="0" t="s">
        <v>823</v>
      </c>
      <c r="G340" s="0"/>
      <c r="H340" s="0" t="s">
        <v>1362</v>
      </c>
      <c r="I340" s="0" t="s">
        <v>1764</v>
      </c>
      <c r="J340" s="0"/>
      <c r="K340" s="0" t="s">
        <v>1811</v>
      </c>
      <c r="L340" s="0" t="s">
        <v>1813</v>
      </c>
    </row>
    <row r="341">
      <c r="A341" s="0" t="s">
        <v>46</v>
      </c>
      <c r="B341" s="0" t="s">
        <v>318</v>
      </c>
      <c r="C341" s="0" t="s">
        <v>133</v>
      </c>
      <c r="D341" s="0">
        <v>43</v>
      </c>
      <c r="E341" s="0"/>
      <c r="F341" s="0" t="s">
        <v>824</v>
      </c>
      <c r="G341" s="0"/>
      <c r="H341" s="0" t="s">
        <v>1363</v>
      </c>
      <c r="I341" s="0" t="s">
        <v>1719</v>
      </c>
      <c r="J341" s="0"/>
      <c r="K341" s="0" t="s">
        <v>1811</v>
      </c>
      <c r="L341" s="0" t="s">
        <v>1813</v>
      </c>
    </row>
    <row r="342">
      <c r="A342" s="0" t="s">
        <v>46</v>
      </c>
      <c r="B342" s="0" t="s">
        <v>318</v>
      </c>
      <c r="C342" s="0" t="s">
        <v>472</v>
      </c>
      <c r="D342" s="0">
        <v>20.399999999999999</v>
      </c>
      <c r="E342" s="0"/>
      <c r="F342" s="0" t="s">
        <v>573</v>
      </c>
      <c r="G342" s="0"/>
      <c r="H342" s="0" t="s">
        <v>1363</v>
      </c>
      <c r="I342" s="0" t="s">
        <v>1719</v>
      </c>
      <c r="J342" s="0"/>
      <c r="K342" s="0" t="s">
        <v>1811</v>
      </c>
      <c r="L342" s="0" t="s">
        <v>1813</v>
      </c>
    </row>
    <row r="343">
      <c r="A343" s="0" t="s">
        <v>46</v>
      </c>
      <c r="B343" s="0" t="s">
        <v>319</v>
      </c>
      <c r="C343" s="0" t="s">
        <v>133</v>
      </c>
      <c r="D343" s="0">
        <v>0.96999999999999997</v>
      </c>
      <c r="E343" s="0"/>
      <c r="F343" s="0" t="s">
        <v>825</v>
      </c>
      <c r="G343" s="0"/>
      <c r="H343" s="0" t="s">
        <v>1364</v>
      </c>
      <c r="I343" s="0" t="s">
        <v>1762</v>
      </c>
      <c r="J343" s="0"/>
      <c r="K343" s="0" t="s">
        <v>1811</v>
      </c>
      <c r="L343" s="0" t="s">
        <v>1813</v>
      </c>
    </row>
    <row r="344">
      <c r="A344" s="0" t="s">
        <v>46</v>
      </c>
      <c r="B344" s="0" t="s">
        <v>319</v>
      </c>
      <c r="C344" s="0" t="s">
        <v>472</v>
      </c>
      <c r="D344" s="0">
        <v>0.46000000000000002</v>
      </c>
      <c r="E344" s="0"/>
      <c r="F344" s="0" t="s">
        <v>826</v>
      </c>
      <c r="G344" s="0"/>
      <c r="H344" s="0" t="s">
        <v>1364</v>
      </c>
      <c r="I344" s="0" t="s">
        <v>1762</v>
      </c>
      <c r="J344" s="0"/>
      <c r="K344" s="0" t="s">
        <v>1811</v>
      </c>
      <c r="L344" s="0" t="s">
        <v>1813</v>
      </c>
    </row>
    <row r="345">
      <c r="A345" s="0" t="s">
        <v>46</v>
      </c>
      <c r="B345" s="0" t="s">
        <v>319</v>
      </c>
      <c r="C345" s="0" t="s">
        <v>418</v>
      </c>
      <c r="D345" s="0">
        <v>-999</v>
      </c>
      <c r="E345" s="0"/>
      <c r="F345" s="0" t="s">
        <v>673</v>
      </c>
      <c r="G345" s="0"/>
      <c r="H345" s="0" t="s">
        <v>1365</v>
      </c>
      <c r="I345" s="0" t="s">
        <v>1765</v>
      </c>
      <c r="J345" s="0"/>
      <c r="K345" s="0" t="s">
        <v>1811</v>
      </c>
      <c r="L345" s="0" t="s">
        <v>1813</v>
      </c>
    </row>
    <row r="346">
      <c r="A346" s="0" t="s">
        <v>46</v>
      </c>
      <c r="B346" s="0" t="s">
        <v>320</v>
      </c>
      <c r="C346" s="0" t="s">
        <v>133</v>
      </c>
      <c r="D346" s="0">
        <v>0.40000000000000002</v>
      </c>
      <c r="E346" s="0"/>
      <c r="F346" s="0" t="s">
        <v>703</v>
      </c>
      <c r="G346" s="0"/>
      <c r="H346" s="0" t="s">
        <v>1366</v>
      </c>
      <c r="I346" s="0" t="s">
        <v>1766</v>
      </c>
      <c r="J346" s="0"/>
      <c r="K346" s="0" t="s">
        <v>1811</v>
      </c>
      <c r="L346" s="0" t="s">
        <v>1813</v>
      </c>
    </row>
    <row r="347">
      <c r="A347" s="0" t="s">
        <v>46</v>
      </c>
      <c r="B347" s="0" t="s">
        <v>320</v>
      </c>
      <c r="C347" s="0" t="s">
        <v>472</v>
      </c>
      <c r="D347" s="0">
        <v>0.40000000000000002</v>
      </c>
      <c r="E347" s="0"/>
      <c r="F347" s="0" t="s">
        <v>703</v>
      </c>
      <c r="G347" s="0"/>
      <c r="H347" s="0" t="s">
        <v>1366</v>
      </c>
      <c r="I347" s="0" t="s">
        <v>1766</v>
      </c>
      <c r="J347" s="0"/>
      <c r="K347" s="0" t="s">
        <v>1811</v>
      </c>
      <c r="L347" s="0" t="s">
        <v>1813</v>
      </c>
    </row>
    <row r="348">
      <c r="A348" s="0" t="s">
        <v>46</v>
      </c>
      <c r="B348" s="0" t="s">
        <v>320</v>
      </c>
      <c r="C348" s="0" t="s">
        <v>474</v>
      </c>
      <c r="D348" s="0">
        <v>10</v>
      </c>
      <c r="E348" s="0"/>
      <c r="F348" s="0" t="s">
        <v>694</v>
      </c>
      <c r="G348" s="0"/>
      <c r="H348" s="0" t="s">
        <v>1366</v>
      </c>
      <c r="I348" s="0" t="s">
        <v>1766</v>
      </c>
      <c r="J348" s="0"/>
      <c r="K348" s="0" t="s">
        <v>1811</v>
      </c>
      <c r="L348" s="0" t="s">
        <v>1813</v>
      </c>
    </row>
    <row r="349">
      <c r="A349" s="0" t="s">
        <v>46</v>
      </c>
      <c r="B349" s="0" t="s">
        <v>320</v>
      </c>
      <c r="C349" s="0" t="s">
        <v>135</v>
      </c>
      <c r="D349" s="0">
        <v>27</v>
      </c>
      <c r="E349" s="0"/>
      <c r="F349" s="0" t="s">
        <v>827</v>
      </c>
      <c r="G349" s="0"/>
      <c r="H349" s="0" t="s">
        <v>1366</v>
      </c>
      <c r="I349" s="0" t="s">
        <v>1766</v>
      </c>
      <c r="J349" s="0"/>
      <c r="K349" s="0" t="s">
        <v>1811</v>
      </c>
      <c r="L349" s="0" t="s">
        <v>1813</v>
      </c>
    </row>
    <row r="350">
      <c r="A350" s="0" t="s">
        <v>46</v>
      </c>
      <c r="B350" s="0" t="s">
        <v>321</v>
      </c>
      <c r="C350" s="0" t="s">
        <v>133</v>
      </c>
      <c r="D350" s="0">
        <v>3</v>
      </c>
      <c r="E350" s="0"/>
      <c r="F350" s="0" t="s">
        <v>828</v>
      </c>
      <c r="G350" s="0"/>
      <c r="H350" s="0"/>
      <c r="I350" s="0" t="s">
        <v>1697</v>
      </c>
      <c r="J350" s="0"/>
      <c r="K350" s="0" t="s">
        <v>1811</v>
      </c>
      <c r="L350" s="0" t="s">
        <v>1813</v>
      </c>
    </row>
    <row r="351">
      <c r="A351" s="0" t="s">
        <v>46</v>
      </c>
      <c r="B351" s="0" t="s">
        <v>322</v>
      </c>
      <c r="C351" s="0" t="s">
        <v>470</v>
      </c>
      <c r="D351" s="0">
        <v>1.8</v>
      </c>
      <c r="E351" s="0"/>
      <c r="F351" s="0" t="s">
        <v>760</v>
      </c>
      <c r="G351" s="0"/>
      <c r="H351" s="0" t="s">
        <v>1367</v>
      </c>
      <c r="I351" s="0" t="s">
        <v>1654</v>
      </c>
      <c r="J351" s="0"/>
      <c r="K351" s="0" t="s">
        <v>1811</v>
      </c>
      <c r="L351" s="0" t="s">
        <v>1813</v>
      </c>
    </row>
    <row r="352">
      <c r="A352" s="0" t="s">
        <v>46</v>
      </c>
      <c r="B352" s="0" t="s">
        <v>323</v>
      </c>
      <c r="C352" s="0" t="s">
        <v>471</v>
      </c>
      <c r="D352" s="0">
        <v>20</v>
      </c>
      <c r="E352" s="0"/>
      <c r="F352" s="0" t="s">
        <v>789</v>
      </c>
      <c r="G352" s="0"/>
      <c r="H352" s="0" t="s">
        <v>1368</v>
      </c>
      <c r="I352" s="0" t="s">
        <v>1767</v>
      </c>
      <c r="J352" s="0"/>
      <c r="K352" s="0" t="s">
        <v>1811</v>
      </c>
      <c r="L352" s="0" t="s">
        <v>1813</v>
      </c>
    </row>
    <row r="353">
      <c r="A353" s="0" t="s">
        <v>46</v>
      </c>
      <c r="B353" s="0" t="s">
        <v>323</v>
      </c>
      <c r="C353" s="0" t="s">
        <v>470</v>
      </c>
      <c r="D353" s="0">
        <v>10</v>
      </c>
      <c r="E353" s="0"/>
      <c r="F353" s="0" t="s">
        <v>694</v>
      </c>
      <c r="G353" s="0"/>
      <c r="H353" s="0" t="s">
        <v>1368</v>
      </c>
      <c r="I353" s="0" t="s">
        <v>1767</v>
      </c>
      <c r="J353" s="0"/>
      <c r="K353" s="0" t="s">
        <v>1811</v>
      </c>
      <c r="L353" s="0" t="s">
        <v>1813</v>
      </c>
    </row>
    <row r="354">
      <c r="A354" s="0" t="s">
        <v>46</v>
      </c>
      <c r="B354" s="0" t="s">
        <v>324</v>
      </c>
      <c r="C354" s="0" t="s">
        <v>470</v>
      </c>
      <c r="D354" s="0">
        <v>12.199999999999999</v>
      </c>
      <c r="E354" s="0"/>
      <c r="F354" s="0" t="s">
        <v>829</v>
      </c>
      <c r="G354" s="0"/>
      <c r="H354" s="0" t="s">
        <v>1369</v>
      </c>
      <c r="I354" s="0" t="s">
        <v>705</v>
      </c>
      <c r="J354" s="0"/>
      <c r="K354" s="0" t="s">
        <v>1811</v>
      </c>
      <c r="L354" s="0" t="s">
        <v>1813</v>
      </c>
    </row>
    <row r="355">
      <c r="A355" s="0" t="s">
        <v>46</v>
      </c>
      <c r="B355" s="0" t="s">
        <v>324</v>
      </c>
      <c r="C355" s="0" t="s">
        <v>471</v>
      </c>
      <c r="D355" s="0">
        <v>17.899999999999999</v>
      </c>
      <c r="E355" s="0"/>
      <c r="F355" s="0" t="s">
        <v>830</v>
      </c>
      <c r="G355" s="0"/>
      <c r="H355" s="0" t="s">
        <v>1369</v>
      </c>
      <c r="I355" s="0" t="s">
        <v>705</v>
      </c>
      <c r="J355" s="0"/>
      <c r="K355" s="0" t="s">
        <v>1811</v>
      </c>
      <c r="L355" s="0" t="s">
        <v>1813</v>
      </c>
    </row>
    <row r="356">
      <c r="A356" s="0" t="s">
        <v>46</v>
      </c>
      <c r="B356" s="0" t="s">
        <v>261</v>
      </c>
      <c r="C356" s="0" t="s">
        <v>471</v>
      </c>
      <c r="D356" s="0">
        <v>1.2</v>
      </c>
      <c r="E356" s="0"/>
      <c r="F356" s="0" t="s">
        <v>741</v>
      </c>
      <c r="G356" s="0"/>
      <c r="H356" s="0" t="s">
        <v>1370</v>
      </c>
      <c r="I356" s="0" t="s">
        <v>824</v>
      </c>
      <c r="J356" s="0"/>
      <c r="K356" s="0" t="s">
        <v>1811</v>
      </c>
      <c r="L356" s="0" t="s">
        <v>1813</v>
      </c>
    </row>
    <row r="357">
      <c r="A357" s="0" t="s">
        <v>46</v>
      </c>
      <c r="B357" s="0" t="s">
        <v>325</v>
      </c>
      <c r="C357" s="0" t="s">
        <v>471</v>
      </c>
      <c r="D357" s="0">
        <v>171</v>
      </c>
      <c r="E357" s="0"/>
      <c r="F357" s="0" t="s">
        <v>831</v>
      </c>
      <c r="G357" s="0"/>
      <c r="H357" s="0" t="s">
        <v>1371</v>
      </c>
      <c r="I357" s="0" t="s">
        <v>1768</v>
      </c>
      <c r="J357" s="0"/>
      <c r="K357" s="0" t="s">
        <v>1811</v>
      </c>
      <c r="L357" s="0" t="s">
        <v>1813</v>
      </c>
    </row>
    <row r="358">
      <c r="A358" s="0" t="s">
        <v>46</v>
      </c>
      <c r="B358" s="0" t="s">
        <v>325</v>
      </c>
      <c r="C358" s="0" t="s">
        <v>470</v>
      </c>
      <c r="D358" s="0">
        <v>73.5</v>
      </c>
      <c r="E358" s="0"/>
      <c r="F358" s="0" t="s">
        <v>832</v>
      </c>
      <c r="G358" s="0"/>
      <c r="H358" s="0" t="s">
        <v>1371</v>
      </c>
      <c r="I358" s="0" t="s">
        <v>1768</v>
      </c>
      <c r="J358" s="0"/>
      <c r="K358" s="0" t="s">
        <v>1811</v>
      </c>
      <c r="L358" s="0" t="s">
        <v>1813</v>
      </c>
    </row>
    <row r="359">
      <c r="A359" s="0" t="s">
        <v>46</v>
      </c>
      <c r="B359" s="0" t="s">
        <v>326</v>
      </c>
      <c r="C359" s="0" t="s">
        <v>470</v>
      </c>
      <c r="D359" s="0">
        <v>2.3999999999999999</v>
      </c>
      <c r="E359" s="0"/>
      <c r="F359" s="0" t="s">
        <v>716</v>
      </c>
      <c r="G359" s="0"/>
      <c r="H359" s="0" t="s">
        <v>1372</v>
      </c>
      <c r="I359" s="0" t="s">
        <v>1769</v>
      </c>
      <c r="J359" s="0"/>
      <c r="K359" s="0" t="s">
        <v>1811</v>
      </c>
      <c r="L359" s="0" t="s">
        <v>1813</v>
      </c>
    </row>
    <row r="360">
      <c r="A360" s="0" t="s">
        <v>46</v>
      </c>
      <c r="B360" s="0" t="s">
        <v>326</v>
      </c>
      <c r="C360" s="0" t="s">
        <v>471</v>
      </c>
      <c r="D360" s="0">
        <v>5</v>
      </c>
      <c r="E360" s="0"/>
      <c r="F360" s="0" t="s">
        <v>607</v>
      </c>
      <c r="G360" s="0"/>
      <c r="H360" s="0" t="s">
        <v>1372</v>
      </c>
      <c r="I360" s="0" t="s">
        <v>1769</v>
      </c>
      <c r="J360" s="0"/>
      <c r="K360" s="0" t="s">
        <v>1811</v>
      </c>
      <c r="L360" s="0" t="s">
        <v>1813</v>
      </c>
    </row>
    <row r="361">
      <c r="A361" s="0" t="s">
        <v>46</v>
      </c>
      <c r="B361" s="0" t="s">
        <v>327</v>
      </c>
      <c r="C361" s="0" t="s">
        <v>470</v>
      </c>
      <c r="D361" s="0">
        <v>3.7999999999999998</v>
      </c>
      <c r="E361" s="0"/>
      <c r="F361" s="0" t="s">
        <v>833</v>
      </c>
      <c r="G361" s="0"/>
      <c r="H361" s="0" t="s">
        <v>1373</v>
      </c>
      <c r="I361" s="0" t="s">
        <v>1770</v>
      </c>
      <c r="J361" s="0"/>
      <c r="K361" s="0" t="s">
        <v>1811</v>
      </c>
      <c r="L361" s="0" t="s">
        <v>1813</v>
      </c>
    </row>
    <row r="362">
      <c r="A362" s="0" t="s">
        <v>46</v>
      </c>
      <c r="B362" s="0" t="s">
        <v>327</v>
      </c>
      <c r="C362" s="0" t="s">
        <v>471</v>
      </c>
      <c r="D362" s="0">
        <v>7.9000000000000004</v>
      </c>
      <c r="E362" s="0"/>
      <c r="F362" s="0" t="s">
        <v>834</v>
      </c>
      <c r="G362" s="0"/>
      <c r="H362" s="0" t="s">
        <v>1373</v>
      </c>
      <c r="I362" s="0" t="s">
        <v>1770</v>
      </c>
      <c r="J362" s="0"/>
      <c r="K362" s="0" t="s">
        <v>1811</v>
      </c>
      <c r="L362" s="0" t="s">
        <v>1813</v>
      </c>
    </row>
    <row r="363">
      <c r="A363" s="0" t="s">
        <v>46</v>
      </c>
      <c r="B363" s="0" t="s">
        <v>274</v>
      </c>
      <c r="C363" s="0" t="s">
        <v>133</v>
      </c>
      <c r="D363" s="0">
        <v>5.9000000000000004</v>
      </c>
      <c r="E363" s="0"/>
      <c r="F363" s="0" t="s">
        <v>835</v>
      </c>
      <c r="G363" s="0"/>
      <c r="H363" s="0" t="s">
        <v>1374</v>
      </c>
      <c r="I363" s="0" t="s">
        <v>1771</v>
      </c>
      <c r="J363" s="0"/>
      <c r="K363" s="0" t="s">
        <v>1811</v>
      </c>
      <c r="L363" s="0" t="s">
        <v>1813</v>
      </c>
    </row>
    <row r="364">
      <c r="A364" s="0" t="s">
        <v>46</v>
      </c>
      <c r="B364" s="0" t="s">
        <v>328</v>
      </c>
      <c r="C364" s="0" t="s">
        <v>472</v>
      </c>
      <c r="D364" s="0">
        <v>16.5</v>
      </c>
      <c r="E364" s="0"/>
      <c r="F364" s="0" t="s">
        <v>836</v>
      </c>
      <c r="G364" s="0"/>
      <c r="H364" s="0" t="s">
        <v>1375</v>
      </c>
      <c r="I364" s="0" t="s">
        <v>1772</v>
      </c>
      <c r="J364" s="0"/>
      <c r="K364" s="0" t="s">
        <v>1811</v>
      </c>
      <c r="L364" s="0" t="s">
        <v>1813</v>
      </c>
    </row>
    <row r="365">
      <c r="A365" s="0" t="s">
        <v>46</v>
      </c>
      <c r="B365" s="0" t="s">
        <v>328</v>
      </c>
      <c r="C365" s="0" t="s">
        <v>133</v>
      </c>
      <c r="D365" s="0">
        <v>29.399999999999999</v>
      </c>
      <c r="E365" s="0"/>
      <c r="F365" s="0" t="s">
        <v>837</v>
      </c>
      <c r="G365" s="0"/>
      <c r="H365" s="0" t="s">
        <v>1375</v>
      </c>
      <c r="I365" s="0" t="s">
        <v>1772</v>
      </c>
      <c r="J365" s="0"/>
      <c r="K365" s="0" t="s">
        <v>1811</v>
      </c>
      <c r="L365" s="0" t="s">
        <v>1813</v>
      </c>
    </row>
    <row r="366">
      <c r="A366" s="0" t="s">
        <v>46</v>
      </c>
      <c r="B366" s="0" t="s">
        <v>320</v>
      </c>
      <c r="C366" s="0" t="s">
        <v>133</v>
      </c>
      <c r="D366" s="0">
        <v>0.69999999999999996</v>
      </c>
      <c r="E366" s="0"/>
      <c r="F366" s="0" t="s">
        <v>635</v>
      </c>
      <c r="G366" s="0"/>
      <c r="H366" s="0" t="s">
        <v>1376</v>
      </c>
      <c r="I366" s="0" t="s">
        <v>1773</v>
      </c>
      <c r="J366" s="0"/>
      <c r="K366" s="0" t="s">
        <v>1811</v>
      </c>
      <c r="L366" s="0" t="s">
        <v>1813</v>
      </c>
    </row>
    <row r="367">
      <c r="A367" s="0" t="s">
        <v>46</v>
      </c>
      <c r="B367" s="0" t="s">
        <v>320</v>
      </c>
      <c r="C367" s="0" t="s">
        <v>472</v>
      </c>
      <c r="D367" s="0">
        <v>0.69999999999999996</v>
      </c>
      <c r="E367" s="0"/>
      <c r="F367" s="0" t="s">
        <v>635</v>
      </c>
      <c r="G367" s="0"/>
      <c r="H367" s="0" t="s">
        <v>1376</v>
      </c>
      <c r="I367" s="0" t="s">
        <v>1773</v>
      </c>
      <c r="J367" s="0"/>
      <c r="K367" s="0" t="s">
        <v>1811</v>
      </c>
      <c r="L367" s="0" t="s">
        <v>1813</v>
      </c>
    </row>
    <row r="368">
      <c r="A368" s="0" t="s">
        <v>46</v>
      </c>
      <c r="B368" s="0" t="s">
        <v>297</v>
      </c>
      <c r="C368" s="0" t="s">
        <v>133</v>
      </c>
      <c r="D368" s="0">
        <v>100</v>
      </c>
      <c r="E368" s="0"/>
      <c r="F368" s="0" t="s">
        <v>605</v>
      </c>
      <c r="G368" s="0"/>
      <c r="H368" s="0" t="s">
        <v>1377</v>
      </c>
      <c r="I368" s="0" t="s">
        <v>1730</v>
      </c>
      <c r="J368" s="0"/>
      <c r="K368" s="0" t="s">
        <v>1811</v>
      </c>
      <c r="L368" s="0" t="s">
        <v>1813</v>
      </c>
    </row>
    <row r="369">
      <c r="A369" s="0" t="s">
        <v>46</v>
      </c>
      <c r="B369" s="0" t="s">
        <v>297</v>
      </c>
      <c r="C369" s="0" t="s">
        <v>472</v>
      </c>
      <c r="D369" s="0">
        <v>6.2000000000000002</v>
      </c>
      <c r="E369" s="0"/>
      <c r="F369" s="0" t="s">
        <v>838</v>
      </c>
      <c r="G369" s="0"/>
      <c r="H369" s="0" t="s">
        <v>1378</v>
      </c>
      <c r="I369" s="0" t="s">
        <v>1730</v>
      </c>
      <c r="J369" s="0"/>
      <c r="K369" s="0" t="s">
        <v>1811</v>
      </c>
      <c r="L369" s="0" t="s">
        <v>1813</v>
      </c>
    </row>
    <row r="370">
      <c r="A370" s="0" t="s">
        <v>46</v>
      </c>
      <c r="B370" s="0" t="s">
        <v>329</v>
      </c>
      <c r="C370" s="0" t="s">
        <v>472</v>
      </c>
      <c r="D370" s="0">
        <v>2.1000000000000001</v>
      </c>
      <c r="E370" s="0"/>
      <c r="F370" s="0" t="s">
        <v>775</v>
      </c>
      <c r="G370" s="0"/>
      <c r="H370" s="0" t="s">
        <v>1379</v>
      </c>
      <c r="I370" s="0" t="s">
        <v>1774</v>
      </c>
      <c r="J370" s="0"/>
      <c r="K370" s="0" t="s">
        <v>1811</v>
      </c>
      <c r="L370" s="0" t="s">
        <v>1813</v>
      </c>
    </row>
    <row r="371">
      <c r="A371" s="0" t="s">
        <v>46</v>
      </c>
      <c r="B371" s="0" t="s">
        <v>330</v>
      </c>
      <c r="C371" s="0" t="s">
        <v>472</v>
      </c>
      <c r="D371" s="0">
        <v>4</v>
      </c>
      <c r="E371" s="0"/>
      <c r="F371" s="0" t="s">
        <v>734</v>
      </c>
      <c r="G371" s="0"/>
      <c r="H371" s="0" t="s">
        <v>1380</v>
      </c>
      <c r="I371" s="0" t="s">
        <v>1721</v>
      </c>
      <c r="J371" s="0"/>
      <c r="K371" s="0" t="s">
        <v>1811</v>
      </c>
      <c r="L371" s="0" t="s">
        <v>1813</v>
      </c>
    </row>
    <row r="372">
      <c r="A372" s="0" t="s">
        <v>46</v>
      </c>
      <c r="B372" s="0" t="s">
        <v>330</v>
      </c>
      <c r="C372" s="0" t="s">
        <v>472</v>
      </c>
      <c r="D372" s="0">
        <v>2.2999999999999998</v>
      </c>
      <c r="E372" s="0"/>
      <c r="F372" s="0" t="s">
        <v>721</v>
      </c>
      <c r="G372" s="0"/>
      <c r="H372" s="0" t="s">
        <v>1381</v>
      </c>
      <c r="I372" s="0" t="s">
        <v>1721</v>
      </c>
      <c r="J372" s="0"/>
      <c r="K372" s="0" t="s">
        <v>1811</v>
      </c>
      <c r="L372" s="0" t="s">
        <v>1813</v>
      </c>
    </row>
    <row r="373">
      <c r="A373" s="0" t="s">
        <v>46</v>
      </c>
      <c r="B373" s="0" t="s">
        <v>330</v>
      </c>
      <c r="C373" s="0" t="s">
        <v>133</v>
      </c>
      <c r="D373" s="0">
        <v>4.7000000000000002</v>
      </c>
      <c r="E373" s="0"/>
      <c r="F373" s="0" t="s">
        <v>606</v>
      </c>
      <c r="G373" s="0"/>
      <c r="H373" s="0" t="s">
        <v>1382</v>
      </c>
      <c r="I373" s="0" t="s">
        <v>1721</v>
      </c>
      <c r="J373" s="0"/>
      <c r="K373" s="0" t="s">
        <v>1811</v>
      </c>
      <c r="L373" s="0" t="s">
        <v>1813</v>
      </c>
    </row>
    <row r="374">
      <c r="A374" s="0" t="s">
        <v>46</v>
      </c>
      <c r="B374" s="0" t="s">
        <v>330</v>
      </c>
      <c r="C374" s="0" t="s">
        <v>133</v>
      </c>
      <c r="D374" s="0">
        <v>8.3000000000000007</v>
      </c>
      <c r="E374" s="0"/>
      <c r="F374" s="0" t="s">
        <v>839</v>
      </c>
      <c r="G374" s="0"/>
      <c r="H374" s="0" t="s">
        <v>1383</v>
      </c>
      <c r="I374" s="0" t="s">
        <v>1721</v>
      </c>
      <c r="J374" s="0"/>
      <c r="K374" s="0" t="s">
        <v>1811</v>
      </c>
      <c r="L374" s="0" t="s">
        <v>1813</v>
      </c>
    </row>
    <row r="375">
      <c r="A375" s="0" t="s">
        <v>46</v>
      </c>
      <c r="B375" s="0" t="s">
        <v>330</v>
      </c>
      <c r="C375" s="0" t="s">
        <v>472</v>
      </c>
      <c r="D375" s="0">
        <v>2.7999999999999998</v>
      </c>
      <c r="E375" s="0"/>
      <c r="F375" s="0" t="s">
        <v>840</v>
      </c>
      <c r="G375" s="0"/>
      <c r="H375" s="0" t="s">
        <v>1384</v>
      </c>
      <c r="I375" s="0" t="s">
        <v>1721</v>
      </c>
      <c r="J375" s="0"/>
      <c r="K375" s="0" t="s">
        <v>1811</v>
      </c>
      <c r="L375" s="0" t="s">
        <v>1813</v>
      </c>
    </row>
    <row r="376">
      <c r="A376" s="0" t="s">
        <v>46</v>
      </c>
      <c r="B376" s="0" t="s">
        <v>330</v>
      </c>
      <c r="C376" s="0" t="s">
        <v>133</v>
      </c>
      <c r="D376" s="0">
        <v>4.5</v>
      </c>
      <c r="E376" s="0"/>
      <c r="F376" s="0" t="s">
        <v>841</v>
      </c>
      <c r="G376" s="0"/>
      <c r="H376" s="0" t="s">
        <v>1381</v>
      </c>
      <c r="I376" s="0" t="s">
        <v>1721</v>
      </c>
      <c r="J376" s="0"/>
      <c r="K376" s="0" t="s">
        <v>1811</v>
      </c>
      <c r="L376" s="0" t="s">
        <v>1813</v>
      </c>
    </row>
    <row r="377">
      <c r="A377" s="0" t="s">
        <v>46</v>
      </c>
      <c r="B377" s="0" t="s">
        <v>330</v>
      </c>
      <c r="C377" s="0" t="s">
        <v>475</v>
      </c>
      <c r="D377" s="0">
        <v>32</v>
      </c>
      <c r="E377" s="0"/>
      <c r="F377" s="0" t="s">
        <v>705</v>
      </c>
      <c r="G377" s="0"/>
      <c r="H377" s="0" t="s">
        <v>1380</v>
      </c>
      <c r="I377" s="0" t="s">
        <v>1721</v>
      </c>
      <c r="J377" s="0"/>
      <c r="K377" s="0" t="s">
        <v>1811</v>
      </c>
      <c r="L377" s="0" t="s">
        <v>1813</v>
      </c>
    </row>
    <row r="378">
      <c r="A378" s="0" t="s">
        <v>46</v>
      </c>
      <c r="B378" s="0" t="s">
        <v>330</v>
      </c>
      <c r="C378" s="0" t="s">
        <v>472</v>
      </c>
      <c r="D378" s="0">
        <v>2.6000000000000001</v>
      </c>
      <c r="E378" s="0"/>
      <c r="F378" s="0" t="s">
        <v>842</v>
      </c>
      <c r="G378" s="0"/>
      <c r="H378" s="0" t="s">
        <v>1382</v>
      </c>
      <c r="I378" s="0" t="s">
        <v>1721</v>
      </c>
      <c r="J378" s="0"/>
      <c r="K378" s="0" t="s">
        <v>1811</v>
      </c>
      <c r="L378" s="0" t="s">
        <v>1813</v>
      </c>
    </row>
    <row r="379">
      <c r="A379" s="0" t="s">
        <v>46</v>
      </c>
      <c r="B379" s="0" t="s">
        <v>330</v>
      </c>
      <c r="C379" s="0" t="s">
        <v>133</v>
      </c>
      <c r="D379" s="0">
        <v>5.0999999999999996</v>
      </c>
      <c r="E379" s="0"/>
      <c r="F379" s="0" t="s">
        <v>843</v>
      </c>
      <c r="G379" s="0"/>
      <c r="H379" s="0" t="s">
        <v>1384</v>
      </c>
      <c r="I379" s="0" t="s">
        <v>1721</v>
      </c>
      <c r="J379" s="0"/>
      <c r="K379" s="0" t="s">
        <v>1811</v>
      </c>
      <c r="L379" s="0" t="s">
        <v>1813</v>
      </c>
    </row>
    <row r="380">
      <c r="A380" s="0" t="s">
        <v>46</v>
      </c>
      <c r="B380" s="0" t="s">
        <v>330</v>
      </c>
      <c r="C380" s="0" t="s">
        <v>476</v>
      </c>
      <c r="D380" s="0">
        <v>18</v>
      </c>
      <c r="E380" s="0"/>
      <c r="F380" s="0" t="s">
        <v>803</v>
      </c>
      <c r="G380" s="0"/>
      <c r="H380" s="0" t="s">
        <v>1380</v>
      </c>
      <c r="I380" s="0" t="s">
        <v>1721</v>
      </c>
      <c r="J380" s="0"/>
      <c r="K380" s="0" t="s">
        <v>1811</v>
      </c>
      <c r="L380" s="0" t="s">
        <v>1813</v>
      </c>
    </row>
    <row r="381">
      <c r="A381" s="0" t="s">
        <v>46</v>
      </c>
      <c r="B381" s="0" t="s">
        <v>321</v>
      </c>
      <c r="C381" s="0" t="s">
        <v>133</v>
      </c>
      <c r="D381" s="0">
        <v>2.7999999999999998</v>
      </c>
      <c r="E381" s="0"/>
      <c r="F381" s="0" t="s">
        <v>840</v>
      </c>
      <c r="G381" s="0"/>
      <c r="H381" s="0"/>
      <c r="I381" s="0" t="s">
        <v>1687</v>
      </c>
      <c r="J381" s="0"/>
      <c r="K381" s="0" t="s">
        <v>1811</v>
      </c>
      <c r="L381" s="0" t="s">
        <v>1813</v>
      </c>
    </row>
    <row r="382">
      <c r="A382" s="0" t="s">
        <v>46</v>
      </c>
      <c r="B382" s="0" t="s">
        <v>307</v>
      </c>
      <c r="C382" s="0" t="s">
        <v>472</v>
      </c>
      <c r="D382" s="0">
        <v>0.25</v>
      </c>
      <c r="E382" s="0"/>
      <c r="F382" s="0" t="s">
        <v>708</v>
      </c>
      <c r="G382" s="0"/>
      <c r="H382" s="0" t="s">
        <v>1385</v>
      </c>
      <c r="I382" s="0" t="s">
        <v>1766</v>
      </c>
      <c r="J382" s="0"/>
      <c r="K382" s="0" t="s">
        <v>1811</v>
      </c>
      <c r="L382" s="0" t="s">
        <v>1813</v>
      </c>
    </row>
    <row r="383">
      <c r="A383" s="0" t="s">
        <v>46</v>
      </c>
      <c r="B383" s="0" t="s">
        <v>307</v>
      </c>
      <c r="C383" s="0" t="s">
        <v>133</v>
      </c>
      <c r="D383" s="0">
        <v>0.28999999999999998</v>
      </c>
      <c r="E383" s="0"/>
      <c r="F383" s="0" t="s">
        <v>844</v>
      </c>
      <c r="G383" s="0"/>
      <c r="H383" s="0" t="s">
        <v>1385</v>
      </c>
      <c r="I383" s="0" t="s">
        <v>1766</v>
      </c>
      <c r="J383" s="0"/>
      <c r="K383" s="0" t="s">
        <v>1811</v>
      </c>
      <c r="L383" s="0" t="s">
        <v>1813</v>
      </c>
    </row>
    <row r="384">
      <c r="A384" s="0" t="s">
        <v>46</v>
      </c>
      <c r="B384" s="0" t="s">
        <v>307</v>
      </c>
      <c r="C384" s="0" t="s">
        <v>133</v>
      </c>
      <c r="D384" s="0">
        <v>17.399999999999999</v>
      </c>
      <c r="E384" s="0"/>
      <c r="F384" s="0" t="s">
        <v>845</v>
      </c>
      <c r="G384" s="0"/>
      <c r="H384" s="0" t="s">
        <v>1386</v>
      </c>
      <c r="I384" s="0" t="s">
        <v>1722</v>
      </c>
      <c r="J384" s="0"/>
      <c r="K384" s="0" t="s">
        <v>1811</v>
      </c>
      <c r="L384" s="0" t="s">
        <v>1813</v>
      </c>
    </row>
    <row r="385">
      <c r="A385" s="0" t="s">
        <v>46</v>
      </c>
      <c r="B385" s="0" t="s">
        <v>307</v>
      </c>
      <c r="C385" s="0" t="s">
        <v>472</v>
      </c>
      <c r="D385" s="0">
        <v>6.9000000000000004</v>
      </c>
      <c r="E385" s="0"/>
      <c r="F385" s="0" t="s">
        <v>846</v>
      </c>
      <c r="G385" s="0"/>
      <c r="H385" s="0" t="s">
        <v>1386</v>
      </c>
      <c r="I385" s="0" t="s">
        <v>1722</v>
      </c>
      <c r="J385" s="0"/>
      <c r="K385" s="0" t="s">
        <v>1811</v>
      </c>
      <c r="L385" s="0" t="s">
        <v>1813</v>
      </c>
    </row>
    <row r="386">
      <c r="A386" s="0" t="s">
        <v>46</v>
      </c>
      <c r="B386" s="0" t="s">
        <v>331</v>
      </c>
      <c r="C386" s="0" t="s">
        <v>133</v>
      </c>
      <c r="D386" s="0">
        <v>41.789999999999999</v>
      </c>
      <c r="E386" s="0"/>
      <c r="F386" s="0" t="s">
        <v>847</v>
      </c>
      <c r="G386" s="0"/>
      <c r="H386" s="0"/>
      <c r="I386" s="0" t="s">
        <v>1735</v>
      </c>
      <c r="J386" s="0"/>
      <c r="K386" s="0" t="s">
        <v>1811</v>
      </c>
      <c r="L386" s="0" t="s">
        <v>1813</v>
      </c>
    </row>
    <row r="387">
      <c r="A387" s="0" t="s">
        <v>46</v>
      </c>
      <c r="B387" s="0" t="s">
        <v>331</v>
      </c>
      <c r="C387" s="0" t="s">
        <v>472</v>
      </c>
      <c r="D387" s="0">
        <v>14.91</v>
      </c>
      <c r="E387" s="0"/>
      <c r="F387" s="0" t="s">
        <v>848</v>
      </c>
      <c r="G387" s="0"/>
      <c r="H387" s="0"/>
      <c r="I387" s="0" t="s">
        <v>1735</v>
      </c>
      <c r="J387" s="0"/>
      <c r="K387" s="0" t="s">
        <v>1811</v>
      </c>
      <c r="L387" s="0" t="s">
        <v>1813</v>
      </c>
    </row>
    <row r="388">
      <c r="A388" s="0" t="s">
        <v>46</v>
      </c>
      <c r="B388" s="0" t="s">
        <v>331</v>
      </c>
      <c r="C388" s="0" t="s">
        <v>133</v>
      </c>
      <c r="D388" s="0">
        <v>56.170000000000002</v>
      </c>
      <c r="E388" s="0"/>
      <c r="F388" s="0" t="s">
        <v>849</v>
      </c>
      <c r="G388" s="0"/>
      <c r="H388" s="0" t="s">
        <v>1387</v>
      </c>
      <c r="I388" s="0" t="s">
        <v>1712</v>
      </c>
      <c r="J388" s="0"/>
      <c r="K388" s="0" t="s">
        <v>1811</v>
      </c>
      <c r="L388" s="0" t="s">
        <v>1813</v>
      </c>
    </row>
    <row r="389">
      <c r="A389" s="0" t="s">
        <v>46</v>
      </c>
      <c r="B389" s="0" t="s">
        <v>331</v>
      </c>
      <c r="C389" s="0" t="s">
        <v>472</v>
      </c>
      <c r="D389" s="0">
        <v>20.780000000000001</v>
      </c>
      <c r="E389" s="0"/>
      <c r="F389" s="0" t="s">
        <v>850</v>
      </c>
      <c r="G389" s="0"/>
      <c r="H389" s="0" t="s">
        <v>1387</v>
      </c>
      <c r="I389" s="0" t="s">
        <v>1712</v>
      </c>
      <c r="J389" s="0"/>
      <c r="K389" s="0" t="s">
        <v>1811</v>
      </c>
      <c r="L389" s="0" t="s">
        <v>1813</v>
      </c>
    </row>
    <row r="390">
      <c r="A390" s="0" t="s">
        <v>46</v>
      </c>
      <c r="B390" s="0" t="s">
        <v>307</v>
      </c>
      <c r="C390" s="0" t="s">
        <v>472</v>
      </c>
      <c r="D390" s="0">
        <v>0.51300000000000001</v>
      </c>
      <c r="E390" s="0"/>
      <c r="F390" s="0" t="s">
        <v>851</v>
      </c>
      <c r="G390" s="0"/>
      <c r="H390" s="0" t="s">
        <v>1388</v>
      </c>
      <c r="I390" s="0" t="s">
        <v>1775</v>
      </c>
      <c r="J390" s="0"/>
      <c r="K390" s="0" t="s">
        <v>1811</v>
      </c>
      <c r="L390" s="0" t="s">
        <v>1813</v>
      </c>
    </row>
    <row r="391">
      <c r="A391" s="0" t="s">
        <v>46</v>
      </c>
      <c r="B391" s="0" t="s">
        <v>307</v>
      </c>
      <c r="C391" s="0" t="s">
        <v>133</v>
      </c>
      <c r="D391" s="0">
        <v>3.0299999999999998</v>
      </c>
      <c r="E391" s="0"/>
      <c r="F391" s="0" t="s">
        <v>852</v>
      </c>
      <c r="G391" s="0"/>
      <c r="H391" s="0" t="s">
        <v>1389</v>
      </c>
      <c r="I391" s="0" t="s">
        <v>1775</v>
      </c>
      <c r="J391" s="0"/>
      <c r="K391" s="0" t="s">
        <v>1811</v>
      </c>
      <c r="L391" s="0" t="s">
        <v>1813</v>
      </c>
    </row>
    <row r="392">
      <c r="A392" s="0" t="s">
        <v>46</v>
      </c>
      <c r="B392" s="0" t="s">
        <v>307</v>
      </c>
      <c r="C392" s="0" t="s">
        <v>472</v>
      </c>
      <c r="D392" s="0">
        <v>0.52800000000000002</v>
      </c>
      <c r="E392" s="0"/>
      <c r="F392" s="0" t="s">
        <v>853</v>
      </c>
      <c r="G392" s="0"/>
      <c r="H392" s="0" t="s">
        <v>1390</v>
      </c>
      <c r="I392" s="0" t="s">
        <v>1775</v>
      </c>
      <c r="J392" s="0"/>
      <c r="K392" s="0" t="s">
        <v>1811</v>
      </c>
      <c r="L392" s="0" t="s">
        <v>1813</v>
      </c>
    </row>
    <row r="393">
      <c r="A393" s="0" t="s">
        <v>46</v>
      </c>
      <c r="B393" s="0" t="s">
        <v>307</v>
      </c>
      <c r="C393" s="0" t="s">
        <v>472</v>
      </c>
      <c r="D393" s="0">
        <v>0.40200000000000002</v>
      </c>
      <c r="E393" s="0"/>
      <c r="F393" s="0" t="s">
        <v>854</v>
      </c>
      <c r="G393" s="0"/>
      <c r="H393" s="0" t="s">
        <v>1391</v>
      </c>
      <c r="I393" s="0" t="s">
        <v>1775</v>
      </c>
      <c r="J393" s="0"/>
      <c r="K393" s="0" t="s">
        <v>1811</v>
      </c>
      <c r="L393" s="0" t="s">
        <v>1813</v>
      </c>
    </row>
    <row r="394">
      <c r="A394" s="0" t="s">
        <v>46</v>
      </c>
      <c r="B394" s="0" t="s">
        <v>307</v>
      </c>
      <c r="C394" s="0" t="s">
        <v>472</v>
      </c>
      <c r="D394" s="0">
        <v>0.311</v>
      </c>
      <c r="E394" s="0"/>
      <c r="F394" s="0" t="s">
        <v>855</v>
      </c>
      <c r="G394" s="0"/>
      <c r="H394" s="0" t="s">
        <v>1392</v>
      </c>
      <c r="I394" s="0" t="s">
        <v>1775</v>
      </c>
      <c r="J394" s="0"/>
      <c r="K394" s="0" t="s">
        <v>1811</v>
      </c>
      <c r="L394" s="0" t="s">
        <v>1813</v>
      </c>
    </row>
    <row r="395">
      <c r="A395" s="0" t="s">
        <v>46</v>
      </c>
      <c r="B395" s="0" t="s">
        <v>307</v>
      </c>
      <c r="C395" s="0" t="s">
        <v>472</v>
      </c>
      <c r="D395" s="0">
        <v>0.30399999999999999</v>
      </c>
      <c r="E395" s="0"/>
      <c r="F395" s="0" t="s">
        <v>856</v>
      </c>
      <c r="G395" s="0"/>
      <c r="H395" s="0" t="s">
        <v>1393</v>
      </c>
      <c r="I395" s="0" t="s">
        <v>1775</v>
      </c>
      <c r="J395" s="0"/>
      <c r="K395" s="0" t="s">
        <v>1811</v>
      </c>
      <c r="L395" s="0" t="s">
        <v>1813</v>
      </c>
    </row>
    <row r="396">
      <c r="A396" s="0" t="s">
        <v>46</v>
      </c>
      <c r="B396" s="0" t="s">
        <v>307</v>
      </c>
      <c r="C396" s="0" t="s">
        <v>472</v>
      </c>
      <c r="D396" s="0">
        <v>0.61499999999999999</v>
      </c>
      <c r="E396" s="0"/>
      <c r="F396" s="0" t="s">
        <v>857</v>
      </c>
      <c r="G396" s="0"/>
      <c r="H396" s="0" t="s">
        <v>1394</v>
      </c>
      <c r="I396" s="0" t="s">
        <v>1775</v>
      </c>
      <c r="J396" s="0"/>
      <c r="K396" s="0" t="s">
        <v>1811</v>
      </c>
      <c r="L396" s="0" t="s">
        <v>1813</v>
      </c>
    </row>
    <row r="397">
      <c r="A397" s="0" t="s">
        <v>46</v>
      </c>
      <c r="B397" s="0" t="s">
        <v>307</v>
      </c>
      <c r="C397" s="0" t="s">
        <v>472</v>
      </c>
      <c r="D397" s="0">
        <v>0.59199999999999997</v>
      </c>
      <c r="E397" s="0"/>
      <c r="F397" s="0" t="s">
        <v>858</v>
      </c>
      <c r="G397" s="0"/>
      <c r="H397" s="0" t="s">
        <v>1395</v>
      </c>
      <c r="I397" s="0" t="s">
        <v>1775</v>
      </c>
      <c r="J397" s="0"/>
      <c r="K397" s="0" t="s">
        <v>1811</v>
      </c>
      <c r="L397" s="0" t="s">
        <v>1813</v>
      </c>
    </row>
    <row r="398">
      <c r="A398" s="0" t="s">
        <v>46</v>
      </c>
      <c r="B398" s="0" t="s">
        <v>307</v>
      </c>
      <c r="C398" s="0" t="s">
        <v>133</v>
      </c>
      <c r="D398" s="0">
        <v>2.0569999999999999</v>
      </c>
      <c r="E398" s="0"/>
      <c r="F398" s="0" t="s">
        <v>859</v>
      </c>
      <c r="G398" s="0"/>
      <c r="H398" s="0" t="s">
        <v>1396</v>
      </c>
      <c r="I398" s="0" t="s">
        <v>1775</v>
      </c>
      <c r="J398" s="0"/>
      <c r="K398" s="0" t="s">
        <v>1811</v>
      </c>
      <c r="L398" s="0" t="s">
        <v>1813</v>
      </c>
    </row>
    <row r="399">
      <c r="A399" s="0" t="s">
        <v>46</v>
      </c>
      <c r="B399" s="0" t="s">
        <v>307</v>
      </c>
      <c r="C399" s="0" t="s">
        <v>133</v>
      </c>
      <c r="D399" s="0">
        <v>1.401</v>
      </c>
      <c r="E399" s="0"/>
      <c r="F399" s="0" t="s">
        <v>860</v>
      </c>
      <c r="G399" s="0"/>
      <c r="H399" s="0" t="s">
        <v>1397</v>
      </c>
      <c r="I399" s="0" t="s">
        <v>1775</v>
      </c>
      <c r="J399" s="0"/>
      <c r="K399" s="0" t="s">
        <v>1811</v>
      </c>
      <c r="L399" s="0" t="s">
        <v>1813</v>
      </c>
    </row>
    <row r="400">
      <c r="A400" s="0" t="s">
        <v>46</v>
      </c>
      <c r="B400" s="0" t="s">
        <v>307</v>
      </c>
      <c r="C400" s="0" t="s">
        <v>472</v>
      </c>
      <c r="D400" s="0">
        <v>1.008</v>
      </c>
      <c r="E400" s="0"/>
      <c r="F400" s="0" t="s">
        <v>861</v>
      </c>
      <c r="G400" s="0"/>
      <c r="H400" s="0" t="s">
        <v>1398</v>
      </c>
      <c r="I400" s="0" t="s">
        <v>1775</v>
      </c>
      <c r="J400" s="0"/>
      <c r="K400" s="0" t="s">
        <v>1811</v>
      </c>
      <c r="L400" s="0" t="s">
        <v>1813</v>
      </c>
    </row>
    <row r="401">
      <c r="A401" s="0" t="s">
        <v>46</v>
      </c>
      <c r="B401" s="0" t="s">
        <v>307</v>
      </c>
      <c r="C401" s="0" t="s">
        <v>133</v>
      </c>
      <c r="D401" s="0">
        <v>1.0489999999999999</v>
      </c>
      <c r="E401" s="0"/>
      <c r="F401" s="0" t="s">
        <v>862</v>
      </c>
      <c r="G401" s="0"/>
      <c r="H401" s="0" t="s">
        <v>1399</v>
      </c>
      <c r="I401" s="0" t="s">
        <v>1775</v>
      </c>
      <c r="J401" s="0"/>
      <c r="K401" s="0" t="s">
        <v>1811</v>
      </c>
      <c r="L401" s="0" t="s">
        <v>1813</v>
      </c>
    </row>
    <row r="402">
      <c r="A402" s="0" t="s">
        <v>46</v>
      </c>
      <c r="B402" s="0" t="s">
        <v>307</v>
      </c>
      <c r="C402" s="0" t="s">
        <v>472</v>
      </c>
      <c r="D402" s="0">
        <v>0.60399999999999998</v>
      </c>
      <c r="E402" s="0"/>
      <c r="F402" s="0" t="s">
        <v>863</v>
      </c>
      <c r="G402" s="0"/>
      <c r="H402" s="0" t="s">
        <v>1400</v>
      </c>
      <c r="I402" s="0" t="s">
        <v>1775</v>
      </c>
      <c r="J402" s="0"/>
      <c r="K402" s="0" t="s">
        <v>1811</v>
      </c>
      <c r="L402" s="0" t="s">
        <v>1813</v>
      </c>
    </row>
    <row r="403">
      <c r="A403" s="0" t="s">
        <v>46</v>
      </c>
      <c r="B403" s="0" t="s">
        <v>307</v>
      </c>
      <c r="C403" s="0" t="s">
        <v>472</v>
      </c>
      <c r="D403" s="0">
        <v>0.439</v>
      </c>
      <c r="E403" s="0"/>
      <c r="F403" s="0" t="s">
        <v>864</v>
      </c>
      <c r="G403" s="0"/>
      <c r="H403" s="0" t="s">
        <v>1401</v>
      </c>
      <c r="I403" s="0" t="s">
        <v>1775</v>
      </c>
      <c r="J403" s="0"/>
      <c r="K403" s="0" t="s">
        <v>1811</v>
      </c>
      <c r="L403" s="0" t="s">
        <v>1813</v>
      </c>
    </row>
    <row r="404">
      <c r="A404" s="0" t="s">
        <v>46</v>
      </c>
      <c r="B404" s="0" t="s">
        <v>307</v>
      </c>
      <c r="C404" s="0" t="s">
        <v>133</v>
      </c>
      <c r="D404" s="0">
        <v>3.6030000000000002</v>
      </c>
      <c r="E404" s="0"/>
      <c r="F404" s="0" t="s">
        <v>865</v>
      </c>
      <c r="G404" s="0"/>
      <c r="H404" s="0" t="s">
        <v>1402</v>
      </c>
      <c r="I404" s="0" t="s">
        <v>1775</v>
      </c>
      <c r="J404" s="0"/>
      <c r="K404" s="0" t="s">
        <v>1811</v>
      </c>
      <c r="L404" s="0" t="s">
        <v>1813</v>
      </c>
    </row>
    <row r="405">
      <c r="A405" s="0" t="s">
        <v>46</v>
      </c>
      <c r="B405" s="0" t="s">
        <v>307</v>
      </c>
      <c r="C405" s="0" t="s">
        <v>133</v>
      </c>
      <c r="D405" s="0">
        <v>1.5620000000000001</v>
      </c>
      <c r="E405" s="0"/>
      <c r="F405" s="0" t="s">
        <v>866</v>
      </c>
      <c r="G405" s="0"/>
      <c r="H405" s="0" t="s">
        <v>1403</v>
      </c>
      <c r="I405" s="0" t="s">
        <v>1775</v>
      </c>
      <c r="J405" s="0"/>
      <c r="K405" s="0" t="s">
        <v>1811</v>
      </c>
      <c r="L405" s="0" t="s">
        <v>1813</v>
      </c>
    </row>
    <row r="406">
      <c r="A406" s="0" t="s">
        <v>46</v>
      </c>
      <c r="B406" s="0" t="s">
        <v>307</v>
      </c>
      <c r="C406" s="0" t="s">
        <v>133</v>
      </c>
      <c r="D406" s="0">
        <v>1.516</v>
      </c>
      <c r="E406" s="0"/>
      <c r="F406" s="0" t="s">
        <v>867</v>
      </c>
      <c r="G406" s="0"/>
      <c r="H406" s="0" t="s">
        <v>1404</v>
      </c>
      <c r="I406" s="0" t="s">
        <v>1775</v>
      </c>
      <c r="J406" s="0"/>
      <c r="K406" s="0" t="s">
        <v>1811</v>
      </c>
      <c r="L406" s="0" t="s">
        <v>1813</v>
      </c>
    </row>
    <row r="407">
      <c r="A407" s="0" t="s">
        <v>46</v>
      </c>
      <c r="B407" s="0" t="s">
        <v>307</v>
      </c>
      <c r="C407" s="0" t="s">
        <v>133</v>
      </c>
      <c r="D407" s="0">
        <v>1.9930000000000001</v>
      </c>
      <c r="E407" s="0"/>
      <c r="F407" s="0" t="s">
        <v>868</v>
      </c>
      <c r="G407" s="0"/>
      <c r="H407" s="0" t="s">
        <v>1405</v>
      </c>
      <c r="I407" s="0" t="s">
        <v>1775</v>
      </c>
      <c r="J407" s="0"/>
      <c r="K407" s="0" t="s">
        <v>1811</v>
      </c>
      <c r="L407" s="0" t="s">
        <v>1813</v>
      </c>
    </row>
    <row r="408">
      <c r="A408" s="0" t="s">
        <v>46</v>
      </c>
      <c r="B408" s="0" t="s">
        <v>319</v>
      </c>
      <c r="C408" s="0" t="s">
        <v>472</v>
      </c>
      <c r="D408" s="0">
        <v>0.89000000000000001</v>
      </c>
      <c r="E408" s="0"/>
      <c r="F408" s="0" t="s">
        <v>869</v>
      </c>
      <c r="G408" s="0"/>
      <c r="H408" s="0" t="s">
        <v>1406</v>
      </c>
      <c r="I408" s="0" t="s">
        <v>1776</v>
      </c>
      <c r="J408" s="0"/>
      <c r="K408" s="0" t="s">
        <v>1811</v>
      </c>
      <c r="L408" s="0" t="s">
        <v>1813</v>
      </c>
    </row>
    <row r="409">
      <c r="A409" s="0" t="s">
        <v>46</v>
      </c>
      <c r="B409" s="0" t="s">
        <v>319</v>
      </c>
      <c r="C409" s="0" t="s">
        <v>133</v>
      </c>
      <c r="D409" s="0">
        <v>2.77</v>
      </c>
      <c r="E409" s="0"/>
      <c r="F409" s="0" t="s">
        <v>870</v>
      </c>
      <c r="G409" s="0"/>
      <c r="H409" s="0" t="s">
        <v>1406</v>
      </c>
      <c r="I409" s="0" t="s">
        <v>1776</v>
      </c>
      <c r="J409" s="0"/>
      <c r="K409" s="0" t="s">
        <v>1811</v>
      </c>
      <c r="L409" s="0" t="s">
        <v>1813</v>
      </c>
    </row>
    <row r="410">
      <c r="A410" s="0" t="s">
        <v>46</v>
      </c>
      <c r="B410" s="0" t="s">
        <v>332</v>
      </c>
      <c r="C410" s="0" t="s">
        <v>472</v>
      </c>
      <c r="D410" s="0">
        <v>52</v>
      </c>
      <c r="E410" s="0"/>
      <c r="F410" s="0" t="s">
        <v>871</v>
      </c>
      <c r="G410" s="0"/>
      <c r="H410" s="0" t="s">
        <v>1407</v>
      </c>
      <c r="I410" s="0" t="s">
        <v>820</v>
      </c>
      <c r="J410" s="0"/>
      <c r="K410" s="0" t="s">
        <v>1811</v>
      </c>
      <c r="L410" s="0" t="s">
        <v>1813</v>
      </c>
    </row>
    <row r="411">
      <c r="A411" s="0" t="s">
        <v>46</v>
      </c>
      <c r="B411" s="0" t="s">
        <v>332</v>
      </c>
      <c r="C411" s="0" t="s">
        <v>133</v>
      </c>
      <c r="D411" s="0">
        <v>136</v>
      </c>
      <c r="E411" s="0"/>
      <c r="F411" s="0" t="s">
        <v>872</v>
      </c>
      <c r="G411" s="0"/>
      <c r="H411" s="0" t="s">
        <v>1408</v>
      </c>
      <c r="I411" s="0" t="s">
        <v>820</v>
      </c>
      <c r="J411" s="0"/>
      <c r="K411" s="0" t="s">
        <v>1811</v>
      </c>
      <c r="L411" s="0" t="s">
        <v>1813</v>
      </c>
    </row>
    <row r="412">
      <c r="A412" s="0" t="s">
        <v>46</v>
      </c>
      <c r="B412" s="0" t="s">
        <v>332</v>
      </c>
      <c r="C412" s="0" t="s">
        <v>472</v>
      </c>
      <c r="D412" s="0">
        <v>58.5</v>
      </c>
      <c r="E412" s="0"/>
      <c r="F412" s="0" t="s">
        <v>873</v>
      </c>
      <c r="G412" s="0"/>
      <c r="H412" s="0" t="s">
        <v>1409</v>
      </c>
      <c r="I412" s="0" t="s">
        <v>820</v>
      </c>
      <c r="J412" s="0"/>
      <c r="K412" s="0" t="s">
        <v>1811</v>
      </c>
      <c r="L412" s="0" t="s">
        <v>1813</v>
      </c>
    </row>
    <row r="413">
      <c r="A413" s="0" t="s">
        <v>46</v>
      </c>
      <c r="B413" s="0" t="s">
        <v>332</v>
      </c>
      <c r="C413" s="0" t="s">
        <v>472</v>
      </c>
      <c r="D413" s="0">
        <v>110.3</v>
      </c>
      <c r="E413" s="0"/>
      <c r="F413" s="0" t="s">
        <v>874</v>
      </c>
      <c r="G413" s="0"/>
      <c r="H413" s="0" t="s">
        <v>1408</v>
      </c>
      <c r="I413" s="0" t="s">
        <v>820</v>
      </c>
      <c r="J413" s="0"/>
      <c r="K413" s="0" t="s">
        <v>1811</v>
      </c>
      <c r="L413" s="0" t="s">
        <v>1813</v>
      </c>
    </row>
    <row r="414">
      <c r="A414" s="0" t="s">
        <v>46</v>
      </c>
      <c r="B414" s="0" t="s">
        <v>332</v>
      </c>
      <c r="C414" s="0" t="s">
        <v>133</v>
      </c>
      <c r="D414" s="0">
        <v>83.099999999999994</v>
      </c>
      <c r="E414" s="0"/>
      <c r="F414" s="0" t="s">
        <v>875</v>
      </c>
      <c r="G414" s="0"/>
      <c r="H414" s="0" t="s">
        <v>1409</v>
      </c>
      <c r="I414" s="0" t="s">
        <v>820</v>
      </c>
      <c r="J414" s="0"/>
      <c r="K414" s="0" t="s">
        <v>1811</v>
      </c>
      <c r="L414" s="0" t="s">
        <v>1813</v>
      </c>
    </row>
    <row r="415">
      <c r="A415" s="0" t="s">
        <v>46</v>
      </c>
      <c r="B415" s="0" t="s">
        <v>332</v>
      </c>
      <c r="C415" s="0" t="s">
        <v>133</v>
      </c>
      <c r="D415" s="0">
        <v>780.20000000000005</v>
      </c>
      <c r="E415" s="0"/>
      <c r="F415" s="0" t="s">
        <v>876</v>
      </c>
      <c r="G415" s="0"/>
      <c r="H415" s="0" t="s">
        <v>1410</v>
      </c>
      <c r="I415" s="0" t="s">
        <v>820</v>
      </c>
      <c r="J415" s="0"/>
      <c r="K415" s="0" t="s">
        <v>1811</v>
      </c>
      <c r="L415" s="0" t="s">
        <v>1813</v>
      </c>
    </row>
    <row r="416">
      <c r="A416" s="0" t="s">
        <v>46</v>
      </c>
      <c r="B416" s="0" t="s">
        <v>332</v>
      </c>
      <c r="C416" s="0" t="s">
        <v>133</v>
      </c>
      <c r="D416" s="0">
        <v>87.799999999999997</v>
      </c>
      <c r="E416" s="0"/>
      <c r="F416" s="0" t="s">
        <v>877</v>
      </c>
      <c r="G416" s="0"/>
      <c r="H416" s="0" t="s">
        <v>1407</v>
      </c>
      <c r="I416" s="0" t="s">
        <v>820</v>
      </c>
      <c r="J416" s="0"/>
      <c r="K416" s="0" t="s">
        <v>1811</v>
      </c>
      <c r="L416" s="0" t="s">
        <v>1813</v>
      </c>
    </row>
    <row r="417">
      <c r="A417" s="0" t="s">
        <v>46</v>
      </c>
      <c r="B417" s="0" t="s">
        <v>332</v>
      </c>
      <c r="C417" s="0" t="s">
        <v>133</v>
      </c>
      <c r="D417" s="0">
        <v>176.1</v>
      </c>
      <c r="E417" s="0"/>
      <c r="F417" s="0" t="s">
        <v>878</v>
      </c>
      <c r="G417" s="0"/>
      <c r="H417" s="0" t="s">
        <v>1411</v>
      </c>
      <c r="I417" s="0" t="s">
        <v>820</v>
      </c>
      <c r="J417" s="0"/>
      <c r="K417" s="0" t="s">
        <v>1811</v>
      </c>
      <c r="L417" s="0" t="s">
        <v>1813</v>
      </c>
    </row>
    <row r="418">
      <c r="A418" s="0" t="s">
        <v>46</v>
      </c>
      <c r="B418" s="0" t="s">
        <v>332</v>
      </c>
      <c r="C418" s="0" t="s">
        <v>133</v>
      </c>
      <c r="D418" s="0">
        <v>157.5</v>
      </c>
      <c r="E418" s="0"/>
      <c r="F418" s="0" t="s">
        <v>879</v>
      </c>
      <c r="G418" s="0"/>
      <c r="H418" s="0" t="s">
        <v>1412</v>
      </c>
      <c r="I418" s="0" t="s">
        <v>820</v>
      </c>
      <c r="J418" s="0"/>
      <c r="K418" s="0" t="s">
        <v>1811</v>
      </c>
      <c r="L418" s="0" t="s">
        <v>1813</v>
      </c>
    </row>
    <row r="419">
      <c r="A419" s="0" t="s">
        <v>46</v>
      </c>
      <c r="B419" s="0" t="s">
        <v>332</v>
      </c>
      <c r="C419" s="0" t="s">
        <v>472</v>
      </c>
      <c r="D419" s="0">
        <v>381.19999999999999</v>
      </c>
      <c r="E419" s="0"/>
      <c r="F419" s="0" t="s">
        <v>880</v>
      </c>
      <c r="G419" s="0"/>
      <c r="H419" s="0" t="s">
        <v>1410</v>
      </c>
      <c r="I419" s="0" t="s">
        <v>820</v>
      </c>
      <c r="J419" s="0"/>
      <c r="K419" s="0" t="s">
        <v>1811</v>
      </c>
      <c r="L419" s="0" t="s">
        <v>1813</v>
      </c>
    </row>
    <row r="420">
      <c r="A420" s="0" t="s">
        <v>46</v>
      </c>
      <c r="B420" s="0" t="s">
        <v>332</v>
      </c>
      <c r="C420" s="0" t="s">
        <v>472</v>
      </c>
      <c r="D420" s="0">
        <v>216.1</v>
      </c>
      <c r="E420" s="0"/>
      <c r="F420" s="0" t="s">
        <v>881</v>
      </c>
      <c r="G420" s="0"/>
      <c r="H420" s="0" t="s">
        <v>1411</v>
      </c>
      <c r="I420" s="0" t="s">
        <v>820</v>
      </c>
      <c r="J420" s="0"/>
      <c r="K420" s="0" t="s">
        <v>1811</v>
      </c>
      <c r="L420" s="0" t="s">
        <v>1813</v>
      </c>
    </row>
    <row r="421">
      <c r="A421" s="0" t="s">
        <v>46</v>
      </c>
      <c r="B421" s="0" t="s">
        <v>332</v>
      </c>
      <c r="C421" s="0" t="s">
        <v>472</v>
      </c>
      <c r="D421" s="0">
        <v>160.90000000000001</v>
      </c>
      <c r="E421" s="0"/>
      <c r="F421" s="0" t="s">
        <v>882</v>
      </c>
      <c r="G421" s="0"/>
      <c r="H421" s="0" t="s">
        <v>1412</v>
      </c>
      <c r="I421" s="0" t="s">
        <v>820</v>
      </c>
      <c r="J421" s="0"/>
      <c r="K421" s="0" t="s">
        <v>1811</v>
      </c>
      <c r="L421" s="0" t="s">
        <v>1813</v>
      </c>
    </row>
    <row r="422">
      <c r="A422" s="0" t="s">
        <v>46</v>
      </c>
      <c r="B422" s="0" t="s">
        <v>332</v>
      </c>
      <c r="C422" s="0" t="s">
        <v>472</v>
      </c>
      <c r="D422" s="0">
        <v>20.16</v>
      </c>
      <c r="E422" s="0"/>
      <c r="F422" s="0" t="s">
        <v>883</v>
      </c>
      <c r="G422" s="0"/>
      <c r="H422" s="0" t="s">
        <v>1413</v>
      </c>
      <c r="I422" s="0" t="s">
        <v>1777</v>
      </c>
      <c r="J422" s="0"/>
      <c r="K422" s="0" t="s">
        <v>1811</v>
      </c>
      <c r="L422" s="0" t="s">
        <v>1813</v>
      </c>
    </row>
    <row r="423">
      <c r="A423" s="0" t="s">
        <v>46</v>
      </c>
      <c r="B423" s="0" t="s">
        <v>333</v>
      </c>
      <c r="C423" s="0" t="s">
        <v>472</v>
      </c>
      <c r="D423" s="0">
        <v>7</v>
      </c>
      <c r="E423" s="0"/>
      <c r="F423" s="0" t="s">
        <v>884</v>
      </c>
      <c r="G423" s="0"/>
      <c r="H423" s="0" t="s">
        <v>1414</v>
      </c>
      <c r="I423" s="0" t="s">
        <v>1778</v>
      </c>
      <c r="J423" s="0"/>
      <c r="K423" s="0" t="s">
        <v>1811</v>
      </c>
      <c r="L423" s="0" t="s">
        <v>1813</v>
      </c>
    </row>
    <row r="424">
      <c r="A424" s="0" t="s">
        <v>46</v>
      </c>
      <c r="B424" s="0" t="s">
        <v>333</v>
      </c>
      <c r="C424" s="0" t="s">
        <v>133</v>
      </c>
      <c r="D424" s="0">
        <v>0.045999999999999999</v>
      </c>
      <c r="E424" s="0"/>
      <c r="F424" s="0" t="s">
        <v>718</v>
      </c>
      <c r="G424" s="0"/>
      <c r="H424" s="0" t="s">
        <v>1415</v>
      </c>
      <c r="I424" s="0" t="s">
        <v>1779</v>
      </c>
      <c r="J424" s="0"/>
      <c r="K424" s="0" t="s">
        <v>1811</v>
      </c>
      <c r="L424" s="0" t="s">
        <v>1813</v>
      </c>
    </row>
    <row r="425">
      <c r="A425" s="0" t="s">
        <v>46</v>
      </c>
      <c r="B425" s="0" t="s">
        <v>333</v>
      </c>
      <c r="C425" s="0" t="s">
        <v>472</v>
      </c>
      <c r="D425" s="0">
        <v>5.4000000000000004</v>
      </c>
      <c r="E425" s="0"/>
      <c r="F425" s="0" t="s">
        <v>885</v>
      </c>
      <c r="G425" s="0"/>
      <c r="H425" s="0" t="s">
        <v>1416</v>
      </c>
      <c r="I425" s="0" t="s">
        <v>1778</v>
      </c>
      <c r="J425" s="0"/>
      <c r="K425" s="0" t="s">
        <v>1811</v>
      </c>
      <c r="L425" s="0" t="s">
        <v>1813</v>
      </c>
    </row>
    <row r="426">
      <c r="A426" s="0" t="s">
        <v>46</v>
      </c>
      <c r="B426" s="0" t="s">
        <v>333</v>
      </c>
      <c r="C426" s="0" t="s">
        <v>133</v>
      </c>
      <c r="D426" s="0">
        <v>0.064000000000000001</v>
      </c>
      <c r="E426" s="0"/>
      <c r="F426" s="0" t="s">
        <v>886</v>
      </c>
      <c r="G426" s="0"/>
      <c r="H426" s="0" t="s">
        <v>1417</v>
      </c>
      <c r="I426" s="0" t="s">
        <v>1779</v>
      </c>
      <c r="J426" s="0"/>
      <c r="K426" s="0" t="s">
        <v>1811</v>
      </c>
      <c r="L426" s="0" t="s">
        <v>1813</v>
      </c>
    </row>
    <row r="427">
      <c r="A427" s="0" t="s">
        <v>46</v>
      </c>
      <c r="B427" s="0" t="s">
        <v>333</v>
      </c>
      <c r="C427" s="0" t="s">
        <v>133</v>
      </c>
      <c r="D427" s="0">
        <v>17.600000000000001</v>
      </c>
      <c r="E427" s="0"/>
      <c r="F427" s="0" t="s">
        <v>887</v>
      </c>
      <c r="G427" s="0"/>
      <c r="H427" s="0" t="s">
        <v>1414</v>
      </c>
      <c r="I427" s="0" t="s">
        <v>1778</v>
      </c>
      <c r="J427" s="0"/>
      <c r="K427" s="0" t="s">
        <v>1811</v>
      </c>
      <c r="L427" s="0" t="s">
        <v>1813</v>
      </c>
    </row>
    <row r="428">
      <c r="A428" s="0" t="s">
        <v>46</v>
      </c>
      <c r="B428" s="0" t="s">
        <v>333</v>
      </c>
      <c r="C428" s="0" t="s">
        <v>133</v>
      </c>
      <c r="D428" s="0">
        <v>13.800000000000001</v>
      </c>
      <c r="E428" s="0"/>
      <c r="F428" s="0" t="s">
        <v>888</v>
      </c>
      <c r="G428" s="0"/>
      <c r="H428" s="0" t="s">
        <v>1416</v>
      </c>
      <c r="I428" s="0" t="s">
        <v>1778</v>
      </c>
      <c r="J428" s="0"/>
      <c r="K428" s="0" t="s">
        <v>1811</v>
      </c>
      <c r="L428" s="0" t="s">
        <v>1813</v>
      </c>
    </row>
    <row r="429">
      <c r="A429" s="0" t="s">
        <v>46</v>
      </c>
      <c r="B429" s="0" t="s">
        <v>334</v>
      </c>
      <c r="C429" s="0" t="s">
        <v>133</v>
      </c>
      <c r="D429" s="0">
        <v>35.899999999999999</v>
      </c>
      <c r="E429" s="0"/>
      <c r="F429" s="0" t="s">
        <v>889</v>
      </c>
      <c r="G429" s="0"/>
      <c r="H429" s="0" t="s">
        <v>1418</v>
      </c>
      <c r="I429" s="0" t="s">
        <v>1743</v>
      </c>
      <c r="J429" s="0"/>
      <c r="K429" s="0" t="s">
        <v>1811</v>
      </c>
      <c r="L429" s="0" t="s">
        <v>1813</v>
      </c>
    </row>
    <row r="430">
      <c r="A430" s="0" t="s">
        <v>46</v>
      </c>
      <c r="B430" s="0" t="s">
        <v>334</v>
      </c>
      <c r="C430" s="0" t="s">
        <v>472</v>
      </c>
      <c r="D430" s="0">
        <v>15.359999999999999</v>
      </c>
      <c r="E430" s="0"/>
      <c r="F430" s="0" t="s">
        <v>890</v>
      </c>
      <c r="G430" s="0"/>
      <c r="H430" s="0" t="s">
        <v>1418</v>
      </c>
      <c r="I430" s="0" t="s">
        <v>1743</v>
      </c>
      <c r="J430" s="0"/>
      <c r="K430" s="0" t="s">
        <v>1811</v>
      </c>
      <c r="L430" s="0" t="s">
        <v>1813</v>
      </c>
    </row>
    <row r="431">
      <c r="A431" s="0" t="s">
        <v>46</v>
      </c>
      <c r="B431" s="0" t="s">
        <v>330</v>
      </c>
      <c r="C431" s="0" t="s">
        <v>471</v>
      </c>
      <c r="D431" s="0">
        <v>4.25</v>
      </c>
      <c r="E431" s="0"/>
      <c r="F431" s="0" t="s">
        <v>891</v>
      </c>
      <c r="G431" s="0"/>
      <c r="H431" s="0"/>
      <c r="I431" s="0" t="s">
        <v>1780</v>
      </c>
      <c r="J431" s="0"/>
      <c r="K431" s="0" t="s">
        <v>1811</v>
      </c>
      <c r="L431" s="0" t="s">
        <v>1813</v>
      </c>
    </row>
    <row r="432">
      <c r="A432" s="0" t="s">
        <v>46</v>
      </c>
      <c r="B432" s="0" t="s">
        <v>330</v>
      </c>
      <c r="C432" s="0" t="s">
        <v>471</v>
      </c>
      <c r="D432" s="0">
        <v>4.4000000000000004</v>
      </c>
      <c r="E432" s="0"/>
      <c r="F432" s="0" t="s">
        <v>724</v>
      </c>
      <c r="G432" s="0"/>
      <c r="H432" s="0"/>
      <c r="I432" s="0" t="s">
        <v>640</v>
      </c>
      <c r="J432" s="0"/>
      <c r="K432" s="0" t="s">
        <v>1811</v>
      </c>
      <c r="L432" s="0" t="s">
        <v>1813</v>
      </c>
    </row>
    <row r="433">
      <c r="A433" s="0" t="s">
        <v>46</v>
      </c>
      <c r="B433" s="0" t="s">
        <v>335</v>
      </c>
      <c r="C433" s="0" t="s">
        <v>472</v>
      </c>
      <c r="D433" s="0">
        <v>0.56000000000000005</v>
      </c>
      <c r="E433" s="0"/>
      <c r="F433" s="0" t="s">
        <v>892</v>
      </c>
      <c r="G433" s="0"/>
      <c r="H433" s="0" t="s">
        <v>1419</v>
      </c>
      <c r="I433" s="0" t="s">
        <v>1781</v>
      </c>
      <c r="J433" s="0"/>
      <c r="K433" s="0" t="s">
        <v>1811</v>
      </c>
      <c r="L433" s="0" t="s">
        <v>1813</v>
      </c>
    </row>
    <row r="434">
      <c r="A434" s="0" t="s">
        <v>46</v>
      </c>
      <c r="B434" s="0" t="s">
        <v>261</v>
      </c>
      <c r="C434" s="0" t="s">
        <v>133</v>
      </c>
      <c r="D434" s="0">
        <v>3.7000000000000002</v>
      </c>
      <c r="E434" s="0"/>
      <c r="F434" s="0" t="s">
        <v>893</v>
      </c>
      <c r="G434" s="0"/>
      <c r="H434" s="0" t="s">
        <v>1420</v>
      </c>
      <c r="I434" s="0" t="s">
        <v>1771</v>
      </c>
      <c r="J434" s="0"/>
      <c r="K434" s="0" t="s">
        <v>1811</v>
      </c>
      <c r="L434" s="0" t="s">
        <v>1813</v>
      </c>
    </row>
    <row r="435">
      <c r="A435" s="0" t="s">
        <v>46</v>
      </c>
      <c r="B435" s="0" t="s">
        <v>336</v>
      </c>
      <c r="C435" s="0" t="s">
        <v>133</v>
      </c>
      <c r="D435" s="0">
        <v>12</v>
      </c>
      <c r="E435" s="0"/>
      <c r="F435" s="0" t="s">
        <v>640</v>
      </c>
      <c r="G435" s="0"/>
      <c r="H435" s="0" t="s">
        <v>1421</v>
      </c>
      <c r="I435" s="0" t="s">
        <v>1782</v>
      </c>
      <c r="J435" s="0"/>
      <c r="K435" s="0" t="s">
        <v>1811</v>
      </c>
      <c r="L435" s="0" t="s">
        <v>1813</v>
      </c>
    </row>
    <row r="436">
      <c r="A436" s="0" t="s">
        <v>46</v>
      </c>
      <c r="B436" s="0" t="s">
        <v>337</v>
      </c>
      <c r="C436" s="0" t="s">
        <v>133</v>
      </c>
      <c r="D436" s="0">
        <v>3.7999999999999998</v>
      </c>
      <c r="E436" s="0"/>
      <c r="F436" s="0" t="s">
        <v>833</v>
      </c>
      <c r="G436" s="0"/>
      <c r="H436" s="0" t="s">
        <v>1422</v>
      </c>
      <c r="I436" s="0" t="s">
        <v>1782</v>
      </c>
      <c r="J436" s="0"/>
      <c r="K436" s="0" t="s">
        <v>1811</v>
      </c>
      <c r="L436" s="0" t="s">
        <v>1813</v>
      </c>
    </row>
    <row r="437">
      <c r="A437" s="0" t="s">
        <v>46</v>
      </c>
      <c r="B437" s="0" t="s">
        <v>338</v>
      </c>
      <c r="C437" s="0" t="s">
        <v>133</v>
      </c>
      <c r="D437" s="0">
        <v>0.38</v>
      </c>
      <c r="E437" s="0"/>
      <c r="F437" s="0" t="s">
        <v>894</v>
      </c>
      <c r="G437" s="0"/>
      <c r="H437" s="0" t="s">
        <v>1423</v>
      </c>
      <c r="I437" s="0" t="s">
        <v>1782</v>
      </c>
      <c r="J437" s="0"/>
      <c r="K437" s="0" t="s">
        <v>1811</v>
      </c>
      <c r="L437" s="0" t="s">
        <v>1813</v>
      </c>
    </row>
    <row r="438">
      <c r="A438" s="0" t="s">
        <v>46</v>
      </c>
      <c r="B438" s="0" t="s">
        <v>338</v>
      </c>
      <c r="C438" s="0" t="s">
        <v>133</v>
      </c>
      <c r="D438" s="0">
        <v>4.2000000000000002</v>
      </c>
      <c r="E438" s="0"/>
      <c r="F438" s="0" t="s">
        <v>806</v>
      </c>
      <c r="G438" s="0"/>
      <c r="H438" s="0" t="s">
        <v>1424</v>
      </c>
      <c r="I438" s="0" t="s">
        <v>1782</v>
      </c>
      <c r="J438" s="0"/>
      <c r="K438" s="0" t="s">
        <v>1811</v>
      </c>
      <c r="L438" s="0" t="s">
        <v>1813</v>
      </c>
    </row>
    <row r="439">
      <c r="A439" s="0" t="s">
        <v>46</v>
      </c>
      <c r="B439" s="0" t="s">
        <v>338</v>
      </c>
      <c r="C439" s="0" t="s">
        <v>133</v>
      </c>
      <c r="D439" s="0">
        <v>8.1999999999999993</v>
      </c>
      <c r="E439" s="0"/>
      <c r="F439" s="0" t="s">
        <v>786</v>
      </c>
      <c r="G439" s="0"/>
      <c r="H439" s="0" t="s">
        <v>1425</v>
      </c>
      <c r="I439" s="0" t="s">
        <v>1782</v>
      </c>
      <c r="J439" s="0"/>
      <c r="K439" s="0" t="s">
        <v>1811</v>
      </c>
      <c r="L439" s="0" t="s">
        <v>1813</v>
      </c>
    </row>
    <row r="440">
      <c r="A440" s="0" t="s">
        <v>46</v>
      </c>
      <c r="B440" s="0" t="s">
        <v>339</v>
      </c>
      <c r="C440" s="0" t="s">
        <v>133</v>
      </c>
      <c r="D440" s="0">
        <v>3.2999999999999998</v>
      </c>
      <c r="E440" s="0"/>
      <c r="F440" s="0" t="s">
        <v>895</v>
      </c>
      <c r="G440" s="0"/>
      <c r="H440" s="0" t="s">
        <v>1426</v>
      </c>
      <c r="I440" s="0" t="s">
        <v>1783</v>
      </c>
      <c r="J440" s="0"/>
      <c r="K440" s="0" t="s">
        <v>1811</v>
      </c>
      <c r="L440" s="0" t="s">
        <v>1813</v>
      </c>
    </row>
    <row r="441">
      <c r="A441" s="0" t="s">
        <v>46</v>
      </c>
      <c r="B441" s="0" t="s">
        <v>339</v>
      </c>
      <c r="C441" s="0" t="s">
        <v>472</v>
      </c>
      <c r="D441" s="0">
        <v>5.5</v>
      </c>
      <c r="E441" s="0"/>
      <c r="F441" s="0" t="s">
        <v>674</v>
      </c>
      <c r="G441" s="0"/>
      <c r="H441" s="0" t="s">
        <v>1426</v>
      </c>
      <c r="I441" s="0" t="s">
        <v>1783</v>
      </c>
      <c r="J441" s="0"/>
      <c r="K441" s="0" t="s">
        <v>1811</v>
      </c>
      <c r="L441" s="0" t="s">
        <v>1813</v>
      </c>
    </row>
    <row r="442">
      <c r="A442" s="0" t="s">
        <v>46</v>
      </c>
      <c r="B442" s="0" t="s">
        <v>340</v>
      </c>
      <c r="C442" s="0" t="s">
        <v>472</v>
      </c>
      <c r="D442" s="0">
        <v>66.599999999999994</v>
      </c>
      <c r="E442" s="0"/>
      <c r="F442" s="0" t="s">
        <v>896</v>
      </c>
      <c r="G442" s="0"/>
      <c r="H442" s="0" t="s">
        <v>1427</v>
      </c>
      <c r="I442" s="0" t="s">
        <v>1784</v>
      </c>
      <c r="J442" s="0"/>
      <c r="K442" s="0" t="s">
        <v>1811</v>
      </c>
      <c r="L442" s="0" t="s">
        <v>1813</v>
      </c>
    </row>
    <row r="443">
      <c r="A443" s="0" t="s">
        <v>46</v>
      </c>
      <c r="B443" s="0" t="s">
        <v>340</v>
      </c>
      <c r="C443" s="0" t="s">
        <v>133</v>
      </c>
      <c r="D443" s="0">
        <v>62.100000000000001</v>
      </c>
      <c r="E443" s="0"/>
      <c r="F443" s="0" t="s">
        <v>897</v>
      </c>
      <c r="G443" s="0"/>
      <c r="H443" s="0" t="s">
        <v>1427</v>
      </c>
      <c r="I443" s="0" t="s">
        <v>1784</v>
      </c>
      <c r="J443" s="0"/>
      <c r="K443" s="0" t="s">
        <v>1811</v>
      </c>
      <c r="L443" s="0" t="s">
        <v>1813</v>
      </c>
    </row>
    <row r="444">
      <c r="A444" s="0" t="s">
        <v>46</v>
      </c>
      <c r="B444" s="0" t="s">
        <v>341</v>
      </c>
      <c r="C444" s="0" t="s">
        <v>472</v>
      </c>
      <c r="D444" s="0">
        <v>4.7000000000000002</v>
      </c>
      <c r="E444" s="0"/>
      <c r="F444" s="0" t="s">
        <v>606</v>
      </c>
      <c r="G444" s="0"/>
      <c r="H444" s="0" t="s">
        <v>1428</v>
      </c>
      <c r="I444" s="0" t="s">
        <v>1785</v>
      </c>
      <c r="J444" s="0"/>
      <c r="K444" s="0" t="s">
        <v>1811</v>
      </c>
      <c r="L444" s="0" t="s">
        <v>1813</v>
      </c>
    </row>
    <row r="445">
      <c r="A445" s="0" t="s">
        <v>46</v>
      </c>
      <c r="B445" s="0" t="s">
        <v>341</v>
      </c>
      <c r="C445" s="0" t="s">
        <v>470</v>
      </c>
      <c r="D445" s="0">
        <v>12.800000000000001</v>
      </c>
      <c r="E445" s="0"/>
      <c r="F445" s="0" t="s">
        <v>898</v>
      </c>
      <c r="G445" s="0"/>
      <c r="H445" s="0"/>
      <c r="I445" s="0" t="s">
        <v>907</v>
      </c>
      <c r="J445" s="0"/>
      <c r="K445" s="0" t="s">
        <v>1811</v>
      </c>
      <c r="L445" s="0" t="s">
        <v>1813</v>
      </c>
    </row>
    <row r="446">
      <c r="A446" s="0" t="s">
        <v>46</v>
      </c>
      <c r="B446" s="0" t="s">
        <v>341</v>
      </c>
      <c r="C446" s="0" t="s">
        <v>471</v>
      </c>
      <c r="D446" s="0">
        <v>18.899999999999999</v>
      </c>
      <c r="E446" s="0"/>
      <c r="F446" s="0" t="s">
        <v>609</v>
      </c>
      <c r="G446" s="0"/>
      <c r="H446" s="0"/>
      <c r="I446" s="0" t="s">
        <v>907</v>
      </c>
      <c r="J446" s="0"/>
      <c r="K446" s="0" t="s">
        <v>1811</v>
      </c>
      <c r="L446" s="0" t="s">
        <v>1813</v>
      </c>
    </row>
    <row r="447">
      <c r="A447" s="0" t="s">
        <v>46</v>
      </c>
      <c r="B447" s="0" t="s">
        <v>341</v>
      </c>
      <c r="C447" s="0" t="s">
        <v>472</v>
      </c>
      <c r="D447" s="0">
        <v>8.6999999999999993</v>
      </c>
      <c r="E447" s="0"/>
      <c r="F447" s="0" t="s">
        <v>899</v>
      </c>
      <c r="G447" s="0"/>
      <c r="H447" s="0" t="s">
        <v>1428</v>
      </c>
      <c r="I447" s="0" t="s">
        <v>1785</v>
      </c>
      <c r="J447" s="0"/>
      <c r="K447" s="0" t="s">
        <v>1811</v>
      </c>
      <c r="L447" s="0" t="s">
        <v>1813</v>
      </c>
    </row>
    <row r="448">
      <c r="A448" s="0" t="s">
        <v>46</v>
      </c>
      <c r="B448" s="0" t="s">
        <v>341</v>
      </c>
      <c r="C448" s="0" t="s">
        <v>133</v>
      </c>
      <c r="D448" s="0">
        <v>8.0999999999999997</v>
      </c>
      <c r="E448" s="0"/>
      <c r="F448" s="0" t="s">
        <v>900</v>
      </c>
      <c r="G448" s="0"/>
      <c r="H448" s="0" t="s">
        <v>1428</v>
      </c>
      <c r="I448" s="0" t="s">
        <v>1785</v>
      </c>
      <c r="J448" s="0"/>
      <c r="K448" s="0" t="s">
        <v>1811</v>
      </c>
      <c r="L448" s="0" t="s">
        <v>1813</v>
      </c>
    </row>
    <row r="449">
      <c r="A449" s="0" t="s">
        <v>46</v>
      </c>
      <c r="B449" s="0" t="s">
        <v>341</v>
      </c>
      <c r="C449" s="0" t="s">
        <v>133</v>
      </c>
      <c r="D449" s="0">
        <v>18.399999999999999</v>
      </c>
      <c r="E449" s="0"/>
      <c r="F449" s="0" t="s">
        <v>901</v>
      </c>
      <c r="G449" s="0"/>
      <c r="H449" s="0" t="s">
        <v>1428</v>
      </c>
      <c r="I449" s="0" t="s">
        <v>1785</v>
      </c>
      <c r="J449" s="0"/>
      <c r="K449" s="0" t="s">
        <v>1811</v>
      </c>
      <c r="L449" s="0" t="s">
        <v>1813</v>
      </c>
    </row>
    <row r="450">
      <c r="A450" s="0" t="s">
        <v>46</v>
      </c>
      <c r="B450" s="0" t="s">
        <v>342</v>
      </c>
      <c r="C450" s="0" t="s">
        <v>472</v>
      </c>
      <c r="D450" s="0">
        <v>1.6799999999999999</v>
      </c>
      <c r="E450" s="0"/>
      <c r="F450" s="0" t="s">
        <v>902</v>
      </c>
      <c r="G450" s="0"/>
      <c r="H450" s="0" t="s">
        <v>1429</v>
      </c>
      <c r="I450" s="0" t="s">
        <v>1786</v>
      </c>
      <c r="J450" s="0"/>
      <c r="K450" s="0" t="s">
        <v>1811</v>
      </c>
      <c r="L450" s="0" t="s">
        <v>1813</v>
      </c>
    </row>
    <row r="451">
      <c r="A451" s="0" t="s">
        <v>46</v>
      </c>
      <c r="B451" s="0" t="s">
        <v>342</v>
      </c>
      <c r="C451" s="0" t="s">
        <v>472</v>
      </c>
      <c r="D451" s="0">
        <v>6.3899999999999997</v>
      </c>
      <c r="E451" s="0"/>
      <c r="F451" s="0" t="s">
        <v>903</v>
      </c>
      <c r="G451" s="0"/>
      <c r="H451" s="0" t="s">
        <v>1430</v>
      </c>
      <c r="I451" s="0" t="s">
        <v>1786</v>
      </c>
      <c r="J451" s="0"/>
      <c r="K451" s="0" t="s">
        <v>1811</v>
      </c>
      <c r="L451" s="0" t="s">
        <v>1813</v>
      </c>
    </row>
    <row r="452">
      <c r="A452" s="0" t="s">
        <v>46</v>
      </c>
      <c r="B452" s="0" t="s">
        <v>342</v>
      </c>
      <c r="C452" s="0" t="s">
        <v>472</v>
      </c>
      <c r="D452" s="0">
        <v>1.45</v>
      </c>
      <c r="E452" s="0"/>
      <c r="F452" s="0" t="s">
        <v>904</v>
      </c>
      <c r="G452" s="0"/>
      <c r="H452" s="0" t="s">
        <v>1431</v>
      </c>
      <c r="I452" s="0" t="s">
        <v>1786</v>
      </c>
      <c r="J452" s="0"/>
      <c r="K452" s="0" t="s">
        <v>1811</v>
      </c>
      <c r="L452" s="0" t="s">
        <v>1813</v>
      </c>
    </row>
    <row r="453">
      <c r="A453" s="0" t="s">
        <v>46</v>
      </c>
      <c r="B453" s="0" t="s">
        <v>342</v>
      </c>
      <c r="C453" s="0" t="s">
        <v>472</v>
      </c>
      <c r="D453" s="0">
        <v>16.699999999999999</v>
      </c>
      <c r="E453" s="0"/>
      <c r="F453" s="0" t="s">
        <v>727</v>
      </c>
      <c r="G453" s="0"/>
      <c r="H453" s="0" t="s">
        <v>1432</v>
      </c>
      <c r="I453" s="0" t="s">
        <v>1786</v>
      </c>
      <c r="J453" s="0"/>
      <c r="K453" s="0" t="s">
        <v>1811</v>
      </c>
      <c r="L453" s="0" t="s">
        <v>1813</v>
      </c>
    </row>
    <row r="454">
      <c r="A454" s="0" t="s">
        <v>46</v>
      </c>
      <c r="B454" s="0" t="s">
        <v>342</v>
      </c>
      <c r="C454" s="0" t="s">
        <v>472</v>
      </c>
      <c r="D454" s="0">
        <v>3.8700000000000001</v>
      </c>
      <c r="E454" s="0"/>
      <c r="F454" s="0" t="s">
        <v>905</v>
      </c>
      <c r="G454" s="0"/>
      <c r="H454" s="0" t="s">
        <v>1433</v>
      </c>
      <c r="I454" s="0" t="s">
        <v>1786</v>
      </c>
      <c r="J454" s="0"/>
      <c r="K454" s="0" t="s">
        <v>1811</v>
      </c>
      <c r="L454" s="0" t="s">
        <v>1813</v>
      </c>
    </row>
    <row r="455">
      <c r="A455" s="0" t="s">
        <v>46</v>
      </c>
      <c r="B455" s="0" t="s">
        <v>342</v>
      </c>
      <c r="C455" s="0" t="s">
        <v>472</v>
      </c>
      <c r="D455" s="0">
        <v>1</v>
      </c>
      <c r="E455" s="0"/>
      <c r="F455" s="0" t="s">
        <v>776</v>
      </c>
      <c r="G455" s="0"/>
      <c r="H455" s="0" t="s">
        <v>1434</v>
      </c>
      <c r="I455" s="0" t="s">
        <v>1786</v>
      </c>
      <c r="J455" s="0"/>
      <c r="K455" s="0" t="s">
        <v>1811</v>
      </c>
      <c r="L455" s="0" t="s">
        <v>1813</v>
      </c>
    </row>
    <row r="456">
      <c r="A456" s="0" t="s">
        <v>46</v>
      </c>
      <c r="B456" s="0" t="s">
        <v>342</v>
      </c>
      <c r="C456" s="0" t="s">
        <v>472</v>
      </c>
      <c r="D456" s="0">
        <v>9.8100000000000005</v>
      </c>
      <c r="E456" s="0"/>
      <c r="F456" s="0" t="s">
        <v>906</v>
      </c>
      <c r="G456" s="0"/>
      <c r="H456" s="0" t="s">
        <v>1435</v>
      </c>
      <c r="I456" s="0" t="s">
        <v>1786</v>
      </c>
      <c r="J456" s="0"/>
      <c r="K456" s="0" t="s">
        <v>1811</v>
      </c>
      <c r="L456" s="0" t="s">
        <v>1813</v>
      </c>
    </row>
    <row r="457">
      <c r="A457" s="0" t="s">
        <v>46</v>
      </c>
      <c r="B457" s="0" t="s">
        <v>343</v>
      </c>
      <c r="C457" s="0" t="s">
        <v>133</v>
      </c>
      <c r="D457" s="0">
        <v>12.800000000000001</v>
      </c>
      <c r="E457" s="0"/>
      <c r="F457" s="0" t="s">
        <v>898</v>
      </c>
      <c r="G457" s="0"/>
      <c r="H457" s="0" t="s">
        <v>1436</v>
      </c>
      <c r="I457" s="0" t="s">
        <v>1787</v>
      </c>
      <c r="J457" s="0"/>
      <c r="K457" s="0" t="s">
        <v>1811</v>
      </c>
      <c r="L457" s="0" t="s">
        <v>1813</v>
      </c>
    </row>
    <row r="458">
      <c r="A458" s="0" t="s">
        <v>46</v>
      </c>
      <c r="B458" s="0" t="s">
        <v>343</v>
      </c>
      <c r="C458" s="0" t="s">
        <v>133</v>
      </c>
      <c r="D458" s="0">
        <v>19</v>
      </c>
      <c r="E458" s="0"/>
      <c r="F458" s="0" t="s">
        <v>907</v>
      </c>
      <c r="G458" s="0"/>
      <c r="H458" s="0" t="s">
        <v>1437</v>
      </c>
      <c r="I458" s="0" t="s">
        <v>1787</v>
      </c>
      <c r="J458" s="0"/>
      <c r="K458" s="0" t="s">
        <v>1811</v>
      </c>
      <c r="L458" s="0" t="s">
        <v>1813</v>
      </c>
    </row>
    <row r="459">
      <c r="A459" s="0" t="s">
        <v>46</v>
      </c>
      <c r="B459" s="0" t="s">
        <v>343</v>
      </c>
      <c r="C459" s="0" t="s">
        <v>133</v>
      </c>
      <c r="D459" s="0">
        <v>20.800000000000001</v>
      </c>
      <c r="E459" s="0"/>
      <c r="F459" s="0" t="s">
        <v>908</v>
      </c>
      <c r="G459" s="0"/>
      <c r="H459" s="0" t="s">
        <v>1438</v>
      </c>
      <c r="I459" s="0" t="s">
        <v>1787</v>
      </c>
      <c r="J459" s="0"/>
      <c r="K459" s="0" t="s">
        <v>1811</v>
      </c>
      <c r="L459" s="0" t="s">
        <v>1813</v>
      </c>
    </row>
    <row r="460">
      <c r="A460" s="0" t="s">
        <v>46</v>
      </c>
      <c r="B460" s="0" t="s">
        <v>343</v>
      </c>
      <c r="C460" s="0" t="s">
        <v>133</v>
      </c>
      <c r="D460" s="0">
        <v>12.4</v>
      </c>
      <c r="E460" s="0"/>
      <c r="F460" s="0" t="s">
        <v>769</v>
      </c>
      <c r="G460" s="0"/>
      <c r="H460" s="0" t="s">
        <v>1439</v>
      </c>
      <c r="I460" s="0" t="s">
        <v>1787</v>
      </c>
      <c r="J460" s="0"/>
      <c r="K460" s="0" t="s">
        <v>1811</v>
      </c>
      <c r="L460" s="0" t="s">
        <v>1813</v>
      </c>
    </row>
    <row r="461">
      <c r="A461" s="0" t="s">
        <v>46</v>
      </c>
      <c r="B461" s="0" t="s">
        <v>343</v>
      </c>
      <c r="C461" s="0" t="s">
        <v>133</v>
      </c>
      <c r="D461" s="0">
        <v>19.100000000000001</v>
      </c>
      <c r="E461" s="0"/>
      <c r="F461" s="0" t="s">
        <v>909</v>
      </c>
      <c r="G461" s="0"/>
      <c r="H461" s="0" t="s">
        <v>1440</v>
      </c>
      <c r="I461" s="0" t="s">
        <v>1787</v>
      </c>
      <c r="J461" s="0"/>
      <c r="K461" s="0" t="s">
        <v>1811</v>
      </c>
      <c r="L461" s="0" t="s">
        <v>1813</v>
      </c>
    </row>
    <row r="462">
      <c r="A462" s="0" t="s">
        <v>46</v>
      </c>
      <c r="B462" s="0" t="s">
        <v>343</v>
      </c>
      <c r="C462" s="0" t="s">
        <v>133</v>
      </c>
      <c r="D462" s="0">
        <v>36.299999999999997</v>
      </c>
      <c r="E462" s="0"/>
      <c r="F462" s="0" t="s">
        <v>910</v>
      </c>
      <c r="G462" s="0"/>
      <c r="H462" s="0" t="s">
        <v>1441</v>
      </c>
      <c r="I462" s="0" t="s">
        <v>1787</v>
      </c>
      <c r="J462" s="0"/>
      <c r="K462" s="0" t="s">
        <v>1811</v>
      </c>
      <c r="L462" s="0" t="s">
        <v>1813</v>
      </c>
    </row>
    <row r="463">
      <c r="A463" s="0" t="s">
        <v>46</v>
      </c>
      <c r="B463" s="0" t="s">
        <v>343</v>
      </c>
      <c r="C463" s="0" t="s">
        <v>133</v>
      </c>
      <c r="D463" s="0">
        <v>24.300000000000001</v>
      </c>
      <c r="E463" s="0"/>
      <c r="F463" s="0" t="s">
        <v>911</v>
      </c>
      <c r="G463" s="0"/>
      <c r="H463" s="0" t="s">
        <v>1442</v>
      </c>
      <c r="I463" s="0" t="s">
        <v>1787</v>
      </c>
      <c r="J463" s="0"/>
      <c r="K463" s="0" t="s">
        <v>1811</v>
      </c>
      <c r="L463" s="0" t="s">
        <v>1813</v>
      </c>
    </row>
    <row r="464">
      <c r="A464" s="0" t="s">
        <v>46</v>
      </c>
      <c r="B464" s="0" t="s">
        <v>343</v>
      </c>
      <c r="C464" s="0" t="s">
        <v>133</v>
      </c>
      <c r="D464" s="0">
        <v>41.399999999999999</v>
      </c>
      <c r="E464" s="0"/>
      <c r="F464" s="0" t="s">
        <v>912</v>
      </c>
      <c r="G464" s="0"/>
      <c r="H464" s="0" t="s">
        <v>1443</v>
      </c>
      <c r="I464" s="0" t="s">
        <v>1787</v>
      </c>
      <c r="J464" s="0"/>
      <c r="K464" s="0" t="s">
        <v>1811</v>
      </c>
      <c r="L464" s="0" t="s">
        <v>1813</v>
      </c>
    </row>
    <row r="465">
      <c r="A465" s="0" t="s">
        <v>46</v>
      </c>
      <c r="B465" s="0" t="s">
        <v>343</v>
      </c>
      <c r="C465" s="0" t="s">
        <v>133</v>
      </c>
      <c r="D465" s="0">
        <v>68.700000000000003</v>
      </c>
      <c r="E465" s="0"/>
      <c r="F465" s="0" t="s">
        <v>913</v>
      </c>
      <c r="G465" s="0"/>
      <c r="H465" s="0" t="s">
        <v>1444</v>
      </c>
      <c r="I465" s="0" t="s">
        <v>1787</v>
      </c>
      <c r="J465" s="0"/>
      <c r="K465" s="0" t="s">
        <v>1811</v>
      </c>
      <c r="L465" s="0" t="s">
        <v>1813</v>
      </c>
    </row>
    <row r="466">
      <c r="A466" s="0" t="s">
        <v>46</v>
      </c>
      <c r="B466" s="0" t="s">
        <v>344</v>
      </c>
      <c r="C466" s="0" t="s">
        <v>133</v>
      </c>
      <c r="D466" s="0">
        <v>33.11</v>
      </c>
      <c r="E466" s="0"/>
      <c r="F466" s="0" t="s">
        <v>914</v>
      </c>
      <c r="G466" s="0"/>
      <c r="H466" s="0" t="s">
        <v>1445</v>
      </c>
      <c r="I466" s="0" t="s">
        <v>1788</v>
      </c>
      <c r="J466" s="0"/>
      <c r="K466" s="0" t="s">
        <v>1811</v>
      </c>
      <c r="L466" s="0" t="s">
        <v>1813</v>
      </c>
    </row>
    <row r="467">
      <c r="A467" s="0" t="s">
        <v>46</v>
      </c>
      <c r="B467" s="0" t="s">
        <v>344</v>
      </c>
      <c r="C467" s="0" t="s">
        <v>472</v>
      </c>
      <c r="D467" s="0">
        <v>14.359999999999999</v>
      </c>
      <c r="E467" s="0"/>
      <c r="F467" s="0" t="s">
        <v>915</v>
      </c>
      <c r="G467" s="0"/>
      <c r="H467" s="0" t="s">
        <v>1445</v>
      </c>
      <c r="I467" s="0" t="s">
        <v>1788</v>
      </c>
      <c r="J467" s="0"/>
      <c r="K467" s="0" t="s">
        <v>1811</v>
      </c>
      <c r="L467" s="0" t="s">
        <v>1813</v>
      </c>
    </row>
    <row r="468">
      <c r="A468" s="0" t="s">
        <v>46</v>
      </c>
      <c r="B468" s="0" t="s">
        <v>340</v>
      </c>
      <c r="C468" s="0" t="s">
        <v>472</v>
      </c>
      <c r="D468" s="0">
        <v>52.799999999999997</v>
      </c>
      <c r="E468" s="0"/>
      <c r="F468" s="0" t="s">
        <v>916</v>
      </c>
      <c r="G468" s="0"/>
      <c r="H468" s="0" t="s">
        <v>1446</v>
      </c>
      <c r="I468" s="0" t="s">
        <v>1784</v>
      </c>
      <c r="J468" s="0"/>
      <c r="K468" s="0" t="s">
        <v>1811</v>
      </c>
      <c r="L468" s="0" t="s">
        <v>1813</v>
      </c>
    </row>
    <row r="469">
      <c r="A469" s="0" t="s">
        <v>46</v>
      </c>
      <c r="B469" s="0" t="s">
        <v>340</v>
      </c>
      <c r="C469" s="0" t="s">
        <v>133</v>
      </c>
      <c r="D469" s="0">
        <v>58.899999999999999</v>
      </c>
      <c r="E469" s="0"/>
      <c r="F469" s="0" t="s">
        <v>917</v>
      </c>
      <c r="G469" s="0"/>
      <c r="H469" s="0" t="s">
        <v>1446</v>
      </c>
      <c r="I469" s="0" t="s">
        <v>1784</v>
      </c>
      <c r="J469" s="0"/>
      <c r="K469" s="0" t="s">
        <v>1811</v>
      </c>
      <c r="L469" s="0" t="s">
        <v>1813</v>
      </c>
    </row>
    <row r="470">
      <c r="A470" s="0" t="s">
        <v>46</v>
      </c>
      <c r="B470" s="0" t="s">
        <v>340</v>
      </c>
      <c r="C470" s="0" t="s">
        <v>472</v>
      </c>
      <c r="D470" s="0">
        <v>3</v>
      </c>
      <c r="E470" s="0"/>
      <c r="F470" s="0" t="s">
        <v>828</v>
      </c>
      <c r="G470" s="0"/>
      <c r="H470" s="0" t="s">
        <v>1447</v>
      </c>
      <c r="I470" s="0" t="s">
        <v>1784</v>
      </c>
      <c r="J470" s="0"/>
      <c r="K470" s="0" t="s">
        <v>1811</v>
      </c>
      <c r="L470" s="0" t="s">
        <v>1813</v>
      </c>
    </row>
    <row r="471">
      <c r="A471" s="0" t="s">
        <v>46</v>
      </c>
      <c r="B471" s="0" t="s">
        <v>340</v>
      </c>
      <c r="C471" s="0" t="s">
        <v>133</v>
      </c>
      <c r="D471" s="0">
        <v>89.120000000000005</v>
      </c>
      <c r="E471" s="0"/>
      <c r="F471" s="0" t="s">
        <v>918</v>
      </c>
      <c r="G471" s="0"/>
      <c r="H471" s="0" t="s">
        <v>1447</v>
      </c>
      <c r="I471" s="0" t="s">
        <v>1784</v>
      </c>
      <c r="J471" s="0"/>
      <c r="K471" s="0" t="s">
        <v>1811</v>
      </c>
      <c r="L471" s="0" t="s">
        <v>1813</v>
      </c>
    </row>
    <row r="472">
      <c r="A472" s="0" t="s">
        <v>47</v>
      </c>
      <c r="B472" s="0" t="s">
        <v>345</v>
      </c>
      <c r="C472" s="0" t="s">
        <v>477</v>
      </c>
      <c r="D472" s="0">
        <v>0.11</v>
      </c>
      <c r="E472" s="0"/>
      <c r="F472" s="0" t="s">
        <v>654</v>
      </c>
      <c r="G472" s="0"/>
      <c r="H472" s="0"/>
      <c r="I472" s="0" t="s">
        <v>694</v>
      </c>
      <c r="J472" s="0"/>
      <c r="K472" s="0" t="s">
        <v>1811</v>
      </c>
      <c r="L472" s="0" t="s">
        <v>1813</v>
      </c>
    </row>
    <row r="473">
      <c r="A473" s="0" t="s">
        <v>47</v>
      </c>
      <c r="B473" s="0" t="s">
        <v>345</v>
      </c>
      <c r="C473" s="0" t="s">
        <v>478</v>
      </c>
      <c r="D473" s="0">
        <v>4.2000000000000002</v>
      </c>
      <c r="E473" s="0"/>
      <c r="F473" s="0" t="s">
        <v>806</v>
      </c>
      <c r="G473" s="0"/>
      <c r="H473" s="0"/>
      <c r="I473" s="0" t="s">
        <v>1789</v>
      </c>
      <c r="J473" s="0"/>
      <c r="K473" s="0" t="s">
        <v>1811</v>
      </c>
      <c r="L473" s="0" t="s">
        <v>1813</v>
      </c>
    </row>
    <row r="474">
      <c r="A474" s="0" t="s">
        <v>47</v>
      </c>
      <c r="B474" s="0" t="s">
        <v>345</v>
      </c>
      <c r="C474" s="0" t="s">
        <v>479</v>
      </c>
      <c r="D474" s="0">
        <v>0.058000000000000003</v>
      </c>
      <c r="E474" s="0"/>
      <c r="F474" s="0" t="s">
        <v>758</v>
      </c>
      <c r="G474" s="0"/>
      <c r="H474" s="0"/>
      <c r="I474" s="0" t="s">
        <v>1789</v>
      </c>
      <c r="J474" s="0"/>
      <c r="K474" s="0" t="s">
        <v>1811</v>
      </c>
      <c r="L474" s="0" t="s">
        <v>1813</v>
      </c>
    </row>
    <row r="475">
      <c r="A475" s="0" t="s">
        <v>47</v>
      </c>
      <c r="B475" s="0" t="s">
        <v>264</v>
      </c>
      <c r="C475" s="0" t="s">
        <v>479</v>
      </c>
      <c r="D475" s="0">
        <v>0.20699999999999999</v>
      </c>
      <c r="E475" s="0"/>
      <c r="F475" s="0" t="s">
        <v>919</v>
      </c>
      <c r="G475" s="0"/>
      <c r="H475" s="0" t="s">
        <v>1448</v>
      </c>
      <c r="I475" s="0" t="s">
        <v>1748</v>
      </c>
      <c r="J475" s="0"/>
      <c r="K475" s="0" t="s">
        <v>1811</v>
      </c>
      <c r="L475" s="0" t="s">
        <v>1813</v>
      </c>
    </row>
    <row r="476">
      <c r="A476" s="0" t="s">
        <v>47</v>
      </c>
      <c r="B476" s="0" t="s">
        <v>346</v>
      </c>
      <c r="C476" s="0" t="s">
        <v>480</v>
      </c>
      <c r="D476" s="0">
        <v>0.047</v>
      </c>
      <c r="E476" s="0"/>
      <c r="F476" s="0" t="s">
        <v>920</v>
      </c>
      <c r="G476" s="0"/>
      <c r="H476" s="0" t="s">
        <v>1449</v>
      </c>
      <c r="I476" s="0" t="s">
        <v>827</v>
      </c>
      <c r="J476" s="0"/>
      <c r="K476" s="0" t="s">
        <v>1811</v>
      </c>
      <c r="L476" s="0" t="s">
        <v>1813</v>
      </c>
    </row>
    <row r="477">
      <c r="A477" s="0" t="s">
        <v>47</v>
      </c>
      <c r="B477" s="0" t="s">
        <v>346</v>
      </c>
      <c r="C477" s="0" t="s">
        <v>481</v>
      </c>
      <c r="D477" s="0">
        <v>0.11700000000000001</v>
      </c>
      <c r="E477" s="0"/>
      <c r="F477" s="0" t="s">
        <v>921</v>
      </c>
      <c r="G477" s="0"/>
      <c r="H477" s="0" t="s">
        <v>1449</v>
      </c>
      <c r="I477" s="0" t="s">
        <v>827</v>
      </c>
      <c r="J477" s="0"/>
      <c r="K477" s="0" t="s">
        <v>1811</v>
      </c>
      <c r="L477" s="0" t="s">
        <v>1813</v>
      </c>
    </row>
    <row r="478">
      <c r="A478" s="0" t="s">
        <v>47</v>
      </c>
      <c r="B478" s="0" t="s">
        <v>346</v>
      </c>
      <c r="C478" s="0" t="s">
        <v>479</v>
      </c>
      <c r="D478" s="0">
        <v>2.0409999999999999</v>
      </c>
      <c r="E478" s="0"/>
      <c r="F478" s="0" t="s">
        <v>922</v>
      </c>
      <c r="G478" s="0"/>
      <c r="H478" s="0" t="s">
        <v>1449</v>
      </c>
      <c r="I478" s="0" t="s">
        <v>827</v>
      </c>
      <c r="J478" s="0"/>
      <c r="K478" s="0" t="s">
        <v>1811</v>
      </c>
      <c r="L478" s="0" t="s">
        <v>1813</v>
      </c>
    </row>
    <row r="479">
      <c r="A479" s="0" t="s">
        <v>47</v>
      </c>
      <c r="B479" s="0" t="s">
        <v>305</v>
      </c>
      <c r="C479" s="0" t="s">
        <v>479</v>
      </c>
      <c r="D479" s="0">
        <v>0.02</v>
      </c>
      <c r="E479" s="0"/>
      <c r="F479" s="0" t="s">
        <v>923</v>
      </c>
      <c r="G479" s="0"/>
      <c r="H479" s="0"/>
      <c r="I479" s="0" t="s">
        <v>884</v>
      </c>
      <c r="J479" s="0"/>
      <c r="K479" s="0" t="s">
        <v>1811</v>
      </c>
      <c r="L479" s="0" t="s">
        <v>1813</v>
      </c>
    </row>
    <row r="480">
      <c r="A480" s="0" t="s">
        <v>47</v>
      </c>
      <c r="B480" s="0" t="s">
        <v>306</v>
      </c>
      <c r="C480" s="0" t="s">
        <v>482</v>
      </c>
      <c r="D480" s="0">
        <v>3.5</v>
      </c>
      <c r="E480" s="0"/>
      <c r="F480" s="0" t="s">
        <v>569</v>
      </c>
      <c r="G480" s="0"/>
      <c r="H480" s="0"/>
      <c r="I480" s="0" t="s">
        <v>1790</v>
      </c>
      <c r="J480" s="0"/>
      <c r="K480" s="0" t="s">
        <v>1811</v>
      </c>
      <c r="L480" s="0" t="s">
        <v>1813</v>
      </c>
    </row>
    <row r="481">
      <c r="A481" s="0" t="s">
        <v>47</v>
      </c>
      <c r="B481" s="0" t="s">
        <v>347</v>
      </c>
      <c r="C481" s="0" t="s">
        <v>134</v>
      </c>
      <c r="D481" s="0">
        <v>0.10000000000000001</v>
      </c>
      <c r="E481" s="0"/>
      <c r="F481" s="0" t="s">
        <v>779</v>
      </c>
      <c r="G481" s="0"/>
      <c r="H481" s="0" t="s">
        <v>1450</v>
      </c>
      <c r="I481" s="0" t="s">
        <v>1791</v>
      </c>
      <c r="J481" s="0"/>
      <c r="K481" s="0" t="s">
        <v>1811</v>
      </c>
      <c r="L481" s="0" t="s">
        <v>1813</v>
      </c>
    </row>
    <row r="482">
      <c r="A482" s="0" t="s">
        <v>47</v>
      </c>
      <c r="B482" s="0" t="s">
        <v>347</v>
      </c>
      <c r="C482" s="0" t="s">
        <v>134</v>
      </c>
      <c r="D482" s="0">
        <v>0.14000000000000001</v>
      </c>
      <c r="E482" s="0"/>
      <c r="F482" s="0" t="s">
        <v>924</v>
      </c>
      <c r="G482" s="0"/>
      <c r="H482" s="0" t="s">
        <v>1451</v>
      </c>
      <c r="I482" s="0" t="s">
        <v>1791</v>
      </c>
      <c r="J482" s="0"/>
      <c r="K482" s="0" t="s">
        <v>1811</v>
      </c>
      <c r="L482" s="0" t="s">
        <v>1813</v>
      </c>
    </row>
    <row r="483">
      <c r="A483" s="0" t="s">
        <v>47</v>
      </c>
      <c r="B483" s="0" t="s">
        <v>347</v>
      </c>
      <c r="C483" s="0" t="s">
        <v>134</v>
      </c>
      <c r="D483" s="0">
        <v>0.081000000000000003</v>
      </c>
      <c r="E483" s="0"/>
      <c r="F483" s="0" t="s">
        <v>925</v>
      </c>
      <c r="G483" s="0"/>
      <c r="H483" s="0" t="s">
        <v>1452</v>
      </c>
      <c r="I483" s="0" t="s">
        <v>1791</v>
      </c>
      <c r="J483" s="0"/>
      <c r="K483" s="0" t="s">
        <v>1811</v>
      </c>
      <c r="L483" s="0" t="s">
        <v>1813</v>
      </c>
    </row>
    <row r="484">
      <c r="A484" s="0" t="s">
        <v>47</v>
      </c>
      <c r="B484" s="0" t="s">
        <v>347</v>
      </c>
      <c r="C484" s="0" t="s">
        <v>134</v>
      </c>
      <c r="D484" s="0">
        <v>0.181</v>
      </c>
      <c r="E484" s="0"/>
      <c r="F484" s="0" t="s">
        <v>926</v>
      </c>
      <c r="G484" s="0"/>
      <c r="H484" s="0" t="s">
        <v>1453</v>
      </c>
      <c r="I484" s="0" t="s">
        <v>1791</v>
      </c>
      <c r="J484" s="0"/>
      <c r="K484" s="0" t="s">
        <v>1811</v>
      </c>
      <c r="L484" s="0" t="s">
        <v>1813</v>
      </c>
    </row>
    <row r="485">
      <c r="A485" s="0" t="s">
        <v>47</v>
      </c>
      <c r="B485" s="0" t="s">
        <v>347</v>
      </c>
      <c r="C485" s="0" t="s">
        <v>134</v>
      </c>
      <c r="D485" s="0">
        <v>0.087999999999999995</v>
      </c>
      <c r="E485" s="0"/>
      <c r="F485" s="0" t="s">
        <v>927</v>
      </c>
      <c r="G485" s="0"/>
      <c r="H485" s="0" t="s">
        <v>1454</v>
      </c>
      <c r="I485" s="0" t="s">
        <v>1791</v>
      </c>
      <c r="J485" s="0"/>
      <c r="K485" s="0" t="s">
        <v>1811</v>
      </c>
      <c r="L485" s="0" t="s">
        <v>1813</v>
      </c>
    </row>
    <row r="486">
      <c r="A486" s="0" t="s">
        <v>47</v>
      </c>
      <c r="B486" s="0" t="s">
        <v>348</v>
      </c>
      <c r="C486" s="0" t="s">
        <v>479</v>
      </c>
      <c r="D486" s="0">
        <v>20</v>
      </c>
      <c r="E486" s="0"/>
      <c r="F486" s="0" t="s">
        <v>789</v>
      </c>
      <c r="G486" s="0"/>
      <c r="H486" s="0" t="s">
        <v>1455</v>
      </c>
      <c r="I486" s="0" t="s">
        <v>1770</v>
      </c>
      <c r="J486" s="0"/>
      <c r="K486" s="0" t="s">
        <v>1811</v>
      </c>
      <c r="L486" s="0" t="s">
        <v>1813</v>
      </c>
    </row>
    <row r="487">
      <c r="A487" s="0" t="s">
        <v>47</v>
      </c>
      <c r="B487" s="0" t="s">
        <v>348</v>
      </c>
      <c r="C487" s="0" t="s">
        <v>479</v>
      </c>
      <c r="D487" s="0">
        <v>3.2999999999999998</v>
      </c>
      <c r="E487" s="0"/>
      <c r="F487" s="0" t="s">
        <v>895</v>
      </c>
      <c r="G487" s="0"/>
      <c r="H487" s="0" t="s">
        <v>1456</v>
      </c>
      <c r="I487" s="0" t="s">
        <v>1770</v>
      </c>
      <c r="J487" s="0"/>
      <c r="K487" s="0" t="s">
        <v>1811</v>
      </c>
      <c r="L487" s="0" t="s">
        <v>1813</v>
      </c>
    </row>
    <row r="488">
      <c r="A488" s="0" t="s">
        <v>47</v>
      </c>
      <c r="B488" s="0" t="s">
        <v>348</v>
      </c>
      <c r="C488" s="0" t="s">
        <v>479</v>
      </c>
      <c r="D488" s="0">
        <v>1.6000000000000001</v>
      </c>
      <c r="E488" s="0"/>
      <c r="F488" s="0" t="s">
        <v>783</v>
      </c>
      <c r="G488" s="0"/>
      <c r="H488" s="0" t="s">
        <v>1457</v>
      </c>
      <c r="I488" s="0" t="s">
        <v>1742</v>
      </c>
      <c r="J488" s="0"/>
      <c r="K488" s="0" t="s">
        <v>1811</v>
      </c>
      <c r="L488" s="0" t="s">
        <v>1813</v>
      </c>
    </row>
    <row r="489">
      <c r="A489" s="0" t="s">
        <v>47</v>
      </c>
      <c r="B489" s="0" t="s">
        <v>348</v>
      </c>
      <c r="C489" s="0" t="s">
        <v>479</v>
      </c>
      <c r="D489" s="0">
        <v>15.199999999999999</v>
      </c>
      <c r="E489" s="0"/>
      <c r="F489" s="0" t="s">
        <v>928</v>
      </c>
      <c r="G489" s="0"/>
      <c r="H489" s="0" t="s">
        <v>1458</v>
      </c>
      <c r="I489" s="0" t="s">
        <v>1770</v>
      </c>
      <c r="J489" s="0"/>
      <c r="K489" s="0" t="s">
        <v>1811</v>
      </c>
      <c r="L489" s="0" t="s">
        <v>1813</v>
      </c>
    </row>
    <row r="490">
      <c r="A490" s="0" t="s">
        <v>47</v>
      </c>
      <c r="B490" s="0" t="s">
        <v>348</v>
      </c>
      <c r="C490" s="0" t="s">
        <v>479</v>
      </c>
      <c r="D490" s="0">
        <v>1.5</v>
      </c>
      <c r="E490" s="0"/>
      <c r="F490" s="0" t="s">
        <v>570</v>
      </c>
      <c r="G490" s="0"/>
      <c r="H490" s="0" t="s">
        <v>1459</v>
      </c>
      <c r="I490" s="0" t="s">
        <v>1742</v>
      </c>
      <c r="J490" s="0"/>
      <c r="K490" s="0" t="s">
        <v>1811</v>
      </c>
      <c r="L490" s="0" t="s">
        <v>1813</v>
      </c>
    </row>
    <row r="491">
      <c r="A491" s="0" t="s">
        <v>47</v>
      </c>
      <c r="B491" s="0" t="s">
        <v>261</v>
      </c>
      <c r="C491" s="0" t="s">
        <v>134</v>
      </c>
      <c r="D491" s="0">
        <v>0.38</v>
      </c>
      <c r="E491" s="0"/>
      <c r="F491" s="0" t="s">
        <v>894</v>
      </c>
      <c r="G491" s="0"/>
      <c r="H491" s="0" t="s">
        <v>1460</v>
      </c>
      <c r="I491" s="0" t="s">
        <v>1741</v>
      </c>
      <c r="J491" s="0"/>
      <c r="K491" s="0" t="s">
        <v>1811</v>
      </c>
      <c r="L491" s="0" t="s">
        <v>1813</v>
      </c>
    </row>
    <row r="492">
      <c r="A492" s="0" t="s">
        <v>47</v>
      </c>
      <c r="B492" s="0" t="s">
        <v>261</v>
      </c>
      <c r="C492" s="0" t="s">
        <v>134</v>
      </c>
      <c r="D492" s="0">
        <v>0.092700000000000005</v>
      </c>
      <c r="E492" s="0"/>
      <c r="F492" s="0" t="s">
        <v>929</v>
      </c>
      <c r="G492" s="0"/>
      <c r="H492" s="0" t="s">
        <v>1461</v>
      </c>
      <c r="I492" s="0" t="s">
        <v>1768</v>
      </c>
      <c r="J492" s="0"/>
      <c r="K492" s="0" t="s">
        <v>1811</v>
      </c>
      <c r="L492" s="0" t="s">
        <v>1813</v>
      </c>
    </row>
    <row r="493">
      <c r="A493" s="0" t="s">
        <v>47</v>
      </c>
      <c r="B493" s="0" t="s">
        <v>349</v>
      </c>
      <c r="C493" s="0" t="s">
        <v>134</v>
      </c>
      <c r="D493" s="0">
        <v>0.25</v>
      </c>
      <c r="E493" s="0"/>
      <c r="F493" s="0" t="s">
        <v>708</v>
      </c>
      <c r="G493" s="0"/>
      <c r="H493" s="0" t="s">
        <v>1462</v>
      </c>
      <c r="I493" s="0" t="s">
        <v>1792</v>
      </c>
      <c r="J493" s="0"/>
      <c r="K493" s="0" t="s">
        <v>1811</v>
      </c>
      <c r="L493" s="0" t="s">
        <v>1813</v>
      </c>
    </row>
    <row r="494">
      <c r="A494" s="0" t="s">
        <v>47</v>
      </c>
      <c r="B494" s="0" t="s">
        <v>350</v>
      </c>
      <c r="C494" s="0" t="s">
        <v>134</v>
      </c>
      <c r="D494" s="0">
        <v>1.0269999999999999</v>
      </c>
      <c r="E494" s="0"/>
      <c r="F494" s="0" t="s">
        <v>930</v>
      </c>
      <c r="G494" s="0"/>
      <c r="H494" s="0" t="s">
        <v>1463</v>
      </c>
      <c r="I494" s="0" t="s">
        <v>1793</v>
      </c>
      <c r="J494" s="0"/>
      <c r="K494" s="0" t="s">
        <v>1811</v>
      </c>
      <c r="L494" s="0" t="s">
        <v>1813</v>
      </c>
    </row>
    <row r="495">
      <c r="A495" s="0" t="s">
        <v>47</v>
      </c>
      <c r="B495" s="0" t="s">
        <v>351</v>
      </c>
      <c r="C495" s="0" t="s">
        <v>134</v>
      </c>
      <c r="D495" s="0">
        <v>0.98499999999999999</v>
      </c>
      <c r="E495" s="0"/>
      <c r="F495" s="0" t="s">
        <v>931</v>
      </c>
      <c r="G495" s="0"/>
      <c r="H495" s="0" t="s">
        <v>1464</v>
      </c>
      <c r="I495" s="0" t="s">
        <v>1727</v>
      </c>
      <c r="J495" s="0"/>
      <c r="K495" s="0" t="s">
        <v>1811</v>
      </c>
      <c r="L495" s="0" t="s">
        <v>1813</v>
      </c>
    </row>
    <row r="496">
      <c r="A496" s="0" t="s">
        <v>47</v>
      </c>
      <c r="B496" s="0" t="s">
        <v>147</v>
      </c>
      <c r="C496" s="0" t="s">
        <v>478</v>
      </c>
      <c r="D496" s="0">
        <v>0.10000000000000001</v>
      </c>
      <c r="E496" s="0"/>
      <c r="F496" s="0" t="s">
        <v>779</v>
      </c>
      <c r="G496" s="0"/>
      <c r="H496" s="0"/>
      <c r="I496" s="0" t="s">
        <v>681</v>
      </c>
      <c r="J496" s="0"/>
      <c r="K496" s="0" t="s">
        <v>1811</v>
      </c>
      <c r="L496" s="0" t="s">
        <v>1813</v>
      </c>
    </row>
    <row r="497">
      <c r="A497" s="0" t="s">
        <v>47</v>
      </c>
      <c r="B497" s="0" t="s">
        <v>147</v>
      </c>
      <c r="C497" s="0" t="s">
        <v>479</v>
      </c>
      <c r="D497" s="0">
        <v>0.035999999999999997</v>
      </c>
      <c r="E497" s="0"/>
      <c r="F497" s="0" t="s">
        <v>932</v>
      </c>
      <c r="G497" s="0"/>
      <c r="H497" s="0"/>
      <c r="I497" s="0" t="s">
        <v>681</v>
      </c>
      <c r="J497" s="0"/>
      <c r="K497" s="0" t="s">
        <v>1811</v>
      </c>
      <c r="L497" s="0" t="s">
        <v>1813</v>
      </c>
    </row>
    <row r="498">
      <c r="A498" s="0" t="s">
        <v>47</v>
      </c>
      <c r="B498" s="0" t="s">
        <v>352</v>
      </c>
      <c r="C498" s="0" t="s">
        <v>479</v>
      </c>
      <c r="D498" s="0">
        <v>0.050000000000000003</v>
      </c>
      <c r="E498" s="0"/>
      <c r="F498" s="0" t="s">
        <v>580</v>
      </c>
      <c r="G498" s="0"/>
      <c r="H498" s="0" t="s">
        <v>1465</v>
      </c>
      <c r="I498" s="0" t="s">
        <v>1756</v>
      </c>
      <c r="J498" s="0"/>
      <c r="K498" s="0" t="s">
        <v>1811</v>
      </c>
      <c r="L498" s="0" t="s">
        <v>1813</v>
      </c>
    </row>
    <row r="499">
      <c r="A499" s="0" t="s">
        <v>47</v>
      </c>
      <c r="B499" s="0" t="s">
        <v>352</v>
      </c>
      <c r="C499" s="0" t="s">
        <v>478</v>
      </c>
      <c r="D499" s="0">
        <v>0.80000000000000004</v>
      </c>
      <c r="E499" s="0"/>
      <c r="F499" s="0" t="s">
        <v>774</v>
      </c>
      <c r="G499" s="0"/>
      <c r="H499" s="0" t="s">
        <v>1466</v>
      </c>
      <c r="I499" s="0" t="s">
        <v>1756</v>
      </c>
      <c r="J499" s="0"/>
      <c r="K499" s="0" t="s">
        <v>1811</v>
      </c>
      <c r="L499" s="0" t="s">
        <v>1813</v>
      </c>
    </row>
    <row r="500">
      <c r="A500" s="0" t="s">
        <v>47</v>
      </c>
      <c r="B500" s="0" t="s">
        <v>352</v>
      </c>
      <c r="C500" s="0" t="s">
        <v>478</v>
      </c>
      <c r="D500" s="0">
        <v>1.2</v>
      </c>
      <c r="E500" s="0"/>
      <c r="F500" s="0" t="s">
        <v>741</v>
      </c>
      <c r="G500" s="0"/>
      <c r="H500" s="0" t="s">
        <v>1465</v>
      </c>
      <c r="I500" s="0" t="s">
        <v>1756</v>
      </c>
      <c r="J500" s="0"/>
      <c r="K500" s="0" t="s">
        <v>1811</v>
      </c>
      <c r="L500" s="0" t="s">
        <v>1813</v>
      </c>
    </row>
    <row r="501">
      <c r="A501" s="0" t="s">
        <v>47</v>
      </c>
      <c r="B501" s="0" t="s">
        <v>352</v>
      </c>
      <c r="C501" s="0" t="s">
        <v>479</v>
      </c>
      <c r="D501" s="0">
        <v>0.056000000000000001</v>
      </c>
      <c r="E501" s="0"/>
      <c r="F501" s="0" t="s">
        <v>933</v>
      </c>
      <c r="G501" s="0"/>
      <c r="H501" s="0" t="s">
        <v>1466</v>
      </c>
      <c r="I501" s="0" t="s">
        <v>1756</v>
      </c>
      <c r="J501" s="0"/>
      <c r="K501" s="0" t="s">
        <v>1811</v>
      </c>
      <c r="L501" s="0" t="s">
        <v>1813</v>
      </c>
    </row>
    <row r="502">
      <c r="A502" s="0" t="s">
        <v>47</v>
      </c>
      <c r="B502" s="0" t="s">
        <v>251</v>
      </c>
      <c r="C502" s="0" t="s">
        <v>477</v>
      </c>
      <c r="D502" s="0">
        <v>0.050000000000000003</v>
      </c>
      <c r="E502" s="0"/>
      <c r="F502" s="0" t="s">
        <v>580</v>
      </c>
      <c r="G502" s="0"/>
      <c r="H502" s="0" t="s">
        <v>1467</v>
      </c>
      <c r="I502" s="0" t="s">
        <v>828</v>
      </c>
      <c r="J502" s="0"/>
      <c r="K502" s="0" t="s">
        <v>1811</v>
      </c>
      <c r="L502" s="0" t="s">
        <v>1813</v>
      </c>
    </row>
    <row r="503">
      <c r="A503" s="0" t="s">
        <v>47</v>
      </c>
      <c r="B503" s="0" t="s">
        <v>251</v>
      </c>
      <c r="C503" s="0" t="s">
        <v>477</v>
      </c>
      <c r="D503" s="0">
        <v>0.10000000000000001</v>
      </c>
      <c r="E503" s="0"/>
      <c r="F503" s="0" t="s">
        <v>779</v>
      </c>
      <c r="G503" s="0"/>
      <c r="H503" s="0" t="s">
        <v>1468</v>
      </c>
      <c r="I503" s="0" t="s">
        <v>828</v>
      </c>
      <c r="J503" s="0"/>
      <c r="K503" s="0" t="s">
        <v>1811</v>
      </c>
      <c r="L503" s="0" t="s">
        <v>1813</v>
      </c>
    </row>
    <row r="504">
      <c r="A504" s="0" t="s">
        <v>48</v>
      </c>
      <c r="B504" s="0" t="s">
        <v>150</v>
      </c>
      <c r="C504" s="0" t="s">
        <v>483</v>
      </c>
      <c r="D504" s="0">
        <v>0.042999999999999997</v>
      </c>
      <c r="E504" s="0"/>
      <c r="F504" s="0" t="s">
        <v>934</v>
      </c>
      <c r="G504" s="0"/>
      <c r="H504" s="0" t="s">
        <v>1469</v>
      </c>
      <c r="I504" s="0" t="s">
        <v>819</v>
      </c>
      <c r="J504" s="0"/>
      <c r="K504" s="0" t="s">
        <v>1811</v>
      </c>
      <c r="L504" s="0" t="s">
        <v>1813</v>
      </c>
    </row>
    <row r="505">
      <c r="A505" s="0" t="s">
        <v>48</v>
      </c>
      <c r="B505" s="0" t="s">
        <v>150</v>
      </c>
      <c r="C505" s="0" t="s">
        <v>135</v>
      </c>
      <c r="D505" s="0">
        <v>1.24</v>
      </c>
      <c r="E505" s="0"/>
      <c r="F505" s="0" t="s">
        <v>935</v>
      </c>
      <c r="G505" s="0"/>
      <c r="H505" s="0" t="s">
        <v>1469</v>
      </c>
      <c r="I505" s="0" t="s">
        <v>819</v>
      </c>
      <c r="J505" s="0"/>
      <c r="K505" s="0" t="s">
        <v>1811</v>
      </c>
      <c r="L505" s="0" t="s">
        <v>1813</v>
      </c>
    </row>
    <row r="506">
      <c r="A506" s="0" t="s">
        <v>48</v>
      </c>
      <c r="B506" s="0" t="s">
        <v>307</v>
      </c>
      <c r="C506" s="0" t="s">
        <v>484</v>
      </c>
      <c r="D506" s="0">
        <v>0.085000000000000006</v>
      </c>
      <c r="E506" s="0"/>
      <c r="F506" s="0" t="s">
        <v>936</v>
      </c>
      <c r="G506" s="0"/>
      <c r="H506" s="0" t="s">
        <v>1470</v>
      </c>
      <c r="I506" s="0" t="s">
        <v>884</v>
      </c>
      <c r="J506" s="0"/>
      <c r="K506" s="0" t="s">
        <v>1811</v>
      </c>
      <c r="L506" s="0" t="s">
        <v>1813</v>
      </c>
    </row>
    <row r="507">
      <c r="A507" s="0" t="s">
        <v>49</v>
      </c>
      <c r="B507" s="0" t="s">
        <v>353</v>
      </c>
      <c r="C507" s="0" t="s">
        <v>137</v>
      </c>
      <c r="D507" s="0">
        <v>0.0080000000000000002</v>
      </c>
      <c r="E507" s="0"/>
      <c r="F507" s="0" t="s">
        <v>740</v>
      </c>
      <c r="G507" s="0"/>
      <c r="H507" s="0" t="s">
        <v>1471</v>
      </c>
      <c r="I507" s="0" t="s">
        <v>1794</v>
      </c>
      <c r="J507" s="0"/>
      <c r="K507" s="0" t="s">
        <v>1811</v>
      </c>
      <c r="L507" s="0" t="s">
        <v>1813</v>
      </c>
    </row>
    <row r="508">
      <c r="A508" s="0" t="s">
        <v>49</v>
      </c>
      <c r="B508" s="0" t="s">
        <v>354</v>
      </c>
      <c r="C508" s="0" t="s">
        <v>485</v>
      </c>
      <c r="D508" s="0">
        <v>0.5</v>
      </c>
      <c r="E508" s="0"/>
      <c r="F508" s="0" t="s">
        <v>632</v>
      </c>
      <c r="G508" s="0"/>
      <c r="H508" s="0"/>
      <c r="I508" s="0" t="s">
        <v>776</v>
      </c>
      <c r="J508" s="0"/>
      <c r="K508" s="0" t="s">
        <v>1811</v>
      </c>
      <c r="L508" s="0" t="s">
        <v>1813</v>
      </c>
    </row>
    <row r="509">
      <c r="A509" s="0" t="s">
        <v>49</v>
      </c>
      <c r="B509" s="0" t="s">
        <v>355</v>
      </c>
      <c r="C509" s="0" t="s">
        <v>486</v>
      </c>
      <c r="D509" s="0">
        <v>0.35999999999999999</v>
      </c>
      <c r="E509" s="0"/>
      <c r="F509" s="0" t="s">
        <v>649</v>
      </c>
      <c r="G509" s="0"/>
      <c r="H509" s="0"/>
      <c r="I509" s="0" t="s">
        <v>776</v>
      </c>
      <c r="J509" s="0"/>
      <c r="K509" s="0" t="s">
        <v>1811</v>
      </c>
      <c r="L509" s="0" t="s">
        <v>1813</v>
      </c>
    </row>
    <row r="510">
      <c r="A510" s="0" t="s">
        <v>49</v>
      </c>
      <c r="B510" s="0" t="s">
        <v>355</v>
      </c>
      <c r="C510" s="0" t="s">
        <v>137</v>
      </c>
      <c r="D510" s="0">
        <v>0.53000000000000003</v>
      </c>
      <c r="E510" s="0"/>
      <c r="F510" s="0" t="s">
        <v>937</v>
      </c>
      <c r="G510" s="0"/>
      <c r="H510" s="0"/>
      <c r="I510" s="0" t="s">
        <v>776</v>
      </c>
      <c r="J510" s="0"/>
      <c r="K510" s="0" t="s">
        <v>1811</v>
      </c>
      <c r="L510" s="0" t="s">
        <v>1813</v>
      </c>
    </row>
    <row r="511">
      <c r="A511" s="0" t="s">
        <v>49</v>
      </c>
      <c r="B511" s="0" t="s">
        <v>356</v>
      </c>
      <c r="C511" s="0" t="s">
        <v>137</v>
      </c>
      <c r="D511" s="0">
        <v>0.0184</v>
      </c>
      <c r="E511" s="0"/>
      <c r="F511" s="0" t="s">
        <v>938</v>
      </c>
      <c r="G511" s="0"/>
      <c r="H511" s="0" t="s">
        <v>1472</v>
      </c>
      <c r="I511" s="0" t="s">
        <v>827</v>
      </c>
      <c r="J511" s="0"/>
      <c r="K511" s="0" t="s">
        <v>1811</v>
      </c>
      <c r="L511" s="0" t="s">
        <v>1813</v>
      </c>
    </row>
    <row r="512">
      <c r="A512" s="0" t="s">
        <v>49</v>
      </c>
      <c r="B512" s="0" t="s">
        <v>356</v>
      </c>
      <c r="C512" s="0" t="s">
        <v>485</v>
      </c>
      <c r="D512" s="0">
        <v>0.219</v>
      </c>
      <c r="E512" s="0"/>
      <c r="F512" s="0" t="s">
        <v>939</v>
      </c>
      <c r="G512" s="0"/>
      <c r="H512" s="0" t="s">
        <v>1472</v>
      </c>
      <c r="I512" s="0" t="s">
        <v>827</v>
      </c>
      <c r="J512" s="0"/>
      <c r="K512" s="0" t="s">
        <v>1811</v>
      </c>
      <c r="L512" s="0" t="s">
        <v>1813</v>
      </c>
    </row>
    <row r="513">
      <c r="A513" s="0" t="s">
        <v>49</v>
      </c>
      <c r="B513" s="0" t="s">
        <v>356</v>
      </c>
      <c r="C513" s="0" t="s">
        <v>485</v>
      </c>
      <c r="D513" s="0">
        <v>0.0206</v>
      </c>
      <c r="E513" s="0"/>
      <c r="F513" s="0" t="s">
        <v>940</v>
      </c>
      <c r="G513" s="0"/>
      <c r="H513" s="0" t="s">
        <v>1473</v>
      </c>
      <c r="I513" s="0" t="s">
        <v>827</v>
      </c>
      <c r="J513" s="0"/>
      <c r="K513" s="0" t="s">
        <v>1811</v>
      </c>
      <c r="L513" s="0" t="s">
        <v>1813</v>
      </c>
    </row>
    <row r="514">
      <c r="A514" s="0" t="s">
        <v>49</v>
      </c>
      <c r="B514" s="0" t="s">
        <v>356</v>
      </c>
      <c r="C514" s="0" t="s">
        <v>137</v>
      </c>
      <c r="D514" s="0">
        <v>2.5600000000000001</v>
      </c>
      <c r="E514" s="0"/>
      <c r="F514" s="0" t="s">
        <v>941</v>
      </c>
      <c r="G514" s="0"/>
      <c r="H514" s="0" t="s">
        <v>1473</v>
      </c>
      <c r="I514" s="0" t="s">
        <v>827</v>
      </c>
      <c r="J514" s="0"/>
      <c r="K514" s="0" t="s">
        <v>1811</v>
      </c>
      <c r="L514" s="0" t="s">
        <v>1813</v>
      </c>
    </row>
    <row r="515">
      <c r="A515" s="0" t="s">
        <v>49</v>
      </c>
      <c r="B515" s="0" t="s">
        <v>356</v>
      </c>
      <c r="C515" s="0" t="s">
        <v>487</v>
      </c>
      <c r="D515" s="0">
        <v>0.031399999999999997</v>
      </c>
      <c r="E515" s="0"/>
      <c r="F515" s="0" t="s">
        <v>942</v>
      </c>
      <c r="G515" s="0"/>
      <c r="H515" s="0"/>
      <c r="I515" s="0" t="s">
        <v>827</v>
      </c>
      <c r="J515" s="0"/>
      <c r="K515" s="0" t="s">
        <v>1811</v>
      </c>
      <c r="L515" s="0" t="s">
        <v>1813</v>
      </c>
    </row>
    <row r="516">
      <c r="A516" s="0" t="s">
        <v>49</v>
      </c>
      <c r="B516" s="0" t="s">
        <v>357</v>
      </c>
      <c r="C516" s="0" t="s">
        <v>137</v>
      </c>
      <c r="D516" s="0">
        <v>0.47570000000000001</v>
      </c>
      <c r="E516" s="0"/>
      <c r="F516" s="0" t="s">
        <v>943</v>
      </c>
      <c r="G516" s="0"/>
      <c r="H516" s="0"/>
      <c r="I516" s="0" t="s">
        <v>1795</v>
      </c>
      <c r="J516" s="0"/>
      <c r="K516" s="0" t="s">
        <v>1811</v>
      </c>
      <c r="L516" s="0" t="s">
        <v>1813</v>
      </c>
    </row>
    <row r="517">
      <c r="A517" s="0" t="s">
        <v>49</v>
      </c>
      <c r="B517" s="0" t="s">
        <v>358</v>
      </c>
      <c r="C517" s="0" t="s">
        <v>137</v>
      </c>
      <c r="D517" s="0">
        <v>0.45800000000000002</v>
      </c>
      <c r="E517" s="0"/>
      <c r="F517" s="0" t="s">
        <v>944</v>
      </c>
      <c r="G517" s="0"/>
      <c r="H517" s="0" t="s">
        <v>1474</v>
      </c>
      <c r="I517" s="0" t="s">
        <v>1795</v>
      </c>
      <c r="J517" s="0"/>
      <c r="K517" s="0" t="s">
        <v>1811</v>
      </c>
      <c r="L517" s="0" t="s">
        <v>1813</v>
      </c>
    </row>
    <row r="518">
      <c r="A518" s="0" t="s">
        <v>49</v>
      </c>
      <c r="B518" s="0" t="s">
        <v>147</v>
      </c>
      <c r="C518" s="0" t="s">
        <v>137</v>
      </c>
      <c r="D518" s="0">
        <v>0.25</v>
      </c>
      <c r="E518" s="0"/>
      <c r="F518" s="0" t="s">
        <v>708</v>
      </c>
      <c r="G518" s="0"/>
      <c r="H518" s="0" t="s">
        <v>1475</v>
      </c>
      <c r="I518" s="0" t="s">
        <v>585</v>
      </c>
      <c r="J518" s="0"/>
      <c r="K518" s="0" t="s">
        <v>1811</v>
      </c>
      <c r="L518" s="0" t="s">
        <v>1813</v>
      </c>
    </row>
    <row r="519">
      <c r="A519" s="0" t="s">
        <v>49</v>
      </c>
      <c r="B519" s="0" t="s">
        <v>352</v>
      </c>
      <c r="C519" s="0" t="s">
        <v>137</v>
      </c>
      <c r="D519" s="0">
        <v>0.10000000000000001</v>
      </c>
      <c r="E519" s="0"/>
      <c r="F519" s="0" t="s">
        <v>779</v>
      </c>
      <c r="G519" s="0"/>
      <c r="H519" s="0" t="s">
        <v>1476</v>
      </c>
      <c r="I519" s="0" t="s">
        <v>641</v>
      </c>
      <c r="J519" s="0"/>
      <c r="K519" s="0" t="s">
        <v>1811</v>
      </c>
      <c r="L519" s="0" t="s">
        <v>1813</v>
      </c>
    </row>
    <row r="520">
      <c r="A520" s="0" t="s">
        <v>49</v>
      </c>
      <c r="B520" s="0" t="s">
        <v>352</v>
      </c>
      <c r="C520" s="0" t="s">
        <v>485</v>
      </c>
      <c r="D520" s="0">
        <v>10</v>
      </c>
      <c r="E520" s="0"/>
      <c r="F520" s="0" t="s">
        <v>694</v>
      </c>
      <c r="G520" s="0"/>
      <c r="H520" s="0" t="s">
        <v>1477</v>
      </c>
      <c r="I520" s="0" t="s">
        <v>805</v>
      </c>
      <c r="J520" s="0"/>
      <c r="K520" s="0" t="s">
        <v>1811</v>
      </c>
      <c r="L520" s="0" t="s">
        <v>1813</v>
      </c>
    </row>
    <row r="521">
      <c r="A521" s="0" t="s">
        <v>49</v>
      </c>
      <c r="B521" s="0" t="s">
        <v>352</v>
      </c>
      <c r="C521" s="0" t="s">
        <v>485</v>
      </c>
      <c r="D521" s="0">
        <v>1.5</v>
      </c>
      <c r="E521" s="0"/>
      <c r="F521" s="0" t="s">
        <v>570</v>
      </c>
      <c r="G521" s="0"/>
      <c r="H521" s="0" t="s">
        <v>1478</v>
      </c>
      <c r="I521" s="0" t="s">
        <v>805</v>
      </c>
      <c r="J521" s="0"/>
      <c r="K521" s="0" t="s">
        <v>1811</v>
      </c>
      <c r="L521" s="0" t="s">
        <v>1813</v>
      </c>
    </row>
    <row r="522">
      <c r="A522" s="0" t="s">
        <v>49</v>
      </c>
      <c r="B522" s="0" t="s">
        <v>352</v>
      </c>
      <c r="C522" s="0" t="s">
        <v>137</v>
      </c>
      <c r="D522" s="0">
        <v>0.041000000000000002</v>
      </c>
      <c r="E522" s="0"/>
      <c r="F522" s="0" t="s">
        <v>945</v>
      </c>
      <c r="G522" s="0"/>
      <c r="H522" s="0" t="s">
        <v>1479</v>
      </c>
      <c r="I522" s="0" t="s">
        <v>644</v>
      </c>
      <c r="J522" s="0"/>
      <c r="K522" s="0" t="s">
        <v>1811</v>
      </c>
      <c r="L522" s="0" t="s">
        <v>1813</v>
      </c>
    </row>
    <row r="523">
      <c r="A523" s="0" t="s">
        <v>49</v>
      </c>
      <c r="B523" s="0" t="s">
        <v>352</v>
      </c>
      <c r="C523" s="0" t="s">
        <v>137</v>
      </c>
      <c r="D523" s="0">
        <v>7.7000000000000002</v>
      </c>
      <c r="E523" s="0"/>
      <c r="F523" s="0" t="s">
        <v>946</v>
      </c>
      <c r="G523" s="0"/>
      <c r="H523" s="0"/>
      <c r="I523" s="0" t="s">
        <v>734</v>
      </c>
      <c r="J523" s="0"/>
      <c r="K523" s="0" t="s">
        <v>1811</v>
      </c>
      <c r="L523" s="0" t="s">
        <v>1813</v>
      </c>
    </row>
    <row r="524">
      <c r="A524" s="0" t="s">
        <v>49</v>
      </c>
      <c r="B524" s="0" t="s">
        <v>352</v>
      </c>
      <c r="C524" s="0" t="s">
        <v>418</v>
      </c>
      <c r="D524" s="0">
        <v>-999</v>
      </c>
      <c r="E524" s="0"/>
      <c r="F524" s="0" t="s">
        <v>673</v>
      </c>
      <c r="G524" s="0"/>
      <c r="H524" s="0"/>
      <c r="I524" s="0" t="s">
        <v>1796</v>
      </c>
      <c r="J524" s="0"/>
      <c r="K524" s="0" t="s">
        <v>1811</v>
      </c>
      <c r="L524" s="0" t="s">
        <v>1813</v>
      </c>
    </row>
    <row r="525">
      <c r="A525" s="0" t="s">
        <v>49</v>
      </c>
      <c r="B525" s="0" t="s">
        <v>241</v>
      </c>
      <c r="C525" s="0" t="s">
        <v>487</v>
      </c>
      <c r="D525" s="0">
        <v>0.02</v>
      </c>
      <c r="E525" s="0"/>
      <c r="F525" s="0" t="s">
        <v>923</v>
      </c>
      <c r="G525" s="0"/>
      <c r="H525" s="0"/>
      <c r="I525" s="0" t="s">
        <v>595</v>
      </c>
      <c r="J525" s="0"/>
      <c r="K525" s="0" t="s">
        <v>1811</v>
      </c>
      <c r="L525" s="0" t="s">
        <v>1813</v>
      </c>
    </row>
    <row r="526">
      <c r="A526" s="0" t="s">
        <v>49</v>
      </c>
      <c r="B526" s="0" t="s">
        <v>241</v>
      </c>
      <c r="C526" s="0" t="s">
        <v>137</v>
      </c>
      <c r="D526" s="0">
        <v>10</v>
      </c>
      <c r="E526" s="0"/>
      <c r="F526" s="0" t="s">
        <v>694</v>
      </c>
      <c r="G526" s="0"/>
      <c r="H526" s="0"/>
      <c r="I526" s="0" t="s">
        <v>595</v>
      </c>
      <c r="J526" s="0"/>
      <c r="K526" s="0" t="s">
        <v>1811</v>
      </c>
      <c r="L526" s="0" t="s">
        <v>1813</v>
      </c>
    </row>
    <row r="527">
      <c r="A527" s="0" t="s">
        <v>49</v>
      </c>
      <c r="B527" s="0" t="s">
        <v>241</v>
      </c>
      <c r="C527" s="0" t="s">
        <v>487</v>
      </c>
      <c r="D527" s="0">
        <v>0.27500000000000002</v>
      </c>
      <c r="E527" s="0"/>
      <c r="F527" s="0" t="s">
        <v>947</v>
      </c>
      <c r="G527" s="0"/>
      <c r="H527" s="0" t="s">
        <v>1480</v>
      </c>
      <c r="I527" s="0" t="s">
        <v>789</v>
      </c>
      <c r="J527" s="0"/>
      <c r="K527" s="0" t="s">
        <v>1811</v>
      </c>
      <c r="L527" s="0" t="s">
        <v>1813</v>
      </c>
    </row>
    <row r="528">
      <c r="A528" s="0" t="s">
        <v>49</v>
      </c>
      <c r="B528" s="0" t="s">
        <v>241</v>
      </c>
      <c r="C528" s="0" t="s">
        <v>137</v>
      </c>
      <c r="D528" s="0">
        <v>0.17100000000000001</v>
      </c>
      <c r="E528" s="0"/>
      <c r="F528" s="0" t="s">
        <v>948</v>
      </c>
      <c r="G528" s="0"/>
      <c r="H528" s="0" t="s">
        <v>1480</v>
      </c>
      <c r="I528" s="0" t="s">
        <v>789</v>
      </c>
      <c r="J528" s="0"/>
      <c r="K528" s="0" t="s">
        <v>1811</v>
      </c>
      <c r="L528" s="0" t="s">
        <v>1813</v>
      </c>
    </row>
    <row r="529">
      <c r="A529" s="0" t="s">
        <v>49</v>
      </c>
      <c r="B529" s="0" t="s">
        <v>359</v>
      </c>
      <c r="C529" s="0" t="s">
        <v>137</v>
      </c>
      <c r="D529" s="0">
        <v>0.042000000000000003</v>
      </c>
      <c r="E529" s="0"/>
      <c r="F529" s="0" t="s">
        <v>715</v>
      </c>
      <c r="G529" s="0"/>
      <c r="H529" s="0"/>
      <c r="I529" s="0" t="s">
        <v>803</v>
      </c>
      <c r="J529" s="0"/>
      <c r="K529" s="0" t="s">
        <v>1811</v>
      </c>
      <c r="L529" s="0" t="s">
        <v>1813</v>
      </c>
    </row>
    <row r="530">
      <c r="A530" s="0" t="s">
        <v>50</v>
      </c>
      <c r="B530" s="0" t="s">
        <v>360</v>
      </c>
      <c r="C530" s="0" t="s">
        <v>488</v>
      </c>
      <c r="D530" s="0">
        <v>0.11</v>
      </c>
      <c r="E530" s="0"/>
      <c r="F530" s="0" t="s">
        <v>654</v>
      </c>
      <c r="G530" s="0"/>
      <c r="H530" s="0"/>
      <c r="I530" s="0" t="s">
        <v>585</v>
      </c>
      <c r="J530" s="0"/>
      <c r="K530" s="0" t="s">
        <v>1811</v>
      </c>
      <c r="L530" s="0" t="s">
        <v>1813</v>
      </c>
    </row>
    <row r="531">
      <c r="A531" s="0" t="s">
        <v>50</v>
      </c>
      <c r="B531" s="0" t="s">
        <v>360</v>
      </c>
      <c r="C531" s="0" t="s">
        <v>489</v>
      </c>
      <c r="D531" s="0">
        <v>0.11</v>
      </c>
      <c r="E531" s="0"/>
      <c r="F531" s="0" t="s">
        <v>654</v>
      </c>
      <c r="G531" s="0"/>
      <c r="H531" s="0"/>
      <c r="I531" s="0" t="s">
        <v>1043</v>
      </c>
      <c r="J531" s="0"/>
      <c r="K531" s="0" t="s">
        <v>1811</v>
      </c>
      <c r="L531" s="0" t="s">
        <v>1813</v>
      </c>
    </row>
    <row r="532">
      <c r="A532" s="0" t="s">
        <v>50</v>
      </c>
      <c r="B532" s="0" t="s">
        <v>361</v>
      </c>
      <c r="C532" s="0" t="s">
        <v>490</v>
      </c>
      <c r="D532" s="0">
        <v>0.019400000000000001</v>
      </c>
      <c r="E532" s="0"/>
      <c r="F532" s="0" t="s">
        <v>949</v>
      </c>
      <c r="G532" s="0"/>
      <c r="H532" s="0" t="s">
        <v>1481</v>
      </c>
      <c r="I532" s="0" t="s">
        <v>1738</v>
      </c>
      <c r="J532" s="0"/>
      <c r="K532" s="0" t="s">
        <v>1811</v>
      </c>
      <c r="L532" s="0" t="s">
        <v>1813</v>
      </c>
    </row>
    <row r="533">
      <c r="A533" s="0" t="s">
        <v>50</v>
      </c>
      <c r="B533" s="0" t="s">
        <v>361</v>
      </c>
      <c r="C533" s="0" t="s">
        <v>488</v>
      </c>
      <c r="D533" s="0">
        <v>0.0482</v>
      </c>
      <c r="E533" s="0"/>
      <c r="F533" s="0" t="s">
        <v>950</v>
      </c>
      <c r="G533" s="0"/>
      <c r="H533" s="0" t="s">
        <v>1482</v>
      </c>
      <c r="I533" s="0" t="s">
        <v>1738</v>
      </c>
      <c r="J533" s="0"/>
      <c r="K533" s="0" t="s">
        <v>1811</v>
      </c>
      <c r="L533" s="0" t="s">
        <v>1813</v>
      </c>
    </row>
    <row r="534">
      <c r="A534" s="0" t="s">
        <v>50</v>
      </c>
      <c r="B534" s="0" t="s">
        <v>362</v>
      </c>
      <c r="C534" s="0" t="s">
        <v>491</v>
      </c>
      <c r="D534" s="0">
        <v>0.0057000000000000002</v>
      </c>
      <c r="E534" s="0"/>
      <c r="F534" s="0" t="s">
        <v>801</v>
      </c>
      <c r="G534" s="0"/>
      <c r="H534" s="0" t="s">
        <v>1483</v>
      </c>
      <c r="I534" s="0" t="s">
        <v>824</v>
      </c>
      <c r="J534" s="0"/>
      <c r="K534" s="0" t="s">
        <v>1811</v>
      </c>
      <c r="L534" s="0" t="s">
        <v>1813</v>
      </c>
    </row>
    <row r="535">
      <c r="A535" s="0" t="s">
        <v>50</v>
      </c>
      <c r="B535" s="0" t="s">
        <v>362</v>
      </c>
      <c r="C535" s="0" t="s">
        <v>492</v>
      </c>
      <c r="D535" s="0">
        <v>0.0060000000000000001</v>
      </c>
      <c r="E535" s="0"/>
      <c r="F535" s="0" t="s">
        <v>951</v>
      </c>
      <c r="G535" s="0"/>
      <c r="H535" s="0" t="s">
        <v>1484</v>
      </c>
      <c r="I535" s="0" t="s">
        <v>1797</v>
      </c>
      <c r="J535" s="0"/>
      <c r="K535" s="0" t="s">
        <v>1811</v>
      </c>
      <c r="L535" s="0" t="s">
        <v>1813</v>
      </c>
    </row>
    <row r="536">
      <c r="A536" s="0" t="s">
        <v>50</v>
      </c>
      <c r="B536" s="0" t="s">
        <v>147</v>
      </c>
      <c r="C536" s="0" t="s">
        <v>138</v>
      </c>
      <c r="D536" s="0">
        <v>0.035000000000000003</v>
      </c>
      <c r="E536" s="0"/>
      <c r="F536" s="0" t="s">
        <v>749</v>
      </c>
      <c r="G536" s="0"/>
      <c r="H536" s="0" t="s">
        <v>1485</v>
      </c>
      <c r="I536" s="0" t="s">
        <v>1795</v>
      </c>
      <c r="J536" s="0"/>
      <c r="K536" s="0" t="s">
        <v>1811</v>
      </c>
      <c r="L536" s="0" t="s">
        <v>1813</v>
      </c>
    </row>
    <row r="537">
      <c r="A537" s="0" t="s">
        <v>50</v>
      </c>
      <c r="B537" s="0" t="s">
        <v>147</v>
      </c>
      <c r="C537" s="0" t="s">
        <v>493</v>
      </c>
      <c r="D537" s="0">
        <v>0.0201</v>
      </c>
      <c r="E537" s="0"/>
      <c r="F537" s="0" t="s">
        <v>952</v>
      </c>
      <c r="G537" s="0"/>
      <c r="H537" s="0" t="s">
        <v>1486</v>
      </c>
      <c r="I537" s="0" t="s">
        <v>1729</v>
      </c>
      <c r="J537" s="0"/>
      <c r="K537" s="0" t="s">
        <v>1811</v>
      </c>
      <c r="L537" s="0" t="s">
        <v>1813</v>
      </c>
    </row>
    <row r="538">
      <c r="A538" s="0" t="s">
        <v>50</v>
      </c>
      <c r="B538" s="0" t="s">
        <v>147</v>
      </c>
      <c r="C538" s="0" t="s">
        <v>491</v>
      </c>
      <c r="D538" s="0">
        <v>0.0146</v>
      </c>
      <c r="E538" s="0"/>
      <c r="F538" s="0" t="s">
        <v>953</v>
      </c>
      <c r="G538" s="0"/>
      <c r="H538" s="0" t="s">
        <v>1487</v>
      </c>
      <c r="I538" s="0" t="s">
        <v>1729</v>
      </c>
      <c r="J538" s="0"/>
      <c r="K538" s="0" t="s">
        <v>1811</v>
      </c>
      <c r="L538" s="0" t="s">
        <v>1813</v>
      </c>
    </row>
    <row r="539">
      <c r="A539" s="0" t="s">
        <v>50</v>
      </c>
      <c r="B539" s="0" t="s">
        <v>286</v>
      </c>
      <c r="C539" s="0" t="s">
        <v>494</v>
      </c>
      <c r="D539" s="0">
        <v>0.0089999999999999993</v>
      </c>
      <c r="E539" s="0"/>
      <c r="F539" s="0" t="s">
        <v>954</v>
      </c>
      <c r="G539" s="0"/>
      <c r="H539" s="0" t="s">
        <v>1488</v>
      </c>
      <c r="I539" s="0" t="s">
        <v>884</v>
      </c>
      <c r="J539" s="0"/>
      <c r="K539" s="0" t="s">
        <v>1811</v>
      </c>
      <c r="L539" s="0" t="s">
        <v>1813</v>
      </c>
    </row>
    <row r="540">
      <c r="A540" s="0" t="s">
        <v>50</v>
      </c>
      <c r="B540" s="0" t="s">
        <v>286</v>
      </c>
      <c r="C540" s="0" t="s">
        <v>488</v>
      </c>
      <c r="D540" s="0">
        <v>0.016</v>
      </c>
      <c r="E540" s="0"/>
      <c r="F540" s="0" t="s">
        <v>955</v>
      </c>
      <c r="G540" s="0"/>
      <c r="H540" s="0"/>
      <c r="I540" s="0" t="s">
        <v>734</v>
      </c>
      <c r="J540" s="0"/>
      <c r="K540" s="0" t="s">
        <v>1811</v>
      </c>
      <c r="L540" s="0" t="s">
        <v>1813</v>
      </c>
    </row>
    <row r="541">
      <c r="A541" s="0" t="s">
        <v>50</v>
      </c>
      <c r="B541" s="0" t="s">
        <v>286</v>
      </c>
      <c r="C541" s="0" t="s">
        <v>495</v>
      </c>
      <c r="D541" s="0">
        <v>0.016</v>
      </c>
      <c r="E541" s="0"/>
      <c r="F541" s="0" t="s">
        <v>955</v>
      </c>
      <c r="G541" s="0"/>
      <c r="H541" s="0"/>
      <c r="I541" s="0" t="s">
        <v>734</v>
      </c>
      <c r="J541" s="0"/>
      <c r="K541" s="0" t="s">
        <v>1811</v>
      </c>
      <c r="L541" s="0" t="s">
        <v>1813</v>
      </c>
    </row>
    <row r="542">
      <c r="A542" s="0" t="s">
        <v>50</v>
      </c>
      <c r="B542" s="0" t="s">
        <v>286</v>
      </c>
      <c r="C542" s="0" t="s">
        <v>488</v>
      </c>
      <c r="D542" s="0">
        <v>0.0089999999999999993</v>
      </c>
      <c r="E542" s="0"/>
      <c r="F542" s="0" t="s">
        <v>954</v>
      </c>
      <c r="G542" s="0"/>
      <c r="H542" s="0"/>
      <c r="I542" s="0" t="s">
        <v>585</v>
      </c>
      <c r="J542" s="0"/>
      <c r="K542" s="0" t="s">
        <v>1811</v>
      </c>
      <c r="L542" s="0" t="s">
        <v>1813</v>
      </c>
    </row>
    <row r="543">
      <c r="A543" s="0" t="s">
        <v>51</v>
      </c>
      <c r="B543" s="0" t="s">
        <v>363</v>
      </c>
      <c r="C543" s="0" t="s">
        <v>496</v>
      </c>
      <c r="D543" s="0">
        <v>0.14499999999999999</v>
      </c>
      <c r="E543" s="0"/>
      <c r="F543" s="0" t="s">
        <v>956</v>
      </c>
      <c r="G543" s="0"/>
      <c r="H543" s="0"/>
      <c r="I543" s="0" t="s">
        <v>1794</v>
      </c>
      <c r="J543" s="0"/>
      <c r="K543" s="0" t="s">
        <v>1811</v>
      </c>
      <c r="L543" s="0" t="s">
        <v>1813</v>
      </c>
    </row>
    <row r="544">
      <c r="A544" s="0" t="s">
        <v>51</v>
      </c>
      <c r="B544" s="0" t="s">
        <v>363</v>
      </c>
      <c r="C544" s="0" t="s">
        <v>139</v>
      </c>
      <c r="D544" s="0">
        <v>0.0099000000000000008</v>
      </c>
      <c r="E544" s="0"/>
      <c r="F544" s="0" t="s">
        <v>742</v>
      </c>
      <c r="G544" s="0"/>
      <c r="H544" s="0"/>
      <c r="I544" s="0" t="s">
        <v>1794</v>
      </c>
      <c r="J544" s="0"/>
      <c r="K544" s="0" t="s">
        <v>1811</v>
      </c>
      <c r="L544" s="0" t="s">
        <v>1813</v>
      </c>
    </row>
    <row r="545">
      <c r="A545" s="0" t="s">
        <v>51</v>
      </c>
      <c r="B545" s="0" t="s">
        <v>364</v>
      </c>
      <c r="C545" s="0" t="s">
        <v>497</v>
      </c>
      <c r="D545" s="0">
        <v>0.217</v>
      </c>
      <c r="E545" s="0"/>
      <c r="F545" s="0" t="s">
        <v>957</v>
      </c>
      <c r="G545" s="0"/>
      <c r="H545" s="0" t="s">
        <v>1489</v>
      </c>
      <c r="I545" s="0" t="s">
        <v>1729</v>
      </c>
      <c r="J545" s="0"/>
      <c r="K545" s="0" t="s">
        <v>1811</v>
      </c>
      <c r="L545" s="0" t="s">
        <v>1813</v>
      </c>
    </row>
    <row r="546">
      <c r="A546" s="0" t="s">
        <v>51</v>
      </c>
      <c r="B546" s="0" t="s">
        <v>364</v>
      </c>
      <c r="C546" s="0" t="s">
        <v>496</v>
      </c>
      <c r="D546" s="0">
        <v>0.27700000000000002</v>
      </c>
      <c r="E546" s="0"/>
      <c r="F546" s="0" t="s">
        <v>958</v>
      </c>
      <c r="G546" s="0"/>
      <c r="H546" s="0" t="s">
        <v>1489</v>
      </c>
      <c r="I546" s="0" t="s">
        <v>1729</v>
      </c>
      <c r="J546" s="0"/>
      <c r="K546" s="0" t="s">
        <v>1811</v>
      </c>
      <c r="L546" s="0" t="s">
        <v>1813</v>
      </c>
    </row>
    <row r="547">
      <c r="A547" s="0" t="s">
        <v>51</v>
      </c>
      <c r="B547" s="0" t="s">
        <v>364</v>
      </c>
      <c r="C547" s="0" t="s">
        <v>496</v>
      </c>
      <c r="D547" s="0">
        <v>0.25600000000000001</v>
      </c>
      <c r="E547" s="0"/>
      <c r="F547" s="0" t="s">
        <v>959</v>
      </c>
      <c r="G547" s="0"/>
      <c r="H547" s="0" t="s">
        <v>1490</v>
      </c>
      <c r="I547" s="0" t="s">
        <v>1729</v>
      </c>
      <c r="J547" s="0"/>
      <c r="K547" s="0" t="s">
        <v>1811</v>
      </c>
      <c r="L547" s="0" t="s">
        <v>1813</v>
      </c>
    </row>
    <row r="548">
      <c r="A548" s="0" t="s">
        <v>51</v>
      </c>
      <c r="B548" s="0" t="s">
        <v>364</v>
      </c>
      <c r="C548" s="0" t="s">
        <v>498</v>
      </c>
      <c r="D548" s="0">
        <v>0.42399999999999999</v>
      </c>
      <c r="E548" s="0"/>
      <c r="F548" s="0" t="s">
        <v>960</v>
      </c>
      <c r="G548" s="0"/>
      <c r="H548" s="0" t="s">
        <v>1491</v>
      </c>
      <c r="I548" s="0" t="s">
        <v>1729</v>
      </c>
      <c r="J548" s="0"/>
      <c r="K548" s="0" t="s">
        <v>1811</v>
      </c>
      <c r="L548" s="0" t="s">
        <v>1813</v>
      </c>
    </row>
    <row r="549">
      <c r="A549" s="0" t="s">
        <v>51</v>
      </c>
      <c r="B549" s="0" t="s">
        <v>364</v>
      </c>
      <c r="C549" s="0" t="s">
        <v>499</v>
      </c>
      <c r="D549" s="0">
        <v>0.106</v>
      </c>
      <c r="E549" s="0"/>
      <c r="F549" s="0" t="s">
        <v>961</v>
      </c>
      <c r="G549" s="0"/>
      <c r="H549" s="0" t="s">
        <v>1492</v>
      </c>
      <c r="I549" s="0" t="s">
        <v>1729</v>
      </c>
      <c r="J549" s="0"/>
      <c r="K549" s="0" t="s">
        <v>1811</v>
      </c>
      <c r="L549" s="0" t="s">
        <v>1813</v>
      </c>
    </row>
    <row r="550">
      <c r="A550" s="0" t="s">
        <v>51</v>
      </c>
      <c r="B550" s="0" t="s">
        <v>359</v>
      </c>
      <c r="C550" s="0" t="s">
        <v>139</v>
      </c>
      <c r="D550" s="0">
        <v>0.096000000000000002</v>
      </c>
      <c r="E550" s="0"/>
      <c r="F550" s="0" t="s">
        <v>962</v>
      </c>
      <c r="G550" s="0"/>
      <c r="H550" s="0"/>
      <c r="I550" s="0" t="s">
        <v>607</v>
      </c>
      <c r="J550" s="0"/>
      <c r="K550" s="0" t="s">
        <v>1811</v>
      </c>
      <c r="L550" s="0" t="s">
        <v>1813</v>
      </c>
    </row>
    <row r="551">
      <c r="A551" s="0" t="s">
        <v>51</v>
      </c>
      <c r="B551" s="0" t="s">
        <v>359</v>
      </c>
      <c r="C551" s="0" t="s">
        <v>496</v>
      </c>
      <c r="D551" s="0">
        <v>0.13200000000000001</v>
      </c>
      <c r="E551" s="0"/>
      <c r="F551" s="0" t="s">
        <v>963</v>
      </c>
      <c r="G551" s="0"/>
      <c r="H551" s="0"/>
      <c r="I551" s="0" t="s">
        <v>607</v>
      </c>
      <c r="J551" s="0"/>
      <c r="K551" s="0" t="s">
        <v>1811</v>
      </c>
      <c r="L551" s="0" t="s">
        <v>1813</v>
      </c>
    </row>
    <row r="552">
      <c r="A552" s="0" t="s">
        <v>51</v>
      </c>
      <c r="B552" s="0" t="s">
        <v>306</v>
      </c>
      <c r="C552" s="0" t="s">
        <v>496</v>
      </c>
      <c r="D552" s="0">
        <v>0.215</v>
      </c>
      <c r="E552" s="0"/>
      <c r="F552" s="0" t="s">
        <v>964</v>
      </c>
      <c r="G552" s="0"/>
      <c r="H552" s="0" t="s">
        <v>1493</v>
      </c>
      <c r="I552" s="0" t="s">
        <v>1791</v>
      </c>
      <c r="J552" s="0"/>
      <c r="K552" s="0" t="s">
        <v>1811</v>
      </c>
      <c r="L552" s="0" t="s">
        <v>1813</v>
      </c>
    </row>
    <row r="553">
      <c r="A553" s="0" t="s">
        <v>51</v>
      </c>
      <c r="B553" s="0" t="s">
        <v>306</v>
      </c>
      <c r="C553" s="0" t="s">
        <v>500</v>
      </c>
      <c r="D553" s="0">
        <v>0.27800000000000003</v>
      </c>
      <c r="E553" s="0"/>
      <c r="F553" s="0" t="s">
        <v>752</v>
      </c>
      <c r="G553" s="0"/>
      <c r="H553" s="0" t="s">
        <v>1494</v>
      </c>
      <c r="I553" s="0" t="s">
        <v>1791</v>
      </c>
      <c r="J553" s="0"/>
      <c r="K553" s="0" t="s">
        <v>1811</v>
      </c>
      <c r="L553" s="0" t="s">
        <v>1813</v>
      </c>
    </row>
    <row r="554">
      <c r="A554" s="0" t="s">
        <v>51</v>
      </c>
      <c r="B554" s="0" t="s">
        <v>306</v>
      </c>
      <c r="C554" s="0" t="s">
        <v>496</v>
      </c>
      <c r="D554" s="0">
        <v>0.089700000000000002</v>
      </c>
      <c r="E554" s="0"/>
      <c r="F554" s="0" t="s">
        <v>965</v>
      </c>
      <c r="G554" s="0"/>
      <c r="H554" s="0" t="s">
        <v>1495</v>
      </c>
      <c r="I554" s="0" t="s">
        <v>1791</v>
      </c>
      <c r="J554" s="0"/>
      <c r="K554" s="0" t="s">
        <v>1811</v>
      </c>
      <c r="L554" s="0" t="s">
        <v>1813</v>
      </c>
    </row>
    <row r="555">
      <c r="A555" s="0" t="s">
        <v>51</v>
      </c>
      <c r="B555" s="0" t="s">
        <v>306</v>
      </c>
      <c r="C555" s="0" t="s">
        <v>139</v>
      </c>
      <c r="D555" s="0">
        <v>0.156</v>
      </c>
      <c r="E555" s="0"/>
      <c r="F555" s="0" t="s">
        <v>966</v>
      </c>
      <c r="G555" s="0"/>
      <c r="H555" s="0" t="s">
        <v>1496</v>
      </c>
      <c r="I555" s="0" t="s">
        <v>1791</v>
      </c>
      <c r="J555" s="0"/>
      <c r="K555" s="0" t="s">
        <v>1811</v>
      </c>
      <c r="L555" s="0" t="s">
        <v>1813</v>
      </c>
    </row>
    <row r="556">
      <c r="A556" s="0" t="s">
        <v>51</v>
      </c>
      <c r="B556" s="0" t="s">
        <v>306</v>
      </c>
      <c r="C556" s="0" t="s">
        <v>501</v>
      </c>
      <c r="D556" s="0">
        <v>0.50700000000000001</v>
      </c>
      <c r="E556" s="0"/>
      <c r="F556" s="0" t="s">
        <v>967</v>
      </c>
      <c r="G556" s="0"/>
      <c r="H556" s="0" t="s">
        <v>1497</v>
      </c>
      <c r="I556" s="0" t="s">
        <v>1791</v>
      </c>
      <c r="J556" s="0"/>
      <c r="K556" s="0" t="s">
        <v>1811</v>
      </c>
      <c r="L556" s="0" t="s">
        <v>1813</v>
      </c>
    </row>
    <row r="557">
      <c r="A557" s="0" t="s">
        <v>51</v>
      </c>
      <c r="B557" s="0" t="s">
        <v>365</v>
      </c>
      <c r="C557" s="0" t="s">
        <v>139</v>
      </c>
      <c r="D557" s="0">
        <v>0.065000000000000002</v>
      </c>
      <c r="E557" s="0"/>
      <c r="F557" s="0" t="s">
        <v>968</v>
      </c>
      <c r="G557" s="0"/>
      <c r="H557" s="0"/>
      <c r="I557" s="0" t="s">
        <v>694</v>
      </c>
      <c r="J557" s="0"/>
      <c r="K557" s="0" t="s">
        <v>1811</v>
      </c>
      <c r="L557" s="0" t="s">
        <v>1813</v>
      </c>
    </row>
    <row r="558">
      <c r="A558" s="0" t="s">
        <v>51</v>
      </c>
      <c r="B558" s="0" t="s">
        <v>365</v>
      </c>
      <c r="C558" s="0" t="s">
        <v>496</v>
      </c>
      <c r="D558" s="0">
        <v>0.056000000000000001</v>
      </c>
      <c r="E558" s="0"/>
      <c r="F558" s="0" t="s">
        <v>933</v>
      </c>
      <c r="G558" s="0"/>
      <c r="H558" s="0"/>
      <c r="I558" s="0" t="s">
        <v>694</v>
      </c>
      <c r="J558" s="0"/>
      <c r="K558" s="0" t="s">
        <v>1811</v>
      </c>
      <c r="L558" s="0" t="s">
        <v>1813</v>
      </c>
    </row>
    <row r="559">
      <c r="A559" s="0" t="s">
        <v>51</v>
      </c>
      <c r="B559" s="0" t="s">
        <v>358</v>
      </c>
      <c r="C559" s="0" t="s">
        <v>139</v>
      </c>
      <c r="D559" s="0">
        <v>0.053999999999999999</v>
      </c>
      <c r="E559" s="0"/>
      <c r="F559" s="0" t="s">
        <v>778</v>
      </c>
      <c r="G559" s="0"/>
      <c r="H559" s="0" t="s">
        <v>1498</v>
      </c>
      <c r="I559" s="0" t="s">
        <v>1019</v>
      </c>
      <c r="J559" s="0"/>
      <c r="K559" s="0" t="s">
        <v>1811</v>
      </c>
      <c r="L559" s="0" t="s">
        <v>1813</v>
      </c>
    </row>
    <row r="560">
      <c r="A560" s="0" t="s">
        <v>51</v>
      </c>
      <c r="B560" s="0" t="s">
        <v>358</v>
      </c>
      <c r="C560" s="0" t="s">
        <v>496</v>
      </c>
      <c r="D560" s="0">
        <v>0.033099999999999998</v>
      </c>
      <c r="E560" s="0"/>
      <c r="F560" s="0" t="s">
        <v>969</v>
      </c>
      <c r="G560" s="0"/>
      <c r="H560" s="0" t="s">
        <v>1499</v>
      </c>
      <c r="I560" s="0" t="s">
        <v>827</v>
      </c>
      <c r="J560" s="0"/>
      <c r="K560" s="0" t="s">
        <v>1811</v>
      </c>
      <c r="L560" s="0" t="s">
        <v>1813</v>
      </c>
    </row>
    <row r="561">
      <c r="A561" s="0" t="s">
        <v>51</v>
      </c>
      <c r="B561" s="0" t="s">
        <v>358</v>
      </c>
      <c r="C561" s="0" t="s">
        <v>496</v>
      </c>
      <c r="D561" s="0">
        <v>0.035200000000000002</v>
      </c>
      <c r="E561" s="0"/>
      <c r="F561" s="0" t="s">
        <v>970</v>
      </c>
      <c r="G561" s="0"/>
      <c r="H561" s="0"/>
      <c r="I561" s="0" t="s">
        <v>1748</v>
      </c>
      <c r="J561" s="0"/>
      <c r="K561" s="0" t="s">
        <v>1811</v>
      </c>
      <c r="L561" s="0" t="s">
        <v>1813</v>
      </c>
    </row>
    <row r="562">
      <c r="A562" s="0" t="s">
        <v>51</v>
      </c>
      <c r="B562" s="0" t="s">
        <v>358</v>
      </c>
      <c r="C562" s="0" t="s">
        <v>498</v>
      </c>
      <c r="D562" s="0">
        <v>0.181</v>
      </c>
      <c r="E562" s="0"/>
      <c r="F562" s="0" t="s">
        <v>926</v>
      </c>
      <c r="G562" s="0"/>
      <c r="H562" s="0" t="s">
        <v>1500</v>
      </c>
      <c r="I562" s="0" t="s">
        <v>827</v>
      </c>
      <c r="J562" s="0"/>
      <c r="K562" s="0" t="s">
        <v>1811</v>
      </c>
      <c r="L562" s="0" t="s">
        <v>1813</v>
      </c>
    </row>
    <row r="563">
      <c r="A563" s="0" t="s">
        <v>51</v>
      </c>
      <c r="B563" s="0" t="s">
        <v>358</v>
      </c>
      <c r="C563" s="0" t="s">
        <v>501</v>
      </c>
      <c r="D563" s="0">
        <v>0.181</v>
      </c>
      <c r="E563" s="0"/>
      <c r="F563" s="0" t="s">
        <v>926</v>
      </c>
      <c r="G563" s="0"/>
      <c r="H563" s="0" t="s">
        <v>1501</v>
      </c>
      <c r="I563" s="0" t="s">
        <v>1019</v>
      </c>
      <c r="J563" s="0"/>
      <c r="K563" s="0" t="s">
        <v>1811</v>
      </c>
      <c r="L563" s="0" t="s">
        <v>1813</v>
      </c>
    </row>
    <row r="564">
      <c r="A564" s="0" t="s">
        <v>51</v>
      </c>
      <c r="B564" s="0" t="s">
        <v>358</v>
      </c>
      <c r="C564" s="0" t="s">
        <v>139</v>
      </c>
      <c r="D564" s="0">
        <v>0.079000000000000001</v>
      </c>
      <c r="E564" s="0"/>
      <c r="F564" s="0" t="s">
        <v>971</v>
      </c>
      <c r="G564" s="0"/>
      <c r="H564" s="0" t="s">
        <v>1502</v>
      </c>
      <c r="I564" s="0" t="s">
        <v>641</v>
      </c>
      <c r="J564" s="0"/>
      <c r="K564" s="0" t="s">
        <v>1811</v>
      </c>
      <c r="L564" s="0" t="s">
        <v>1813</v>
      </c>
    </row>
    <row r="565">
      <c r="A565" s="0" t="s">
        <v>51</v>
      </c>
      <c r="B565" s="0" t="s">
        <v>358</v>
      </c>
      <c r="C565" s="0" t="s">
        <v>501</v>
      </c>
      <c r="D565" s="0">
        <v>0.77300000000000002</v>
      </c>
      <c r="E565" s="0"/>
      <c r="F565" s="0" t="s">
        <v>972</v>
      </c>
      <c r="G565" s="0"/>
      <c r="H565" s="0" t="s">
        <v>1503</v>
      </c>
      <c r="I565" s="0" t="s">
        <v>1019</v>
      </c>
      <c r="J565" s="0"/>
      <c r="K565" s="0" t="s">
        <v>1811</v>
      </c>
      <c r="L565" s="0" t="s">
        <v>1813</v>
      </c>
    </row>
    <row r="566">
      <c r="A566" s="0" t="s">
        <v>51</v>
      </c>
      <c r="B566" s="0" t="s">
        <v>358</v>
      </c>
      <c r="C566" s="0" t="s">
        <v>496</v>
      </c>
      <c r="D566" s="0">
        <v>0.153</v>
      </c>
      <c r="E566" s="0"/>
      <c r="F566" s="0" t="s">
        <v>973</v>
      </c>
      <c r="G566" s="0"/>
      <c r="H566" s="0" t="s">
        <v>1502</v>
      </c>
      <c r="I566" s="0" t="s">
        <v>641</v>
      </c>
      <c r="J566" s="0"/>
      <c r="K566" s="0" t="s">
        <v>1811</v>
      </c>
      <c r="L566" s="0" t="s">
        <v>1813</v>
      </c>
    </row>
    <row r="567">
      <c r="A567" s="0" t="s">
        <v>51</v>
      </c>
      <c r="B567" s="0" t="s">
        <v>358</v>
      </c>
      <c r="C567" s="0" t="s">
        <v>499</v>
      </c>
      <c r="D567" s="0">
        <v>0.066100000000000006</v>
      </c>
      <c r="E567" s="0"/>
      <c r="F567" s="0" t="s">
        <v>974</v>
      </c>
      <c r="G567" s="0"/>
      <c r="H567" s="0"/>
      <c r="I567" s="0" t="s">
        <v>1748</v>
      </c>
      <c r="J567" s="0"/>
      <c r="K567" s="0" t="s">
        <v>1811</v>
      </c>
      <c r="L567" s="0" t="s">
        <v>1813</v>
      </c>
    </row>
    <row r="568">
      <c r="A568" s="0" t="s">
        <v>51</v>
      </c>
      <c r="B568" s="0" t="s">
        <v>358</v>
      </c>
      <c r="C568" s="0" t="s">
        <v>496</v>
      </c>
      <c r="D568" s="0">
        <v>0.0299</v>
      </c>
      <c r="E568" s="0"/>
      <c r="F568" s="0" t="s">
        <v>975</v>
      </c>
      <c r="G568" s="0"/>
      <c r="H568" s="0" t="s">
        <v>1504</v>
      </c>
      <c r="I568" s="0" t="s">
        <v>827</v>
      </c>
      <c r="J568" s="0"/>
      <c r="K568" s="0" t="s">
        <v>1811</v>
      </c>
      <c r="L568" s="0" t="s">
        <v>1813</v>
      </c>
    </row>
    <row r="569">
      <c r="A569" s="0" t="s">
        <v>51</v>
      </c>
      <c r="B569" s="0" t="s">
        <v>358</v>
      </c>
      <c r="C569" s="0" t="s">
        <v>497</v>
      </c>
      <c r="D569" s="0">
        <v>0.066799999999999998</v>
      </c>
      <c r="E569" s="0"/>
      <c r="F569" s="0" t="s">
        <v>976</v>
      </c>
      <c r="G569" s="0"/>
      <c r="H569" s="0" t="s">
        <v>1505</v>
      </c>
      <c r="I569" s="0" t="s">
        <v>827</v>
      </c>
      <c r="J569" s="0"/>
      <c r="K569" s="0" t="s">
        <v>1811</v>
      </c>
      <c r="L569" s="0" t="s">
        <v>1813</v>
      </c>
    </row>
    <row r="570">
      <c r="A570" s="0" t="s">
        <v>51</v>
      </c>
      <c r="B570" s="0" t="s">
        <v>358</v>
      </c>
      <c r="C570" s="0" t="s">
        <v>139</v>
      </c>
      <c r="D570" s="0">
        <v>7.9900000000000002</v>
      </c>
      <c r="E570" s="0"/>
      <c r="F570" s="0" t="s">
        <v>977</v>
      </c>
      <c r="G570" s="0"/>
      <c r="H570" s="0" t="s">
        <v>1506</v>
      </c>
      <c r="I570" s="0" t="s">
        <v>1019</v>
      </c>
      <c r="J570" s="0"/>
      <c r="K570" s="0" t="s">
        <v>1811</v>
      </c>
      <c r="L570" s="0" t="s">
        <v>1813</v>
      </c>
    </row>
    <row r="571">
      <c r="A571" s="0" t="s">
        <v>51</v>
      </c>
      <c r="B571" s="0" t="s">
        <v>358</v>
      </c>
      <c r="C571" s="0" t="s">
        <v>499</v>
      </c>
      <c r="D571" s="0">
        <v>0.054199999999999998</v>
      </c>
      <c r="E571" s="0"/>
      <c r="F571" s="0" t="s">
        <v>978</v>
      </c>
      <c r="G571" s="0"/>
      <c r="H571" s="0" t="s">
        <v>1505</v>
      </c>
      <c r="I571" s="0" t="s">
        <v>827</v>
      </c>
      <c r="J571" s="0"/>
      <c r="K571" s="0" t="s">
        <v>1811</v>
      </c>
      <c r="L571" s="0" t="s">
        <v>1813</v>
      </c>
    </row>
    <row r="572">
      <c r="A572" s="0" t="s">
        <v>51</v>
      </c>
      <c r="B572" s="0" t="s">
        <v>358</v>
      </c>
      <c r="C572" s="0" t="s">
        <v>501</v>
      </c>
      <c r="D572" s="0">
        <v>0.78600000000000003</v>
      </c>
      <c r="E572" s="0"/>
      <c r="F572" s="0" t="s">
        <v>979</v>
      </c>
      <c r="G572" s="0"/>
      <c r="H572" s="0" t="s">
        <v>1507</v>
      </c>
      <c r="I572" s="0" t="s">
        <v>1019</v>
      </c>
      <c r="J572" s="0"/>
      <c r="K572" s="0" t="s">
        <v>1811</v>
      </c>
      <c r="L572" s="0" t="s">
        <v>1813</v>
      </c>
    </row>
    <row r="573">
      <c r="A573" s="0" t="s">
        <v>51</v>
      </c>
      <c r="B573" s="0" t="s">
        <v>358</v>
      </c>
      <c r="C573" s="0" t="s">
        <v>139</v>
      </c>
      <c r="D573" s="0">
        <v>21.170000000000002</v>
      </c>
      <c r="E573" s="0"/>
      <c r="F573" s="0" t="s">
        <v>980</v>
      </c>
      <c r="G573" s="0"/>
      <c r="H573" s="0" t="s">
        <v>1508</v>
      </c>
      <c r="I573" s="0" t="s">
        <v>1019</v>
      </c>
      <c r="J573" s="0"/>
      <c r="K573" s="0" t="s">
        <v>1811</v>
      </c>
      <c r="L573" s="0" t="s">
        <v>1813</v>
      </c>
    </row>
    <row r="574">
      <c r="A574" s="0" t="s">
        <v>51</v>
      </c>
      <c r="B574" s="0" t="s">
        <v>306</v>
      </c>
      <c r="C574" s="0" t="s">
        <v>496</v>
      </c>
      <c r="D574" s="0">
        <v>0.308</v>
      </c>
      <c r="E574" s="0"/>
      <c r="F574" s="0" t="s">
        <v>981</v>
      </c>
      <c r="G574" s="0"/>
      <c r="H574" s="0" t="s">
        <v>1509</v>
      </c>
      <c r="I574" s="0" t="s">
        <v>1791</v>
      </c>
      <c r="J574" s="0"/>
      <c r="K574" s="0" t="s">
        <v>1811</v>
      </c>
      <c r="L574" s="0" t="s">
        <v>1813</v>
      </c>
    </row>
    <row r="575">
      <c r="A575" s="0" t="s">
        <v>51</v>
      </c>
      <c r="B575" s="0" t="s">
        <v>306</v>
      </c>
      <c r="C575" s="0" t="s">
        <v>501</v>
      </c>
      <c r="D575" s="0">
        <v>0.65300000000000002</v>
      </c>
      <c r="E575" s="0"/>
      <c r="F575" s="0" t="s">
        <v>982</v>
      </c>
      <c r="G575" s="0"/>
      <c r="H575" s="0" t="s">
        <v>1510</v>
      </c>
      <c r="I575" s="0" t="s">
        <v>1791</v>
      </c>
      <c r="J575" s="0"/>
      <c r="K575" s="0" t="s">
        <v>1811</v>
      </c>
      <c r="L575" s="0" t="s">
        <v>1813</v>
      </c>
    </row>
    <row r="576">
      <c r="A576" s="0" t="s">
        <v>51</v>
      </c>
      <c r="B576" s="0" t="s">
        <v>306</v>
      </c>
      <c r="C576" s="0" t="s">
        <v>139</v>
      </c>
      <c r="D576" s="0">
        <v>0.40799999999999997</v>
      </c>
      <c r="E576" s="0"/>
      <c r="F576" s="0" t="s">
        <v>983</v>
      </c>
      <c r="G576" s="0"/>
      <c r="H576" s="0" t="s">
        <v>1511</v>
      </c>
      <c r="I576" s="0" t="s">
        <v>1791</v>
      </c>
      <c r="J576" s="0"/>
      <c r="K576" s="0" t="s">
        <v>1811</v>
      </c>
      <c r="L576" s="0" t="s">
        <v>1813</v>
      </c>
    </row>
    <row r="577">
      <c r="A577" s="0" t="s">
        <v>51</v>
      </c>
      <c r="B577" s="0" t="s">
        <v>306</v>
      </c>
      <c r="C577" s="0" t="s">
        <v>496</v>
      </c>
      <c r="D577" s="0">
        <v>0.212</v>
      </c>
      <c r="E577" s="0"/>
      <c r="F577" s="0" t="s">
        <v>984</v>
      </c>
      <c r="G577" s="0"/>
      <c r="H577" s="0" t="s">
        <v>1512</v>
      </c>
      <c r="I577" s="0" t="s">
        <v>1791</v>
      </c>
      <c r="J577" s="0"/>
      <c r="K577" s="0" t="s">
        <v>1811</v>
      </c>
      <c r="L577" s="0" t="s">
        <v>1813</v>
      </c>
    </row>
    <row r="578">
      <c r="A578" s="0" t="s">
        <v>51</v>
      </c>
      <c r="B578" s="0" t="s">
        <v>306</v>
      </c>
      <c r="C578" s="0" t="s">
        <v>500</v>
      </c>
      <c r="D578" s="0">
        <v>0.57699999999999996</v>
      </c>
      <c r="E578" s="0"/>
      <c r="F578" s="0" t="s">
        <v>985</v>
      </c>
      <c r="G578" s="0"/>
      <c r="H578" s="0" t="s">
        <v>1513</v>
      </c>
      <c r="I578" s="0" t="s">
        <v>1791</v>
      </c>
      <c r="J578" s="0"/>
      <c r="K578" s="0" t="s">
        <v>1811</v>
      </c>
      <c r="L578" s="0" t="s">
        <v>1813</v>
      </c>
    </row>
    <row r="579">
      <c r="A579" s="0" t="s">
        <v>51</v>
      </c>
      <c r="B579" s="0" t="s">
        <v>366</v>
      </c>
      <c r="C579" s="0" t="s">
        <v>139</v>
      </c>
      <c r="D579" s="0">
        <v>0.10000000000000001</v>
      </c>
      <c r="E579" s="0"/>
      <c r="F579" s="0" t="s">
        <v>779</v>
      </c>
      <c r="G579" s="0"/>
      <c r="H579" s="0" t="s">
        <v>1514</v>
      </c>
      <c r="I579" s="0" t="s">
        <v>705</v>
      </c>
      <c r="J579" s="0"/>
      <c r="K579" s="0" t="s">
        <v>1811</v>
      </c>
      <c r="L579" s="0" t="s">
        <v>1813</v>
      </c>
    </row>
    <row r="580">
      <c r="A580" s="0" t="s">
        <v>51</v>
      </c>
      <c r="B580" s="0" t="s">
        <v>366</v>
      </c>
      <c r="C580" s="0" t="s">
        <v>496</v>
      </c>
      <c r="D580" s="0">
        <v>0.27000000000000002</v>
      </c>
      <c r="E580" s="0"/>
      <c r="F580" s="0" t="s">
        <v>650</v>
      </c>
      <c r="G580" s="0"/>
      <c r="H580" s="0" t="s">
        <v>1514</v>
      </c>
      <c r="I580" s="0" t="s">
        <v>705</v>
      </c>
      <c r="J580" s="0"/>
      <c r="K580" s="0" t="s">
        <v>1811</v>
      </c>
      <c r="L580" s="0" t="s">
        <v>1813</v>
      </c>
    </row>
    <row r="581">
      <c r="A581" s="0" t="s">
        <v>51</v>
      </c>
      <c r="B581" s="0" t="s">
        <v>367</v>
      </c>
      <c r="C581" s="0" t="s">
        <v>139</v>
      </c>
      <c r="D581" s="0">
        <v>0.20999999999999999</v>
      </c>
      <c r="E581" s="0"/>
      <c r="F581" s="0" t="s">
        <v>713</v>
      </c>
      <c r="G581" s="0"/>
      <c r="H581" s="0" t="s">
        <v>1515</v>
      </c>
      <c r="I581" s="0" t="s">
        <v>705</v>
      </c>
      <c r="J581" s="0"/>
      <c r="K581" s="0" t="s">
        <v>1811</v>
      </c>
      <c r="L581" s="0" t="s">
        <v>1813</v>
      </c>
    </row>
    <row r="582">
      <c r="A582" s="0" t="s">
        <v>51</v>
      </c>
      <c r="B582" s="0" t="s">
        <v>367</v>
      </c>
      <c r="C582" s="0" t="s">
        <v>496</v>
      </c>
      <c r="D582" s="0">
        <v>0.23000000000000001</v>
      </c>
      <c r="E582" s="0"/>
      <c r="F582" s="0" t="s">
        <v>695</v>
      </c>
      <c r="G582" s="0"/>
      <c r="H582" s="0" t="s">
        <v>1515</v>
      </c>
      <c r="I582" s="0" t="s">
        <v>705</v>
      </c>
      <c r="J582" s="0"/>
      <c r="K582" s="0" t="s">
        <v>1811</v>
      </c>
      <c r="L582" s="0" t="s">
        <v>1813</v>
      </c>
    </row>
    <row r="583">
      <c r="A583" s="0" t="s">
        <v>51</v>
      </c>
      <c r="B583" s="0" t="s">
        <v>306</v>
      </c>
      <c r="C583" s="0" t="s">
        <v>496</v>
      </c>
      <c r="D583" s="0">
        <v>0.092999999999999999</v>
      </c>
      <c r="E583" s="0"/>
      <c r="F583" s="0" t="s">
        <v>986</v>
      </c>
      <c r="G583" s="0"/>
      <c r="H583" s="0" t="s">
        <v>1516</v>
      </c>
      <c r="I583" s="0" t="s">
        <v>1791</v>
      </c>
      <c r="J583" s="0"/>
      <c r="K583" s="0" t="s">
        <v>1811</v>
      </c>
      <c r="L583" s="0" t="s">
        <v>1813</v>
      </c>
    </row>
    <row r="584">
      <c r="A584" s="0" t="s">
        <v>51</v>
      </c>
      <c r="B584" s="0" t="s">
        <v>306</v>
      </c>
      <c r="C584" s="0" t="s">
        <v>501</v>
      </c>
      <c r="D584" s="0">
        <v>0.249</v>
      </c>
      <c r="E584" s="0"/>
      <c r="F584" s="0" t="s">
        <v>987</v>
      </c>
      <c r="G584" s="0"/>
      <c r="H584" s="0" t="s">
        <v>1517</v>
      </c>
      <c r="I584" s="0" t="s">
        <v>1791</v>
      </c>
      <c r="J584" s="0"/>
      <c r="K584" s="0" t="s">
        <v>1811</v>
      </c>
      <c r="L584" s="0" t="s">
        <v>1813</v>
      </c>
    </row>
    <row r="585">
      <c r="A585" s="0" t="s">
        <v>51</v>
      </c>
      <c r="B585" s="0" t="s">
        <v>306</v>
      </c>
      <c r="C585" s="0" t="s">
        <v>496</v>
      </c>
      <c r="D585" s="0">
        <v>0.069000000000000006</v>
      </c>
      <c r="E585" s="0"/>
      <c r="F585" s="0" t="s">
        <v>988</v>
      </c>
      <c r="G585" s="0"/>
      <c r="H585" s="0" t="s">
        <v>1518</v>
      </c>
      <c r="I585" s="0" t="s">
        <v>1791</v>
      </c>
      <c r="J585" s="0"/>
      <c r="K585" s="0" t="s">
        <v>1811</v>
      </c>
      <c r="L585" s="0" t="s">
        <v>1813</v>
      </c>
    </row>
    <row r="586">
      <c r="A586" s="0" t="s">
        <v>51</v>
      </c>
      <c r="B586" s="0" t="s">
        <v>306</v>
      </c>
      <c r="C586" s="0" t="s">
        <v>139</v>
      </c>
      <c r="D586" s="0">
        <v>0.28399999999999997</v>
      </c>
      <c r="E586" s="0"/>
      <c r="F586" s="0" t="s">
        <v>989</v>
      </c>
      <c r="G586" s="0"/>
      <c r="H586" s="0" t="s">
        <v>1519</v>
      </c>
      <c r="I586" s="0" t="s">
        <v>1791</v>
      </c>
      <c r="J586" s="0"/>
      <c r="K586" s="0" t="s">
        <v>1811</v>
      </c>
      <c r="L586" s="0" t="s">
        <v>1813</v>
      </c>
    </row>
    <row r="587">
      <c r="A587" s="0" t="s">
        <v>51</v>
      </c>
      <c r="B587" s="0" t="s">
        <v>306</v>
      </c>
      <c r="C587" s="0" t="s">
        <v>500</v>
      </c>
      <c r="D587" s="0">
        <v>0.20100000000000001</v>
      </c>
      <c r="E587" s="0"/>
      <c r="F587" s="0" t="s">
        <v>990</v>
      </c>
      <c r="G587" s="0"/>
      <c r="H587" s="0" t="s">
        <v>1520</v>
      </c>
      <c r="I587" s="0" t="s">
        <v>1791</v>
      </c>
      <c r="J587" s="0"/>
      <c r="K587" s="0" t="s">
        <v>1811</v>
      </c>
      <c r="L587" s="0" t="s">
        <v>1813</v>
      </c>
    </row>
    <row r="588">
      <c r="A588" s="0" t="s">
        <v>51</v>
      </c>
      <c r="B588" s="0" t="s">
        <v>368</v>
      </c>
      <c r="C588" s="0" t="s">
        <v>499</v>
      </c>
      <c r="D588" s="0">
        <v>0.021700000000000001</v>
      </c>
      <c r="E588" s="0"/>
      <c r="F588" s="0" t="s">
        <v>991</v>
      </c>
      <c r="G588" s="0"/>
      <c r="H588" s="0" t="s">
        <v>1521</v>
      </c>
      <c r="I588" s="0" t="s">
        <v>642</v>
      </c>
      <c r="J588" s="0"/>
      <c r="K588" s="0" t="s">
        <v>1811</v>
      </c>
      <c r="L588" s="0" t="s">
        <v>1813</v>
      </c>
    </row>
    <row r="589">
      <c r="A589" s="0" t="s">
        <v>51</v>
      </c>
      <c r="B589" s="0" t="s">
        <v>368</v>
      </c>
      <c r="C589" s="0" t="s">
        <v>139</v>
      </c>
      <c r="D589" s="0">
        <v>0.021700000000000001</v>
      </c>
      <c r="E589" s="0"/>
      <c r="F589" s="0" t="s">
        <v>991</v>
      </c>
      <c r="G589" s="0"/>
      <c r="H589" s="0" t="s">
        <v>1522</v>
      </c>
      <c r="I589" s="0" t="s">
        <v>642</v>
      </c>
      <c r="J589" s="0"/>
      <c r="K589" s="0" t="s">
        <v>1811</v>
      </c>
      <c r="L589" s="0" t="s">
        <v>1813</v>
      </c>
    </row>
    <row r="590">
      <c r="A590" s="0" t="s">
        <v>51</v>
      </c>
      <c r="B590" s="0" t="s">
        <v>368</v>
      </c>
      <c r="C590" s="0" t="s">
        <v>496</v>
      </c>
      <c r="D590" s="0">
        <v>0.063899999999999999</v>
      </c>
      <c r="E590" s="0"/>
      <c r="F590" s="0" t="s">
        <v>992</v>
      </c>
      <c r="G590" s="0"/>
      <c r="H590" s="0" t="s">
        <v>1523</v>
      </c>
      <c r="I590" s="0" t="s">
        <v>642</v>
      </c>
      <c r="J590" s="0"/>
      <c r="K590" s="0" t="s">
        <v>1811</v>
      </c>
      <c r="L590" s="0" t="s">
        <v>1813</v>
      </c>
    </row>
    <row r="591">
      <c r="A591" s="0" t="s">
        <v>51</v>
      </c>
      <c r="B591" s="0" t="s">
        <v>369</v>
      </c>
      <c r="C591" s="0" t="s">
        <v>496</v>
      </c>
      <c r="D591" s="0">
        <v>0.106</v>
      </c>
      <c r="E591" s="0"/>
      <c r="F591" s="0" t="s">
        <v>961</v>
      </c>
      <c r="G591" s="0"/>
      <c r="H591" s="0" t="s">
        <v>1524</v>
      </c>
      <c r="I591" s="0" t="s">
        <v>642</v>
      </c>
      <c r="J591" s="0"/>
      <c r="K591" s="0" t="s">
        <v>1811</v>
      </c>
      <c r="L591" s="0" t="s">
        <v>1813</v>
      </c>
    </row>
    <row r="592">
      <c r="A592" s="0" t="s">
        <v>51</v>
      </c>
      <c r="B592" s="0" t="s">
        <v>369</v>
      </c>
      <c r="C592" s="0" t="s">
        <v>499</v>
      </c>
      <c r="D592" s="0">
        <v>0.0292</v>
      </c>
      <c r="E592" s="0"/>
      <c r="F592" s="0" t="s">
        <v>993</v>
      </c>
      <c r="G592" s="0"/>
      <c r="H592" s="0" t="s">
        <v>1525</v>
      </c>
      <c r="I592" s="0" t="s">
        <v>642</v>
      </c>
      <c r="J592" s="0"/>
      <c r="K592" s="0" t="s">
        <v>1811</v>
      </c>
      <c r="L592" s="0" t="s">
        <v>1813</v>
      </c>
    </row>
    <row r="593">
      <c r="A593" s="0" t="s">
        <v>51</v>
      </c>
      <c r="B593" s="0" t="s">
        <v>369</v>
      </c>
      <c r="C593" s="0" t="s">
        <v>139</v>
      </c>
      <c r="D593" s="0">
        <v>0.0292</v>
      </c>
      <c r="E593" s="0"/>
      <c r="F593" s="0" t="s">
        <v>993</v>
      </c>
      <c r="G593" s="0"/>
      <c r="H593" s="0" t="s">
        <v>1526</v>
      </c>
      <c r="I593" s="0" t="s">
        <v>642</v>
      </c>
      <c r="J593" s="0"/>
      <c r="K593" s="0" t="s">
        <v>1811</v>
      </c>
      <c r="L593" s="0" t="s">
        <v>1813</v>
      </c>
    </row>
    <row r="594">
      <c r="A594" s="0" t="s">
        <v>51</v>
      </c>
      <c r="B594" s="0" t="s">
        <v>370</v>
      </c>
      <c r="C594" s="0" t="s">
        <v>139</v>
      </c>
      <c r="D594" s="0">
        <v>0.062</v>
      </c>
      <c r="E594" s="0"/>
      <c r="F594" s="0" t="s">
        <v>994</v>
      </c>
      <c r="G594" s="0"/>
      <c r="H594" s="0" t="s">
        <v>1527</v>
      </c>
      <c r="I594" s="0" t="s">
        <v>1741</v>
      </c>
      <c r="J594" s="0"/>
      <c r="K594" s="0" t="s">
        <v>1811</v>
      </c>
      <c r="L594" s="0" t="s">
        <v>1813</v>
      </c>
    </row>
    <row r="595">
      <c r="A595" s="0" t="s">
        <v>51</v>
      </c>
      <c r="B595" s="0" t="s">
        <v>370</v>
      </c>
      <c r="C595" s="0" t="s">
        <v>139</v>
      </c>
      <c r="D595" s="0">
        <v>0.094</v>
      </c>
      <c r="E595" s="0"/>
      <c r="F595" s="0" t="s">
        <v>995</v>
      </c>
      <c r="G595" s="0"/>
      <c r="H595" s="0" t="s">
        <v>1528</v>
      </c>
      <c r="I595" s="0" t="s">
        <v>1741</v>
      </c>
      <c r="J595" s="0"/>
      <c r="K595" s="0" t="s">
        <v>1811</v>
      </c>
      <c r="L595" s="0" t="s">
        <v>1813</v>
      </c>
    </row>
    <row r="596">
      <c r="A596" s="0" t="s">
        <v>51</v>
      </c>
      <c r="B596" s="0" t="s">
        <v>370</v>
      </c>
      <c r="C596" s="0" t="s">
        <v>139</v>
      </c>
      <c r="D596" s="0">
        <v>0.13300000000000001</v>
      </c>
      <c r="E596" s="0"/>
      <c r="F596" s="0" t="s">
        <v>996</v>
      </c>
      <c r="G596" s="0"/>
      <c r="H596" s="0" t="s">
        <v>1529</v>
      </c>
      <c r="I596" s="0" t="s">
        <v>1741</v>
      </c>
      <c r="J596" s="0"/>
      <c r="K596" s="0" t="s">
        <v>1811</v>
      </c>
      <c r="L596" s="0" t="s">
        <v>1813</v>
      </c>
    </row>
    <row r="597">
      <c r="A597" s="0" t="s">
        <v>51</v>
      </c>
      <c r="B597" s="0" t="s">
        <v>370</v>
      </c>
      <c r="C597" s="0" t="s">
        <v>139</v>
      </c>
      <c r="D597" s="0">
        <v>0.14799999999999999</v>
      </c>
      <c r="E597" s="0"/>
      <c r="F597" s="0" t="s">
        <v>997</v>
      </c>
      <c r="G597" s="0"/>
      <c r="H597" s="0" t="s">
        <v>1530</v>
      </c>
      <c r="I597" s="0" t="s">
        <v>1741</v>
      </c>
      <c r="J597" s="0"/>
      <c r="K597" s="0" t="s">
        <v>1811</v>
      </c>
      <c r="L597" s="0" t="s">
        <v>1813</v>
      </c>
    </row>
    <row r="598">
      <c r="A598" s="0" t="s">
        <v>51</v>
      </c>
      <c r="B598" s="0" t="s">
        <v>370</v>
      </c>
      <c r="C598" s="0" t="s">
        <v>139</v>
      </c>
      <c r="D598" s="0">
        <v>0.315</v>
      </c>
      <c r="E598" s="0"/>
      <c r="F598" s="0" t="s">
        <v>998</v>
      </c>
      <c r="G598" s="0"/>
      <c r="H598" s="0" t="s">
        <v>1531</v>
      </c>
      <c r="I598" s="0" t="s">
        <v>1741</v>
      </c>
      <c r="J598" s="0"/>
      <c r="K598" s="0" t="s">
        <v>1811</v>
      </c>
      <c r="L598" s="0" t="s">
        <v>1813</v>
      </c>
    </row>
    <row r="599">
      <c r="A599" s="0" t="s">
        <v>51</v>
      </c>
      <c r="B599" s="0" t="s">
        <v>370</v>
      </c>
      <c r="C599" s="0" t="s">
        <v>139</v>
      </c>
      <c r="D599" s="0">
        <v>0.5</v>
      </c>
      <c r="E599" s="0"/>
      <c r="F599" s="0" t="s">
        <v>632</v>
      </c>
      <c r="G599" s="0"/>
      <c r="H599" s="0" t="s">
        <v>1532</v>
      </c>
      <c r="I599" s="0" t="s">
        <v>1741</v>
      </c>
      <c r="J599" s="0"/>
      <c r="K599" s="0" t="s">
        <v>1811</v>
      </c>
      <c r="L599" s="0" t="s">
        <v>1813</v>
      </c>
    </row>
    <row r="600">
      <c r="A600" s="0" t="s">
        <v>51</v>
      </c>
      <c r="B600" s="0" t="s">
        <v>370</v>
      </c>
      <c r="C600" s="0" t="s">
        <v>139</v>
      </c>
      <c r="D600" s="0">
        <v>0.623</v>
      </c>
      <c r="E600" s="0"/>
      <c r="F600" s="0" t="s">
        <v>634</v>
      </c>
      <c r="G600" s="0"/>
      <c r="H600" s="0" t="s">
        <v>1533</v>
      </c>
      <c r="I600" s="0" t="s">
        <v>1741</v>
      </c>
      <c r="J600" s="0"/>
      <c r="K600" s="0" t="s">
        <v>1811</v>
      </c>
      <c r="L600" s="0" t="s">
        <v>1813</v>
      </c>
    </row>
    <row r="601">
      <c r="A601" s="0" t="s">
        <v>51</v>
      </c>
      <c r="B601" s="0" t="s">
        <v>364</v>
      </c>
      <c r="C601" s="0" t="s">
        <v>496</v>
      </c>
      <c r="D601" s="0">
        <v>0.018339999999999999</v>
      </c>
      <c r="E601" s="0"/>
      <c r="F601" s="0" t="s">
        <v>999</v>
      </c>
      <c r="G601" s="0"/>
      <c r="H601" s="0" t="s">
        <v>1534</v>
      </c>
      <c r="I601" s="0" t="s">
        <v>1759</v>
      </c>
      <c r="J601" s="0"/>
      <c r="K601" s="0" t="s">
        <v>1811</v>
      </c>
      <c r="L601" s="0" t="s">
        <v>1813</v>
      </c>
    </row>
    <row r="602">
      <c r="A602" s="0" t="s">
        <v>51</v>
      </c>
      <c r="B602" s="0" t="s">
        <v>364</v>
      </c>
      <c r="C602" s="0" t="s">
        <v>139</v>
      </c>
      <c r="D602" s="0">
        <v>0.073370000000000005</v>
      </c>
      <c r="E602" s="0"/>
      <c r="F602" s="0" t="s">
        <v>1000</v>
      </c>
      <c r="G602" s="0"/>
      <c r="H602" s="0" t="s">
        <v>1534</v>
      </c>
      <c r="I602" s="0" t="s">
        <v>1759</v>
      </c>
      <c r="J602" s="0"/>
      <c r="K602" s="0" t="s">
        <v>1811</v>
      </c>
      <c r="L602" s="0" t="s">
        <v>1813</v>
      </c>
    </row>
    <row r="603">
      <c r="A603" s="0" t="s">
        <v>51</v>
      </c>
      <c r="B603" s="0" t="s">
        <v>371</v>
      </c>
      <c r="C603" s="0" t="s">
        <v>139</v>
      </c>
      <c r="D603" s="0">
        <v>1.079</v>
      </c>
      <c r="E603" s="0"/>
      <c r="F603" s="0" t="s">
        <v>1001</v>
      </c>
      <c r="G603" s="0"/>
      <c r="H603" s="0" t="s">
        <v>1535</v>
      </c>
      <c r="I603" s="0" t="s">
        <v>1759</v>
      </c>
      <c r="J603" s="0"/>
      <c r="K603" s="0" t="s">
        <v>1811</v>
      </c>
      <c r="L603" s="0" t="s">
        <v>1813</v>
      </c>
    </row>
    <row r="604">
      <c r="A604" s="0" t="s">
        <v>51</v>
      </c>
      <c r="B604" s="0" t="s">
        <v>371</v>
      </c>
      <c r="C604" s="0" t="s">
        <v>496</v>
      </c>
      <c r="D604" s="0">
        <v>0.02733</v>
      </c>
      <c r="E604" s="0"/>
      <c r="F604" s="0" t="s">
        <v>1002</v>
      </c>
      <c r="G604" s="0"/>
      <c r="H604" s="0" t="s">
        <v>1535</v>
      </c>
      <c r="I604" s="0" t="s">
        <v>1759</v>
      </c>
      <c r="J604" s="0"/>
      <c r="K604" s="0" t="s">
        <v>1811</v>
      </c>
      <c r="L604" s="0" t="s">
        <v>1813</v>
      </c>
    </row>
    <row r="605">
      <c r="A605" s="0" t="s">
        <v>51</v>
      </c>
      <c r="B605" s="0" t="s">
        <v>372</v>
      </c>
      <c r="C605" s="0" t="s">
        <v>139</v>
      </c>
      <c r="D605" s="0">
        <v>0.308</v>
      </c>
      <c r="E605" s="0"/>
      <c r="F605" s="0" t="s">
        <v>981</v>
      </c>
      <c r="G605" s="0"/>
      <c r="H605" s="0" t="s">
        <v>1536</v>
      </c>
      <c r="I605" s="0" t="s">
        <v>1759</v>
      </c>
      <c r="J605" s="0"/>
      <c r="K605" s="0" t="s">
        <v>1811</v>
      </c>
      <c r="L605" s="0" t="s">
        <v>1813</v>
      </c>
    </row>
    <row r="606">
      <c r="A606" s="0" t="s">
        <v>51</v>
      </c>
      <c r="B606" s="0" t="s">
        <v>372</v>
      </c>
      <c r="C606" s="0" t="s">
        <v>496</v>
      </c>
      <c r="D606" s="0">
        <v>0.035020000000000003</v>
      </c>
      <c r="E606" s="0"/>
      <c r="F606" s="0" t="s">
        <v>1003</v>
      </c>
      <c r="G606" s="0"/>
      <c r="H606" s="0" t="s">
        <v>1536</v>
      </c>
      <c r="I606" s="0" t="s">
        <v>1759</v>
      </c>
      <c r="J606" s="0"/>
      <c r="K606" s="0" t="s">
        <v>1811</v>
      </c>
      <c r="L606" s="0" t="s">
        <v>1813</v>
      </c>
    </row>
    <row r="607">
      <c r="A607" s="0" t="s">
        <v>51</v>
      </c>
      <c r="B607" s="0" t="s">
        <v>373</v>
      </c>
      <c r="C607" s="0" t="s">
        <v>496</v>
      </c>
      <c r="D607" s="0">
        <v>0.04895</v>
      </c>
      <c r="E607" s="0"/>
      <c r="F607" s="0" t="s">
        <v>1004</v>
      </c>
      <c r="G607" s="0"/>
      <c r="H607" s="0" t="s">
        <v>1537</v>
      </c>
      <c r="I607" s="0" t="s">
        <v>1759</v>
      </c>
      <c r="J607" s="0"/>
      <c r="K607" s="0" t="s">
        <v>1811</v>
      </c>
      <c r="L607" s="0" t="s">
        <v>1813</v>
      </c>
    </row>
    <row r="608">
      <c r="A608" s="0" t="s">
        <v>51</v>
      </c>
      <c r="B608" s="0" t="s">
        <v>373</v>
      </c>
      <c r="C608" s="0" t="s">
        <v>139</v>
      </c>
      <c r="D608" s="0">
        <v>0.08097</v>
      </c>
      <c r="E608" s="0"/>
      <c r="F608" s="0" t="s">
        <v>1005</v>
      </c>
      <c r="G608" s="0"/>
      <c r="H608" s="0" t="s">
        <v>1537</v>
      </c>
      <c r="I608" s="0" t="s">
        <v>1759</v>
      </c>
      <c r="J608" s="0"/>
      <c r="K608" s="0" t="s">
        <v>1811</v>
      </c>
      <c r="L608" s="0" t="s">
        <v>1813</v>
      </c>
    </row>
    <row r="609">
      <c r="A609" s="0" t="s">
        <v>51</v>
      </c>
      <c r="B609" s="0" t="s">
        <v>374</v>
      </c>
      <c r="C609" s="0" t="s">
        <v>139</v>
      </c>
      <c r="D609" s="0">
        <v>0.085000000000000006</v>
      </c>
      <c r="E609" s="0"/>
      <c r="F609" s="0" t="s">
        <v>936</v>
      </c>
      <c r="G609" s="0"/>
      <c r="H609" s="0" t="s">
        <v>1538</v>
      </c>
      <c r="I609" s="0" t="s">
        <v>1759</v>
      </c>
      <c r="J609" s="0"/>
      <c r="K609" s="0" t="s">
        <v>1811</v>
      </c>
      <c r="L609" s="0" t="s">
        <v>1813</v>
      </c>
    </row>
    <row r="610">
      <c r="A610" s="0" t="s">
        <v>51</v>
      </c>
      <c r="B610" s="0" t="s">
        <v>374</v>
      </c>
      <c r="C610" s="0" t="s">
        <v>496</v>
      </c>
      <c r="D610" s="0">
        <v>0.020310000000000002</v>
      </c>
      <c r="E610" s="0"/>
      <c r="F610" s="0" t="s">
        <v>1006</v>
      </c>
      <c r="G610" s="0"/>
      <c r="H610" s="0" t="s">
        <v>1538</v>
      </c>
      <c r="I610" s="0" t="s">
        <v>1759</v>
      </c>
      <c r="J610" s="0"/>
      <c r="K610" s="0" t="s">
        <v>1811</v>
      </c>
      <c r="L610" s="0" t="s">
        <v>1813</v>
      </c>
    </row>
    <row r="611">
      <c r="A611" s="0" t="s">
        <v>51</v>
      </c>
      <c r="B611" s="0" t="s">
        <v>306</v>
      </c>
      <c r="C611" s="0" t="s">
        <v>501</v>
      </c>
      <c r="D611" s="0">
        <v>0.029999999999999999</v>
      </c>
      <c r="E611" s="0"/>
      <c r="F611" s="0" t="s">
        <v>579</v>
      </c>
      <c r="G611" s="0"/>
      <c r="H611" s="0" t="s">
        <v>1539</v>
      </c>
      <c r="I611" s="0" t="s">
        <v>1765</v>
      </c>
      <c r="J611" s="0"/>
      <c r="K611" s="0" t="s">
        <v>1811</v>
      </c>
      <c r="L611" s="0" t="s">
        <v>1813</v>
      </c>
    </row>
    <row r="612">
      <c r="A612" s="0" t="s">
        <v>51</v>
      </c>
      <c r="B612" s="0" t="s">
        <v>306</v>
      </c>
      <c r="C612" s="0" t="s">
        <v>500</v>
      </c>
      <c r="D612" s="0">
        <v>0.16</v>
      </c>
      <c r="E612" s="0"/>
      <c r="F612" s="0" t="s">
        <v>1007</v>
      </c>
      <c r="G612" s="0"/>
      <c r="H612" s="0" t="s">
        <v>1540</v>
      </c>
      <c r="I612" s="0" t="s">
        <v>1765</v>
      </c>
      <c r="J612" s="0"/>
      <c r="K612" s="0" t="s">
        <v>1811</v>
      </c>
      <c r="L612" s="0" t="s">
        <v>1813</v>
      </c>
    </row>
    <row r="613">
      <c r="A613" s="0" t="s">
        <v>51</v>
      </c>
      <c r="B613" s="0" t="s">
        <v>294</v>
      </c>
      <c r="C613" s="0" t="s">
        <v>496</v>
      </c>
      <c r="D613" s="0">
        <v>0.01366</v>
      </c>
      <c r="E613" s="0"/>
      <c r="F613" s="0" t="s">
        <v>1008</v>
      </c>
      <c r="G613" s="0"/>
      <c r="H613" s="0" t="s">
        <v>1541</v>
      </c>
      <c r="I613" s="0" t="s">
        <v>1759</v>
      </c>
      <c r="J613" s="0"/>
      <c r="K613" s="0" t="s">
        <v>1811</v>
      </c>
      <c r="L613" s="0" t="s">
        <v>1813</v>
      </c>
    </row>
    <row r="614">
      <c r="A614" s="0" t="s">
        <v>51</v>
      </c>
      <c r="B614" s="0" t="s">
        <v>294</v>
      </c>
      <c r="C614" s="0" t="s">
        <v>139</v>
      </c>
      <c r="D614" s="0">
        <v>0.099930000000000005</v>
      </c>
      <c r="E614" s="0"/>
      <c r="F614" s="0" t="s">
        <v>1009</v>
      </c>
      <c r="G614" s="0"/>
      <c r="H614" s="0" t="s">
        <v>1541</v>
      </c>
      <c r="I614" s="0" t="s">
        <v>1759</v>
      </c>
      <c r="J614" s="0"/>
      <c r="K614" s="0" t="s">
        <v>1811</v>
      </c>
      <c r="L614" s="0" t="s">
        <v>1813</v>
      </c>
    </row>
    <row r="615">
      <c r="A615" s="0" t="s">
        <v>51</v>
      </c>
      <c r="B615" s="0" t="s">
        <v>294</v>
      </c>
      <c r="C615" s="0" t="s">
        <v>418</v>
      </c>
      <c r="D615" s="0">
        <v>-999</v>
      </c>
      <c r="E615" s="0"/>
      <c r="F615" s="0" t="s">
        <v>673</v>
      </c>
      <c r="G615" s="0"/>
      <c r="H615" s="0" t="s">
        <v>1542</v>
      </c>
      <c r="I615" s="0" t="s">
        <v>1748</v>
      </c>
      <c r="J615" s="0"/>
      <c r="K615" s="0" t="s">
        <v>1811</v>
      </c>
      <c r="L615" s="0" t="s">
        <v>1813</v>
      </c>
    </row>
    <row r="616">
      <c r="A616" s="0" t="s">
        <v>52</v>
      </c>
      <c r="B616" s="0" t="s">
        <v>358</v>
      </c>
      <c r="C616" s="0" t="s">
        <v>139</v>
      </c>
      <c r="D616" s="0">
        <v>0.373</v>
      </c>
      <c r="E616" s="0"/>
      <c r="F616" s="0" t="s">
        <v>1010</v>
      </c>
      <c r="G616" s="0"/>
      <c r="H616" s="0" t="s">
        <v>1543</v>
      </c>
      <c r="I616" s="0" t="s">
        <v>819</v>
      </c>
      <c r="J616" s="0"/>
      <c r="K616" s="0" t="s">
        <v>1811</v>
      </c>
      <c r="L616" s="0" t="s">
        <v>1813</v>
      </c>
    </row>
    <row r="617">
      <c r="A617" s="0" t="s">
        <v>52</v>
      </c>
      <c r="B617" s="0" t="s">
        <v>358</v>
      </c>
      <c r="C617" s="0" t="s">
        <v>502</v>
      </c>
      <c r="D617" s="0">
        <v>0.46500000000000002</v>
      </c>
      <c r="E617" s="0"/>
      <c r="F617" s="0" t="s">
        <v>1011</v>
      </c>
      <c r="G617" s="0"/>
      <c r="H617" s="0" t="s">
        <v>1544</v>
      </c>
      <c r="I617" s="0" t="s">
        <v>819</v>
      </c>
      <c r="J617" s="0"/>
      <c r="K617" s="0" t="s">
        <v>1811</v>
      </c>
      <c r="L617" s="0" t="s">
        <v>1813</v>
      </c>
    </row>
    <row r="618">
      <c r="A618" s="0" t="s">
        <v>52</v>
      </c>
      <c r="B618" s="0" t="s">
        <v>358</v>
      </c>
      <c r="C618" s="0" t="s">
        <v>139</v>
      </c>
      <c r="D618" s="0">
        <v>0.56499999999999995</v>
      </c>
      <c r="E618" s="0"/>
      <c r="F618" s="0" t="s">
        <v>1012</v>
      </c>
      <c r="G618" s="0"/>
      <c r="H618" s="0" t="s">
        <v>1545</v>
      </c>
      <c r="I618" s="0" t="s">
        <v>819</v>
      </c>
      <c r="J618" s="0"/>
      <c r="K618" s="0" t="s">
        <v>1811</v>
      </c>
      <c r="L618" s="0" t="s">
        <v>1813</v>
      </c>
    </row>
    <row r="619">
      <c r="A619" s="0" t="s">
        <v>52</v>
      </c>
      <c r="B619" s="0" t="s">
        <v>358</v>
      </c>
      <c r="C619" s="0" t="s">
        <v>502</v>
      </c>
      <c r="D619" s="0">
        <v>0.374</v>
      </c>
      <c r="E619" s="0"/>
      <c r="F619" s="0" t="s">
        <v>1013</v>
      </c>
      <c r="G619" s="0"/>
      <c r="H619" s="0" t="s">
        <v>1546</v>
      </c>
      <c r="I619" s="0" t="s">
        <v>819</v>
      </c>
      <c r="J619" s="0"/>
      <c r="K619" s="0" t="s">
        <v>1811</v>
      </c>
      <c r="L619" s="0" t="s">
        <v>1813</v>
      </c>
    </row>
    <row r="620">
      <c r="A620" s="0" t="s">
        <v>52</v>
      </c>
      <c r="B620" s="0" t="s">
        <v>358</v>
      </c>
      <c r="C620" s="0" t="s">
        <v>139</v>
      </c>
      <c r="D620" s="0">
        <v>0.45200000000000001</v>
      </c>
      <c r="E620" s="0"/>
      <c r="F620" s="0" t="s">
        <v>1014</v>
      </c>
      <c r="G620" s="0"/>
      <c r="H620" s="0" t="s">
        <v>1547</v>
      </c>
      <c r="I620" s="0" t="s">
        <v>819</v>
      </c>
      <c r="J620" s="0"/>
      <c r="K620" s="0" t="s">
        <v>1811</v>
      </c>
      <c r="L620" s="0" t="s">
        <v>1813</v>
      </c>
    </row>
    <row r="621">
      <c r="A621" s="0" t="s">
        <v>52</v>
      </c>
      <c r="B621" s="0" t="s">
        <v>147</v>
      </c>
      <c r="C621" s="0" t="s">
        <v>502</v>
      </c>
      <c r="D621" s="0">
        <v>0.111</v>
      </c>
      <c r="E621" s="0"/>
      <c r="F621" s="0" t="s">
        <v>1015</v>
      </c>
      <c r="G621" s="0"/>
      <c r="H621" s="0" t="s">
        <v>1548</v>
      </c>
      <c r="I621" s="0" t="s">
        <v>1729</v>
      </c>
      <c r="J621" s="0"/>
      <c r="K621" s="0" t="s">
        <v>1811</v>
      </c>
      <c r="L621" s="0" t="s">
        <v>1813</v>
      </c>
    </row>
    <row r="622">
      <c r="A622" s="0" t="s">
        <v>52</v>
      </c>
      <c r="B622" s="0" t="s">
        <v>147</v>
      </c>
      <c r="C622" s="0" t="s">
        <v>502</v>
      </c>
      <c r="D622" s="0">
        <v>0.042000000000000003</v>
      </c>
      <c r="E622" s="0"/>
      <c r="F622" s="0" t="s">
        <v>715</v>
      </c>
      <c r="G622" s="0"/>
      <c r="H622" s="0" t="s">
        <v>1549</v>
      </c>
      <c r="I622" s="0" t="s">
        <v>1729</v>
      </c>
      <c r="J622" s="0"/>
      <c r="K622" s="0" t="s">
        <v>1811</v>
      </c>
      <c r="L622" s="0" t="s">
        <v>1813</v>
      </c>
    </row>
    <row r="623">
      <c r="A623" s="0" t="s">
        <v>52</v>
      </c>
      <c r="B623" s="0" t="s">
        <v>147</v>
      </c>
      <c r="C623" s="0" t="s">
        <v>139</v>
      </c>
      <c r="D623" s="0">
        <v>0.17899999999999999</v>
      </c>
      <c r="E623" s="0"/>
      <c r="F623" s="0" t="s">
        <v>1016</v>
      </c>
      <c r="G623" s="0"/>
      <c r="H623" s="0" t="s">
        <v>1550</v>
      </c>
      <c r="I623" s="0" t="s">
        <v>1729</v>
      </c>
      <c r="J623" s="0"/>
      <c r="K623" s="0" t="s">
        <v>1811</v>
      </c>
      <c r="L623" s="0" t="s">
        <v>1813</v>
      </c>
    </row>
    <row r="624">
      <c r="A624" s="0" t="s">
        <v>52</v>
      </c>
      <c r="B624" s="0" t="s">
        <v>147</v>
      </c>
      <c r="C624" s="0" t="s">
        <v>502</v>
      </c>
      <c r="D624" s="0">
        <v>0.048000000000000001</v>
      </c>
      <c r="E624" s="0"/>
      <c r="F624" s="0" t="s">
        <v>777</v>
      </c>
      <c r="G624" s="0"/>
      <c r="H624" s="0" t="s">
        <v>1551</v>
      </c>
      <c r="I624" s="0" t="s">
        <v>1729</v>
      </c>
      <c r="J624" s="0"/>
      <c r="K624" s="0" t="s">
        <v>1811</v>
      </c>
      <c r="L624" s="0" t="s">
        <v>1813</v>
      </c>
    </row>
    <row r="625">
      <c r="A625" s="0" t="s">
        <v>52</v>
      </c>
      <c r="B625" s="0" t="s">
        <v>147</v>
      </c>
      <c r="C625" s="0" t="s">
        <v>139</v>
      </c>
      <c r="D625" s="0">
        <v>0.27500000000000002</v>
      </c>
      <c r="E625" s="0"/>
      <c r="F625" s="0" t="s">
        <v>947</v>
      </c>
      <c r="G625" s="0"/>
      <c r="H625" s="0" t="s">
        <v>1552</v>
      </c>
      <c r="I625" s="0" t="s">
        <v>1729</v>
      </c>
      <c r="J625" s="0"/>
      <c r="K625" s="0" t="s">
        <v>1811</v>
      </c>
      <c r="L625" s="0" t="s">
        <v>1813</v>
      </c>
    </row>
    <row r="626">
      <c r="A626" s="0" t="s">
        <v>52</v>
      </c>
      <c r="B626" s="0" t="s">
        <v>147</v>
      </c>
      <c r="C626" s="0" t="s">
        <v>502</v>
      </c>
      <c r="D626" s="0">
        <v>0.073999999999999996</v>
      </c>
      <c r="E626" s="0"/>
      <c r="F626" s="0" t="s">
        <v>1017</v>
      </c>
      <c r="G626" s="0"/>
      <c r="H626" s="0" t="s">
        <v>1553</v>
      </c>
      <c r="I626" s="0" t="s">
        <v>1729</v>
      </c>
      <c r="J626" s="0"/>
      <c r="K626" s="0" t="s">
        <v>1811</v>
      </c>
      <c r="L626" s="0" t="s">
        <v>1813</v>
      </c>
    </row>
    <row r="627">
      <c r="A627" s="0" t="s">
        <v>52</v>
      </c>
      <c r="B627" s="0" t="s">
        <v>147</v>
      </c>
      <c r="C627" s="0" t="s">
        <v>139</v>
      </c>
      <c r="D627" s="0">
        <v>0.88</v>
      </c>
      <c r="E627" s="0"/>
      <c r="F627" s="0" t="s">
        <v>651</v>
      </c>
      <c r="G627" s="0"/>
      <c r="H627" s="0" t="s">
        <v>1554</v>
      </c>
      <c r="I627" s="0" t="s">
        <v>1729</v>
      </c>
      <c r="J627" s="0"/>
      <c r="K627" s="0" t="s">
        <v>1811</v>
      </c>
      <c r="L627" s="0" t="s">
        <v>1813</v>
      </c>
    </row>
    <row r="628">
      <c r="A628" s="0" t="s">
        <v>52</v>
      </c>
      <c r="B628" s="0" t="s">
        <v>147</v>
      </c>
      <c r="C628" s="0" t="s">
        <v>139</v>
      </c>
      <c r="D628" s="0">
        <v>0.30099999999999999</v>
      </c>
      <c r="E628" s="0"/>
      <c r="F628" s="0" t="s">
        <v>699</v>
      </c>
      <c r="G628" s="0"/>
      <c r="H628" s="0" t="s">
        <v>1555</v>
      </c>
      <c r="I628" s="0" t="s">
        <v>1729</v>
      </c>
      <c r="J628" s="0"/>
      <c r="K628" s="0" t="s">
        <v>1811</v>
      </c>
      <c r="L628" s="0" t="s">
        <v>1813</v>
      </c>
    </row>
    <row r="629">
      <c r="A629" s="0" t="s">
        <v>52</v>
      </c>
      <c r="B629" s="0" t="s">
        <v>286</v>
      </c>
      <c r="C629" s="0" t="s">
        <v>502</v>
      </c>
      <c r="D629" s="0">
        <v>0.065000000000000002</v>
      </c>
      <c r="E629" s="0"/>
      <c r="F629" s="0" t="s">
        <v>968</v>
      </c>
      <c r="G629" s="0"/>
      <c r="H629" s="0"/>
      <c r="I629" s="0" t="s">
        <v>640</v>
      </c>
      <c r="J629" s="0"/>
      <c r="K629" s="0" t="s">
        <v>1811</v>
      </c>
      <c r="L629" s="0" t="s">
        <v>1813</v>
      </c>
    </row>
    <row r="630">
      <c r="A630" s="0" t="s">
        <v>52</v>
      </c>
      <c r="B630" s="0" t="s">
        <v>286</v>
      </c>
      <c r="C630" s="0" t="s">
        <v>139</v>
      </c>
      <c r="D630" s="0">
        <v>0.065000000000000002</v>
      </c>
      <c r="E630" s="0"/>
      <c r="F630" s="0" t="s">
        <v>968</v>
      </c>
      <c r="G630" s="0"/>
      <c r="H630" s="0" t="s">
        <v>1556</v>
      </c>
      <c r="I630" s="0" t="s">
        <v>776</v>
      </c>
      <c r="J630" s="0"/>
      <c r="K630" s="0" t="s">
        <v>1811</v>
      </c>
      <c r="L630" s="0" t="s">
        <v>1813</v>
      </c>
    </row>
    <row r="631">
      <c r="A631" s="0" t="s">
        <v>52</v>
      </c>
      <c r="B631" s="0" t="s">
        <v>286</v>
      </c>
      <c r="C631" s="0" t="s">
        <v>498</v>
      </c>
      <c r="D631" s="0">
        <v>0.11</v>
      </c>
      <c r="E631" s="0"/>
      <c r="F631" s="0" t="s">
        <v>654</v>
      </c>
      <c r="G631" s="0"/>
      <c r="H631" s="0" t="s">
        <v>1557</v>
      </c>
      <c r="I631" s="0" t="s">
        <v>884</v>
      </c>
      <c r="J631" s="0"/>
      <c r="K631" s="0" t="s">
        <v>1811</v>
      </c>
      <c r="L631" s="0" t="s">
        <v>1813</v>
      </c>
    </row>
    <row r="632">
      <c r="A632" s="0" t="s">
        <v>52</v>
      </c>
      <c r="B632" s="0" t="s">
        <v>286</v>
      </c>
      <c r="C632" s="0" t="s">
        <v>503</v>
      </c>
      <c r="D632" s="0">
        <v>3</v>
      </c>
      <c r="E632" s="0"/>
      <c r="F632" s="0" t="s">
        <v>828</v>
      </c>
      <c r="G632" s="0"/>
      <c r="H632" s="0" t="s">
        <v>1558</v>
      </c>
      <c r="I632" s="0" t="s">
        <v>805</v>
      </c>
      <c r="J632" s="0"/>
      <c r="K632" s="0" t="s">
        <v>1811</v>
      </c>
      <c r="L632" s="0" t="s">
        <v>1813</v>
      </c>
    </row>
    <row r="633">
      <c r="A633" s="0" t="s">
        <v>52</v>
      </c>
      <c r="B633" s="0" t="s">
        <v>286</v>
      </c>
      <c r="C633" s="0" t="s">
        <v>497</v>
      </c>
      <c r="D633" s="0">
        <v>6.7999999999999998</v>
      </c>
      <c r="E633" s="0"/>
      <c r="F633" s="0" t="s">
        <v>813</v>
      </c>
      <c r="G633" s="0"/>
      <c r="H633" s="0" t="s">
        <v>1557</v>
      </c>
      <c r="I633" s="0" t="s">
        <v>884</v>
      </c>
      <c r="J633" s="0"/>
      <c r="K633" s="0" t="s">
        <v>1811</v>
      </c>
      <c r="L633" s="0" t="s">
        <v>1813</v>
      </c>
    </row>
    <row r="634">
      <c r="A634" s="0" t="s">
        <v>52</v>
      </c>
      <c r="B634" s="0" t="s">
        <v>286</v>
      </c>
      <c r="C634" s="0" t="s">
        <v>502</v>
      </c>
      <c r="D634" s="0">
        <v>0.052999999999999999</v>
      </c>
      <c r="E634" s="0"/>
      <c r="F634" s="0" t="s">
        <v>1018</v>
      </c>
      <c r="G634" s="0"/>
      <c r="H634" s="0" t="s">
        <v>1556</v>
      </c>
      <c r="I634" s="0" t="s">
        <v>776</v>
      </c>
      <c r="J634" s="0"/>
      <c r="K634" s="0" t="s">
        <v>1811</v>
      </c>
      <c r="L634" s="0" t="s">
        <v>1813</v>
      </c>
    </row>
    <row r="635">
      <c r="A635" s="0" t="s">
        <v>52</v>
      </c>
      <c r="B635" s="0" t="s">
        <v>286</v>
      </c>
      <c r="C635" s="0" t="s">
        <v>139</v>
      </c>
      <c r="D635" s="0">
        <v>0.052999999999999999</v>
      </c>
      <c r="E635" s="0"/>
      <c r="F635" s="0" t="s">
        <v>1018</v>
      </c>
      <c r="G635" s="0"/>
      <c r="H635" s="0"/>
      <c r="I635" s="0" t="s">
        <v>640</v>
      </c>
      <c r="J635" s="0"/>
      <c r="K635" s="0" t="s">
        <v>1811</v>
      </c>
      <c r="L635" s="0" t="s">
        <v>1813</v>
      </c>
    </row>
    <row r="636">
      <c r="A636" s="0" t="s">
        <v>52</v>
      </c>
      <c r="B636" s="0" t="s">
        <v>286</v>
      </c>
      <c r="C636" s="0" t="s">
        <v>504</v>
      </c>
      <c r="D636" s="0">
        <v>30</v>
      </c>
      <c r="E636" s="0"/>
      <c r="F636" s="0" t="s">
        <v>1019</v>
      </c>
      <c r="G636" s="0"/>
      <c r="H636" s="0" t="s">
        <v>1559</v>
      </c>
      <c r="I636" s="0" t="s">
        <v>734</v>
      </c>
      <c r="J636" s="0"/>
      <c r="K636" s="0" t="s">
        <v>1811</v>
      </c>
      <c r="L636" s="0" t="s">
        <v>1813</v>
      </c>
    </row>
    <row r="637">
      <c r="A637" s="0" t="s">
        <v>52</v>
      </c>
      <c r="B637" s="0" t="s">
        <v>286</v>
      </c>
      <c r="C637" s="0" t="s">
        <v>499</v>
      </c>
      <c r="D637" s="0">
        <v>0.071999999999999995</v>
      </c>
      <c r="E637" s="0"/>
      <c r="F637" s="0" t="s">
        <v>1020</v>
      </c>
      <c r="G637" s="0"/>
      <c r="H637" s="0" t="s">
        <v>1557</v>
      </c>
      <c r="I637" s="0" t="s">
        <v>884</v>
      </c>
      <c r="J637" s="0"/>
      <c r="K637" s="0" t="s">
        <v>1811</v>
      </c>
      <c r="L637" s="0" t="s">
        <v>1813</v>
      </c>
    </row>
    <row r="638">
      <c r="A638" s="0" t="s">
        <v>52</v>
      </c>
      <c r="B638" s="0" t="s">
        <v>286</v>
      </c>
      <c r="C638" s="0" t="s">
        <v>413</v>
      </c>
      <c r="D638" s="0">
        <v>6.2000000000000002</v>
      </c>
      <c r="E638" s="0"/>
      <c r="F638" s="0" t="s">
        <v>838</v>
      </c>
      <c r="G638" s="0"/>
      <c r="H638" s="0" t="s">
        <v>1557</v>
      </c>
      <c r="I638" s="0" t="s">
        <v>884</v>
      </c>
      <c r="J638" s="0"/>
      <c r="K638" s="0" t="s">
        <v>1811</v>
      </c>
      <c r="L638" s="0" t="s">
        <v>1813</v>
      </c>
    </row>
    <row r="639">
      <c r="A639" s="0" t="s">
        <v>52</v>
      </c>
      <c r="B639" s="0" t="s">
        <v>286</v>
      </c>
      <c r="C639" s="0" t="s">
        <v>418</v>
      </c>
      <c r="D639" s="0">
        <v>-999</v>
      </c>
      <c r="E639" s="0"/>
      <c r="F639" s="0" t="s">
        <v>673</v>
      </c>
      <c r="G639" s="0"/>
      <c r="H639" s="0" t="s">
        <v>1560</v>
      </c>
      <c r="I639" s="0" t="s">
        <v>734</v>
      </c>
      <c r="J639" s="0"/>
      <c r="K639" s="0" t="s">
        <v>1811</v>
      </c>
      <c r="L639" s="0" t="s">
        <v>1813</v>
      </c>
    </row>
    <row r="640">
      <c r="A640" s="0" t="s">
        <v>52</v>
      </c>
      <c r="B640" s="0" t="s">
        <v>305</v>
      </c>
      <c r="C640" s="0" t="s">
        <v>502</v>
      </c>
      <c r="D640" s="0">
        <v>0.10199999999999999</v>
      </c>
      <c r="E640" s="0"/>
      <c r="F640" s="0" t="s">
        <v>1021</v>
      </c>
      <c r="G640" s="0"/>
      <c r="H640" s="0" t="s">
        <v>1561</v>
      </c>
      <c r="I640" s="0" t="s">
        <v>1794</v>
      </c>
      <c r="J640" s="0"/>
      <c r="K640" s="0" t="s">
        <v>1811</v>
      </c>
      <c r="L640" s="0" t="s">
        <v>1813</v>
      </c>
    </row>
    <row r="641">
      <c r="A641" s="0" t="s">
        <v>52</v>
      </c>
      <c r="B641" s="0" t="s">
        <v>305</v>
      </c>
      <c r="C641" s="0" t="s">
        <v>139</v>
      </c>
      <c r="D641" s="0">
        <v>0.31840000000000002</v>
      </c>
      <c r="E641" s="0"/>
      <c r="F641" s="0" t="s">
        <v>1022</v>
      </c>
      <c r="G641" s="0"/>
      <c r="H641" s="0" t="s">
        <v>1562</v>
      </c>
      <c r="I641" s="0" t="s">
        <v>1794</v>
      </c>
      <c r="J641" s="0"/>
      <c r="K641" s="0" t="s">
        <v>1811</v>
      </c>
      <c r="L641" s="0" t="s">
        <v>1813</v>
      </c>
    </row>
    <row r="642">
      <c r="A642" s="0" t="s">
        <v>52</v>
      </c>
      <c r="B642" s="0" t="s">
        <v>305</v>
      </c>
      <c r="C642" s="0" t="s">
        <v>139</v>
      </c>
      <c r="D642" s="0">
        <v>0.14030000000000001</v>
      </c>
      <c r="E642" s="0"/>
      <c r="F642" s="0" t="s">
        <v>1023</v>
      </c>
      <c r="G642" s="0"/>
      <c r="H642" s="0" t="s">
        <v>1563</v>
      </c>
      <c r="I642" s="0" t="s">
        <v>1794</v>
      </c>
      <c r="J642" s="0"/>
      <c r="K642" s="0" t="s">
        <v>1811</v>
      </c>
      <c r="L642" s="0" t="s">
        <v>1813</v>
      </c>
    </row>
    <row r="643">
      <c r="A643" s="0" t="s">
        <v>52</v>
      </c>
      <c r="B643" s="0" t="s">
        <v>305</v>
      </c>
      <c r="C643" s="0" t="s">
        <v>502</v>
      </c>
      <c r="D643" s="0">
        <v>0.084089999999999998</v>
      </c>
      <c r="E643" s="0"/>
      <c r="F643" s="0" t="s">
        <v>1024</v>
      </c>
      <c r="G643" s="0"/>
      <c r="H643" s="0" t="s">
        <v>1564</v>
      </c>
      <c r="I643" s="0" t="s">
        <v>1794</v>
      </c>
      <c r="J643" s="0"/>
      <c r="K643" s="0" t="s">
        <v>1811</v>
      </c>
      <c r="L643" s="0" t="s">
        <v>1813</v>
      </c>
    </row>
    <row r="644">
      <c r="A644" s="0" t="s">
        <v>52</v>
      </c>
      <c r="B644" s="0" t="s">
        <v>356</v>
      </c>
      <c r="C644" s="0" t="s">
        <v>505</v>
      </c>
      <c r="D644" s="0">
        <v>0.01209</v>
      </c>
      <c r="E644" s="0"/>
      <c r="F644" s="0" t="s">
        <v>1025</v>
      </c>
      <c r="G644" s="0"/>
      <c r="H644" s="0"/>
      <c r="I644" s="0" t="s">
        <v>644</v>
      </c>
      <c r="J644" s="0"/>
      <c r="K644" s="0" t="s">
        <v>1811</v>
      </c>
      <c r="L644" s="0" t="s">
        <v>1813</v>
      </c>
    </row>
    <row r="645">
      <c r="A645" s="0" t="s">
        <v>52</v>
      </c>
      <c r="B645" s="0" t="s">
        <v>356</v>
      </c>
      <c r="C645" s="0" t="s">
        <v>502</v>
      </c>
      <c r="D645" s="0">
        <v>0.012670000000000001</v>
      </c>
      <c r="E645" s="0"/>
      <c r="F645" s="0" t="s">
        <v>1026</v>
      </c>
      <c r="G645" s="0"/>
      <c r="H645" s="0"/>
      <c r="I645" s="0" t="s">
        <v>644</v>
      </c>
      <c r="J645" s="0"/>
      <c r="K645" s="0" t="s">
        <v>1811</v>
      </c>
      <c r="L645" s="0" t="s">
        <v>1813</v>
      </c>
    </row>
    <row r="646">
      <c r="A646" s="0" t="s">
        <v>53</v>
      </c>
      <c r="B646" s="0" t="s">
        <v>375</v>
      </c>
      <c r="C646" s="0" t="s">
        <v>506</v>
      </c>
      <c r="D646" s="0">
        <v>13.5</v>
      </c>
      <c r="E646" s="0"/>
      <c r="F646" s="0" t="s">
        <v>1027</v>
      </c>
      <c r="G646" s="0"/>
      <c r="H646" s="0"/>
      <c r="I646" s="0" t="s">
        <v>595</v>
      </c>
      <c r="J646" s="0"/>
      <c r="K646" s="0" t="s">
        <v>1811</v>
      </c>
      <c r="L646" s="0" t="s">
        <v>1813</v>
      </c>
    </row>
    <row r="647">
      <c r="A647" s="0" t="s">
        <v>53</v>
      </c>
      <c r="B647" s="0" t="s">
        <v>375</v>
      </c>
      <c r="C647" s="0" t="s">
        <v>506</v>
      </c>
      <c r="D647" s="0">
        <v>6.0999999999999997</v>
      </c>
      <c r="E647" s="0"/>
      <c r="F647" s="0" t="s">
        <v>804</v>
      </c>
      <c r="G647" s="0"/>
      <c r="H647" s="0"/>
      <c r="I647" s="0" t="s">
        <v>1798</v>
      </c>
      <c r="J647" s="0"/>
      <c r="K647" s="0" t="s">
        <v>1811</v>
      </c>
      <c r="L647" s="0" t="s">
        <v>1813</v>
      </c>
    </row>
    <row r="648">
      <c r="A648" s="0" t="s">
        <v>53</v>
      </c>
      <c r="B648" s="0" t="s">
        <v>375</v>
      </c>
      <c r="C648" s="0" t="s">
        <v>418</v>
      </c>
      <c r="D648" s="0">
        <v>-999</v>
      </c>
      <c r="E648" s="0"/>
      <c r="F648" s="0" t="s">
        <v>673</v>
      </c>
      <c r="G648" s="0"/>
      <c r="H648" s="0" t="s">
        <v>1565</v>
      </c>
      <c r="I648" s="0" t="s">
        <v>1790</v>
      </c>
      <c r="J648" s="0"/>
      <c r="K648" s="0" t="s">
        <v>1811</v>
      </c>
      <c r="L648" s="0" t="s">
        <v>1813</v>
      </c>
    </row>
    <row r="649">
      <c r="A649" s="0" t="s">
        <v>53</v>
      </c>
      <c r="B649" s="0" t="s">
        <v>375</v>
      </c>
      <c r="C649" s="0" t="s">
        <v>507</v>
      </c>
      <c r="D649" s="0">
        <v>0.0054999999999999997</v>
      </c>
      <c r="E649" s="0"/>
      <c r="F649" s="0" t="s">
        <v>1028</v>
      </c>
      <c r="G649" s="0"/>
      <c r="H649" s="0"/>
      <c r="I649" s="0" t="s">
        <v>1799</v>
      </c>
      <c r="J649" s="0"/>
      <c r="K649" s="0" t="s">
        <v>1811</v>
      </c>
      <c r="L649" s="0" t="s">
        <v>1813</v>
      </c>
    </row>
    <row r="650">
      <c r="A650" s="0" t="s">
        <v>53</v>
      </c>
      <c r="B650" s="0" t="s">
        <v>356</v>
      </c>
      <c r="C650" s="0" t="s">
        <v>508</v>
      </c>
      <c r="D650" s="0">
        <v>0.012999999999999999</v>
      </c>
      <c r="E650" s="0"/>
      <c r="F650" s="0" t="s">
        <v>1029</v>
      </c>
      <c r="G650" s="0"/>
      <c r="H650" s="0" t="s">
        <v>1566</v>
      </c>
      <c r="I650" s="0" t="s">
        <v>1800</v>
      </c>
      <c r="J650" s="0"/>
      <c r="K650" s="0" t="s">
        <v>1811</v>
      </c>
      <c r="L650" s="0" t="s">
        <v>1813</v>
      </c>
    </row>
    <row r="651">
      <c r="A651" s="0" t="s">
        <v>53</v>
      </c>
      <c r="B651" s="0" t="s">
        <v>356</v>
      </c>
      <c r="C651" s="0" t="s">
        <v>509</v>
      </c>
      <c r="D651" s="0">
        <v>0.0050000000000000001</v>
      </c>
      <c r="E651" s="0"/>
      <c r="F651" s="0" t="s">
        <v>794</v>
      </c>
      <c r="G651" s="0"/>
      <c r="H651" s="0" t="s">
        <v>1567</v>
      </c>
      <c r="I651" s="0" t="s">
        <v>1800</v>
      </c>
      <c r="J651" s="0"/>
      <c r="K651" s="0" t="s">
        <v>1811</v>
      </c>
      <c r="L651" s="0" t="s">
        <v>1813</v>
      </c>
    </row>
    <row r="652">
      <c r="A652" s="0" t="s">
        <v>53</v>
      </c>
      <c r="B652" s="0" t="s">
        <v>356</v>
      </c>
      <c r="C652" s="0" t="s">
        <v>510</v>
      </c>
      <c r="D652" s="0">
        <v>0.032000000000000001</v>
      </c>
      <c r="E652" s="0"/>
      <c r="F652" s="0" t="s">
        <v>714</v>
      </c>
      <c r="G652" s="0"/>
      <c r="H652" s="0" t="s">
        <v>1567</v>
      </c>
      <c r="I652" s="0" t="s">
        <v>1800</v>
      </c>
      <c r="J652" s="0"/>
      <c r="K652" s="0" t="s">
        <v>1811</v>
      </c>
      <c r="L652" s="0" t="s">
        <v>1813</v>
      </c>
    </row>
    <row r="653">
      <c r="A653" s="0" t="s">
        <v>53</v>
      </c>
      <c r="B653" s="0" t="s">
        <v>356</v>
      </c>
      <c r="C653" s="0" t="s">
        <v>511</v>
      </c>
      <c r="D653" s="0">
        <v>0.0083000000000000001</v>
      </c>
      <c r="E653" s="0"/>
      <c r="F653" s="0" t="s">
        <v>750</v>
      </c>
      <c r="G653" s="0"/>
      <c r="H653" s="0" t="s">
        <v>1566</v>
      </c>
      <c r="I653" s="0" t="s">
        <v>1800</v>
      </c>
      <c r="J653" s="0"/>
      <c r="K653" s="0" t="s">
        <v>1811</v>
      </c>
      <c r="L653" s="0" t="s">
        <v>1813</v>
      </c>
    </row>
    <row r="654">
      <c r="A654" s="0" t="s">
        <v>53</v>
      </c>
      <c r="B654" s="0" t="s">
        <v>356</v>
      </c>
      <c r="C654" s="0" t="s">
        <v>512</v>
      </c>
      <c r="D654" s="0">
        <v>9.0000000000000006e-05</v>
      </c>
      <c r="E654" s="0"/>
      <c r="F654" s="0" t="s">
        <v>1030</v>
      </c>
      <c r="G654" s="0"/>
      <c r="H654" s="0" t="s">
        <v>1567</v>
      </c>
      <c r="I654" s="0" t="s">
        <v>1800</v>
      </c>
      <c r="J654" s="0"/>
      <c r="K654" s="0" t="s">
        <v>1811</v>
      </c>
      <c r="L654" s="0" t="s">
        <v>1813</v>
      </c>
    </row>
    <row r="655">
      <c r="A655" s="0" t="s">
        <v>53</v>
      </c>
      <c r="B655" s="0" t="s">
        <v>279</v>
      </c>
      <c r="C655" s="0" t="s">
        <v>507</v>
      </c>
      <c r="D655" s="0">
        <v>0.154</v>
      </c>
      <c r="E655" s="0"/>
      <c r="F655" s="0" t="s">
        <v>1031</v>
      </c>
      <c r="G655" s="0"/>
      <c r="H655" s="0" t="s">
        <v>1568</v>
      </c>
      <c r="I655" s="0" t="s">
        <v>1742</v>
      </c>
      <c r="J655" s="0"/>
      <c r="K655" s="0" t="s">
        <v>1811</v>
      </c>
      <c r="L655" s="0" t="s">
        <v>1813</v>
      </c>
    </row>
    <row r="656">
      <c r="A656" s="0" t="s">
        <v>53</v>
      </c>
      <c r="B656" s="0" t="s">
        <v>279</v>
      </c>
      <c r="C656" s="0" t="s">
        <v>508</v>
      </c>
      <c r="D656" s="0">
        <v>0.025399999999999999</v>
      </c>
      <c r="E656" s="0"/>
      <c r="F656" s="0" t="s">
        <v>1032</v>
      </c>
      <c r="G656" s="0"/>
      <c r="H656" s="0" t="s">
        <v>1568</v>
      </c>
      <c r="I656" s="0" t="s">
        <v>1742</v>
      </c>
      <c r="J656" s="0"/>
      <c r="K656" s="0" t="s">
        <v>1811</v>
      </c>
      <c r="L656" s="0" t="s">
        <v>1813</v>
      </c>
    </row>
    <row r="657">
      <c r="A657" s="0" t="s">
        <v>53</v>
      </c>
      <c r="B657" s="0" t="s">
        <v>279</v>
      </c>
      <c r="C657" s="0" t="s">
        <v>513</v>
      </c>
      <c r="D657" s="0">
        <v>0.084000000000000005</v>
      </c>
      <c r="E657" s="0"/>
      <c r="F657" s="0" t="s">
        <v>1033</v>
      </c>
      <c r="G657" s="0"/>
      <c r="H657" s="0" t="s">
        <v>1568</v>
      </c>
      <c r="I657" s="0" t="s">
        <v>1742</v>
      </c>
      <c r="J657" s="0"/>
      <c r="K657" s="0" t="s">
        <v>1811</v>
      </c>
      <c r="L657" s="0" t="s">
        <v>1813</v>
      </c>
    </row>
    <row r="658">
      <c r="A658" s="0" t="s">
        <v>53</v>
      </c>
      <c r="B658" s="0" t="s">
        <v>279</v>
      </c>
      <c r="C658" s="0" t="s">
        <v>514</v>
      </c>
      <c r="D658" s="0">
        <v>0.11360000000000001</v>
      </c>
      <c r="E658" s="0"/>
      <c r="F658" s="0" t="s">
        <v>1034</v>
      </c>
      <c r="G658" s="0"/>
      <c r="H658" s="0" t="s">
        <v>1568</v>
      </c>
      <c r="I658" s="0" t="s">
        <v>1742</v>
      </c>
      <c r="J658" s="0"/>
      <c r="K658" s="0" t="s">
        <v>1811</v>
      </c>
      <c r="L658" s="0" t="s">
        <v>1813</v>
      </c>
    </row>
    <row r="659">
      <c r="A659" s="0" t="s">
        <v>53</v>
      </c>
      <c r="B659" s="0" t="s">
        <v>279</v>
      </c>
      <c r="C659" s="0" t="s">
        <v>506</v>
      </c>
      <c r="D659" s="0">
        <v>0.125</v>
      </c>
      <c r="E659" s="0"/>
      <c r="F659" s="0" t="s">
        <v>1035</v>
      </c>
      <c r="G659" s="0"/>
      <c r="H659" s="0" t="s">
        <v>1569</v>
      </c>
      <c r="I659" s="0" t="s">
        <v>819</v>
      </c>
      <c r="J659" s="0"/>
      <c r="K659" s="0" t="s">
        <v>1811</v>
      </c>
      <c r="L659" s="0" t="s">
        <v>1813</v>
      </c>
    </row>
    <row r="660">
      <c r="A660" s="0" t="s">
        <v>53</v>
      </c>
      <c r="B660" s="0" t="s">
        <v>279</v>
      </c>
      <c r="C660" s="0" t="s">
        <v>507</v>
      </c>
      <c r="D660" s="0">
        <v>0.024</v>
      </c>
      <c r="E660" s="0"/>
      <c r="F660" s="0" t="s">
        <v>720</v>
      </c>
      <c r="G660" s="0"/>
      <c r="H660" s="0" t="s">
        <v>1570</v>
      </c>
      <c r="I660" s="0" t="s">
        <v>819</v>
      </c>
      <c r="J660" s="0"/>
      <c r="K660" s="0" t="s">
        <v>1811</v>
      </c>
      <c r="L660" s="0" t="s">
        <v>1813</v>
      </c>
    </row>
    <row r="661">
      <c r="A661" s="0" t="s">
        <v>53</v>
      </c>
      <c r="B661" s="0" t="s">
        <v>279</v>
      </c>
      <c r="C661" s="0" t="s">
        <v>506</v>
      </c>
      <c r="D661" s="0">
        <v>0.123</v>
      </c>
      <c r="E661" s="0"/>
      <c r="F661" s="0" t="s">
        <v>798</v>
      </c>
      <c r="G661" s="0"/>
      <c r="H661" s="0"/>
      <c r="I661" s="0" t="s">
        <v>907</v>
      </c>
      <c r="J661" s="0"/>
      <c r="K661" s="0" t="s">
        <v>1811</v>
      </c>
      <c r="L661" s="0" t="s">
        <v>1813</v>
      </c>
    </row>
    <row r="662">
      <c r="A662" s="0" t="s">
        <v>53</v>
      </c>
      <c r="B662" s="0" t="s">
        <v>376</v>
      </c>
      <c r="C662" s="0" t="s">
        <v>507</v>
      </c>
      <c r="D662" s="0">
        <v>0.095000000000000001</v>
      </c>
      <c r="E662" s="0"/>
      <c r="F662" s="0" t="s">
        <v>1036</v>
      </c>
      <c r="G662" s="0"/>
      <c r="H662" s="0"/>
      <c r="I662" s="0" t="s">
        <v>1801</v>
      </c>
      <c r="J662" s="0"/>
      <c r="K662" s="0" t="s">
        <v>1811</v>
      </c>
      <c r="L662" s="0" t="s">
        <v>1813</v>
      </c>
    </row>
    <row r="663">
      <c r="A663" s="0" t="s">
        <v>53</v>
      </c>
      <c r="B663" s="0" t="s">
        <v>305</v>
      </c>
      <c r="C663" s="0" t="s">
        <v>515</v>
      </c>
      <c r="D663" s="0">
        <v>0.0040000000000000001</v>
      </c>
      <c r="E663" s="0"/>
      <c r="F663" s="0" t="s">
        <v>1037</v>
      </c>
      <c r="G663" s="0"/>
      <c r="H663" s="0"/>
      <c r="I663" s="0" t="s">
        <v>640</v>
      </c>
      <c r="J663" s="0"/>
      <c r="K663" s="0" t="s">
        <v>1811</v>
      </c>
      <c r="L663" s="0" t="s">
        <v>1813</v>
      </c>
    </row>
    <row r="664">
      <c r="A664" s="0" t="s">
        <v>53</v>
      </c>
      <c r="B664" s="0" t="s">
        <v>305</v>
      </c>
      <c r="C664" s="0" t="s">
        <v>506</v>
      </c>
      <c r="D664" s="0">
        <v>3.5</v>
      </c>
      <c r="E664" s="0"/>
      <c r="F664" s="0" t="s">
        <v>569</v>
      </c>
      <c r="G664" s="0"/>
      <c r="H664" s="0"/>
      <c r="I664" s="0" t="s">
        <v>640</v>
      </c>
      <c r="J664" s="0"/>
      <c r="K664" s="0" t="s">
        <v>1811</v>
      </c>
      <c r="L664" s="0" t="s">
        <v>1813</v>
      </c>
    </row>
    <row r="665">
      <c r="A665" s="0" t="s">
        <v>53</v>
      </c>
      <c r="B665" s="0" t="s">
        <v>306</v>
      </c>
      <c r="C665" s="0" t="s">
        <v>507</v>
      </c>
      <c r="D665" s="0">
        <v>0.0276</v>
      </c>
      <c r="E665" s="0"/>
      <c r="F665" s="0" t="s">
        <v>1038</v>
      </c>
      <c r="G665" s="0"/>
      <c r="H665" s="0"/>
      <c r="I665" s="0" t="s">
        <v>1802</v>
      </c>
      <c r="J665" s="0"/>
      <c r="K665" s="0" t="s">
        <v>1811</v>
      </c>
      <c r="L665" s="0" t="s">
        <v>1813</v>
      </c>
    </row>
    <row r="666">
      <c r="A666" s="0" t="s">
        <v>53</v>
      </c>
      <c r="B666" s="0" t="s">
        <v>306</v>
      </c>
      <c r="C666" s="0" t="s">
        <v>507</v>
      </c>
      <c r="D666" s="0">
        <v>0.0071000000000000004</v>
      </c>
      <c r="E666" s="0"/>
      <c r="F666" s="0" t="s">
        <v>1039</v>
      </c>
      <c r="G666" s="0"/>
      <c r="H666" s="0"/>
      <c r="I666" s="0" t="s">
        <v>1792</v>
      </c>
      <c r="J666" s="0"/>
      <c r="K666" s="0" t="s">
        <v>1811</v>
      </c>
      <c r="L666" s="0" t="s">
        <v>1813</v>
      </c>
    </row>
    <row r="667">
      <c r="A667" s="0" t="s">
        <v>53</v>
      </c>
      <c r="B667" s="0" t="s">
        <v>306</v>
      </c>
      <c r="C667" s="0" t="s">
        <v>507</v>
      </c>
      <c r="D667" s="0">
        <v>0.0033999999999999998</v>
      </c>
      <c r="E667" s="0"/>
      <c r="F667" s="0" t="s">
        <v>1040</v>
      </c>
      <c r="G667" s="0"/>
      <c r="H667" s="0"/>
      <c r="I667" s="0" t="s">
        <v>1792</v>
      </c>
      <c r="J667" s="0"/>
      <c r="K667" s="0" t="s">
        <v>1811</v>
      </c>
      <c r="L667" s="0" t="s">
        <v>1813</v>
      </c>
    </row>
    <row r="668">
      <c r="A668" s="0" t="s">
        <v>53</v>
      </c>
      <c r="B668" s="0" t="s">
        <v>306</v>
      </c>
      <c r="C668" s="0" t="s">
        <v>507</v>
      </c>
      <c r="D668" s="0">
        <v>0.033399999999999999</v>
      </c>
      <c r="E668" s="0"/>
      <c r="F668" s="0" t="s">
        <v>747</v>
      </c>
      <c r="G668" s="0"/>
      <c r="H668" s="0"/>
      <c r="I668" s="0" t="s">
        <v>1802</v>
      </c>
      <c r="J668" s="0"/>
      <c r="K668" s="0" t="s">
        <v>1811</v>
      </c>
      <c r="L668" s="0" t="s">
        <v>1813</v>
      </c>
    </row>
    <row r="669">
      <c r="A669" s="0" t="s">
        <v>53</v>
      </c>
      <c r="B669" s="0" t="s">
        <v>306</v>
      </c>
      <c r="C669" s="0" t="s">
        <v>516</v>
      </c>
      <c r="D669" s="0">
        <v>0.2009</v>
      </c>
      <c r="E669" s="0"/>
      <c r="F669" s="0" t="s">
        <v>1041</v>
      </c>
      <c r="G669" s="0"/>
      <c r="H669" s="0"/>
      <c r="I669" s="0" t="s">
        <v>1802</v>
      </c>
      <c r="J669" s="0"/>
      <c r="K669" s="0" t="s">
        <v>1811</v>
      </c>
      <c r="L669" s="0" t="s">
        <v>1813</v>
      </c>
    </row>
    <row r="670">
      <c r="A670" s="0" t="s">
        <v>53</v>
      </c>
      <c r="B670" s="0" t="s">
        <v>261</v>
      </c>
      <c r="C670" s="0" t="s">
        <v>506</v>
      </c>
      <c r="D670" s="0">
        <v>0.26000000000000001</v>
      </c>
      <c r="E670" s="0"/>
      <c r="F670" s="0" t="s">
        <v>1042</v>
      </c>
      <c r="G670" s="0"/>
      <c r="H670" s="0" t="s">
        <v>1571</v>
      </c>
      <c r="I670" s="0" t="s">
        <v>1738</v>
      </c>
      <c r="J670" s="0"/>
      <c r="K670" s="0" t="s">
        <v>1811</v>
      </c>
      <c r="L670" s="0" t="s">
        <v>1813</v>
      </c>
    </row>
    <row r="671">
      <c r="A671" s="0" t="s">
        <v>53</v>
      </c>
      <c r="B671" s="0" t="s">
        <v>261</v>
      </c>
      <c r="C671" s="0" t="s">
        <v>507</v>
      </c>
      <c r="D671" s="0">
        <v>0.0089999999999999993</v>
      </c>
      <c r="E671" s="0"/>
      <c r="F671" s="0" t="s">
        <v>954</v>
      </c>
      <c r="G671" s="0"/>
      <c r="H671" s="0" t="s">
        <v>1572</v>
      </c>
      <c r="I671" s="0" t="s">
        <v>1738</v>
      </c>
      <c r="J671" s="0"/>
      <c r="K671" s="0" t="s">
        <v>1811</v>
      </c>
      <c r="L671" s="0" t="s">
        <v>1813</v>
      </c>
    </row>
    <row r="672">
      <c r="A672" s="0" t="s">
        <v>53</v>
      </c>
      <c r="B672" s="0" t="s">
        <v>377</v>
      </c>
      <c r="C672" s="0" t="s">
        <v>512</v>
      </c>
      <c r="D672" s="0">
        <v>8</v>
      </c>
      <c r="E672" s="0"/>
      <c r="F672" s="0" t="s">
        <v>1043</v>
      </c>
      <c r="G672" s="0"/>
      <c r="H672" s="0" t="s">
        <v>1573</v>
      </c>
      <c r="I672" s="0" t="s">
        <v>1774</v>
      </c>
      <c r="J672" s="0"/>
      <c r="K672" s="0" t="s">
        <v>1811</v>
      </c>
      <c r="L672" s="0" t="s">
        <v>1813</v>
      </c>
    </row>
    <row r="673">
      <c r="A673" s="0" t="s">
        <v>53</v>
      </c>
      <c r="B673" s="0" t="s">
        <v>377</v>
      </c>
      <c r="C673" s="0" t="s">
        <v>512</v>
      </c>
      <c r="D673" s="0">
        <v>0.0030999999999999999</v>
      </c>
      <c r="E673" s="0"/>
      <c r="F673" s="0" t="s">
        <v>1044</v>
      </c>
      <c r="G673" s="0"/>
      <c r="H673" s="0" t="s">
        <v>1574</v>
      </c>
      <c r="I673" s="0" t="s">
        <v>1774</v>
      </c>
      <c r="J673" s="0"/>
      <c r="K673" s="0" t="s">
        <v>1811</v>
      </c>
      <c r="L673" s="0" t="s">
        <v>1813</v>
      </c>
    </row>
    <row r="674">
      <c r="A674" s="0" t="s">
        <v>53</v>
      </c>
      <c r="B674" s="0" t="s">
        <v>377</v>
      </c>
      <c r="C674" s="0" t="s">
        <v>512</v>
      </c>
      <c r="D674" s="0">
        <v>0.0044999999999999997</v>
      </c>
      <c r="E674" s="0"/>
      <c r="F674" s="0" t="s">
        <v>1045</v>
      </c>
      <c r="G674" s="0"/>
      <c r="H674" s="0" t="s">
        <v>1575</v>
      </c>
      <c r="I674" s="0" t="s">
        <v>1774</v>
      </c>
      <c r="J674" s="0"/>
      <c r="K674" s="0" t="s">
        <v>1811</v>
      </c>
      <c r="L674" s="0" t="s">
        <v>1813</v>
      </c>
    </row>
    <row r="675">
      <c r="A675" s="0" t="s">
        <v>53</v>
      </c>
      <c r="B675" s="0" t="s">
        <v>377</v>
      </c>
      <c r="C675" s="0" t="s">
        <v>512</v>
      </c>
      <c r="D675" s="0">
        <v>0.028000000000000001</v>
      </c>
      <c r="E675" s="0"/>
      <c r="F675" s="0" t="s">
        <v>1046</v>
      </c>
      <c r="G675" s="0"/>
      <c r="H675" s="0" t="s">
        <v>1576</v>
      </c>
      <c r="I675" s="0" t="s">
        <v>1774</v>
      </c>
      <c r="J675" s="0"/>
      <c r="K675" s="0" t="s">
        <v>1811</v>
      </c>
      <c r="L675" s="0" t="s">
        <v>1813</v>
      </c>
    </row>
    <row r="676">
      <c r="A676" s="0" t="s">
        <v>53</v>
      </c>
      <c r="B676" s="0" t="s">
        <v>377</v>
      </c>
      <c r="C676" s="0" t="s">
        <v>512</v>
      </c>
      <c r="D676" s="0">
        <v>0.0053</v>
      </c>
      <c r="E676" s="0"/>
      <c r="F676" s="0" t="s">
        <v>1047</v>
      </c>
      <c r="G676" s="0"/>
      <c r="H676" s="0" t="s">
        <v>1577</v>
      </c>
      <c r="I676" s="0" t="s">
        <v>1774</v>
      </c>
      <c r="J676" s="0"/>
      <c r="K676" s="0" t="s">
        <v>1811</v>
      </c>
      <c r="L676" s="0" t="s">
        <v>1813</v>
      </c>
    </row>
    <row r="677">
      <c r="A677" s="0" t="s">
        <v>53</v>
      </c>
      <c r="B677" s="0" t="s">
        <v>377</v>
      </c>
      <c r="C677" s="0" t="s">
        <v>512</v>
      </c>
      <c r="D677" s="0">
        <v>0.0022000000000000001</v>
      </c>
      <c r="E677" s="0"/>
      <c r="F677" s="0" t="s">
        <v>1048</v>
      </c>
      <c r="G677" s="0"/>
      <c r="H677" s="0" t="s">
        <v>1578</v>
      </c>
      <c r="I677" s="0" t="s">
        <v>1774</v>
      </c>
      <c r="J677" s="0"/>
      <c r="K677" s="0" t="s">
        <v>1811</v>
      </c>
      <c r="L677" s="0" t="s">
        <v>1813</v>
      </c>
    </row>
    <row r="678">
      <c r="A678" s="0" t="s">
        <v>53</v>
      </c>
      <c r="B678" s="0" t="s">
        <v>377</v>
      </c>
      <c r="C678" s="0" t="s">
        <v>512</v>
      </c>
      <c r="D678" s="0">
        <v>0.0044000000000000003</v>
      </c>
      <c r="E678" s="0"/>
      <c r="F678" s="0" t="s">
        <v>1049</v>
      </c>
      <c r="G678" s="0"/>
      <c r="H678" s="0" t="s">
        <v>1579</v>
      </c>
      <c r="I678" s="0" t="s">
        <v>1774</v>
      </c>
      <c r="J678" s="0"/>
      <c r="K678" s="0" t="s">
        <v>1811</v>
      </c>
      <c r="L678" s="0" t="s">
        <v>1813</v>
      </c>
    </row>
    <row r="679">
      <c r="A679" s="0" t="s">
        <v>53</v>
      </c>
      <c r="B679" s="0" t="s">
        <v>377</v>
      </c>
      <c r="C679" s="0" t="s">
        <v>512</v>
      </c>
      <c r="D679" s="0">
        <v>0.0047999999999999996</v>
      </c>
      <c r="E679" s="0"/>
      <c r="F679" s="0" t="s">
        <v>1050</v>
      </c>
      <c r="G679" s="0"/>
      <c r="H679" s="0" t="s">
        <v>1580</v>
      </c>
      <c r="I679" s="0" t="s">
        <v>1774</v>
      </c>
      <c r="J679" s="0"/>
      <c r="K679" s="0" t="s">
        <v>1811</v>
      </c>
      <c r="L679" s="0" t="s">
        <v>1813</v>
      </c>
    </row>
    <row r="680">
      <c r="A680" s="0" t="s">
        <v>53</v>
      </c>
      <c r="B680" s="0" t="s">
        <v>377</v>
      </c>
      <c r="C680" s="0" t="s">
        <v>512</v>
      </c>
      <c r="D680" s="0">
        <v>0.0054000000000000003</v>
      </c>
      <c r="E680" s="0"/>
      <c r="F680" s="0" t="s">
        <v>1051</v>
      </c>
      <c r="G680" s="0"/>
      <c r="H680" s="0" t="s">
        <v>1581</v>
      </c>
      <c r="I680" s="0" t="s">
        <v>1774</v>
      </c>
      <c r="J680" s="0"/>
      <c r="K680" s="0" t="s">
        <v>1811</v>
      </c>
      <c r="L680" s="0" t="s">
        <v>1813</v>
      </c>
    </row>
    <row r="681">
      <c r="A681" s="0" t="s">
        <v>53</v>
      </c>
      <c r="B681" s="0" t="s">
        <v>377</v>
      </c>
      <c r="C681" s="0" t="s">
        <v>512</v>
      </c>
      <c r="D681" s="0">
        <v>0.0074000000000000003</v>
      </c>
      <c r="E681" s="0"/>
      <c r="F681" s="0" t="s">
        <v>1052</v>
      </c>
      <c r="G681" s="0"/>
      <c r="H681" s="0" t="s">
        <v>1582</v>
      </c>
      <c r="I681" s="0" t="s">
        <v>1774</v>
      </c>
      <c r="J681" s="0"/>
      <c r="K681" s="0" t="s">
        <v>1811</v>
      </c>
      <c r="L681" s="0" t="s">
        <v>1813</v>
      </c>
    </row>
    <row r="682">
      <c r="A682" s="0" t="s">
        <v>53</v>
      </c>
      <c r="B682" s="0" t="s">
        <v>377</v>
      </c>
      <c r="C682" s="0" t="s">
        <v>512</v>
      </c>
      <c r="D682" s="0">
        <v>0.030099999999999998</v>
      </c>
      <c r="E682" s="0"/>
      <c r="F682" s="0" t="s">
        <v>1053</v>
      </c>
      <c r="G682" s="0"/>
      <c r="H682" s="0" t="s">
        <v>1583</v>
      </c>
      <c r="I682" s="0" t="s">
        <v>1774</v>
      </c>
      <c r="J682" s="0"/>
      <c r="K682" s="0" t="s">
        <v>1811</v>
      </c>
      <c r="L682" s="0" t="s">
        <v>1813</v>
      </c>
    </row>
    <row r="683">
      <c r="A683" s="0" t="s">
        <v>53</v>
      </c>
      <c r="B683" s="0" t="s">
        <v>377</v>
      </c>
      <c r="C683" s="0" t="s">
        <v>512</v>
      </c>
      <c r="D683" s="0">
        <v>0.035099999999999999</v>
      </c>
      <c r="E683" s="0"/>
      <c r="F683" s="0" t="s">
        <v>1054</v>
      </c>
      <c r="G683" s="0"/>
      <c r="H683" s="0" t="s">
        <v>1584</v>
      </c>
      <c r="I683" s="0" t="s">
        <v>1774</v>
      </c>
      <c r="J683" s="0"/>
      <c r="K683" s="0" t="s">
        <v>1811</v>
      </c>
      <c r="L683" s="0" t="s">
        <v>1813</v>
      </c>
    </row>
    <row r="684">
      <c r="A684" s="0" t="s">
        <v>53</v>
      </c>
      <c r="B684" s="0" t="s">
        <v>378</v>
      </c>
      <c r="C684" s="0" t="s">
        <v>508</v>
      </c>
      <c r="D684" s="0">
        <v>0.0033</v>
      </c>
      <c r="E684" s="0"/>
      <c r="F684" s="0" t="s">
        <v>1055</v>
      </c>
      <c r="G684" s="0"/>
      <c r="H684" s="0" t="s">
        <v>1585</v>
      </c>
      <c r="I684" s="0" t="s">
        <v>1700</v>
      </c>
      <c r="J684" s="0"/>
      <c r="K684" s="0" t="s">
        <v>1811</v>
      </c>
      <c r="L684" s="0" t="s">
        <v>1813</v>
      </c>
    </row>
    <row r="685">
      <c r="A685" s="0" t="s">
        <v>53</v>
      </c>
      <c r="B685" s="0" t="s">
        <v>378</v>
      </c>
      <c r="C685" s="0" t="s">
        <v>508</v>
      </c>
      <c r="D685" s="0">
        <v>0.0020999999999999999</v>
      </c>
      <c r="E685" s="0"/>
      <c r="F685" s="0" t="s">
        <v>1056</v>
      </c>
      <c r="G685" s="0"/>
      <c r="H685" s="0" t="s">
        <v>1586</v>
      </c>
      <c r="I685" s="0" t="s">
        <v>1700</v>
      </c>
      <c r="J685" s="0"/>
      <c r="K685" s="0" t="s">
        <v>1811</v>
      </c>
      <c r="L685" s="0" t="s">
        <v>1813</v>
      </c>
    </row>
    <row r="686">
      <c r="A686" s="0" t="s">
        <v>53</v>
      </c>
      <c r="B686" s="0" t="s">
        <v>378</v>
      </c>
      <c r="C686" s="0" t="s">
        <v>515</v>
      </c>
      <c r="D686" s="0">
        <v>0.00071000000000000002</v>
      </c>
      <c r="E686" s="0"/>
      <c r="F686" s="0" t="s">
        <v>1057</v>
      </c>
      <c r="G686" s="0"/>
      <c r="H686" s="0" t="s">
        <v>1587</v>
      </c>
      <c r="I686" s="0" t="s">
        <v>1700</v>
      </c>
      <c r="J686" s="0"/>
      <c r="K686" s="0" t="s">
        <v>1811</v>
      </c>
      <c r="L686" s="0" t="s">
        <v>1813</v>
      </c>
    </row>
    <row r="687">
      <c r="A687" s="0" t="s">
        <v>53</v>
      </c>
      <c r="B687" s="0" t="s">
        <v>378</v>
      </c>
      <c r="C687" s="0" t="s">
        <v>508</v>
      </c>
      <c r="D687" s="0">
        <v>0.00181</v>
      </c>
      <c r="E687" s="0"/>
      <c r="F687" s="0" t="s">
        <v>1058</v>
      </c>
      <c r="G687" s="0"/>
      <c r="H687" s="0" t="s">
        <v>1588</v>
      </c>
      <c r="I687" s="0" t="s">
        <v>1700</v>
      </c>
      <c r="J687" s="0"/>
      <c r="K687" s="0" t="s">
        <v>1811</v>
      </c>
      <c r="L687" s="0" t="s">
        <v>1813</v>
      </c>
    </row>
    <row r="688">
      <c r="A688" s="0" t="s">
        <v>53</v>
      </c>
      <c r="B688" s="0" t="s">
        <v>378</v>
      </c>
      <c r="C688" s="0" t="s">
        <v>515</v>
      </c>
      <c r="D688" s="0">
        <v>0.00312</v>
      </c>
      <c r="E688" s="0"/>
      <c r="F688" s="0" t="s">
        <v>1059</v>
      </c>
      <c r="G688" s="0"/>
      <c r="H688" s="0" t="s">
        <v>1589</v>
      </c>
      <c r="I688" s="0" t="s">
        <v>1700</v>
      </c>
      <c r="J688" s="0"/>
      <c r="K688" s="0" t="s">
        <v>1811</v>
      </c>
      <c r="L688" s="0" t="s">
        <v>1813</v>
      </c>
    </row>
    <row r="689">
      <c r="A689" s="0" t="s">
        <v>53</v>
      </c>
      <c r="B689" s="0" t="s">
        <v>378</v>
      </c>
      <c r="C689" s="0" t="s">
        <v>517</v>
      </c>
      <c r="D689" s="0">
        <v>0.00099</v>
      </c>
      <c r="E689" s="0"/>
      <c r="F689" s="0" t="s">
        <v>1060</v>
      </c>
      <c r="G689" s="0"/>
      <c r="H689" s="0" t="s">
        <v>1590</v>
      </c>
      <c r="I689" s="0" t="s">
        <v>1700</v>
      </c>
      <c r="J689" s="0"/>
      <c r="K689" s="0" t="s">
        <v>1811</v>
      </c>
      <c r="L689" s="0" t="s">
        <v>1813</v>
      </c>
    </row>
    <row r="690">
      <c r="A690" s="0" t="s">
        <v>53</v>
      </c>
      <c r="B690" s="0" t="s">
        <v>378</v>
      </c>
      <c r="C690" s="0" t="s">
        <v>508</v>
      </c>
      <c r="D690" s="0">
        <v>0.00314</v>
      </c>
      <c r="E690" s="0"/>
      <c r="F690" s="0" t="s">
        <v>1061</v>
      </c>
      <c r="G690" s="0"/>
      <c r="H690" s="0" t="s">
        <v>1591</v>
      </c>
      <c r="I690" s="0" t="s">
        <v>1700</v>
      </c>
      <c r="J690" s="0"/>
      <c r="K690" s="0" t="s">
        <v>1811</v>
      </c>
      <c r="L690" s="0" t="s">
        <v>1813</v>
      </c>
    </row>
    <row r="691">
      <c r="A691" s="0" t="s">
        <v>53</v>
      </c>
      <c r="B691" s="0" t="s">
        <v>378</v>
      </c>
      <c r="C691" s="0" t="s">
        <v>515</v>
      </c>
      <c r="D691" s="0">
        <v>0.0012199999999999999</v>
      </c>
      <c r="E691" s="0"/>
      <c r="F691" s="0" t="s">
        <v>1062</v>
      </c>
      <c r="G691" s="0"/>
      <c r="H691" s="0" t="s">
        <v>1592</v>
      </c>
      <c r="I691" s="0" t="s">
        <v>1700</v>
      </c>
      <c r="J691" s="0"/>
      <c r="K691" s="0" t="s">
        <v>1811</v>
      </c>
      <c r="L691" s="0" t="s">
        <v>1813</v>
      </c>
    </row>
    <row r="692">
      <c r="A692" s="0" t="s">
        <v>53</v>
      </c>
      <c r="B692" s="0" t="s">
        <v>378</v>
      </c>
      <c r="C692" s="0" t="s">
        <v>517</v>
      </c>
      <c r="D692" s="0">
        <v>0.0039699999999999996</v>
      </c>
      <c r="E692" s="0"/>
      <c r="F692" s="0" t="s">
        <v>1063</v>
      </c>
      <c r="G692" s="0"/>
      <c r="H692" s="0" t="s">
        <v>1593</v>
      </c>
      <c r="I692" s="0" t="s">
        <v>1700</v>
      </c>
      <c r="J692" s="0"/>
      <c r="K692" s="0" t="s">
        <v>1811</v>
      </c>
      <c r="L692" s="0" t="s">
        <v>1813</v>
      </c>
    </row>
    <row r="693">
      <c r="A693" s="0" t="s">
        <v>53</v>
      </c>
      <c r="B693" s="0" t="s">
        <v>378</v>
      </c>
      <c r="C693" s="0" t="s">
        <v>508</v>
      </c>
      <c r="D693" s="0">
        <v>0.0036800000000000001</v>
      </c>
      <c r="E693" s="0"/>
      <c r="F693" s="0" t="s">
        <v>1064</v>
      </c>
      <c r="G693" s="0"/>
      <c r="H693" s="0" t="s">
        <v>1594</v>
      </c>
      <c r="I693" s="0" t="s">
        <v>1700</v>
      </c>
      <c r="J693" s="0"/>
      <c r="K693" s="0" t="s">
        <v>1811</v>
      </c>
      <c r="L693" s="0" t="s">
        <v>1813</v>
      </c>
    </row>
    <row r="694">
      <c r="A694" s="0" t="s">
        <v>53</v>
      </c>
      <c r="B694" s="0" t="s">
        <v>378</v>
      </c>
      <c r="C694" s="0" t="s">
        <v>508</v>
      </c>
      <c r="D694" s="0">
        <v>0.0073499999999999998</v>
      </c>
      <c r="E694" s="0"/>
      <c r="F694" s="0" t="s">
        <v>1065</v>
      </c>
      <c r="G694" s="0"/>
      <c r="H694" s="0" t="s">
        <v>1595</v>
      </c>
      <c r="I694" s="0" t="s">
        <v>1700</v>
      </c>
      <c r="J694" s="0"/>
      <c r="K694" s="0" t="s">
        <v>1811</v>
      </c>
      <c r="L694" s="0" t="s">
        <v>1813</v>
      </c>
    </row>
    <row r="695">
      <c r="A695" s="0" t="s">
        <v>53</v>
      </c>
      <c r="B695" s="0" t="s">
        <v>378</v>
      </c>
      <c r="C695" s="0" t="s">
        <v>517</v>
      </c>
      <c r="D695" s="0">
        <v>0.0030200000000000001</v>
      </c>
      <c r="E695" s="0"/>
      <c r="F695" s="0" t="s">
        <v>1066</v>
      </c>
      <c r="G695" s="0"/>
      <c r="H695" s="0" t="s">
        <v>1596</v>
      </c>
      <c r="I695" s="0" t="s">
        <v>1700</v>
      </c>
      <c r="J695" s="0"/>
      <c r="K695" s="0" t="s">
        <v>1811</v>
      </c>
      <c r="L695" s="0" t="s">
        <v>1813</v>
      </c>
    </row>
    <row r="696">
      <c r="A696" s="0" t="s">
        <v>53</v>
      </c>
      <c r="B696" s="0" t="s">
        <v>378</v>
      </c>
      <c r="C696" s="0" t="s">
        <v>515</v>
      </c>
      <c r="D696" s="0">
        <v>0.00363</v>
      </c>
      <c r="E696" s="0"/>
      <c r="F696" s="0" t="s">
        <v>1067</v>
      </c>
      <c r="G696" s="0"/>
      <c r="H696" s="0" t="s">
        <v>1597</v>
      </c>
      <c r="I696" s="0" t="s">
        <v>1700</v>
      </c>
      <c r="J696" s="0"/>
      <c r="K696" s="0" t="s">
        <v>1811</v>
      </c>
      <c r="L696" s="0" t="s">
        <v>1813</v>
      </c>
    </row>
    <row r="697">
      <c r="A697" s="0" t="s">
        <v>53</v>
      </c>
      <c r="B697" s="0" t="s">
        <v>378</v>
      </c>
      <c r="C697" s="0" t="s">
        <v>515</v>
      </c>
      <c r="D697" s="0">
        <v>0.00249</v>
      </c>
      <c r="E697" s="0"/>
      <c r="F697" s="0" t="s">
        <v>1068</v>
      </c>
      <c r="G697" s="0"/>
      <c r="H697" s="0" t="s">
        <v>1598</v>
      </c>
      <c r="I697" s="0" t="s">
        <v>1700</v>
      </c>
      <c r="J697" s="0"/>
      <c r="K697" s="0" t="s">
        <v>1811</v>
      </c>
      <c r="L697" s="0" t="s">
        <v>1813</v>
      </c>
    </row>
    <row r="698">
      <c r="A698" s="0" t="s">
        <v>53</v>
      </c>
      <c r="B698" s="0" t="s">
        <v>378</v>
      </c>
      <c r="C698" s="0" t="s">
        <v>515</v>
      </c>
      <c r="D698" s="0">
        <v>0.002124</v>
      </c>
      <c r="E698" s="0"/>
      <c r="F698" s="0" t="s">
        <v>1069</v>
      </c>
      <c r="G698" s="0"/>
      <c r="H698" s="0" t="s">
        <v>1599</v>
      </c>
      <c r="I698" s="0" t="s">
        <v>1700</v>
      </c>
      <c r="J698" s="0"/>
      <c r="K698" s="0" t="s">
        <v>1811</v>
      </c>
      <c r="L698" s="0" t="s">
        <v>1813</v>
      </c>
    </row>
    <row r="699">
      <c r="A699" s="0" t="s">
        <v>53</v>
      </c>
      <c r="B699" s="0" t="s">
        <v>378</v>
      </c>
      <c r="C699" s="0" t="s">
        <v>517</v>
      </c>
      <c r="D699" s="0">
        <v>0.010330000000000001</v>
      </c>
      <c r="E699" s="0"/>
      <c r="F699" s="0" t="s">
        <v>1070</v>
      </c>
      <c r="G699" s="0"/>
      <c r="H699" s="0" t="s">
        <v>1600</v>
      </c>
      <c r="I699" s="0" t="s">
        <v>1700</v>
      </c>
      <c r="J699" s="0"/>
      <c r="K699" s="0" t="s">
        <v>1811</v>
      </c>
      <c r="L699" s="0" t="s">
        <v>1813</v>
      </c>
    </row>
    <row r="700">
      <c r="A700" s="0" t="s">
        <v>53</v>
      </c>
      <c r="B700" s="0" t="s">
        <v>378</v>
      </c>
      <c r="C700" s="0" t="s">
        <v>517</v>
      </c>
      <c r="D700" s="0">
        <v>0.0038899999999999998</v>
      </c>
      <c r="E700" s="0"/>
      <c r="F700" s="0" t="s">
        <v>1071</v>
      </c>
      <c r="G700" s="0"/>
      <c r="H700" s="0" t="s">
        <v>1601</v>
      </c>
      <c r="I700" s="0" t="s">
        <v>1700</v>
      </c>
      <c r="J700" s="0"/>
      <c r="K700" s="0" t="s">
        <v>1811</v>
      </c>
      <c r="L700" s="0" t="s">
        <v>1813</v>
      </c>
    </row>
    <row r="701">
      <c r="A701" s="0" t="s">
        <v>53</v>
      </c>
      <c r="B701" s="0" t="s">
        <v>378</v>
      </c>
      <c r="C701" s="0" t="s">
        <v>517</v>
      </c>
      <c r="D701" s="0">
        <v>0.0065199999999999998</v>
      </c>
      <c r="E701" s="0"/>
      <c r="F701" s="0" t="s">
        <v>1072</v>
      </c>
      <c r="G701" s="0"/>
      <c r="H701" s="0" t="s">
        <v>1602</v>
      </c>
      <c r="I701" s="0" t="s">
        <v>1700</v>
      </c>
      <c r="J701" s="0"/>
      <c r="K701" s="0" t="s">
        <v>1811</v>
      </c>
      <c r="L701" s="0" t="s">
        <v>1813</v>
      </c>
    </row>
    <row r="702">
      <c r="A702" s="0" t="s">
        <v>53</v>
      </c>
      <c r="B702" s="0" t="s">
        <v>147</v>
      </c>
      <c r="C702" s="0" t="s">
        <v>518</v>
      </c>
      <c r="D702" s="0">
        <v>0.029999999999999999</v>
      </c>
      <c r="E702" s="0"/>
      <c r="F702" s="0" t="s">
        <v>579</v>
      </c>
      <c r="G702" s="0"/>
      <c r="H702" s="0"/>
      <c r="I702" s="0" t="s">
        <v>1791</v>
      </c>
      <c r="J702" s="0"/>
      <c r="K702" s="0" t="s">
        <v>1811</v>
      </c>
      <c r="L702" s="0" t="s">
        <v>1813</v>
      </c>
    </row>
    <row r="703">
      <c r="A703" s="0" t="s">
        <v>53</v>
      </c>
      <c r="B703" s="0" t="s">
        <v>147</v>
      </c>
      <c r="C703" s="0" t="s">
        <v>519</v>
      </c>
      <c r="D703" s="0">
        <v>0.0030000000000000001</v>
      </c>
      <c r="E703" s="0"/>
      <c r="F703" s="0" t="s">
        <v>1073</v>
      </c>
      <c r="G703" s="0"/>
      <c r="H703" s="0"/>
      <c r="I703" s="0" t="s">
        <v>1791</v>
      </c>
      <c r="J703" s="0"/>
      <c r="K703" s="0" t="s">
        <v>1811</v>
      </c>
      <c r="L703" s="0" t="s">
        <v>1813</v>
      </c>
    </row>
    <row r="704">
      <c r="A704" s="0" t="s">
        <v>53</v>
      </c>
      <c r="B704" s="0" t="s">
        <v>147</v>
      </c>
      <c r="C704" s="0" t="s">
        <v>507</v>
      </c>
      <c r="D704" s="0">
        <v>0.0040000000000000001</v>
      </c>
      <c r="E704" s="0"/>
      <c r="F704" s="0" t="s">
        <v>1037</v>
      </c>
      <c r="G704" s="0"/>
      <c r="H704" s="0" t="s">
        <v>1603</v>
      </c>
      <c r="I704" s="0" t="s">
        <v>1748</v>
      </c>
      <c r="J704" s="0"/>
      <c r="K704" s="0" t="s">
        <v>1811</v>
      </c>
      <c r="L704" s="0" t="s">
        <v>1813</v>
      </c>
    </row>
    <row r="705">
      <c r="A705" s="0" t="s">
        <v>53</v>
      </c>
      <c r="B705" s="0" t="s">
        <v>147</v>
      </c>
      <c r="C705" s="0" t="s">
        <v>520</v>
      </c>
      <c r="D705" s="0">
        <v>0.0040000000000000001</v>
      </c>
      <c r="E705" s="0"/>
      <c r="F705" s="0" t="s">
        <v>1037</v>
      </c>
      <c r="G705" s="0"/>
      <c r="H705" s="0"/>
      <c r="I705" s="0" t="s">
        <v>1791</v>
      </c>
      <c r="J705" s="0"/>
      <c r="K705" s="0" t="s">
        <v>1811</v>
      </c>
      <c r="L705" s="0" t="s">
        <v>1813</v>
      </c>
    </row>
    <row r="706">
      <c r="A706" s="0" t="s">
        <v>53</v>
      </c>
      <c r="B706" s="0" t="s">
        <v>147</v>
      </c>
      <c r="C706" s="0" t="s">
        <v>521</v>
      </c>
      <c r="D706" s="0">
        <v>0.0015</v>
      </c>
      <c r="E706" s="0"/>
      <c r="F706" s="0" t="s">
        <v>1074</v>
      </c>
      <c r="G706" s="0"/>
      <c r="H706" s="0" t="s">
        <v>1604</v>
      </c>
      <c r="I706" s="0" t="s">
        <v>1791</v>
      </c>
      <c r="J706" s="0"/>
      <c r="K706" s="0" t="s">
        <v>1811</v>
      </c>
      <c r="L706" s="0" t="s">
        <v>1813</v>
      </c>
    </row>
    <row r="707">
      <c r="A707" s="0" t="s">
        <v>53</v>
      </c>
      <c r="B707" s="0" t="s">
        <v>147</v>
      </c>
      <c r="C707" s="0" t="s">
        <v>522</v>
      </c>
      <c r="D707" s="0">
        <v>0.0080000000000000002</v>
      </c>
      <c r="E707" s="0"/>
      <c r="F707" s="0" t="s">
        <v>740</v>
      </c>
      <c r="G707" s="0"/>
      <c r="H707" s="0"/>
      <c r="I707" s="0" t="s">
        <v>585</v>
      </c>
      <c r="J707" s="0"/>
      <c r="K707" s="0" t="s">
        <v>1811</v>
      </c>
      <c r="L707" s="0" t="s">
        <v>1813</v>
      </c>
    </row>
    <row r="708">
      <c r="A708" s="0" t="s">
        <v>53</v>
      </c>
      <c r="B708" s="0" t="s">
        <v>147</v>
      </c>
      <c r="C708" s="0" t="s">
        <v>523</v>
      </c>
      <c r="D708" s="0">
        <v>0.002</v>
      </c>
      <c r="E708" s="0"/>
      <c r="F708" s="0" t="s">
        <v>1075</v>
      </c>
      <c r="G708" s="0"/>
      <c r="H708" s="0" t="s">
        <v>1605</v>
      </c>
      <c r="I708" s="0" t="s">
        <v>1791</v>
      </c>
      <c r="J708" s="0"/>
      <c r="K708" s="0" t="s">
        <v>1811</v>
      </c>
      <c r="L708" s="0" t="s">
        <v>1813</v>
      </c>
    </row>
    <row r="709">
      <c r="A709" s="0" t="s">
        <v>53</v>
      </c>
      <c r="B709" s="0" t="s">
        <v>147</v>
      </c>
      <c r="C709" s="0" t="s">
        <v>507</v>
      </c>
      <c r="D709" s="0">
        <v>0.012999999999999999</v>
      </c>
      <c r="E709" s="0"/>
      <c r="F709" s="0" t="s">
        <v>1029</v>
      </c>
      <c r="G709" s="0"/>
      <c r="H709" s="0"/>
      <c r="I709" s="0" t="s">
        <v>789</v>
      </c>
      <c r="J709" s="0"/>
      <c r="K709" s="0" t="s">
        <v>1811</v>
      </c>
      <c r="L709" s="0" t="s">
        <v>1813</v>
      </c>
    </row>
    <row r="710">
      <c r="A710" s="0" t="s">
        <v>53</v>
      </c>
      <c r="B710" s="0" t="s">
        <v>147</v>
      </c>
      <c r="C710" s="0" t="s">
        <v>512</v>
      </c>
      <c r="D710" s="0">
        <v>0.0050000000000000001</v>
      </c>
      <c r="E710" s="0"/>
      <c r="F710" s="0" t="s">
        <v>794</v>
      </c>
      <c r="G710" s="0"/>
      <c r="H710" s="0" t="s">
        <v>1606</v>
      </c>
      <c r="I710" s="0" t="s">
        <v>824</v>
      </c>
      <c r="J710" s="0"/>
      <c r="K710" s="0" t="s">
        <v>1811</v>
      </c>
      <c r="L710" s="0" t="s">
        <v>1813</v>
      </c>
    </row>
    <row r="711">
      <c r="A711" s="0" t="s">
        <v>53</v>
      </c>
      <c r="B711" s="0" t="s">
        <v>147</v>
      </c>
      <c r="C711" s="0" t="s">
        <v>524</v>
      </c>
      <c r="D711" s="0">
        <v>0.0050000000000000001</v>
      </c>
      <c r="E711" s="0"/>
      <c r="F711" s="0" t="s">
        <v>794</v>
      </c>
      <c r="G711" s="0"/>
      <c r="H711" s="0" t="s">
        <v>1607</v>
      </c>
      <c r="I711" s="0" t="s">
        <v>1791</v>
      </c>
      <c r="J711" s="0"/>
      <c r="K711" s="0" t="s">
        <v>1811</v>
      </c>
      <c r="L711" s="0" t="s">
        <v>1813</v>
      </c>
    </row>
    <row r="712">
      <c r="A712" s="0" t="s">
        <v>53</v>
      </c>
      <c r="B712" s="0" t="s">
        <v>147</v>
      </c>
      <c r="C712" s="0" t="s">
        <v>525</v>
      </c>
      <c r="D712" s="0">
        <v>0.0050000000000000001</v>
      </c>
      <c r="E712" s="0"/>
      <c r="F712" s="0" t="s">
        <v>794</v>
      </c>
      <c r="G712" s="0"/>
      <c r="H712" s="0"/>
      <c r="I712" s="0" t="s">
        <v>1791</v>
      </c>
      <c r="J712" s="0"/>
      <c r="K712" s="0" t="s">
        <v>1811</v>
      </c>
      <c r="L712" s="0" t="s">
        <v>1813</v>
      </c>
    </row>
    <row r="713">
      <c r="A713" s="0" t="s">
        <v>53</v>
      </c>
      <c r="B713" s="0" t="s">
        <v>147</v>
      </c>
      <c r="C713" s="0" t="s">
        <v>507</v>
      </c>
      <c r="D713" s="0">
        <v>0.025000000000000001</v>
      </c>
      <c r="E713" s="0"/>
      <c r="F713" s="0" t="s">
        <v>781</v>
      </c>
      <c r="G713" s="0"/>
      <c r="H713" s="0"/>
      <c r="I713" s="0" t="s">
        <v>641</v>
      </c>
      <c r="J713" s="0"/>
      <c r="K713" s="0" t="s">
        <v>1811</v>
      </c>
      <c r="L713" s="0" t="s">
        <v>1813</v>
      </c>
    </row>
    <row r="714">
      <c r="A714" s="0" t="s">
        <v>53</v>
      </c>
      <c r="B714" s="0" t="s">
        <v>147</v>
      </c>
      <c r="C714" s="0" t="s">
        <v>526</v>
      </c>
      <c r="D714" s="0">
        <v>0.025000000000000001</v>
      </c>
      <c r="E714" s="0"/>
      <c r="F714" s="0" t="s">
        <v>781</v>
      </c>
      <c r="G714" s="0"/>
      <c r="H714" s="0"/>
      <c r="I714" s="0" t="s">
        <v>1791</v>
      </c>
      <c r="J714" s="0"/>
      <c r="K714" s="0" t="s">
        <v>1811</v>
      </c>
      <c r="L714" s="0" t="s">
        <v>1813</v>
      </c>
    </row>
    <row r="715">
      <c r="A715" s="0" t="s">
        <v>53</v>
      </c>
      <c r="B715" s="0" t="s">
        <v>147</v>
      </c>
      <c r="C715" s="0" t="s">
        <v>527</v>
      </c>
      <c r="D715" s="0">
        <v>0.0089999999999999993</v>
      </c>
      <c r="E715" s="0"/>
      <c r="F715" s="0" t="s">
        <v>954</v>
      </c>
      <c r="G715" s="0"/>
      <c r="H715" s="0" t="s">
        <v>1608</v>
      </c>
      <c r="I715" s="0" t="s">
        <v>1791</v>
      </c>
      <c r="J715" s="0"/>
      <c r="K715" s="0" t="s">
        <v>1811</v>
      </c>
      <c r="L715" s="0" t="s">
        <v>1813</v>
      </c>
    </row>
    <row r="716">
      <c r="A716" s="0" t="s">
        <v>53</v>
      </c>
      <c r="B716" s="0" t="s">
        <v>147</v>
      </c>
      <c r="C716" s="0" t="s">
        <v>143</v>
      </c>
      <c r="D716" s="0">
        <v>0.023</v>
      </c>
      <c r="E716" s="0"/>
      <c r="F716" s="0" t="s">
        <v>1076</v>
      </c>
      <c r="G716" s="0"/>
      <c r="H716" s="0"/>
      <c r="I716" s="0" t="s">
        <v>585</v>
      </c>
      <c r="J716" s="0"/>
      <c r="K716" s="0" t="s">
        <v>1811</v>
      </c>
      <c r="L716" s="0" t="s">
        <v>1813</v>
      </c>
    </row>
    <row r="717">
      <c r="A717" s="0" t="s">
        <v>53</v>
      </c>
      <c r="B717" s="0" t="s">
        <v>147</v>
      </c>
      <c r="C717" s="0" t="s">
        <v>528</v>
      </c>
      <c r="D717" s="0">
        <v>0.023</v>
      </c>
      <c r="E717" s="0"/>
      <c r="F717" s="0" t="s">
        <v>1076</v>
      </c>
      <c r="G717" s="0"/>
      <c r="H717" s="0"/>
      <c r="I717" s="0" t="s">
        <v>694</v>
      </c>
      <c r="J717" s="0"/>
      <c r="K717" s="0" t="s">
        <v>1811</v>
      </c>
      <c r="L717" s="0" t="s">
        <v>1813</v>
      </c>
    </row>
    <row r="718">
      <c r="A718" s="0" t="s">
        <v>53</v>
      </c>
      <c r="B718" s="0" t="s">
        <v>147</v>
      </c>
      <c r="C718" s="0" t="s">
        <v>529</v>
      </c>
      <c r="D718" s="0">
        <v>0.0018</v>
      </c>
      <c r="E718" s="0"/>
      <c r="F718" s="0" t="s">
        <v>1077</v>
      </c>
      <c r="G718" s="0"/>
      <c r="H718" s="0"/>
      <c r="I718" s="0" t="s">
        <v>1791</v>
      </c>
      <c r="J718" s="0"/>
      <c r="K718" s="0" t="s">
        <v>1811</v>
      </c>
      <c r="L718" s="0" t="s">
        <v>1813</v>
      </c>
    </row>
    <row r="719">
      <c r="A719" s="0" t="s">
        <v>53</v>
      </c>
      <c r="B719" s="0" t="s">
        <v>147</v>
      </c>
      <c r="C719" s="0" t="s">
        <v>530</v>
      </c>
      <c r="D719" s="0">
        <v>0.0018</v>
      </c>
      <c r="E719" s="0"/>
      <c r="F719" s="0" t="s">
        <v>1077</v>
      </c>
      <c r="G719" s="0"/>
      <c r="H719" s="0"/>
      <c r="I719" s="0" t="s">
        <v>1791</v>
      </c>
      <c r="J719" s="0"/>
      <c r="K719" s="0" t="s">
        <v>1811</v>
      </c>
      <c r="L719" s="0" t="s">
        <v>1813</v>
      </c>
    </row>
    <row r="720">
      <c r="A720" s="0" t="s">
        <v>53</v>
      </c>
      <c r="B720" s="0" t="s">
        <v>147</v>
      </c>
      <c r="C720" s="0" t="s">
        <v>531</v>
      </c>
      <c r="D720" s="0">
        <v>0.0030999999999999999</v>
      </c>
      <c r="E720" s="0"/>
      <c r="F720" s="0" t="s">
        <v>1044</v>
      </c>
      <c r="G720" s="0"/>
      <c r="H720" s="0"/>
      <c r="I720" s="0" t="s">
        <v>1791</v>
      </c>
      <c r="J720" s="0"/>
      <c r="K720" s="0" t="s">
        <v>1811</v>
      </c>
      <c r="L720" s="0" t="s">
        <v>1813</v>
      </c>
    </row>
    <row r="721">
      <c r="A721" s="0" t="s">
        <v>53</v>
      </c>
      <c r="B721" s="0" t="s">
        <v>147</v>
      </c>
      <c r="C721" s="0" t="s">
        <v>532</v>
      </c>
      <c r="D721" s="0">
        <v>0.0030999999999999999</v>
      </c>
      <c r="E721" s="0"/>
      <c r="F721" s="0" t="s">
        <v>1044</v>
      </c>
      <c r="G721" s="0"/>
      <c r="H721" s="0"/>
      <c r="I721" s="0" t="s">
        <v>1791</v>
      </c>
      <c r="J721" s="0"/>
      <c r="K721" s="0" t="s">
        <v>1811</v>
      </c>
      <c r="L721" s="0" t="s">
        <v>1813</v>
      </c>
    </row>
    <row r="722">
      <c r="A722" s="0" t="s">
        <v>53</v>
      </c>
      <c r="B722" s="0" t="s">
        <v>147</v>
      </c>
      <c r="C722" s="0" t="s">
        <v>533</v>
      </c>
      <c r="D722" s="0">
        <v>0.0045999999999999999</v>
      </c>
      <c r="E722" s="0"/>
      <c r="F722" s="0" t="s">
        <v>1078</v>
      </c>
      <c r="G722" s="0"/>
      <c r="H722" s="0" t="s">
        <v>1609</v>
      </c>
      <c r="I722" s="0" t="s">
        <v>1791</v>
      </c>
      <c r="J722" s="0"/>
      <c r="K722" s="0" t="s">
        <v>1811</v>
      </c>
      <c r="L722" s="0" t="s">
        <v>1813</v>
      </c>
    </row>
    <row r="723">
      <c r="A723" s="0" t="s">
        <v>53</v>
      </c>
      <c r="B723" s="0" t="s">
        <v>147</v>
      </c>
      <c r="C723" s="0" t="s">
        <v>515</v>
      </c>
      <c r="D723" s="0">
        <v>0.014</v>
      </c>
      <c r="E723" s="0"/>
      <c r="F723" s="0" t="s">
        <v>1079</v>
      </c>
      <c r="G723" s="0"/>
      <c r="H723" s="0"/>
      <c r="I723" s="0" t="s">
        <v>827</v>
      </c>
      <c r="J723" s="0"/>
      <c r="K723" s="0" t="s">
        <v>1811</v>
      </c>
      <c r="L723" s="0" t="s">
        <v>1813</v>
      </c>
    </row>
    <row r="724">
      <c r="A724" s="0" t="s">
        <v>53</v>
      </c>
      <c r="B724" s="0" t="s">
        <v>147</v>
      </c>
      <c r="C724" s="0" t="s">
        <v>506</v>
      </c>
      <c r="D724" s="0">
        <v>0.32000000000000001</v>
      </c>
      <c r="E724" s="0"/>
      <c r="F724" s="0" t="s">
        <v>591</v>
      </c>
      <c r="G724" s="0"/>
      <c r="H724" s="0"/>
      <c r="I724" s="0" t="s">
        <v>585</v>
      </c>
      <c r="J724" s="0"/>
      <c r="K724" s="0" t="s">
        <v>1811</v>
      </c>
      <c r="L724" s="0" t="s">
        <v>1813</v>
      </c>
    </row>
    <row r="725">
      <c r="A725" s="0" t="s">
        <v>53</v>
      </c>
      <c r="B725" s="0" t="s">
        <v>147</v>
      </c>
      <c r="C725" s="0" t="s">
        <v>534</v>
      </c>
      <c r="D725" s="0">
        <v>0.0016999999999999999</v>
      </c>
      <c r="E725" s="0"/>
      <c r="F725" s="0" t="s">
        <v>1080</v>
      </c>
      <c r="G725" s="0"/>
      <c r="H725" s="0" t="s">
        <v>1610</v>
      </c>
      <c r="I725" s="0" t="s">
        <v>1791</v>
      </c>
      <c r="J725" s="0"/>
      <c r="K725" s="0" t="s">
        <v>1811</v>
      </c>
      <c r="L725" s="0" t="s">
        <v>1813</v>
      </c>
    </row>
    <row r="726">
      <c r="A726" s="0" t="s">
        <v>53</v>
      </c>
      <c r="B726" s="0" t="s">
        <v>147</v>
      </c>
      <c r="C726" s="0" t="s">
        <v>535</v>
      </c>
      <c r="D726" s="0">
        <v>0.0032000000000000002</v>
      </c>
      <c r="E726" s="0"/>
      <c r="F726" s="0" t="s">
        <v>1081</v>
      </c>
      <c r="G726" s="0"/>
      <c r="H726" s="0" t="s">
        <v>1611</v>
      </c>
      <c r="I726" s="0" t="s">
        <v>1791</v>
      </c>
      <c r="J726" s="0"/>
      <c r="K726" s="0" t="s">
        <v>1811</v>
      </c>
      <c r="L726" s="0" t="s">
        <v>1813</v>
      </c>
    </row>
    <row r="727">
      <c r="A727" s="0" t="s">
        <v>53</v>
      </c>
      <c r="B727" s="0" t="s">
        <v>147</v>
      </c>
      <c r="C727" s="0" t="s">
        <v>536</v>
      </c>
      <c r="D727" s="0">
        <v>0.0070000000000000001</v>
      </c>
      <c r="E727" s="0"/>
      <c r="F727" s="0" t="s">
        <v>799</v>
      </c>
      <c r="G727" s="0"/>
      <c r="H727" s="0" t="s">
        <v>1612</v>
      </c>
      <c r="I727" s="0" t="s">
        <v>1791</v>
      </c>
      <c r="J727" s="0"/>
      <c r="K727" s="0" t="s">
        <v>1811</v>
      </c>
      <c r="L727" s="0" t="s">
        <v>1813</v>
      </c>
    </row>
    <row r="728">
      <c r="A728" s="0" t="s">
        <v>53</v>
      </c>
      <c r="B728" s="0" t="s">
        <v>147</v>
      </c>
      <c r="C728" s="0" t="s">
        <v>537</v>
      </c>
      <c r="D728" s="0">
        <v>0.017000000000000001</v>
      </c>
      <c r="E728" s="0"/>
      <c r="F728" s="0" t="s">
        <v>1082</v>
      </c>
      <c r="G728" s="0"/>
      <c r="H728" s="0"/>
      <c r="I728" s="0" t="s">
        <v>1791</v>
      </c>
      <c r="J728" s="0"/>
      <c r="K728" s="0" t="s">
        <v>1811</v>
      </c>
      <c r="L728" s="0" t="s">
        <v>1813</v>
      </c>
    </row>
    <row r="729">
      <c r="A729" s="0" t="s">
        <v>53</v>
      </c>
      <c r="B729" s="0" t="s">
        <v>147</v>
      </c>
      <c r="C729" s="0" t="s">
        <v>538</v>
      </c>
      <c r="D729" s="0">
        <v>0.0051999999999999998</v>
      </c>
      <c r="E729" s="0"/>
      <c r="F729" s="0" t="s">
        <v>1083</v>
      </c>
      <c r="G729" s="0"/>
      <c r="H729" s="0" t="s">
        <v>1613</v>
      </c>
      <c r="I729" s="0" t="s">
        <v>1791</v>
      </c>
      <c r="J729" s="0"/>
      <c r="K729" s="0" t="s">
        <v>1811</v>
      </c>
      <c r="L729" s="0" t="s">
        <v>1813</v>
      </c>
    </row>
    <row r="730">
      <c r="A730" s="0" t="s">
        <v>53</v>
      </c>
      <c r="B730" s="0" t="s">
        <v>147</v>
      </c>
      <c r="C730" s="0" t="s">
        <v>539</v>
      </c>
      <c r="D730" s="0">
        <v>0.0060000000000000001</v>
      </c>
      <c r="E730" s="0"/>
      <c r="F730" s="0" t="s">
        <v>951</v>
      </c>
      <c r="G730" s="0"/>
      <c r="H730" s="0"/>
      <c r="I730" s="0" t="s">
        <v>1791</v>
      </c>
      <c r="J730" s="0"/>
      <c r="K730" s="0" t="s">
        <v>1811</v>
      </c>
      <c r="L730" s="0" t="s">
        <v>1813</v>
      </c>
    </row>
    <row r="731">
      <c r="A731" s="0" t="s">
        <v>53</v>
      </c>
      <c r="B731" s="0" t="s">
        <v>147</v>
      </c>
      <c r="C731" s="0" t="s">
        <v>515</v>
      </c>
      <c r="D731" s="0">
        <v>0.025999999999999999</v>
      </c>
      <c r="E731" s="0"/>
      <c r="F731" s="0" t="s">
        <v>1084</v>
      </c>
      <c r="G731" s="0"/>
      <c r="H731" s="0"/>
      <c r="I731" s="0" t="s">
        <v>694</v>
      </c>
      <c r="J731" s="0"/>
      <c r="K731" s="0" t="s">
        <v>1811</v>
      </c>
      <c r="L731" s="0" t="s">
        <v>1813</v>
      </c>
    </row>
    <row r="732">
      <c r="A732" s="0" t="s">
        <v>53</v>
      </c>
      <c r="B732" s="0" t="s">
        <v>147</v>
      </c>
      <c r="C732" s="0" t="s">
        <v>540</v>
      </c>
      <c r="D732" s="0">
        <v>0.0035000000000000001</v>
      </c>
      <c r="E732" s="0"/>
      <c r="F732" s="0" t="s">
        <v>1085</v>
      </c>
      <c r="G732" s="0"/>
      <c r="H732" s="0"/>
      <c r="I732" s="0" t="s">
        <v>1791</v>
      </c>
      <c r="J732" s="0"/>
      <c r="K732" s="0" t="s">
        <v>1811</v>
      </c>
      <c r="L732" s="0" t="s">
        <v>1813</v>
      </c>
    </row>
    <row r="733">
      <c r="A733" s="0" t="s">
        <v>53</v>
      </c>
      <c r="B733" s="0" t="s">
        <v>147</v>
      </c>
      <c r="C733" s="0" t="s">
        <v>541</v>
      </c>
      <c r="D733" s="0">
        <v>0.0033999999999999998</v>
      </c>
      <c r="E733" s="0"/>
      <c r="F733" s="0" t="s">
        <v>1040</v>
      </c>
      <c r="G733" s="0"/>
      <c r="H733" s="0" t="s">
        <v>1614</v>
      </c>
      <c r="I733" s="0" t="s">
        <v>1791</v>
      </c>
      <c r="J733" s="0"/>
      <c r="K733" s="0" t="s">
        <v>1811</v>
      </c>
      <c r="L733" s="0" t="s">
        <v>1813</v>
      </c>
    </row>
    <row r="734">
      <c r="A734" s="0" t="s">
        <v>53</v>
      </c>
      <c r="B734" s="0" t="s">
        <v>147</v>
      </c>
      <c r="C734" s="0" t="s">
        <v>528</v>
      </c>
      <c r="D734" s="0">
        <v>0.0043</v>
      </c>
      <c r="E734" s="0"/>
      <c r="F734" s="0" t="s">
        <v>1086</v>
      </c>
      <c r="G734" s="0"/>
      <c r="H734" s="0"/>
      <c r="I734" s="0" t="s">
        <v>789</v>
      </c>
      <c r="J734" s="0"/>
      <c r="K734" s="0" t="s">
        <v>1811</v>
      </c>
      <c r="L734" s="0" t="s">
        <v>1813</v>
      </c>
    </row>
    <row r="735">
      <c r="A735" s="0" t="s">
        <v>53</v>
      </c>
      <c r="B735" s="0" t="s">
        <v>147</v>
      </c>
      <c r="C735" s="0" t="s">
        <v>506</v>
      </c>
      <c r="D735" s="0">
        <v>0.75</v>
      </c>
      <c r="E735" s="0"/>
      <c r="F735" s="0" t="s">
        <v>738</v>
      </c>
      <c r="G735" s="0"/>
      <c r="H735" s="0" t="s">
        <v>1603</v>
      </c>
      <c r="I735" s="0" t="s">
        <v>1748</v>
      </c>
      <c r="J735" s="0"/>
      <c r="K735" s="0" t="s">
        <v>1811</v>
      </c>
      <c r="L735" s="0" t="s">
        <v>1813</v>
      </c>
    </row>
    <row r="736">
      <c r="A736" s="0" t="s">
        <v>53</v>
      </c>
      <c r="B736" s="0" t="s">
        <v>147</v>
      </c>
      <c r="C736" s="0" t="s">
        <v>542</v>
      </c>
      <c r="D736" s="0">
        <v>0.0068999999999999999</v>
      </c>
      <c r="E736" s="0"/>
      <c r="F736" s="0" t="s">
        <v>1087</v>
      </c>
      <c r="G736" s="0"/>
      <c r="H736" s="0"/>
      <c r="I736" s="0" t="s">
        <v>1791</v>
      </c>
      <c r="J736" s="0"/>
      <c r="K736" s="0" t="s">
        <v>1811</v>
      </c>
      <c r="L736" s="0" t="s">
        <v>1813</v>
      </c>
    </row>
    <row r="737">
      <c r="A737" s="0" t="s">
        <v>53</v>
      </c>
      <c r="B737" s="0" t="s">
        <v>147</v>
      </c>
      <c r="C737" s="0" t="s">
        <v>543</v>
      </c>
      <c r="D737" s="0">
        <v>0.0038999999999999998</v>
      </c>
      <c r="E737" s="0"/>
      <c r="F737" s="0" t="s">
        <v>1088</v>
      </c>
      <c r="G737" s="0"/>
      <c r="H737" s="0"/>
      <c r="I737" s="0" t="s">
        <v>1791</v>
      </c>
      <c r="J737" s="0"/>
      <c r="K737" s="0" t="s">
        <v>1811</v>
      </c>
      <c r="L737" s="0" t="s">
        <v>1813</v>
      </c>
    </row>
    <row r="738">
      <c r="A738" s="0" t="s">
        <v>53</v>
      </c>
      <c r="B738" s="0" t="s">
        <v>147</v>
      </c>
      <c r="C738" s="0" t="s">
        <v>506</v>
      </c>
      <c r="D738" s="0">
        <v>7.5</v>
      </c>
      <c r="E738" s="0"/>
      <c r="F738" s="0" t="s">
        <v>1089</v>
      </c>
      <c r="G738" s="0"/>
      <c r="H738" s="0"/>
      <c r="I738" s="0" t="s">
        <v>694</v>
      </c>
      <c r="J738" s="0"/>
      <c r="K738" s="0" t="s">
        <v>1811</v>
      </c>
      <c r="L738" s="0" t="s">
        <v>1813</v>
      </c>
    </row>
    <row r="739">
      <c r="A739" s="0" t="s">
        <v>53</v>
      </c>
      <c r="B739" s="0" t="s">
        <v>147</v>
      </c>
      <c r="C739" s="0" t="s">
        <v>544</v>
      </c>
      <c r="D739" s="0">
        <v>3.6000000000000001</v>
      </c>
      <c r="E739" s="0"/>
      <c r="F739" s="0" t="s">
        <v>800</v>
      </c>
      <c r="G739" s="0"/>
      <c r="H739" s="0"/>
      <c r="I739" s="0" t="s">
        <v>1791</v>
      </c>
      <c r="J739" s="0"/>
      <c r="K739" s="0" t="s">
        <v>1811</v>
      </c>
      <c r="L739" s="0" t="s">
        <v>1813</v>
      </c>
    </row>
    <row r="740">
      <c r="A740" s="0" t="s">
        <v>53</v>
      </c>
      <c r="B740" s="0" t="s">
        <v>147</v>
      </c>
      <c r="C740" s="0" t="s">
        <v>545</v>
      </c>
      <c r="D740" s="0">
        <v>0.0028</v>
      </c>
      <c r="E740" s="0"/>
      <c r="F740" s="0" t="s">
        <v>1090</v>
      </c>
      <c r="G740" s="0"/>
      <c r="H740" s="0" t="s">
        <v>1615</v>
      </c>
      <c r="I740" s="0" t="s">
        <v>1791</v>
      </c>
      <c r="J740" s="0"/>
      <c r="K740" s="0" t="s">
        <v>1811</v>
      </c>
      <c r="L740" s="0" t="s">
        <v>1813</v>
      </c>
    </row>
    <row r="741">
      <c r="A741" s="0" t="s">
        <v>53</v>
      </c>
      <c r="B741" s="0" t="s">
        <v>147</v>
      </c>
      <c r="C741" s="0" t="s">
        <v>508</v>
      </c>
      <c r="D741" s="0">
        <v>0.184</v>
      </c>
      <c r="E741" s="0"/>
      <c r="F741" s="0" t="s">
        <v>1091</v>
      </c>
      <c r="G741" s="0"/>
      <c r="H741" s="0"/>
      <c r="I741" s="0" t="s">
        <v>827</v>
      </c>
      <c r="J741" s="0"/>
      <c r="K741" s="0" t="s">
        <v>1811</v>
      </c>
      <c r="L741" s="0" t="s">
        <v>1813</v>
      </c>
    </row>
    <row r="742">
      <c r="A742" s="0" t="s">
        <v>53</v>
      </c>
      <c r="B742" s="0" t="s">
        <v>147</v>
      </c>
      <c r="C742" s="0" t="s">
        <v>546</v>
      </c>
      <c r="D742" s="0">
        <v>0.00088000000000000003</v>
      </c>
      <c r="E742" s="0"/>
      <c r="F742" s="0" t="s">
        <v>1092</v>
      </c>
      <c r="G742" s="0"/>
      <c r="H742" s="0"/>
      <c r="I742" s="0" t="s">
        <v>1791</v>
      </c>
      <c r="J742" s="0"/>
      <c r="K742" s="0" t="s">
        <v>1811</v>
      </c>
      <c r="L742" s="0" t="s">
        <v>1813</v>
      </c>
    </row>
    <row r="743">
      <c r="A743" s="0" t="s">
        <v>53</v>
      </c>
      <c r="B743" s="0" t="s">
        <v>147</v>
      </c>
      <c r="C743" s="0" t="s">
        <v>547</v>
      </c>
      <c r="D743" s="0">
        <v>0.0010200000000000001</v>
      </c>
      <c r="E743" s="0"/>
      <c r="F743" s="0" t="s">
        <v>1093</v>
      </c>
      <c r="G743" s="0"/>
      <c r="H743" s="0"/>
      <c r="I743" s="0" t="s">
        <v>1791</v>
      </c>
      <c r="J743" s="0"/>
      <c r="K743" s="0" t="s">
        <v>1811</v>
      </c>
      <c r="L743" s="0" t="s">
        <v>1813</v>
      </c>
    </row>
    <row r="744">
      <c r="A744" s="0" t="s">
        <v>53</v>
      </c>
      <c r="B744" s="0" t="s">
        <v>147</v>
      </c>
      <c r="C744" s="0" t="s">
        <v>507</v>
      </c>
      <c r="D744" s="0">
        <v>0.0050000000000000001</v>
      </c>
      <c r="E744" s="0"/>
      <c r="F744" s="0" t="s">
        <v>794</v>
      </c>
      <c r="G744" s="0"/>
      <c r="H744" s="0" t="s">
        <v>1616</v>
      </c>
      <c r="I744" s="0" t="s">
        <v>1803</v>
      </c>
      <c r="J744" s="0"/>
      <c r="K744" s="0" t="s">
        <v>1811</v>
      </c>
      <c r="L744" s="0" t="s">
        <v>1813</v>
      </c>
    </row>
    <row r="745">
      <c r="A745" s="0" t="s">
        <v>53</v>
      </c>
      <c r="B745" s="0" t="s">
        <v>286</v>
      </c>
      <c r="C745" s="0" t="s">
        <v>507</v>
      </c>
      <c r="D745" s="0">
        <v>0.29999999999999999</v>
      </c>
      <c r="E745" s="0"/>
      <c r="F745" s="0" t="s">
        <v>589</v>
      </c>
      <c r="G745" s="0"/>
      <c r="H745" s="0"/>
      <c r="I745" s="0" t="s">
        <v>776</v>
      </c>
      <c r="J745" s="0"/>
      <c r="K745" s="0" t="s">
        <v>1811</v>
      </c>
      <c r="L745" s="0" t="s">
        <v>1813</v>
      </c>
    </row>
    <row r="746">
      <c r="A746" s="0" t="s">
        <v>53</v>
      </c>
      <c r="B746" s="0" t="s">
        <v>286</v>
      </c>
      <c r="C746" s="0" t="s">
        <v>506</v>
      </c>
      <c r="D746" s="0">
        <v>0.59999999999999998</v>
      </c>
      <c r="E746" s="0"/>
      <c r="F746" s="0" t="s">
        <v>598</v>
      </c>
      <c r="G746" s="0"/>
      <c r="H746" s="0"/>
      <c r="I746" s="0" t="s">
        <v>776</v>
      </c>
      <c r="J746" s="0"/>
      <c r="K746" s="0" t="s">
        <v>1811</v>
      </c>
      <c r="L746" s="0" t="s">
        <v>1813</v>
      </c>
    </row>
    <row r="747">
      <c r="A747" s="0" t="s">
        <v>53</v>
      </c>
      <c r="B747" s="0" t="s">
        <v>286</v>
      </c>
      <c r="C747" s="0" t="s">
        <v>506</v>
      </c>
      <c r="D747" s="0">
        <v>0.20000000000000001</v>
      </c>
      <c r="E747" s="0"/>
      <c r="F747" s="0" t="s">
        <v>583</v>
      </c>
      <c r="G747" s="0"/>
      <c r="H747" s="0"/>
      <c r="I747" s="0" t="s">
        <v>1794</v>
      </c>
      <c r="J747" s="0"/>
      <c r="K747" s="0" t="s">
        <v>1811</v>
      </c>
      <c r="L747" s="0" t="s">
        <v>1813</v>
      </c>
    </row>
    <row r="748">
      <c r="A748" s="0" t="s">
        <v>53</v>
      </c>
      <c r="B748" s="0" t="s">
        <v>286</v>
      </c>
      <c r="C748" s="0" t="s">
        <v>515</v>
      </c>
      <c r="D748" s="0">
        <v>1.0000000000000001e-05</v>
      </c>
      <c r="E748" s="0"/>
      <c r="F748" s="0" t="s">
        <v>1094</v>
      </c>
      <c r="G748" s="0"/>
      <c r="H748" s="0"/>
      <c r="I748" s="0" t="s">
        <v>734</v>
      </c>
      <c r="J748" s="0"/>
      <c r="K748" s="0" t="s">
        <v>1811</v>
      </c>
      <c r="L748" s="0" t="s">
        <v>1813</v>
      </c>
    </row>
    <row r="749">
      <c r="A749" s="0" t="s">
        <v>53</v>
      </c>
      <c r="B749" s="0" t="s">
        <v>286</v>
      </c>
      <c r="C749" s="0" t="s">
        <v>507</v>
      </c>
      <c r="D749" s="0">
        <v>0.00046999999999999999</v>
      </c>
      <c r="E749" s="0"/>
      <c r="F749" s="0" t="s">
        <v>1095</v>
      </c>
      <c r="G749" s="0"/>
      <c r="H749" s="0"/>
      <c r="I749" s="0" t="s">
        <v>1794</v>
      </c>
      <c r="J749" s="0"/>
      <c r="K749" s="0" t="s">
        <v>1811</v>
      </c>
      <c r="L749" s="0" t="s">
        <v>1813</v>
      </c>
    </row>
    <row r="750">
      <c r="A750" s="0" t="s">
        <v>53</v>
      </c>
      <c r="B750" s="0" t="s">
        <v>379</v>
      </c>
      <c r="C750" s="0" t="s">
        <v>507</v>
      </c>
      <c r="D750" s="0">
        <v>0.14699999999999999</v>
      </c>
      <c r="E750" s="0"/>
      <c r="F750" s="0" t="s">
        <v>1096</v>
      </c>
      <c r="G750" s="0"/>
      <c r="H750" s="0"/>
      <c r="I750" s="0" t="s">
        <v>1795</v>
      </c>
      <c r="J750" s="0"/>
      <c r="K750" s="0" t="s">
        <v>1811</v>
      </c>
      <c r="L750" s="0" t="s">
        <v>1813</v>
      </c>
    </row>
    <row r="751">
      <c r="A751" s="0" t="s">
        <v>53</v>
      </c>
      <c r="B751" s="0" t="s">
        <v>379</v>
      </c>
      <c r="C751" s="0" t="s">
        <v>508</v>
      </c>
      <c r="D751" s="0">
        <v>0.109</v>
      </c>
      <c r="E751" s="0"/>
      <c r="F751" s="0" t="s">
        <v>1097</v>
      </c>
      <c r="G751" s="0"/>
      <c r="H751" s="0"/>
      <c r="I751" s="0" t="s">
        <v>1795</v>
      </c>
      <c r="J751" s="0"/>
      <c r="K751" s="0" t="s">
        <v>1811</v>
      </c>
      <c r="L751" s="0" t="s">
        <v>1813</v>
      </c>
    </row>
    <row r="752">
      <c r="A752" s="0" t="s">
        <v>53</v>
      </c>
      <c r="B752" s="0" t="s">
        <v>379</v>
      </c>
      <c r="C752" s="0" t="s">
        <v>514</v>
      </c>
      <c r="D752" s="0">
        <v>0.91600000000000004</v>
      </c>
      <c r="E752" s="0"/>
      <c r="F752" s="0" t="s">
        <v>1098</v>
      </c>
      <c r="G752" s="0"/>
      <c r="H752" s="0"/>
      <c r="I752" s="0" t="s">
        <v>1795</v>
      </c>
      <c r="J752" s="0"/>
      <c r="K752" s="0" t="s">
        <v>1811</v>
      </c>
      <c r="L752" s="0" t="s">
        <v>1813</v>
      </c>
    </row>
    <row r="753">
      <c r="A753" s="0" t="s">
        <v>53</v>
      </c>
      <c r="B753" s="0" t="s">
        <v>379</v>
      </c>
      <c r="C753" s="0" t="s">
        <v>513</v>
      </c>
      <c r="D753" s="0">
        <v>0.96299999999999997</v>
      </c>
      <c r="E753" s="0"/>
      <c r="F753" s="0" t="s">
        <v>1099</v>
      </c>
      <c r="G753" s="0"/>
      <c r="H753" s="0"/>
      <c r="I753" s="0" t="s">
        <v>1795</v>
      </c>
      <c r="J753" s="0"/>
      <c r="K753" s="0" t="s">
        <v>1811</v>
      </c>
      <c r="L753" s="0" t="s">
        <v>1813</v>
      </c>
    </row>
    <row r="754">
      <c r="A754" s="0" t="s">
        <v>55</v>
      </c>
      <c r="B754" s="0" t="s">
        <v>305</v>
      </c>
      <c r="C754" s="0" t="s">
        <v>548</v>
      </c>
      <c r="D754" s="0">
        <v>0.0011999999999999999</v>
      </c>
      <c r="E754" s="0"/>
      <c r="F754" s="0" t="s">
        <v>1100</v>
      </c>
      <c r="G754" s="0"/>
      <c r="H754" s="0"/>
      <c r="I754" s="0" t="s">
        <v>1790</v>
      </c>
      <c r="J754" s="0"/>
      <c r="K754" s="0" t="s">
        <v>1811</v>
      </c>
      <c r="L754" s="0" t="s">
        <v>1813</v>
      </c>
    </row>
    <row r="755">
      <c r="A755" s="0" t="s">
        <v>55</v>
      </c>
      <c r="B755" s="0" t="s">
        <v>305</v>
      </c>
      <c r="C755" s="0" t="s">
        <v>143</v>
      </c>
      <c r="D755" s="0">
        <v>0.0070000000000000001</v>
      </c>
      <c r="E755" s="0"/>
      <c r="F755" s="0" t="s">
        <v>799</v>
      </c>
      <c r="G755" s="0"/>
      <c r="H755" s="0" t="s">
        <v>1617</v>
      </c>
      <c r="I755" s="0" t="s">
        <v>1780</v>
      </c>
      <c r="J755" s="0"/>
      <c r="K755" s="0" t="s">
        <v>1811</v>
      </c>
      <c r="L755" s="0" t="s">
        <v>1813</v>
      </c>
    </row>
    <row r="756">
      <c r="A756" s="0" t="s">
        <v>55</v>
      </c>
      <c r="B756" s="0" t="s">
        <v>326</v>
      </c>
      <c r="C756" s="0" t="s">
        <v>548</v>
      </c>
      <c r="D756" s="0">
        <v>0.032000000000000001</v>
      </c>
      <c r="E756" s="0"/>
      <c r="F756" s="0" t="s">
        <v>714</v>
      </c>
      <c r="G756" s="0"/>
      <c r="H756" s="0"/>
      <c r="I756" s="0" t="s">
        <v>585</v>
      </c>
      <c r="J756" s="0"/>
      <c r="K756" s="0" t="s">
        <v>1811</v>
      </c>
      <c r="L756" s="0" t="s">
        <v>1813</v>
      </c>
    </row>
    <row r="757">
      <c r="A757" s="0" t="s">
        <v>55</v>
      </c>
      <c r="B757" s="0" t="s">
        <v>326</v>
      </c>
      <c r="C757" s="0" t="s">
        <v>143</v>
      </c>
      <c r="D757" s="0">
        <v>0.069000000000000006</v>
      </c>
      <c r="E757" s="0"/>
      <c r="F757" s="0" t="s">
        <v>988</v>
      </c>
      <c r="G757" s="0"/>
      <c r="H757" s="0"/>
      <c r="I757" s="0" t="s">
        <v>585</v>
      </c>
      <c r="J757" s="0"/>
      <c r="K757" s="0" t="s">
        <v>1811</v>
      </c>
      <c r="L757" s="0" t="s">
        <v>1813</v>
      </c>
    </row>
    <row r="758">
      <c r="A758" s="0" t="s">
        <v>55</v>
      </c>
      <c r="B758" s="0" t="s">
        <v>380</v>
      </c>
      <c r="C758" s="0" t="s">
        <v>549</v>
      </c>
      <c r="D758" s="0">
        <v>1</v>
      </c>
      <c r="E758" s="0"/>
      <c r="F758" s="0" t="s">
        <v>776</v>
      </c>
      <c r="G758" s="0"/>
      <c r="H758" s="0"/>
      <c r="I758" s="0" t="s">
        <v>776</v>
      </c>
      <c r="J758" s="0"/>
      <c r="K758" s="0" t="s">
        <v>1811</v>
      </c>
      <c r="L758" s="0" t="s">
        <v>1813</v>
      </c>
    </row>
    <row r="759">
      <c r="A759" s="0" t="s">
        <v>55</v>
      </c>
      <c r="B759" s="0" t="s">
        <v>380</v>
      </c>
      <c r="C759" s="0" t="s">
        <v>143</v>
      </c>
      <c r="D759" s="0">
        <v>0.0011999999999999999</v>
      </c>
      <c r="E759" s="0"/>
      <c r="F759" s="0" t="s">
        <v>1100</v>
      </c>
      <c r="G759" s="0"/>
      <c r="H759" s="0" t="s">
        <v>1618</v>
      </c>
      <c r="I759" s="0" t="s">
        <v>623</v>
      </c>
      <c r="J759" s="0"/>
      <c r="K759" s="0" t="s">
        <v>1811</v>
      </c>
      <c r="L759" s="0" t="s">
        <v>1813</v>
      </c>
    </row>
    <row r="760">
      <c r="A760" s="0" t="s">
        <v>55</v>
      </c>
      <c r="B760" s="0" t="s">
        <v>380</v>
      </c>
      <c r="C760" s="0" t="s">
        <v>550</v>
      </c>
      <c r="D760" s="0">
        <v>1.3999999999999999</v>
      </c>
      <c r="E760" s="0"/>
      <c r="F760" s="0" t="s">
        <v>759</v>
      </c>
      <c r="G760" s="0"/>
      <c r="H760" s="0"/>
      <c r="I760" s="0" t="s">
        <v>776</v>
      </c>
      <c r="J760" s="0"/>
      <c r="K760" s="0" t="s">
        <v>1811</v>
      </c>
      <c r="L760" s="0" t="s">
        <v>1813</v>
      </c>
    </row>
    <row r="761">
      <c r="A761" s="0" t="s">
        <v>55</v>
      </c>
      <c r="B761" s="0" t="s">
        <v>380</v>
      </c>
      <c r="C761" s="0" t="s">
        <v>551</v>
      </c>
      <c r="D761" s="0">
        <v>1.5</v>
      </c>
      <c r="E761" s="0"/>
      <c r="F761" s="0" t="s">
        <v>570</v>
      </c>
      <c r="G761" s="0"/>
      <c r="H761" s="0" t="s">
        <v>1618</v>
      </c>
      <c r="I761" s="0" t="s">
        <v>623</v>
      </c>
      <c r="J761" s="0"/>
      <c r="K761" s="0" t="s">
        <v>1811</v>
      </c>
      <c r="L761" s="0" t="s">
        <v>1813</v>
      </c>
    </row>
    <row r="762">
      <c r="A762" s="0" t="s">
        <v>55</v>
      </c>
      <c r="B762" s="0" t="s">
        <v>380</v>
      </c>
      <c r="C762" s="0" t="s">
        <v>552</v>
      </c>
      <c r="D762" s="0">
        <v>0.89000000000000001</v>
      </c>
      <c r="E762" s="0"/>
      <c r="F762" s="0" t="s">
        <v>869</v>
      </c>
      <c r="G762" s="0"/>
      <c r="H762" s="0"/>
      <c r="I762" s="0" t="s">
        <v>776</v>
      </c>
      <c r="J762" s="0"/>
      <c r="K762" s="0" t="s">
        <v>1811</v>
      </c>
      <c r="L762" s="0" t="s">
        <v>1813</v>
      </c>
    </row>
    <row r="763">
      <c r="A763" s="0" t="s">
        <v>55</v>
      </c>
      <c r="B763" s="0" t="s">
        <v>380</v>
      </c>
      <c r="C763" s="0" t="s">
        <v>553</v>
      </c>
      <c r="D763" s="0">
        <v>3.7000000000000002</v>
      </c>
      <c r="E763" s="0"/>
      <c r="F763" s="0" t="s">
        <v>893</v>
      </c>
      <c r="G763" s="0"/>
      <c r="H763" s="0"/>
      <c r="I763" s="0" t="s">
        <v>776</v>
      </c>
      <c r="J763" s="0"/>
      <c r="K763" s="0" t="s">
        <v>1811</v>
      </c>
      <c r="L763" s="0" t="s">
        <v>1813</v>
      </c>
    </row>
    <row r="764">
      <c r="A764" s="0" t="s">
        <v>55</v>
      </c>
      <c r="B764" s="0" t="s">
        <v>380</v>
      </c>
      <c r="C764" s="0" t="s">
        <v>554</v>
      </c>
      <c r="D764" s="0">
        <v>0.035999999999999997</v>
      </c>
      <c r="E764" s="0"/>
      <c r="F764" s="0" t="s">
        <v>932</v>
      </c>
      <c r="G764" s="0"/>
      <c r="H764" s="0" t="s">
        <v>1619</v>
      </c>
      <c r="I764" s="0" t="s">
        <v>776</v>
      </c>
      <c r="J764" s="0"/>
      <c r="K764" s="0" t="s">
        <v>1811</v>
      </c>
      <c r="L764" s="0" t="s">
        <v>1813</v>
      </c>
    </row>
    <row r="765">
      <c r="A765" s="0" t="s">
        <v>55</v>
      </c>
      <c r="B765" s="0" t="s">
        <v>380</v>
      </c>
      <c r="C765" s="0" t="s">
        <v>555</v>
      </c>
      <c r="D765" s="0">
        <v>0.23999999999999999</v>
      </c>
      <c r="E765" s="0"/>
      <c r="F765" s="0" t="s">
        <v>653</v>
      </c>
      <c r="G765" s="0"/>
      <c r="H765" s="0"/>
      <c r="I765" s="0" t="s">
        <v>776</v>
      </c>
      <c r="J765" s="0"/>
      <c r="K765" s="0" t="s">
        <v>1811</v>
      </c>
      <c r="L765" s="0" t="s">
        <v>1813</v>
      </c>
    </row>
    <row r="766">
      <c r="A766" s="0" t="s">
        <v>55</v>
      </c>
      <c r="B766" s="0" t="s">
        <v>380</v>
      </c>
      <c r="C766" s="0" t="s">
        <v>556</v>
      </c>
      <c r="D766" s="0">
        <v>0.255</v>
      </c>
      <c r="E766" s="0"/>
      <c r="F766" s="0" t="s">
        <v>1101</v>
      </c>
      <c r="G766" s="0"/>
      <c r="H766" s="0"/>
      <c r="I766" s="0" t="s">
        <v>789</v>
      </c>
      <c r="J766" s="0"/>
      <c r="K766" s="0" t="s">
        <v>1811</v>
      </c>
      <c r="L766" s="0" t="s">
        <v>1813</v>
      </c>
    </row>
    <row r="767">
      <c r="A767" s="0" t="s">
        <v>55</v>
      </c>
      <c r="B767" s="0" t="s">
        <v>380</v>
      </c>
      <c r="C767" s="0" t="s">
        <v>143</v>
      </c>
      <c r="D767" s="0">
        <v>0.00233</v>
      </c>
      <c r="E767" s="0"/>
      <c r="F767" s="0" t="s">
        <v>1102</v>
      </c>
      <c r="G767" s="0"/>
      <c r="H767" s="0"/>
      <c r="I767" s="0" t="s">
        <v>789</v>
      </c>
      <c r="J767" s="0"/>
      <c r="K767" s="0" t="s">
        <v>1811</v>
      </c>
      <c r="L767" s="0" t="s">
        <v>1813</v>
      </c>
    </row>
    <row r="768">
      <c r="A768" s="0" t="s">
        <v>55</v>
      </c>
      <c r="B768" s="0" t="s">
        <v>380</v>
      </c>
      <c r="C768" s="0" t="s">
        <v>557</v>
      </c>
      <c r="D768" s="0">
        <v>0.0052300000000000003</v>
      </c>
      <c r="E768" s="0"/>
      <c r="F768" s="0" t="s">
        <v>1103</v>
      </c>
      <c r="G768" s="0"/>
      <c r="H768" s="0"/>
      <c r="I768" s="0" t="s">
        <v>789</v>
      </c>
      <c r="J768" s="0"/>
      <c r="K768" s="0" t="s">
        <v>1811</v>
      </c>
      <c r="L768" s="0" t="s">
        <v>1813</v>
      </c>
    </row>
    <row r="769">
      <c r="A769" s="0" t="s">
        <v>55</v>
      </c>
      <c r="B769" s="0" t="s">
        <v>380</v>
      </c>
      <c r="C769" s="0" t="s">
        <v>548</v>
      </c>
      <c r="D769" s="0">
        <v>0.025000000000000001</v>
      </c>
      <c r="E769" s="0"/>
      <c r="F769" s="0" t="s">
        <v>781</v>
      </c>
      <c r="G769" s="0"/>
      <c r="H769" s="0"/>
      <c r="I769" s="0" t="s">
        <v>1804</v>
      </c>
      <c r="J769" s="0"/>
      <c r="K769" s="0" t="s">
        <v>1811</v>
      </c>
      <c r="L769" s="0" t="s">
        <v>1813</v>
      </c>
    </row>
    <row r="770">
      <c r="A770" s="0" t="s">
        <v>55</v>
      </c>
      <c r="B770" s="0" t="s">
        <v>358</v>
      </c>
      <c r="C770" s="0" t="s">
        <v>548</v>
      </c>
      <c r="D770" s="0">
        <v>0.00069999999999999999</v>
      </c>
      <c r="E770" s="0"/>
      <c r="F770" s="0" t="s">
        <v>1104</v>
      </c>
      <c r="G770" s="0"/>
      <c r="H770" s="0"/>
      <c r="I770" s="0" t="s">
        <v>681</v>
      </c>
      <c r="J770" s="0"/>
      <c r="K770" s="0" t="s">
        <v>1811</v>
      </c>
      <c r="L770" s="0" t="s">
        <v>1813</v>
      </c>
    </row>
    <row r="771">
      <c r="A771" s="0" t="s">
        <v>55</v>
      </c>
      <c r="B771" s="0" t="s">
        <v>358</v>
      </c>
      <c r="C771" s="0" t="s">
        <v>143</v>
      </c>
      <c r="D771" s="0">
        <v>0.00080000000000000004</v>
      </c>
      <c r="E771" s="0"/>
      <c r="F771" s="0" t="s">
        <v>1105</v>
      </c>
      <c r="G771" s="0"/>
      <c r="H771" s="0" t="s">
        <v>1620</v>
      </c>
      <c r="I771" s="0" t="s">
        <v>1729</v>
      </c>
      <c r="J771" s="0"/>
      <c r="K771" s="0" t="s">
        <v>1811</v>
      </c>
      <c r="L771" s="0" t="s">
        <v>1813</v>
      </c>
    </row>
    <row r="772">
      <c r="A772" s="0" t="s">
        <v>55</v>
      </c>
      <c r="B772" s="0" t="s">
        <v>381</v>
      </c>
      <c r="C772" s="0" t="s">
        <v>558</v>
      </c>
      <c r="D772" s="0">
        <v>0.29999999999999999</v>
      </c>
      <c r="E772" s="0"/>
      <c r="F772" s="0" t="s">
        <v>589</v>
      </c>
      <c r="G772" s="0"/>
      <c r="H772" s="0"/>
      <c r="I772" s="0" t="s">
        <v>1748</v>
      </c>
      <c r="J772" s="0"/>
      <c r="K772" s="0" t="s">
        <v>1811</v>
      </c>
      <c r="L772" s="0" t="s">
        <v>1813</v>
      </c>
    </row>
    <row r="773">
      <c r="A773" s="0" t="s">
        <v>55</v>
      </c>
      <c r="B773" s="0" t="s">
        <v>381</v>
      </c>
      <c r="C773" s="0" t="s">
        <v>559</v>
      </c>
      <c r="D773" s="0">
        <v>0.20000000000000001</v>
      </c>
      <c r="E773" s="0"/>
      <c r="F773" s="0" t="s">
        <v>583</v>
      </c>
      <c r="G773" s="0"/>
      <c r="H773" s="0"/>
      <c r="I773" s="0" t="s">
        <v>1748</v>
      </c>
      <c r="J773" s="0"/>
      <c r="K773" s="0" t="s">
        <v>1811</v>
      </c>
      <c r="L773" s="0" t="s">
        <v>1813</v>
      </c>
    </row>
    <row r="774">
      <c r="A774" s="0" t="s">
        <v>55</v>
      </c>
      <c r="B774" s="0" t="s">
        <v>381</v>
      </c>
      <c r="C774" s="0" t="s">
        <v>143</v>
      </c>
      <c r="D774" s="0">
        <v>0.0038</v>
      </c>
      <c r="E774" s="0"/>
      <c r="F774" s="0" t="s">
        <v>1106</v>
      </c>
      <c r="G774" s="0"/>
      <c r="H774" s="0"/>
      <c r="I774" s="0" t="s">
        <v>1805</v>
      </c>
      <c r="J774" s="0"/>
      <c r="K774" s="0" t="s">
        <v>1811</v>
      </c>
      <c r="L774" s="0" t="s">
        <v>1813</v>
      </c>
    </row>
    <row r="775">
      <c r="A775" s="0" t="s">
        <v>55</v>
      </c>
      <c r="B775" s="0" t="s">
        <v>382</v>
      </c>
      <c r="C775" s="0" t="s">
        <v>548</v>
      </c>
      <c r="D775" s="0">
        <v>0.0095999999999999992</v>
      </c>
      <c r="E775" s="0"/>
      <c r="F775" s="0" t="s">
        <v>1107</v>
      </c>
      <c r="G775" s="0"/>
      <c r="H775" s="0" t="s">
        <v>1621</v>
      </c>
      <c r="I775" s="0" t="s">
        <v>1780</v>
      </c>
      <c r="J775" s="0"/>
      <c r="K775" s="0" t="s">
        <v>1811</v>
      </c>
      <c r="L775" s="0" t="s">
        <v>1813</v>
      </c>
    </row>
    <row r="776">
      <c r="A776" s="0" t="s">
        <v>55</v>
      </c>
      <c r="B776" s="0" t="s">
        <v>383</v>
      </c>
      <c r="C776" s="0" t="s">
        <v>548</v>
      </c>
      <c r="D776" s="0">
        <v>0.014999999999999999</v>
      </c>
      <c r="E776" s="0"/>
      <c r="F776" s="0" t="s">
        <v>1108</v>
      </c>
      <c r="G776" s="0"/>
      <c r="H776" s="0"/>
      <c r="I776" s="0" t="s">
        <v>641</v>
      </c>
      <c r="J776" s="0"/>
      <c r="K776" s="0" t="s">
        <v>1811</v>
      </c>
      <c r="L776" s="0" t="s">
        <v>1813</v>
      </c>
    </row>
    <row r="777">
      <c r="A777" s="0" t="s">
        <v>55</v>
      </c>
      <c r="B777" s="0" t="s">
        <v>384</v>
      </c>
      <c r="C777" s="0" t="s">
        <v>143</v>
      </c>
      <c r="D777" s="0">
        <v>0.002</v>
      </c>
      <c r="E777" s="0"/>
      <c r="F777" s="0" t="s">
        <v>1075</v>
      </c>
      <c r="G777" s="0"/>
      <c r="H777" s="0"/>
      <c r="I777" s="0" t="s">
        <v>803</v>
      </c>
      <c r="J777" s="0"/>
      <c r="K777" s="0" t="s">
        <v>1811</v>
      </c>
      <c r="L777" s="0" t="s">
        <v>1813</v>
      </c>
    </row>
    <row r="778">
      <c r="A778" s="0" t="s">
        <v>55</v>
      </c>
      <c r="B778" s="0" t="s">
        <v>385</v>
      </c>
      <c r="C778" s="0" t="s">
        <v>143</v>
      </c>
      <c r="D778" s="0">
        <v>0.0050000000000000001</v>
      </c>
      <c r="E778" s="0"/>
      <c r="F778" s="0" t="s">
        <v>794</v>
      </c>
      <c r="G778" s="0"/>
      <c r="H778" s="0"/>
      <c r="I778" s="0" t="s">
        <v>1794</v>
      </c>
      <c r="J778" s="0"/>
      <c r="K778" s="0" t="s">
        <v>1811</v>
      </c>
      <c r="L778" s="0" t="s">
        <v>1813</v>
      </c>
    </row>
    <row r="779">
      <c r="A779" s="0" t="s">
        <v>55</v>
      </c>
      <c r="B779" s="0" t="s">
        <v>147</v>
      </c>
      <c r="C779" s="0" t="s">
        <v>143</v>
      </c>
      <c r="D779" s="0">
        <v>0.0040000000000000001</v>
      </c>
      <c r="E779" s="0"/>
      <c r="F779" s="0" t="s">
        <v>1037</v>
      </c>
      <c r="G779" s="0"/>
      <c r="H779" s="0"/>
      <c r="I779" s="0" t="s">
        <v>643</v>
      </c>
      <c r="J779" s="0"/>
      <c r="K779" s="0" t="s">
        <v>1811</v>
      </c>
      <c r="L779" s="0" t="s">
        <v>1813</v>
      </c>
    </row>
    <row r="780">
      <c r="A780" s="0" t="s">
        <v>55</v>
      </c>
      <c r="B780" s="0" t="s">
        <v>147</v>
      </c>
      <c r="C780" s="0" t="s">
        <v>548</v>
      </c>
      <c r="D780" s="0">
        <v>0.00084999999999999995</v>
      </c>
      <c r="E780" s="0"/>
      <c r="F780" s="0" t="s">
        <v>1109</v>
      </c>
      <c r="G780" s="0"/>
      <c r="H780" s="0" t="s">
        <v>1622</v>
      </c>
      <c r="I780" s="0" t="s">
        <v>1772</v>
      </c>
      <c r="J780" s="0"/>
      <c r="K780" s="0" t="s">
        <v>1811</v>
      </c>
      <c r="L780" s="0" t="s">
        <v>1813</v>
      </c>
    </row>
    <row r="781">
      <c r="A781" s="0" t="s">
        <v>55</v>
      </c>
      <c r="B781" s="0" t="s">
        <v>147</v>
      </c>
      <c r="C781" s="0" t="s">
        <v>143</v>
      </c>
      <c r="D781" s="0">
        <v>0.0047000000000000002</v>
      </c>
      <c r="E781" s="0"/>
      <c r="F781" s="0" t="s">
        <v>1110</v>
      </c>
      <c r="G781" s="0"/>
      <c r="H781" s="0" t="s">
        <v>1623</v>
      </c>
      <c r="I781" s="0" t="s">
        <v>1772</v>
      </c>
      <c r="J781" s="0"/>
      <c r="K781" s="0" t="s">
        <v>1811</v>
      </c>
      <c r="L781" s="0" t="s">
        <v>1813</v>
      </c>
    </row>
    <row r="782">
      <c r="A782" s="0" t="s">
        <v>55</v>
      </c>
      <c r="B782" s="0" t="s">
        <v>147</v>
      </c>
      <c r="C782" s="0" t="s">
        <v>143</v>
      </c>
      <c r="D782" s="0">
        <v>0.0028999999999999998</v>
      </c>
      <c r="E782" s="0"/>
      <c r="F782" s="0" t="s">
        <v>1111</v>
      </c>
      <c r="G782" s="0"/>
      <c r="H782" s="0" t="s">
        <v>1624</v>
      </c>
      <c r="I782" s="0" t="s">
        <v>1772</v>
      </c>
      <c r="J782" s="0"/>
      <c r="K782" s="0" t="s">
        <v>1811</v>
      </c>
      <c r="L782" s="0" t="s">
        <v>1813</v>
      </c>
    </row>
    <row r="783">
      <c r="A783" s="0" t="s">
        <v>55</v>
      </c>
      <c r="B783" s="0" t="s">
        <v>147</v>
      </c>
      <c r="C783" s="0" t="s">
        <v>143</v>
      </c>
      <c r="D783" s="0">
        <v>0.0063</v>
      </c>
      <c r="E783" s="0"/>
      <c r="F783" s="0" t="s">
        <v>1112</v>
      </c>
      <c r="G783" s="0"/>
      <c r="H783" s="0" t="s">
        <v>1625</v>
      </c>
      <c r="I783" s="0" t="s">
        <v>1772</v>
      </c>
      <c r="J783" s="0"/>
      <c r="K783" s="0" t="s">
        <v>1811</v>
      </c>
      <c r="L783" s="0" t="s">
        <v>1813</v>
      </c>
    </row>
    <row r="784">
      <c r="A784" s="0" t="s">
        <v>55</v>
      </c>
      <c r="B784" s="0" t="s">
        <v>147</v>
      </c>
      <c r="C784" s="0" t="s">
        <v>548</v>
      </c>
      <c r="D784" s="0">
        <v>0.0088999999999999999</v>
      </c>
      <c r="E784" s="0"/>
      <c r="F784" s="0" t="s">
        <v>1113</v>
      </c>
      <c r="G784" s="0"/>
      <c r="H784" s="0"/>
      <c r="I784" s="0" t="s">
        <v>643</v>
      </c>
      <c r="J784" s="0"/>
      <c r="K784" s="0" t="s">
        <v>1811</v>
      </c>
      <c r="L784" s="0" t="s">
        <v>1813</v>
      </c>
    </row>
    <row r="785">
      <c r="A785" s="0" t="s">
        <v>55</v>
      </c>
      <c r="B785" s="0" t="s">
        <v>147</v>
      </c>
      <c r="C785" s="0" t="s">
        <v>548</v>
      </c>
      <c r="D785" s="0">
        <v>0.016799999999999999</v>
      </c>
      <c r="E785" s="0"/>
      <c r="F785" s="0" t="s">
        <v>1114</v>
      </c>
      <c r="G785" s="0"/>
      <c r="H785" s="0" t="s">
        <v>1626</v>
      </c>
      <c r="I785" s="0" t="s">
        <v>1772</v>
      </c>
      <c r="J785" s="0"/>
      <c r="K785" s="0" t="s">
        <v>1811</v>
      </c>
      <c r="L785" s="0" t="s">
        <v>1813</v>
      </c>
    </row>
    <row r="786">
      <c r="A786" s="0" t="s">
        <v>55</v>
      </c>
      <c r="B786" s="0" t="s">
        <v>147</v>
      </c>
      <c r="C786" s="0" t="s">
        <v>143</v>
      </c>
      <c r="D786" s="0">
        <v>0.0061000000000000004</v>
      </c>
      <c r="E786" s="0"/>
      <c r="F786" s="0" t="s">
        <v>1115</v>
      </c>
      <c r="G786" s="0"/>
      <c r="H786" s="0" t="s">
        <v>1627</v>
      </c>
      <c r="I786" s="0" t="s">
        <v>1772</v>
      </c>
      <c r="J786" s="0"/>
      <c r="K786" s="0" t="s">
        <v>1811</v>
      </c>
      <c r="L786" s="0" t="s">
        <v>1813</v>
      </c>
    </row>
    <row r="787">
      <c r="A787" s="0" t="s">
        <v>55</v>
      </c>
      <c r="B787" s="0" t="s">
        <v>386</v>
      </c>
      <c r="C787" s="0" t="s">
        <v>556</v>
      </c>
      <c r="D787" s="0">
        <v>0.45000000000000001</v>
      </c>
      <c r="E787" s="0"/>
      <c r="F787" s="0" t="s">
        <v>1116</v>
      </c>
      <c r="G787" s="0"/>
      <c r="H787" s="0"/>
      <c r="I787" s="0" t="s">
        <v>1749</v>
      </c>
      <c r="J787" s="0"/>
      <c r="K787" s="0" t="s">
        <v>1811</v>
      </c>
      <c r="L787" s="0" t="s">
        <v>1813</v>
      </c>
    </row>
    <row r="788">
      <c r="A788" s="0" t="s">
        <v>55</v>
      </c>
      <c r="B788" s="0" t="s">
        <v>386</v>
      </c>
      <c r="C788" s="0" t="s">
        <v>143</v>
      </c>
      <c r="D788" s="0">
        <v>0.0041999999999999998</v>
      </c>
      <c r="E788" s="0"/>
      <c r="F788" s="0" t="s">
        <v>1117</v>
      </c>
      <c r="G788" s="0"/>
      <c r="H788" s="0"/>
      <c r="I788" s="0" t="s">
        <v>1749</v>
      </c>
      <c r="J788" s="0"/>
      <c r="K788" s="0" t="s">
        <v>1811</v>
      </c>
      <c r="L788" s="0" t="s">
        <v>1813</v>
      </c>
    </row>
    <row r="789">
      <c r="A789" s="0" t="s">
        <v>55</v>
      </c>
      <c r="B789" s="0" t="s">
        <v>386</v>
      </c>
      <c r="C789" s="0" t="s">
        <v>557</v>
      </c>
      <c r="D789" s="0">
        <v>0.086999999999999994</v>
      </c>
      <c r="E789" s="0"/>
      <c r="F789" s="0" t="s">
        <v>1118</v>
      </c>
      <c r="G789" s="0"/>
      <c r="H789" s="0"/>
      <c r="I789" s="0" t="s">
        <v>1749</v>
      </c>
      <c r="J789" s="0"/>
      <c r="K789" s="0" t="s">
        <v>1811</v>
      </c>
      <c r="L789" s="0" t="s">
        <v>1813</v>
      </c>
    </row>
    <row r="790">
      <c r="A790" s="0" t="s">
        <v>55</v>
      </c>
      <c r="B790" s="0" t="s">
        <v>386</v>
      </c>
      <c r="C790" s="0" t="s">
        <v>548</v>
      </c>
      <c r="D790" s="0">
        <v>0.14299999999999999</v>
      </c>
      <c r="E790" s="0"/>
      <c r="F790" s="0" t="s">
        <v>1119</v>
      </c>
      <c r="G790" s="0"/>
      <c r="H790" s="0"/>
      <c r="I790" s="0" t="s">
        <v>1749</v>
      </c>
      <c r="J790" s="0"/>
      <c r="K790" s="0" t="s">
        <v>1811</v>
      </c>
      <c r="L790" s="0" t="s">
        <v>1813</v>
      </c>
    </row>
    <row r="791">
      <c r="A791" s="0" t="s">
        <v>55</v>
      </c>
      <c r="B791" s="0" t="s">
        <v>306</v>
      </c>
      <c r="C791" s="0" t="s">
        <v>143</v>
      </c>
      <c r="D791" s="0">
        <v>0.001</v>
      </c>
      <c r="E791" s="0"/>
      <c r="F791" s="0" t="s">
        <v>1120</v>
      </c>
      <c r="G791" s="0"/>
      <c r="H791" s="0" t="s">
        <v>1628</v>
      </c>
      <c r="I791" s="0" t="s">
        <v>1729</v>
      </c>
      <c r="J791" s="0"/>
      <c r="K791" s="0" t="s">
        <v>1811</v>
      </c>
      <c r="L791" s="0" t="s">
        <v>1813</v>
      </c>
    </row>
    <row r="792">
      <c r="A792" s="0" t="s">
        <v>55</v>
      </c>
      <c r="B792" s="0" t="s">
        <v>306</v>
      </c>
      <c r="C792" s="0" t="s">
        <v>560</v>
      </c>
      <c r="D792" s="0">
        <v>2.3999999999999999</v>
      </c>
      <c r="E792" s="0"/>
      <c r="F792" s="0" t="s">
        <v>716</v>
      </c>
      <c r="G792" s="0"/>
      <c r="H792" s="0"/>
      <c r="I792" s="0" t="s">
        <v>1729</v>
      </c>
      <c r="J792" s="0"/>
      <c r="K792" s="0" t="s">
        <v>1811</v>
      </c>
      <c r="L792" s="0" t="s">
        <v>1813</v>
      </c>
    </row>
    <row r="793">
      <c r="A793" s="0" t="s">
        <v>55</v>
      </c>
      <c r="B793" s="0" t="s">
        <v>306</v>
      </c>
      <c r="C793" s="0" t="s">
        <v>561</v>
      </c>
      <c r="D793" s="0">
        <v>1.8</v>
      </c>
      <c r="E793" s="0"/>
      <c r="F793" s="0" t="s">
        <v>760</v>
      </c>
      <c r="G793" s="0"/>
      <c r="H793" s="0"/>
      <c r="I793" s="0" t="s">
        <v>1729</v>
      </c>
      <c r="J793" s="0"/>
      <c r="K793" s="0" t="s">
        <v>1811</v>
      </c>
      <c r="L793" s="0" t="s">
        <v>1813</v>
      </c>
    </row>
    <row r="794">
      <c r="A794" s="0" t="s">
        <v>55</v>
      </c>
      <c r="B794" s="0" t="s">
        <v>306</v>
      </c>
      <c r="C794" s="0" t="s">
        <v>562</v>
      </c>
      <c r="D794" s="0">
        <v>2.5</v>
      </c>
      <c r="E794" s="0"/>
      <c r="F794" s="0" t="s">
        <v>639</v>
      </c>
      <c r="G794" s="0"/>
      <c r="H794" s="0"/>
      <c r="I794" s="0" t="s">
        <v>1729</v>
      </c>
      <c r="J794" s="0"/>
      <c r="K794" s="0" t="s">
        <v>1811</v>
      </c>
      <c r="L794" s="0" t="s">
        <v>1813</v>
      </c>
    </row>
    <row r="795">
      <c r="A795" s="0" t="s">
        <v>55</v>
      </c>
      <c r="B795" s="0" t="s">
        <v>306</v>
      </c>
      <c r="C795" s="0" t="s">
        <v>560</v>
      </c>
      <c r="D795" s="0">
        <v>0.014999999999999999</v>
      </c>
      <c r="E795" s="0"/>
      <c r="F795" s="0" t="s">
        <v>1108</v>
      </c>
      <c r="G795" s="0"/>
      <c r="H795" s="0"/>
      <c r="I795" s="0" t="s">
        <v>1729</v>
      </c>
      <c r="J795" s="0"/>
      <c r="K795" s="0" t="s">
        <v>1811</v>
      </c>
      <c r="L795" s="0" t="s">
        <v>1813</v>
      </c>
    </row>
    <row r="796">
      <c r="A796" s="0" t="s">
        <v>55</v>
      </c>
      <c r="B796" s="0" t="s">
        <v>306</v>
      </c>
      <c r="C796" s="0" t="s">
        <v>562</v>
      </c>
      <c r="D796" s="0">
        <v>0.11</v>
      </c>
      <c r="E796" s="0"/>
      <c r="F796" s="0" t="s">
        <v>654</v>
      </c>
      <c r="G796" s="0"/>
      <c r="H796" s="0"/>
      <c r="I796" s="0" t="s">
        <v>1729</v>
      </c>
      <c r="J796" s="0"/>
      <c r="K796" s="0" t="s">
        <v>1811</v>
      </c>
      <c r="L796" s="0" t="s">
        <v>1813</v>
      </c>
    </row>
    <row r="797">
      <c r="A797" s="0" t="s">
        <v>55</v>
      </c>
      <c r="B797" s="0" t="s">
        <v>306</v>
      </c>
      <c r="C797" s="0" t="s">
        <v>143</v>
      </c>
      <c r="D797" s="0">
        <v>0.0025999999999999999</v>
      </c>
      <c r="E797" s="0"/>
      <c r="F797" s="0" t="s">
        <v>1121</v>
      </c>
      <c r="G797" s="0"/>
      <c r="H797" s="0" t="s">
        <v>1629</v>
      </c>
      <c r="I797" s="0" t="s">
        <v>1729</v>
      </c>
      <c r="J797" s="0"/>
      <c r="K797" s="0" t="s">
        <v>1811</v>
      </c>
      <c r="L797" s="0" t="s">
        <v>1813</v>
      </c>
    </row>
    <row r="798">
      <c r="A798" s="0" t="s">
        <v>55</v>
      </c>
      <c r="B798" s="0" t="s">
        <v>306</v>
      </c>
      <c r="C798" s="0" t="s">
        <v>561</v>
      </c>
      <c r="D798" s="0">
        <v>0.33000000000000002</v>
      </c>
      <c r="E798" s="0"/>
      <c r="F798" s="0" t="s">
        <v>574</v>
      </c>
      <c r="G798" s="0"/>
      <c r="H798" s="0"/>
      <c r="I798" s="0" t="s">
        <v>1729</v>
      </c>
      <c r="J798" s="0"/>
      <c r="K798" s="0" t="s">
        <v>1811</v>
      </c>
      <c r="L798" s="0" t="s">
        <v>1813</v>
      </c>
    </row>
    <row r="799">
      <c r="A799" s="0" t="s">
        <v>55</v>
      </c>
      <c r="B799" s="0" t="s">
        <v>307</v>
      </c>
      <c r="C799" s="0" t="s">
        <v>143</v>
      </c>
      <c r="D799" s="0">
        <v>0.02</v>
      </c>
      <c r="E799" s="0"/>
      <c r="F799" s="0" t="s">
        <v>923</v>
      </c>
      <c r="G799" s="0"/>
      <c r="H799" s="0"/>
      <c r="I799" s="0" t="s">
        <v>734</v>
      </c>
      <c r="J799" s="0"/>
      <c r="K799" s="0" t="s">
        <v>1811</v>
      </c>
      <c r="L799" s="0" t="s">
        <v>1813</v>
      </c>
    </row>
    <row r="800">
      <c r="A800" s="0" t="s">
        <v>55</v>
      </c>
      <c r="B800" s="0" t="s">
        <v>307</v>
      </c>
      <c r="C800" s="0" t="s">
        <v>548</v>
      </c>
      <c r="D800" s="0">
        <v>0.01</v>
      </c>
      <c r="E800" s="0"/>
      <c r="F800" s="0" t="s">
        <v>1122</v>
      </c>
      <c r="G800" s="0"/>
      <c r="H800" s="0"/>
      <c r="I800" s="0" t="s">
        <v>595</v>
      </c>
      <c r="J800" s="0"/>
      <c r="K800" s="0" t="s">
        <v>1811</v>
      </c>
      <c r="L800" s="0" t="s">
        <v>1813</v>
      </c>
    </row>
    <row r="801">
      <c r="A801" s="0" t="s">
        <v>55</v>
      </c>
      <c r="B801" s="0" t="s">
        <v>307</v>
      </c>
      <c r="C801" s="0" t="s">
        <v>548</v>
      </c>
      <c r="D801" s="0">
        <v>0.125</v>
      </c>
      <c r="E801" s="0"/>
      <c r="F801" s="0" t="s">
        <v>1035</v>
      </c>
      <c r="G801" s="0"/>
      <c r="H801" s="0" t="s">
        <v>1630</v>
      </c>
      <c r="I801" s="0" t="s">
        <v>734</v>
      </c>
      <c r="J801" s="0"/>
      <c r="K801" s="0" t="s">
        <v>1811</v>
      </c>
      <c r="L801" s="0" t="s">
        <v>1813</v>
      </c>
    </row>
    <row r="802">
      <c r="A802" s="0" t="s">
        <v>55</v>
      </c>
      <c r="B802" s="0" t="s">
        <v>307</v>
      </c>
      <c r="C802" s="0" t="s">
        <v>143</v>
      </c>
      <c r="D802" s="0">
        <v>0.0012999999999999999</v>
      </c>
      <c r="E802" s="0"/>
      <c r="F802" s="0" t="s">
        <v>1123</v>
      </c>
      <c r="G802" s="0"/>
      <c r="H802" s="0" t="s">
        <v>1631</v>
      </c>
      <c r="I802" s="0" t="s">
        <v>871</v>
      </c>
      <c r="J802" s="0"/>
      <c r="K802" s="0" t="s">
        <v>1811</v>
      </c>
      <c r="L802" s="0" t="s">
        <v>1813</v>
      </c>
    </row>
    <row r="803">
      <c r="A803" s="0" t="s">
        <v>55</v>
      </c>
      <c r="B803" s="0" t="s">
        <v>307</v>
      </c>
      <c r="C803" s="0" t="s">
        <v>418</v>
      </c>
      <c r="D803" s="0">
        <v>-999</v>
      </c>
      <c r="E803" s="0"/>
      <c r="F803" s="0" t="s">
        <v>673</v>
      </c>
      <c r="G803" s="0"/>
      <c r="H803" s="0" t="s">
        <v>1632</v>
      </c>
      <c r="I803" s="0" t="s">
        <v>1806</v>
      </c>
      <c r="J803" s="0"/>
      <c r="K803" s="0" t="s">
        <v>1811</v>
      </c>
      <c r="L803" s="0" t="s">
        <v>1813</v>
      </c>
    </row>
    <row r="804">
      <c r="A804" s="0" t="s">
        <v>55</v>
      </c>
      <c r="B804" s="0" t="s">
        <v>306</v>
      </c>
      <c r="C804" s="0" t="s">
        <v>561</v>
      </c>
      <c r="D804" s="0">
        <v>0.075999999999999998</v>
      </c>
      <c r="E804" s="0"/>
      <c r="F804" s="0" t="s">
        <v>1124</v>
      </c>
      <c r="G804" s="0"/>
      <c r="H804" s="0"/>
      <c r="I804" s="0" t="s">
        <v>1729</v>
      </c>
      <c r="J804" s="0"/>
      <c r="K804" s="0" t="s">
        <v>1811</v>
      </c>
      <c r="L804" s="0" t="s">
        <v>1813</v>
      </c>
    </row>
    <row r="805">
      <c r="A805" s="0" t="s">
        <v>55</v>
      </c>
      <c r="B805" s="0" t="s">
        <v>306</v>
      </c>
      <c r="C805" s="0" t="s">
        <v>560</v>
      </c>
      <c r="D805" s="0">
        <v>0.44</v>
      </c>
      <c r="E805" s="0"/>
      <c r="F805" s="0" t="s">
        <v>723</v>
      </c>
      <c r="G805" s="0"/>
      <c r="H805" s="0"/>
      <c r="I805" s="0" t="s">
        <v>1729</v>
      </c>
      <c r="J805" s="0"/>
      <c r="K805" s="0" t="s">
        <v>1811</v>
      </c>
      <c r="L805" s="0" t="s">
        <v>1813</v>
      </c>
    </row>
    <row r="806">
      <c r="A806" s="0" t="s">
        <v>55</v>
      </c>
      <c r="B806" s="0" t="s">
        <v>306</v>
      </c>
      <c r="C806" s="0" t="s">
        <v>562</v>
      </c>
      <c r="D806" s="0">
        <v>0.44</v>
      </c>
      <c r="E806" s="0"/>
      <c r="F806" s="0" t="s">
        <v>723</v>
      </c>
      <c r="G806" s="0"/>
      <c r="H806" s="0"/>
      <c r="I806" s="0" t="s">
        <v>1729</v>
      </c>
      <c r="J806" s="0"/>
      <c r="K806" s="0" t="s">
        <v>1811</v>
      </c>
      <c r="L806" s="0" t="s">
        <v>1813</v>
      </c>
    </row>
    <row r="807">
      <c r="A807" s="0" t="s">
        <v>55</v>
      </c>
      <c r="B807" s="0" t="s">
        <v>279</v>
      </c>
      <c r="C807" s="0" t="s">
        <v>143</v>
      </c>
      <c r="D807" s="0">
        <v>0.00040000000000000002</v>
      </c>
      <c r="E807" s="0"/>
      <c r="F807" s="0" t="s">
        <v>1125</v>
      </c>
      <c r="G807" s="0"/>
      <c r="H807" s="0" t="s">
        <v>1633</v>
      </c>
      <c r="I807" s="0" t="s">
        <v>871</v>
      </c>
      <c r="J807" s="0"/>
      <c r="K807" s="0" t="s">
        <v>1811</v>
      </c>
      <c r="L807" s="0" t="s">
        <v>1813</v>
      </c>
    </row>
    <row r="808">
      <c r="A808" s="0" t="s">
        <v>55</v>
      </c>
      <c r="B808" s="0" t="s">
        <v>279</v>
      </c>
      <c r="C808" s="0" t="s">
        <v>548</v>
      </c>
      <c r="D808" s="0">
        <v>0.115</v>
      </c>
      <c r="E808" s="0"/>
      <c r="F808" s="0" t="s">
        <v>1126</v>
      </c>
      <c r="G808" s="0"/>
      <c r="H808" s="0" t="s">
        <v>1634</v>
      </c>
      <c r="I808" s="0" t="s">
        <v>871</v>
      </c>
      <c r="J808" s="0"/>
      <c r="K808" s="0" t="s">
        <v>1811</v>
      </c>
      <c r="L808" s="0" t="s">
        <v>1813</v>
      </c>
    </row>
    <row r="809">
      <c r="A809" s="0" t="s">
        <v>55</v>
      </c>
      <c r="B809" s="0" t="s">
        <v>279</v>
      </c>
      <c r="C809" s="0" t="s">
        <v>143</v>
      </c>
      <c r="D809" s="0">
        <v>0.00059000000000000003</v>
      </c>
      <c r="E809" s="0"/>
      <c r="F809" s="0" t="s">
        <v>1127</v>
      </c>
      <c r="G809" s="0"/>
      <c r="H809" s="0" t="s">
        <v>1635</v>
      </c>
      <c r="I809" s="0" t="s">
        <v>871</v>
      </c>
      <c r="J809" s="0"/>
      <c r="K809" s="0" t="s">
        <v>1811</v>
      </c>
      <c r="L809" s="0" t="s">
        <v>1813</v>
      </c>
    </row>
    <row r="810">
      <c r="A810" s="0" t="s">
        <v>55</v>
      </c>
      <c r="B810" s="0" t="s">
        <v>279</v>
      </c>
      <c r="C810" s="0" t="s">
        <v>548</v>
      </c>
      <c r="D810" s="0">
        <v>0.021899999999999999</v>
      </c>
      <c r="E810" s="0"/>
      <c r="F810" s="0" t="s">
        <v>1128</v>
      </c>
      <c r="G810" s="0"/>
      <c r="H810" s="0" t="s">
        <v>1636</v>
      </c>
      <c r="I810" s="0" t="s">
        <v>871</v>
      </c>
      <c r="J810" s="0"/>
      <c r="K810" s="0" t="s">
        <v>1811</v>
      </c>
      <c r="L810" s="0" t="s">
        <v>1813</v>
      </c>
    </row>
    <row r="811">
      <c r="A811" s="0" t="s">
        <v>55</v>
      </c>
      <c r="B811" s="0" t="s">
        <v>279</v>
      </c>
      <c r="C811" s="0" t="s">
        <v>143</v>
      </c>
      <c r="D811" s="0">
        <v>0.0106</v>
      </c>
      <c r="E811" s="0"/>
      <c r="F811" s="0" t="s">
        <v>746</v>
      </c>
      <c r="G811" s="0"/>
      <c r="H811" s="0" t="s">
        <v>1637</v>
      </c>
      <c r="I811" s="0" t="s">
        <v>871</v>
      </c>
      <c r="J811" s="0"/>
      <c r="K811" s="0" t="s">
        <v>1811</v>
      </c>
      <c r="L811" s="0" t="s">
        <v>1813</v>
      </c>
    </row>
    <row r="812">
      <c r="A812" s="0" t="s">
        <v>55</v>
      </c>
      <c r="B812" s="0" t="s">
        <v>378</v>
      </c>
      <c r="C812" s="0" t="s">
        <v>143</v>
      </c>
      <c r="D812" s="0">
        <v>0.0099000000000000008</v>
      </c>
      <c r="E812" s="0"/>
      <c r="F812" s="0" t="s">
        <v>742</v>
      </c>
      <c r="G812" s="0"/>
      <c r="H812" s="0" t="s">
        <v>1638</v>
      </c>
      <c r="I812" s="0" t="s">
        <v>1685</v>
      </c>
      <c r="J812" s="0"/>
      <c r="K812" s="0" t="s">
        <v>1811</v>
      </c>
      <c r="L812" s="0" t="s">
        <v>1813</v>
      </c>
    </row>
    <row r="813">
      <c r="A813" s="0" t="s">
        <v>55</v>
      </c>
      <c r="B813" s="0" t="s">
        <v>378</v>
      </c>
      <c r="C813" s="0" t="s">
        <v>548</v>
      </c>
      <c r="D813" s="0">
        <v>0.040599999999999997</v>
      </c>
      <c r="E813" s="0"/>
      <c r="F813" s="0" t="s">
        <v>1129</v>
      </c>
      <c r="G813" s="0"/>
      <c r="H813" s="0" t="s">
        <v>1639</v>
      </c>
      <c r="I813" s="0" t="s">
        <v>1685</v>
      </c>
      <c r="J813" s="0"/>
      <c r="K813" s="0" t="s">
        <v>1811</v>
      </c>
      <c r="L813" s="0" t="s">
        <v>1813</v>
      </c>
    </row>
    <row r="814">
      <c r="A814" s="0" t="s">
        <v>55</v>
      </c>
      <c r="B814" s="0" t="s">
        <v>147</v>
      </c>
      <c r="C814" s="0" t="s">
        <v>143</v>
      </c>
      <c r="D814" s="0">
        <v>0.14000000000000001</v>
      </c>
      <c r="E814" s="0"/>
      <c r="F814" s="0" t="s">
        <v>924</v>
      </c>
      <c r="G814" s="0"/>
      <c r="H814" s="0"/>
      <c r="I814" s="0" t="s">
        <v>607</v>
      </c>
      <c r="J814" s="0"/>
      <c r="K814" s="0" t="s">
        <v>1811</v>
      </c>
      <c r="L814" s="0" t="s">
        <v>1813</v>
      </c>
    </row>
    <row r="815">
      <c r="A815" s="0" t="s">
        <v>55</v>
      </c>
      <c r="B815" s="0" t="s">
        <v>147</v>
      </c>
      <c r="C815" s="0" t="s">
        <v>143</v>
      </c>
      <c r="D815" s="0">
        <v>0.0016000000000000001</v>
      </c>
      <c r="E815" s="0"/>
      <c r="F815" s="0" t="s">
        <v>627</v>
      </c>
      <c r="G815" s="0"/>
      <c r="H815" s="0" t="s">
        <v>1640</v>
      </c>
      <c r="I815" s="0" t="s">
        <v>642</v>
      </c>
      <c r="J815" s="0"/>
      <c r="K815" s="0" t="s">
        <v>1811</v>
      </c>
      <c r="L815" s="0" t="s">
        <v>1813</v>
      </c>
    </row>
    <row r="816">
      <c r="A816" s="0" t="s">
        <v>55</v>
      </c>
      <c r="B816" s="0" t="s">
        <v>147</v>
      </c>
      <c r="C816" s="0" t="s">
        <v>548</v>
      </c>
      <c r="D816" s="0">
        <v>0.0060000000000000001</v>
      </c>
      <c r="E816" s="0"/>
      <c r="F816" s="0" t="s">
        <v>951</v>
      </c>
      <c r="G816" s="0"/>
      <c r="H816" s="0"/>
      <c r="I816" s="0" t="s">
        <v>1807</v>
      </c>
      <c r="J816" s="0"/>
      <c r="K816" s="0" t="s">
        <v>1811</v>
      </c>
      <c r="L816" s="0" t="s">
        <v>1813</v>
      </c>
    </row>
    <row r="817">
      <c r="A817" s="0" t="s">
        <v>55</v>
      </c>
      <c r="B817" s="0" t="s">
        <v>147</v>
      </c>
      <c r="C817" s="0" t="s">
        <v>143</v>
      </c>
      <c r="D817" s="0">
        <v>0.0044000000000000003</v>
      </c>
      <c r="E817" s="0"/>
      <c r="F817" s="0" t="s">
        <v>1049</v>
      </c>
      <c r="G817" s="0"/>
      <c r="H817" s="0" t="s">
        <v>1641</v>
      </c>
      <c r="I817" s="0" t="s">
        <v>642</v>
      </c>
      <c r="J817" s="0"/>
      <c r="K817" s="0" t="s">
        <v>1811</v>
      </c>
      <c r="L817" s="0" t="s">
        <v>1813</v>
      </c>
    </row>
    <row r="818">
      <c r="A818" s="0" t="s">
        <v>55</v>
      </c>
      <c r="B818" s="0" t="s">
        <v>387</v>
      </c>
      <c r="C818" s="0" t="s">
        <v>548</v>
      </c>
      <c r="D818" s="0">
        <v>0.0037000000000000002</v>
      </c>
      <c r="E818" s="0"/>
      <c r="F818" s="0" t="s">
        <v>1130</v>
      </c>
      <c r="G818" s="0"/>
      <c r="H818" s="0" t="s">
        <v>1642</v>
      </c>
      <c r="I818" s="0" t="s">
        <v>1774</v>
      </c>
      <c r="J818" s="0"/>
      <c r="K818" s="0" t="s">
        <v>1811</v>
      </c>
      <c r="L818" s="0" t="s">
        <v>1813</v>
      </c>
    </row>
    <row r="819">
      <c r="A819" s="0" t="s">
        <v>55</v>
      </c>
      <c r="B819" s="0" t="s">
        <v>387</v>
      </c>
      <c r="C819" s="0" t="s">
        <v>143</v>
      </c>
      <c r="D819" s="0">
        <v>0.0086999999999999994</v>
      </c>
      <c r="E819" s="0"/>
      <c r="F819" s="0" t="s">
        <v>1131</v>
      </c>
      <c r="G819" s="0"/>
      <c r="H819" s="0" t="s">
        <v>1643</v>
      </c>
      <c r="I819" s="0" t="s">
        <v>1808</v>
      </c>
      <c r="J819" s="0"/>
      <c r="K819" s="0" t="s">
        <v>1811</v>
      </c>
      <c r="L819" s="0" t="s">
        <v>1813</v>
      </c>
    </row>
    <row r="820">
      <c r="A820" s="0" t="s">
        <v>55</v>
      </c>
      <c r="B820" s="0" t="s">
        <v>387</v>
      </c>
      <c r="C820" s="0" t="s">
        <v>548</v>
      </c>
      <c r="D820" s="0">
        <v>0.16200000000000001</v>
      </c>
      <c r="E820" s="0"/>
      <c r="F820" s="0" t="s">
        <v>1132</v>
      </c>
      <c r="G820" s="0"/>
      <c r="H820" s="0" t="s">
        <v>1644</v>
      </c>
      <c r="I820" s="0" t="s">
        <v>1808</v>
      </c>
      <c r="J820" s="0"/>
      <c r="K820" s="0" t="s">
        <v>1811</v>
      </c>
      <c r="L820" s="0" t="s">
        <v>1813</v>
      </c>
    </row>
    <row r="821">
      <c r="A821" s="0" t="s">
        <v>55</v>
      </c>
      <c r="B821" s="0" t="s">
        <v>387</v>
      </c>
      <c r="C821" s="0" t="s">
        <v>548</v>
      </c>
      <c r="D821" s="0">
        <v>0.253</v>
      </c>
      <c r="E821" s="0"/>
      <c r="F821" s="0" t="s">
        <v>1133</v>
      </c>
      <c r="G821" s="0"/>
      <c r="H821" s="0" t="s">
        <v>1645</v>
      </c>
      <c r="I821" s="0" t="s">
        <v>1774</v>
      </c>
      <c r="J821" s="0"/>
      <c r="K821" s="0" t="s">
        <v>1811</v>
      </c>
      <c r="L821" s="0" t="s">
        <v>1813</v>
      </c>
    </row>
    <row r="822">
      <c r="A822" s="0" t="s">
        <v>55</v>
      </c>
      <c r="B822" s="0" t="s">
        <v>352</v>
      </c>
      <c r="C822" s="0" t="s">
        <v>548</v>
      </c>
      <c r="D822" s="0">
        <v>0.0050000000000000001</v>
      </c>
      <c r="E822" s="0"/>
      <c r="F822" s="0" t="s">
        <v>794</v>
      </c>
      <c r="G822" s="0"/>
      <c r="H822" s="0"/>
      <c r="I822" s="0" t="s">
        <v>1756</v>
      </c>
      <c r="J822" s="0"/>
      <c r="K822" s="0" t="s">
        <v>1811</v>
      </c>
      <c r="L822" s="0" t="s">
        <v>1813</v>
      </c>
    </row>
    <row r="823">
      <c r="A823" s="0" t="s">
        <v>55</v>
      </c>
      <c r="B823" s="0" t="s">
        <v>352</v>
      </c>
      <c r="C823" s="0" t="s">
        <v>143</v>
      </c>
      <c r="D823" s="0">
        <v>0.00080000000000000004</v>
      </c>
      <c r="E823" s="0"/>
      <c r="F823" s="0" t="s">
        <v>1105</v>
      </c>
      <c r="G823" s="0"/>
      <c r="H823" s="0" t="s">
        <v>1646</v>
      </c>
      <c r="I823" s="0" t="s">
        <v>827</v>
      </c>
      <c r="J823" s="0"/>
      <c r="K823" s="0" t="s">
        <v>1811</v>
      </c>
      <c r="L823" s="0" t="s">
        <v>1813</v>
      </c>
    </row>
    <row r="824">
      <c r="A824" s="0" t="s">
        <v>55</v>
      </c>
      <c r="B824" s="0" t="s">
        <v>241</v>
      </c>
      <c r="C824" s="0" t="s">
        <v>548</v>
      </c>
      <c r="D824" s="0">
        <v>0.02</v>
      </c>
      <c r="E824" s="0"/>
      <c r="F824" s="0" t="s">
        <v>923</v>
      </c>
      <c r="G824" s="0"/>
      <c r="H824" s="0" t="s">
        <v>1646</v>
      </c>
      <c r="I824" s="0" t="s">
        <v>827</v>
      </c>
      <c r="J824" s="0"/>
      <c r="K824" s="0" t="s">
        <v>1811</v>
      </c>
      <c r="L824" s="0" t="s">
        <v>1813</v>
      </c>
    </row>
    <row r="825">
      <c r="A825" s="0" t="s">
        <v>55</v>
      </c>
      <c r="B825" s="0" t="s">
        <v>241</v>
      </c>
      <c r="C825" s="0" t="s">
        <v>548</v>
      </c>
      <c r="D825" s="0">
        <v>0.029999999999999999</v>
      </c>
      <c r="E825" s="0"/>
      <c r="F825" s="0" t="s">
        <v>579</v>
      </c>
      <c r="G825" s="0"/>
      <c r="H825" s="0" t="s">
        <v>1647</v>
      </c>
      <c r="I825" s="0" t="s">
        <v>1765</v>
      </c>
      <c r="J825" s="0"/>
      <c r="K825" s="0" t="s">
        <v>1811</v>
      </c>
      <c r="L825" s="0" t="s">
        <v>1813</v>
      </c>
    </row>
    <row r="826">
      <c r="A826" s="0" t="s">
        <v>55</v>
      </c>
      <c r="B826" s="0" t="s">
        <v>365</v>
      </c>
      <c r="C826" s="0" t="s">
        <v>563</v>
      </c>
      <c r="D826" s="0">
        <v>0.11</v>
      </c>
      <c r="E826" s="0"/>
      <c r="F826" s="0" t="s">
        <v>654</v>
      </c>
      <c r="G826" s="0"/>
      <c r="H826" s="0"/>
      <c r="I826" s="0" t="s">
        <v>694</v>
      </c>
      <c r="J826" s="0"/>
      <c r="K826" s="0" t="s">
        <v>1811</v>
      </c>
      <c r="L826" s="0" t="s">
        <v>1813</v>
      </c>
    </row>
    <row r="827">
      <c r="A827" s="0" t="s">
        <v>55</v>
      </c>
      <c r="B827" s="0" t="s">
        <v>365</v>
      </c>
      <c r="C827" s="0" t="s">
        <v>564</v>
      </c>
      <c r="D827" s="0">
        <v>0.13</v>
      </c>
      <c r="E827" s="0"/>
      <c r="F827" s="0" t="s">
        <v>793</v>
      </c>
      <c r="G827" s="0"/>
      <c r="H827" s="0" t="s">
        <v>1648</v>
      </c>
      <c r="I827" s="0" t="s">
        <v>694</v>
      </c>
      <c r="J827" s="0"/>
      <c r="K827" s="0" t="s">
        <v>1811</v>
      </c>
      <c r="L827" s="0" t="s">
        <v>1813</v>
      </c>
    </row>
    <row r="828">
      <c r="A828" s="0" t="s">
        <v>55</v>
      </c>
      <c r="B828" s="0" t="s">
        <v>365</v>
      </c>
      <c r="C828" s="0" t="s">
        <v>565</v>
      </c>
      <c r="D828" s="0">
        <v>0.154</v>
      </c>
      <c r="E828" s="0"/>
      <c r="F828" s="0" t="s">
        <v>1031</v>
      </c>
      <c r="G828" s="0"/>
      <c r="H828" s="0"/>
      <c r="I828" s="0" t="s">
        <v>694</v>
      </c>
      <c r="J828" s="0"/>
      <c r="K828" s="0" t="s">
        <v>1811</v>
      </c>
      <c r="L828" s="0" t="s">
        <v>1813</v>
      </c>
    </row>
    <row r="829">
      <c r="A829" s="0" t="s">
        <v>55</v>
      </c>
      <c r="B829" s="0" t="s">
        <v>365</v>
      </c>
      <c r="C829" s="0" t="s">
        <v>143</v>
      </c>
      <c r="D829" s="0">
        <v>0.073999999999999996</v>
      </c>
      <c r="E829" s="0"/>
      <c r="F829" s="0" t="s">
        <v>1017</v>
      </c>
      <c r="G829" s="0"/>
      <c r="H829" s="0"/>
      <c r="I829" s="0" t="s">
        <v>694</v>
      </c>
      <c r="J829" s="0"/>
      <c r="K829" s="0" t="s">
        <v>1811</v>
      </c>
      <c r="L829" s="0" t="s">
        <v>1813</v>
      </c>
    </row>
    <row r="830">
      <c r="A830" s="0" t="s">
        <v>55</v>
      </c>
      <c r="B830" s="0" t="s">
        <v>306</v>
      </c>
      <c r="C830" s="0" t="s">
        <v>143</v>
      </c>
      <c r="D830" s="0">
        <v>0.0044999999999999997</v>
      </c>
      <c r="E830" s="0"/>
      <c r="F830" s="0" t="s">
        <v>1045</v>
      </c>
      <c r="G830" s="0"/>
      <c r="H830" s="0" t="s">
        <v>1649</v>
      </c>
      <c r="I830" s="0" t="s">
        <v>828</v>
      </c>
      <c r="J830" s="0"/>
      <c r="K830" s="0" t="s">
        <v>1811</v>
      </c>
      <c r="L830" s="0" t="s">
        <v>1813</v>
      </c>
    </row>
    <row r="831">
      <c r="A831" s="0" t="s">
        <v>55</v>
      </c>
      <c r="B831" s="0" t="s">
        <v>306</v>
      </c>
      <c r="C831" s="0" t="s">
        <v>548</v>
      </c>
      <c r="D831" s="0">
        <v>0.28999999999999998</v>
      </c>
      <c r="E831" s="0"/>
      <c r="F831" s="0" t="s">
        <v>844</v>
      </c>
      <c r="G831" s="0"/>
      <c r="H831" s="0" t="s">
        <v>1649</v>
      </c>
      <c r="I831" s="0" t="s">
        <v>828</v>
      </c>
      <c r="J831" s="0"/>
      <c r="K831" s="0" t="s">
        <v>1811</v>
      </c>
      <c r="L831" s="0" t="s">
        <v>1813</v>
      </c>
    </row>
    <row r="832">
      <c r="A832" s="0" t="s">
        <v>55</v>
      </c>
      <c r="B832" s="0" t="s">
        <v>306</v>
      </c>
      <c r="C832" s="0" t="s">
        <v>560</v>
      </c>
      <c r="D832" s="0">
        <v>0.72999999999999998</v>
      </c>
      <c r="E832" s="0"/>
      <c r="F832" s="0" t="s">
        <v>1134</v>
      </c>
      <c r="G832" s="0"/>
      <c r="H832" s="0" t="s">
        <v>1649</v>
      </c>
      <c r="I832" s="0" t="s">
        <v>828</v>
      </c>
      <c r="J832" s="0"/>
      <c r="K832" s="0" t="s">
        <v>1811</v>
      </c>
      <c r="L832" s="0" t="s">
        <v>1813</v>
      </c>
    </row>
  </sheetData>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L377"/>
  <sheetViews>
    <sheetView workbookViewId="0"/>
  </sheetViews>
  <sheetFormatPr defaultRowHeight="15"/>
  <cols>
    <col min="1" max="1" width="8.54296875" customWidth="true"/>
    <col min="2" max="2" width="49.7265625" customWidth="true"/>
    <col min="3" max="3" width="45.7265625" customWidth="true"/>
    <col min="4" max="4" width="7.453125" customWidth="true"/>
    <col min="5" max="5" width="13.81640625" customWidth="true"/>
    <col min="6" max="6" width="8.7265625" customWidth="true"/>
    <col min="7" max="7" width="17.1796875" customWidth="true"/>
    <col min="8" max="8" width="198.26953125" customWidth="true"/>
    <col min="9" max="9" width="8.6328125" customWidth="true"/>
    <col min="10" max="10" width="15.1796875" customWidth="true"/>
    <col min="11" max="11" width="9.7265625" customWidth="true"/>
    <col min="12" max="12" width="4.1796875" customWidth="true"/>
  </cols>
  <sheetData>
    <row r="1">
      <c r="A1" s="0" t="s">
        <v>239</v>
      </c>
      <c r="B1" s="0" t="s">
        <v>240</v>
      </c>
      <c r="C1" s="0" t="s">
        <v>388</v>
      </c>
      <c r="D1" s="0" t="s">
        <v>566</v>
      </c>
      <c r="E1" s="0" t="s">
        <v>567</v>
      </c>
      <c r="F1" s="0" t="s">
        <v>568</v>
      </c>
      <c r="G1" s="0" t="s">
        <v>1135</v>
      </c>
      <c r="H1" s="0" t="s">
        <v>1136</v>
      </c>
      <c r="I1" s="0" t="s">
        <v>1650</v>
      </c>
      <c r="J1" s="0" t="s">
        <v>1809</v>
      </c>
      <c r="K1" s="0" t="s">
        <v>1810</v>
      </c>
      <c r="L1" s="0" t="s">
        <v>1812</v>
      </c>
    </row>
    <row r="2">
      <c r="A2" s="0" t="s">
        <v>44</v>
      </c>
      <c r="B2" s="0" t="s">
        <v>242</v>
      </c>
      <c r="C2" s="0" t="s">
        <v>131</v>
      </c>
      <c r="D2" s="0">
        <v>1200</v>
      </c>
      <c r="E2" s="0"/>
      <c r="F2" s="0" t="s">
        <v>1816</v>
      </c>
      <c r="G2" s="0"/>
      <c r="H2" s="0" t="s">
        <v>1138</v>
      </c>
      <c r="I2" s="0" t="s">
        <v>1652</v>
      </c>
      <c r="J2" s="0"/>
      <c r="K2" s="0" t="s">
        <v>2116</v>
      </c>
      <c r="L2" s="0" t="s">
        <v>2117</v>
      </c>
    </row>
    <row r="3">
      <c r="A3" s="0" t="s">
        <v>44</v>
      </c>
      <c r="B3" s="0" t="s">
        <v>242</v>
      </c>
      <c r="C3" s="0" t="s">
        <v>131</v>
      </c>
      <c r="D3" s="0">
        <v>1900</v>
      </c>
      <c r="E3" s="0"/>
      <c r="F3" s="0" t="s">
        <v>1817</v>
      </c>
      <c r="G3" s="0"/>
      <c r="H3" s="0" t="s">
        <v>1139</v>
      </c>
      <c r="I3" s="0" t="s">
        <v>1652</v>
      </c>
      <c r="J3" s="0"/>
      <c r="K3" s="0" t="s">
        <v>2116</v>
      </c>
      <c r="L3" s="0" t="s">
        <v>2117</v>
      </c>
    </row>
    <row r="4">
      <c r="A4" s="0" t="s">
        <v>44</v>
      </c>
      <c r="B4" s="0" t="s">
        <v>242</v>
      </c>
      <c r="C4" s="0" t="s">
        <v>131</v>
      </c>
      <c r="D4" s="0">
        <v>1500</v>
      </c>
      <c r="E4" s="0"/>
      <c r="F4" s="0" t="s">
        <v>1818</v>
      </c>
      <c r="G4" s="0"/>
      <c r="H4" s="0" t="s">
        <v>1140</v>
      </c>
      <c r="I4" s="0" t="s">
        <v>1653</v>
      </c>
      <c r="J4" s="0"/>
      <c r="K4" s="0" t="s">
        <v>2116</v>
      </c>
      <c r="L4" s="0" t="s">
        <v>2117</v>
      </c>
    </row>
    <row r="5">
      <c r="A5" s="0" t="s">
        <v>44</v>
      </c>
      <c r="B5" s="0" t="s">
        <v>248</v>
      </c>
      <c r="C5" s="0" t="s">
        <v>131</v>
      </c>
      <c r="D5" s="0">
        <v>5370</v>
      </c>
      <c r="E5" s="0"/>
      <c r="F5" s="0" t="s">
        <v>1819</v>
      </c>
      <c r="G5" s="0"/>
      <c r="H5" s="0" t="s">
        <v>1146</v>
      </c>
      <c r="I5" s="0" t="s">
        <v>1659</v>
      </c>
      <c r="J5" s="0"/>
      <c r="K5" s="0" t="s">
        <v>2116</v>
      </c>
      <c r="L5" s="0" t="s">
        <v>2117</v>
      </c>
    </row>
    <row r="6">
      <c r="A6" s="0" t="s">
        <v>44</v>
      </c>
      <c r="B6" s="0" t="s">
        <v>252</v>
      </c>
      <c r="C6" s="0" t="s">
        <v>392</v>
      </c>
      <c r="D6" s="0">
        <v>494</v>
      </c>
      <c r="E6" s="0"/>
      <c r="F6" s="0" t="s">
        <v>1820</v>
      </c>
      <c r="G6" s="0"/>
      <c r="H6" s="0" t="s">
        <v>1151</v>
      </c>
      <c r="I6" s="0" t="s">
        <v>1663</v>
      </c>
      <c r="J6" s="0"/>
      <c r="K6" s="0" t="s">
        <v>2116</v>
      </c>
      <c r="L6" s="0" t="s">
        <v>2117</v>
      </c>
    </row>
    <row r="7">
      <c r="A7" s="0" t="s">
        <v>44</v>
      </c>
      <c r="B7" s="0" t="s">
        <v>257</v>
      </c>
      <c r="C7" s="0" t="s">
        <v>392</v>
      </c>
      <c r="D7" s="0">
        <v>2601.6599999999999</v>
      </c>
      <c r="E7" s="0"/>
      <c r="F7" s="0" t="s">
        <v>1821</v>
      </c>
      <c r="G7" s="0"/>
      <c r="H7" s="0" t="s">
        <v>2031</v>
      </c>
      <c r="I7" s="0" t="s">
        <v>1668</v>
      </c>
      <c r="J7" s="0"/>
      <c r="K7" s="0" t="s">
        <v>2116</v>
      </c>
      <c r="L7" s="0" t="s">
        <v>2117</v>
      </c>
    </row>
    <row r="8">
      <c r="A8" s="0" t="s">
        <v>44</v>
      </c>
      <c r="B8" s="0" t="s">
        <v>258</v>
      </c>
      <c r="C8" s="0" t="s">
        <v>403</v>
      </c>
      <c r="D8" s="0">
        <v>68.590000000000003</v>
      </c>
      <c r="E8" s="0"/>
      <c r="F8" s="0" t="s">
        <v>1822</v>
      </c>
      <c r="G8" s="0"/>
      <c r="H8" s="0" t="s">
        <v>1159</v>
      </c>
      <c r="I8" s="0" t="s">
        <v>1669</v>
      </c>
      <c r="J8" s="0"/>
      <c r="K8" s="0" t="s">
        <v>2116</v>
      </c>
      <c r="L8" s="0" t="s">
        <v>2117</v>
      </c>
    </row>
    <row r="9">
      <c r="A9" s="0" t="s">
        <v>44</v>
      </c>
      <c r="B9" s="0" t="s">
        <v>253</v>
      </c>
      <c r="C9" s="0" t="s">
        <v>403</v>
      </c>
      <c r="D9" s="0">
        <v>569</v>
      </c>
      <c r="E9" s="0"/>
      <c r="F9" s="0" t="s">
        <v>1823</v>
      </c>
      <c r="G9" s="0"/>
      <c r="H9" s="0" t="s">
        <v>1160</v>
      </c>
      <c r="I9" s="0" t="s">
        <v>1670</v>
      </c>
      <c r="J9" s="0"/>
      <c r="K9" s="0" t="s">
        <v>2116</v>
      </c>
      <c r="L9" s="0" t="s">
        <v>2117</v>
      </c>
    </row>
    <row r="10">
      <c r="A10" s="0" t="s">
        <v>44</v>
      </c>
      <c r="B10" s="0" t="s">
        <v>242</v>
      </c>
      <c r="C10" s="0" t="s">
        <v>390</v>
      </c>
      <c r="D10" s="0">
        <v>0.158</v>
      </c>
      <c r="E10" s="0"/>
      <c r="F10" s="0" t="s">
        <v>671</v>
      </c>
      <c r="G10" s="0"/>
      <c r="H10" s="0" t="s">
        <v>1163</v>
      </c>
      <c r="I10" s="0" t="s">
        <v>1671</v>
      </c>
      <c r="J10" s="0"/>
      <c r="K10" s="0" t="s">
        <v>2116</v>
      </c>
      <c r="L10" s="0" t="s">
        <v>2117</v>
      </c>
    </row>
    <row r="11">
      <c r="A11" s="0" t="s">
        <v>44</v>
      </c>
      <c r="B11" s="0" t="s">
        <v>242</v>
      </c>
      <c r="C11" s="0" t="s">
        <v>390</v>
      </c>
      <c r="D11" s="0">
        <v>0.060999999999999999</v>
      </c>
      <c r="E11" s="0"/>
      <c r="F11" s="0" t="s">
        <v>1824</v>
      </c>
      <c r="G11" s="0"/>
      <c r="H11" s="0" t="s">
        <v>1161</v>
      </c>
      <c r="I11" s="0" t="s">
        <v>1671</v>
      </c>
      <c r="J11" s="0"/>
      <c r="K11" s="0" t="s">
        <v>2116</v>
      </c>
      <c r="L11" s="0" t="s">
        <v>2117</v>
      </c>
    </row>
    <row r="12">
      <c r="A12" s="0" t="s">
        <v>44</v>
      </c>
      <c r="B12" s="0" t="s">
        <v>242</v>
      </c>
      <c r="C12" s="0" t="s">
        <v>390</v>
      </c>
      <c r="D12" s="0">
        <v>0.71250000000000002</v>
      </c>
      <c r="E12" s="0"/>
      <c r="F12" s="0" t="s">
        <v>1825</v>
      </c>
      <c r="G12" s="0"/>
      <c r="H12" s="0" t="s">
        <v>1162</v>
      </c>
      <c r="I12" s="0" t="s">
        <v>1671</v>
      </c>
      <c r="J12" s="0"/>
      <c r="K12" s="0" t="s">
        <v>2116</v>
      </c>
      <c r="L12" s="0" t="s">
        <v>2117</v>
      </c>
    </row>
    <row r="13">
      <c r="A13" s="0" t="s">
        <v>44</v>
      </c>
      <c r="B13" s="0" t="s">
        <v>259</v>
      </c>
      <c r="C13" s="0" t="s">
        <v>404</v>
      </c>
      <c r="D13" s="0">
        <v>22.699999999999999</v>
      </c>
      <c r="E13" s="0"/>
      <c r="F13" s="0" t="s">
        <v>1826</v>
      </c>
      <c r="G13" s="0"/>
      <c r="H13" s="0" t="s">
        <v>2032</v>
      </c>
      <c r="I13" s="0" t="s">
        <v>1672</v>
      </c>
      <c r="J13" s="0"/>
      <c r="K13" s="0" t="s">
        <v>2116</v>
      </c>
      <c r="L13" s="0" t="s">
        <v>2117</v>
      </c>
    </row>
    <row r="14">
      <c r="A14" s="0" t="s">
        <v>44</v>
      </c>
      <c r="B14" s="0" t="s">
        <v>242</v>
      </c>
      <c r="C14" s="0" t="s">
        <v>401</v>
      </c>
      <c r="D14" s="0">
        <v>10</v>
      </c>
      <c r="E14" s="0"/>
      <c r="F14" s="0" t="s">
        <v>694</v>
      </c>
      <c r="G14" s="0"/>
      <c r="H14" s="0" t="s">
        <v>1169</v>
      </c>
      <c r="I14" s="0" t="s">
        <v>1653</v>
      </c>
      <c r="J14" s="0"/>
      <c r="K14" s="0" t="s">
        <v>2116</v>
      </c>
      <c r="L14" s="0" t="s">
        <v>2117</v>
      </c>
    </row>
    <row r="15">
      <c r="A15" s="0" t="s">
        <v>44</v>
      </c>
      <c r="B15" s="0" t="s">
        <v>242</v>
      </c>
      <c r="C15" s="0" t="s">
        <v>401</v>
      </c>
      <c r="D15" s="0">
        <v>500</v>
      </c>
      <c r="E15" s="0"/>
      <c r="F15" s="0" t="s">
        <v>1827</v>
      </c>
      <c r="G15" s="0"/>
      <c r="H15" s="0" t="s">
        <v>1168</v>
      </c>
      <c r="I15" s="0" t="s">
        <v>1653</v>
      </c>
      <c r="J15" s="0"/>
      <c r="K15" s="0" t="s">
        <v>2116</v>
      </c>
      <c r="L15" s="0" t="s">
        <v>2117</v>
      </c>
    </row>
    <row r="16">
      <c r="A16" s="0" t="s">
        <v>44</v>
      </c>
      <c r="B16" s="0" t="s">
        <v>242</v>
      </c>
      <c r="C16" s="0" t="s">
        <v>131</v>
      </c>
      <c r="D16" s="0">
        <v>30</v>
      </c>
      <c r="E16" s="0"/>
      <c r="F16" s="0" t="s">
        <v>1019</v>
      </c>
      <c r="G16" s="0"/>
      <c r="H16" s="0" t="s">
        <v>1169</v>
      </c>
      <c r="I16" s="0" t="s">
        <v>1653</v>
      </c>
      <c r="J16" s="0"/>
      <c r="K16" s="0" t="s">
        <v>2116</v>
      </c>
      <c r="L16" s="0" t="s">
        <v>2117</v>
      </c>
    </row>
    <row r="17">
      <c r="A17" s="0" t="s">
        <v>44</v>
      </c>
      <c r="B17" s="0" t="s">
        <v>242</v>
      </c>
      <c r="C17" s="0" t="s">
        <v>401</v>
      </c>
      <c r="D17" s="0">
        <v>50</v>
      </c>
      <c r="E17" s="0"/>
      <c r="F17" s="0" t="s">
        <v>623</v>
      </c>
      <c r="G17" s="0"/>
      <c r="H17" s="0" t="s">
        <v>1166</v>
      </c>
      <c r="I17" s="0" t="s">
        <v>1653</v>
      </c>
      <c r="J17" s="0"/>
      <c r="K17" s="0" t="s">
        <v>2116</v>
      </c>
      <c r="L17" s="0" t="s">
        <v>2117</v>
      </c>
    </row>
    <row r="18">
      <c r="A18" s="0" t="s">
        <v>44</v>
      </c>
      <c r="B18" s="0" t="s">
        <v>242</v>
      </c>
      <c r="C18" s="0" t="s">
        <v>131</v>
      </c>
      <c r="D18" s="0">
        <v>250</v>
      </c>
      <c r="E18" s="0"/>
      <c r="F18" s="0" t="s">
        <v>1828</v>
      </c>
      <c r="G18" s="0"/>
      <c r="H18" s="0" t="s">
        <v>1166</v>
      </c>
      <c r="I18" s="0" t="s">
        <v>1653</v>
      </c>
      <c r="J18" s="0"/>
      <c r="K18" s="0" t="s">
        <v>2116</v>
      </c>
      <c r="L18" s="0" t="s">
        <v>2117</v>
      </c>
    </row>
    <row r="19">
      <c r="A19" s="0" t="s">
        <v>44</v>
      </c>
      <c r="B19" s="0" t="s">
        <v>242</v>
      </c>
      <c r="C19" s="0" t="s">
        <v>401</v>
      </c>
      <c r="D19" s="0">
        <v>37.899999999999999</v>
      </c>
      <c r="E19" s="0"/>
      <c r="F19" s="0" t="s">
        <v>1829</v>
      </c>
      <c r="G19" s="0"/>
      <c r="H19" s="0" t="s">
        <v>1167</v>
      </c>
      <c r="I19" s="0" t="s">
        <v>1653</v>
      </c>
      <c r="J19" s="0"/>
      <c r="K19" s="0" t="s">
        <v>2116</v>
      </c>
      <c r="L19" s="0" t="s">
        <v>2117</v>
      </c>
    </row>
    <row r="20">
      <c r="A20" s="0" t="s">
        <v>44</v>
      </c>
      <c r="B20" s="0" t="s">
        <v>242</v>
      </c>
      <c r="C20" s="0" t="s">
        <v>131</v>
      </c>
      <c r="D20" s="0">
        <v>75.799999999999997</v>
      </c>
      <c r="E20" s="0"/>
      <c r="F20" s="0" t="s">
        <v>1830</v>
      </c>
      <c r="G20" s="0"/>
      <c r="H20" s="0" t="s">
        <v>1167</v>
      </c>
      <c r="I20" s="0" t="s">
        <v>1653</v>
      </c>
      <c r="J20" s="0"/>
      <c r="K20" s="0" t="s">
        <v>2116</v>
      </c>
      <c r="L20" s="0" t="s">
        <v>2117</v>
      </c>
    </row>
    <row r="21">
      <c r="A21" s="0" t="s">
        <v>44</v>
      </c>
      <c r="B21" s="0" t="s">
        <v>262</v>
      </c>
      <c r="C21" s="0" t="s">
        <v>405</v>
      </c>
      <c r="D21" s="0">
        <v>24.050000000000001</v>
      </c>
      <c r="E21" s="0"/>
      <c r="F21" s="0" t="s">
        <v>1831</v>
      </c>
      <c r="G21" s="0"/>
      <c r="H21" s="0" t="s">
        <v>1171</v>
      </c>
      <c r="I21" s="0" t="s">
        <v>1674</v>
      </c>
      <c r="J21" s="0"/>
      <c r="K21" s="0" t="s">
        <v>2116</v>
      </c>
      <c r="L21" s="0" t="s">
        <v>2117</v>
      </c>
    </row>
    <row r="22">
      <c r="A22" s="0" t="s">
        <v>44</v>
      </c>
      <c r="B22" s="0" t="s">
        <v>262</v>
      </c>
      <c r="C22" s="0" t="s">
        <v>405</v>
      </c>
      <c r="D22" s="0">
        <v>42.340000000000004</v>
      </c>
      <c r="E22" s="0"/>
      <c r="F22" s="0" t="s">
        <v>1832</v>
      </c>
      <c r="G22" s="0"/>
      <c r="H22" s="0" t="s">
        <v>2033</v>
      </c>
      <c r="I22" s="0" t="s">
        <v>1674</v>
      </c>
      <c r="J22" s="0"/>
      <c r="K22" s="0" t="s">
        <v>2116</v>
      </c>
      <c r="L22" s="0" t="s">
        <v>2117</v>
      </c>
    </row>
    <row r="23">
      <c r="A23" s="0" t="s">
        <v>44</v>
      </c>
      <c r="B23" s="0" t="s">
        <v>262</v>
      </c>
      <c r="C23" s="0" t="s">
        <v>405</v>
      </c>
      <c r="D23" s="0">
        <v>43.710000000000001</v>
      </c>
      <c r="E23" s="0"/>
      <c r="F23" s="0" t="s">
        <v>1833</v>
      </c>
      <c r="G23" s="0"/>
      <c r="H23" s="0" t="s">
        <v>1173</v>
      </c>
      <c r="I23" s="0" t="s">
        <v>1674</v>
      </c>
      <c r="J23" s="0"/>
      <c r="K23" s="0" t="s">
        <v>2116</v>
      </c>
      <c r="L23" s="0" t="s">
        <v>2117</v>
      </c>
    </row>
    <row r="24">
      <c r="A24" s="0" t="s">
        <v>44</v>
      </c>
      <c r="B24" s="0" t="s">
        <v>262</v>
      </c>
      <c r="C24" s="0" t="s">
        <v>406</v>
      </c>
      <c r="D24" s="0">
        <v>0.34999999999999998</v>
      </c>
      <c r="E24" s="0"/>
      <c r="F24" s="0" t="s">
        <v>676</v>
      </c>
      <c r="G24" s="0"/>
      <c r="H24" s="0" t="s">
        <v>1174</v>
      </c>
      <c r="I24" s="0" t="s">
        <v>1675</v>
      </c>
      <c r="J24" s="0"/>
      <c r="K24" s="0" t="s">
        <v>2116</v>
      </c>
      <c r="L24" s="0" t="s">
        <v>2117</v>
      </c>
    </row>
    <row r="25">
      <c r="A25" s="0" t="s">
        <v>44</v>
      </c>
      <c r="B25" s="0" t="s">
        <v>262</v>
      </c>
      <c r="C25" s="0" t="s">
        <v>406</v>
      </c>
      <c r="D25" s="0">
        <v>0.0054999999999999997</v>
      </c>
      <c r="E25" s="0"/>
      <c r="F25" s="0" t="s">
        <v>1028</v>
      </c>
      <c r="G25" s="0"/>
      <c r="H25" s="0" t="s">
        <v>2034</v>
      </c>
      <c r="I25" s="0" t="s">
        <v>1675</v>
      </c>
      <c r="J25" s="0"/>
      <c r="K25" s="0" t="s">
        <v>2116</v>
      </c>
      <c r="L25" s="0" t="s">
        <v>2117</v>
      </c>
    </row>
    <row r="26">
      <c r="A26" s="0" t="s">
        <v>44</v>
      </c>
      <c r="B26" s="0" t="s">
        <v>262</v>
      </c>
      <c r="C26" s="0" t="s">
        <v>406</v>
      </c>
      <c r="D26" s="0">
        <v>0.0137</v>
      </c>
      <c r="E26" s="0"/>
      <c r="F26" s="0" t="s">
        <v>1834</v>
      </c>
      <c r="G26" s="0"/>
      <c r="H26" s="0" t="s">
        <v>1175</v>
      </c>
      <c r="I26" s="0" t="s">
        <v>1675</v>
      </c>
      <c r="J26" s="0"/>
      <c r="K26" s="0" t="s">
        <v>2116</v>
      </c>
      <c r="L26" s="0" t="s">
        <v>2117</v>
      </c>
    </row>
    <row r="27">
      <c r="A27" s="0" t="s">
        <v>44</v>
      </c>
      <c r="B27" s="0" t="s">
        <v>262</v>
      </c>
      <c r="C27" s="0" t="s">
        <v>406</v>
      </c>
      <c r="D27" s="0">
        <v>0.038699999999999998</v>
      </c>
      <c r="E27" s="0"/>
      <c r="F27" s="0" t="s">
        <v>1835</v>
      </c>
      <c r="G27" s="0"/>
      <c r="H27" s="0" t="s">
        <v>2035</v>
      </c>
      <c r="I27" s="0" t="s">
        <v>1675</v>
      </c>
      <c r="J27" s="0"/>
      <c r="K27" s="0" t="s">
        <v>2116</v>
      </c>
      <c r="L27" s="0" t="s">
        <v>2117</v>
      </c>
    </row>
    <row r="28">
      <c r="A28" s="0" t="s">
        <v>44</v>
      </c>
      <c r="B28" s="0" t="s">
        <v>262</v>
      </c>
      <c r="C28" s="0" t="s">
        <v>406</v>
      </c>
      <c r="D28" s="0">
        <v>0.083199999999999996</v>
      </c>
      <c r="E28" s="0"/>
      <c r="F28" s="0" t="s">
        <v>1836</v>
      </c>
      <c r="G28" s="0"/>
      <c r="H28" s="0" t="s">
        <v>1176</v>
      </c>
      <c r="I28" s="0" t="s">
        <v>1675</v>
      </c>
      <c r="J28" s="0"/>
      <c r="K28" s="0" t="s">
        <v>2116</v>
      </c>
      <c r="L28" s="0" t="s">
        <v>2117</v>
      </c>
    </row>
    <row r="29">
      <c r="A29" s="0" t="s">
        <v>44</v>
      </c>
      <c r="B29" s="0" t="s">
        <v>262</v>
      </c>
      <c r="C29" s="0" t="s">
        <v>406</v>
      </c>
      <c r="D29" s="0">
        <v>0.2767</v>
      </c>
      <c r="E29" s="0"/>
      <c r="F29" s="0" t="s">
        <v>1837</v>
      </c>
      <c r="G29" s="0"/>
      <c r="H29" s="0" t="s">
        <v>2036</v>
      </c>
      <c r="I29" s="0" t="s">
        <v>1675</v>
      </c>
      <c r="J29" s="0"/>
      <c r="K29" s="0" t="s">
        <v>2116</v>
      </c>
      <c r="L29" s="0" t="s">
        <v>2117</v>
      </c>
    </row>
    <row r="30">
      <c r="A30" s="0" t="s">
        <v>44</v>
      </c>
      <c r="B30" s="0" t="s">
        <v>264</v>
      </c>
      <c r="C30" s="0" t="s">
        <v>418</v>
      </c>
      <c r="D30" s="0">
        <v>-999</v>
      </c>
      <c r="E30" s="0"/>
      <c r="F30" s="0" t="s">
        <v>673</v>
      </c>
      <c r="G30" s="0"/>
      <c r="H30" s="0"/>
      <c r="I30" s="0" t="s">
        <v>819</v>
      </c>
      <c r="J30" s="0"/>
      <c r="K30" s="0" t="s">
        <v>2116</v>
      </c>
      <c r="L30" s="0" t="s">
        <v>2117</v>
      </c>
    </row>
    <row r="31">
      <c r="A31" s="0" t="s">
        <v>44</v>
      </c>
      <c r="B31" s="0" t="s">
        <v>264</v>
      </c>
      <c r="C31" s="0" t="s">
        <v>395</v>
      </c>
      <c r="D31" s="0">
        <v>3000</v>
      </c>
      <c r="E31" s="0"/>
      <c r="F31" s="0" t="s">
        <v>1838</v>
      </c>
      <c r="G31" s="0"/>
      <c r="H31" s="0"/>
      <c r="I31" s="0" t="s">
        <v>2115</v>
      </c>
      <c r="J31" s="0"/>
      <c r="K31" s="0" t="s">
        <v>2116</v>
      </c>
      <c r="L31" s="0" t="s">
        <v>2117</v>
      </c>
    </row>
    <row r="32">
      <c r="A32" s="0" t="s">
        <v>44</v>
      </c>
      <c r="B32" s="0" t="s">
        <v>265</v>
      </c>
      <c r="C32" s="0" t="s">
        <v>401</v>
      </c>
      <c r="D32" s="0">
        <v>56000</v>
      </c>
      <c r="E32" s="0"/>
      <c r="F32" s="0" t="s">
        <v>1839</v>
      </c>
      <c r="G32" s="0"/>
      <c r="H32" s="0" t="s">
        <v>1185</v>
      </c>
      <c r="I32" s="0" t="s">
        <v>1680</v>
      </c>
      <c r="J32" s="0"/>
      <c r="K32" s="0" t="s">
        <v>2116</v>
      </c>
      <c r="L32" s="0" t="s">
        <v>2117</v>
      </c>
    </row>
    <row r="33">
      <c r="A33" s="0" t="s">
        <v>44</v>
      </c>
      <c r="B33" s="0" t="s">
        <v>266</v>
      </c>
      <c r="C33" s="0" t="s">
        <v>131</v>
      </c>
      <c r="D33" s="0">
        <v>841.24000000000001</v>
      </c>
      <c r="E33" s="0"/>
      <c r="F33" s="0" t="s">
        <v>1840</v>
      </c>
      <c r="G33" s="0"/>
      <c r="H33" s="0" t="s">
        <v>2037</v>
      </c>
      <c r="I33" s="0" t="s">
        <v>1681</v>
      </c>
      <c r="J33" s="0"/>
      <c r="K33" s="0" t="s">
        <v>2116</v>
      </c>
      <c r="L33" s="0" t="s">
        <v>2117</v>
      </c>
    </row>
    <row r="34">
      <c r="A34" s="0" t="s">
        <v>44</v>
      </c>
      <c r="B34" s="0" t="s">
        <v>266</v>
      </c>
      <c r="C34" s="0" t="s">
        <v>131</v>
      </c>
      <c r="D34" s="0">
        <v>532.51999999999998</v>
      </c>
      <c r="E34" s="0"/>
      <c r="F34" s="0" t="s">
        <v>1841</v>
      </c>
      <c r="G34" s="0"/>
      <c r="H34" s="0" t="s">
        <v>1187</v>
      </c>
      <c r="I34" s="0" t="s">
        <v>1681</v>
      </c>
      <c r="J34" s="0"/>
      <c r="K34" s="0" t="s">
        <v>2116</v>
      </c>
      <c r="L34" s="0" t="s">
        <v>2117</v>
      </c>
    </row>
    <row r="35">
      <c r="A35" s="0" t="s">
        <v>44</v>
      </c>
      <c r="B35" s="0" t="s">
        <v>267</v>
      </c>
      <c r="C35" s="0" t="s">
        <v>392</v>
      </c>
      <c r="D35" s="0">
        <v>6.0700000000000003</v>
      </c>
      <c r="E35" s="0"/>
      <c r="F35" s="0" t="s">
        <v>1842</v>
      </c>
      <c r="G35" s="0"/>
      <c r="H35" s="0" t="s">
        <v>1189</v>
      </c>
      <c r="I35" s="0" t="s">
        <v>1682</v>
      </c>
      <c r="J35" s="0"/>
      <c r="K35" s="0" t="s">
        <v>2116</v>
      </c>
      <c r="L35" s="0" t="s">
        <v>2117</v>
      </c>
    </row>
    <row r="36">
      <c r="A36" s="0" t="s">
        <v>44</v>
      </c>
      <c r="B36" s="0" t="s">
        <v>267</v>
      </c>
      <c r="C36" s="0" t="s">
        <v>392</v>
      </c>
      <c r="D36" s="0">
        <v>3.94</v>
      </c>
      <c r="E36" s="0"/>
      <c r="F36" s="0" t="s">
        <v>1843</v>
      </c>
      <c r="G36" s="0"/>
      <c r="H36" s="0" t="s">
        <v>1188</v>
      </c>
      <c r="I36" s="0" t="s">
        <v>1682</v>
      </c>
      <c r="J36" s="0"/>
      <c r="K36" s="0" t="s">
        <v>2116</v>
      </c>
      <c r="L36" s="0" t="s">
        <v>2117</v>
      </c>
    </row>
    <row r="37">
      <c r="A37" s="0" t="s">
        <v>44</v>
      </c>
      <c r="B37" s="0" t="s">
        <v>267</v>
      </c>
      <c r="C37" s="0" t="s">
        <v>392</v>
      </c>
      <c r="D37" s="0">
        <v>8.0700000000000003</v>
      </c>
      <c r="E37" s="0"/>
      <c r="F37" s="0" t="s">
        <v>1844</v>
      </c>
      <c r="G37" s="0"/>
      <c r="H37" s="0" t="s">
        <v>2038</v>
      </c>
      <c r="I37" s="0" t="s">
        <v>1682</v>
      </c>
      <c r="J37" s="0"/>
      <c r="K37" s="0" t="s">
        <v>2116</v>
      </c>
      <c r="L37" s="0" t="s">
        <v>2117</v>
      </c>
    </row>
    <row r="38">
      <c r="A38" s="0" t="s">
        <v>44</v>
      </c>
      <c r="B38" s="0" t="s">
        <v>273</v>
      </c>
      <c r="C38" s="0" t="s">
        <v>392</v>
      </c>
      <c r="D38" s="0">
        <v>1468</v>
      </c>
      <c r="E38" s="0"/>
      <c r="F38" s="0" t="s">
        <v>1845</v>
      </c>
      <c r="G38" s="0"/>
      <c r="H38" s="0" t="s">
        <v>2039</v>
      </c>
      <c r="I38" s="0" t="s">
        <v>1690</v>
      </c>
      <c r="J38" s="0"/>
      <c r="K38" s="0" t="s">
        <v>2116</v>
      </c>
      <c r="L38" s="0" t="s">
        <v>2117</v>
      </c>
    </row>
    <row r="39">
      <c r="A39" s="0" t="s">
        <v>44</v>
      </c>
      <c r="B39" s="0" t="s">
        <v>150</v>
      </c>
      <c r="C39" s="0" t="s">
        <v>390</v>
      </c>
      <c r="D39" s="0">
        <v>54.18</v>
      </c>
      <c r="E39" s="0"/>
      <c r="F39" s="0" t="s">
        <v>1846</v>
      </c>
      <c r="G39" s="0"/>
      <c r="H39" s="0" t="s">
        <v>1200</v>
      </c>
      <c r="I39" s="0" t="s">
        <v>1692</v>
      </c>
      <c r="J39" s="0"/>
      <c r="K39" s="0" t="s">
        <v>2116</v>
      </c>
      <c r="L39" s="0" t="s">
        <v>2117</v>
      </c>
    </row>
    <row r="40">
      <c r="A40" s="0" t="s">
        <v>44</v>
      </c>
      <c r="B40" s="0" t="s">
        <v>150</v>
      </c>
      <c r="C40" s="0" t="s">
        <v>412</v>
      </c>
      <c r="D40" s="0">
        <v>55.119999999999998</v>
      </c>
      <c r="E40" s="0"/>
      <c r="F40" s="0" t="s">
        <v>1847</v>
      </c>
      <c r="G40" s="0"/>
      <c r="H40" s="0" t="s">
        <v>1200</v>
      </c>
      <c r="I40" s="0" t="s">
        <v>1692</v>
      </c>
      <c r="J40" s="0"/>
      <c r="K40" s="0" t="s">
        <v>2116</v>
      </c>
      <c r="L40" s="0" t="s">
        <v>2117</v>
      </c>
    </row>
    <row r="41">
      <c r="A41" s="0" t="s">
        <v>44</v>
      </c>
      <c r="B41" s="0" t="s">
        <v>150</v>
      </c>
      <c r="C41" s="0" t="s">
        <v>403</v>
      </c>
      <c r="D41" s="0">
        <v>9.4100000000000001</v>
      </c>
      <c r="E41" s="0"/>
      <c r="F41" s="0" t="s">
        <v>1848</v>
      </c>
      <c r="G41" s="0"/>
      <c r="H41" s="0" t="s">
        <v>1199</v>
      </c>
      <c r="I41" s="0" t="s">
        <v>1692</v>
      </c>
      <c r="J41" s="0"/>
      <c r="K41" s="0" t="s">
        <v>2116</v>
      </c>
      <c r="L41" s="0" t="s">
        <v>2117</v>
      </c>
    </row>
    <row r="42">
      <c r="A42" s="0" t="s">
        <v>44</v>
      </c>
      <c r="B42" s="0" t="s">
        <v>150</v>
      </c>
      <c r="C42" s="0" t="s">
        <v>392</v>
      </c>
      <c r="D42" s="0">
        <v>31.59</v>
      </c>
      <c r="E42" s="0"/>
      <c r="F42" s="0" t="s">
        <v>1849</v>
      </c>
      <c r="G42" s="0"/>
      <c r="H42" s="0" t="s">
        <v>1200</v>
      </c>
      <c r="I42" s="0" t="s">
        <v>1692</v>
      </c>
      <c r="J42" s="0"/>
      <c r="K42" s="0" t="s">
        <v>2116</v>
      </c>
      <c r="L42" s="0" t="s">
        <v>2117</v>
      </c>
    </row>
    <row r="43">
      <c r="A43" s="0" t="s">
        <v>44</v>
      </c>
      <c r="B43" s="0" t="s">
        <v>276</v>
      </c>
      <c r="C43" s="0" t="s">
        <v>412</v>
      </c>
      <c r="D43" s="0">
        <v>8335</v>
      </c>
      <c r="E43" s="0"/>
      <c r="F43" s="0" t="s">
        <v>1850</v>
      </c>
      <c r="G43" s="0"/>
      <c r="H43" s="0" t="s">
        <v>1202</v>
      </c>
      <c r="I43" s="0" t="s">
        <v>1694</v>
      </c>
      <c r="J43" s="0"/>
      <c r="K43" s="0" t="s">
        <v>2116</v>
      </c>
      <c r="L43" s="0" t="s">
        <v>2117</v>
      </c>
    </row>
    <row r="44">
      <c r="A44" s="0" t="s">
        <v>44</v>
      </c>
      <c r="B44" s="0" t="s">
        <v>278</v>
      </c>
      <c r="C44" s="0" t="s">
        <v>414</v>
      </c>
      <c r="D44" s="0">
        <v>0.10000000000000001</v>
      </c>
      <c r="E44" s="0"/>
      <c r="F44" s="0" t="s">
        <v>779</v>
      </c>
      <c r="G44" s="0"/>
      <c r="H44" s="0" t="s">
        <v>1209</v>
      </c>
      <c r="I44" s="0" t="s">
        <v>1698</v>
      </c>
      <c r="J44" s="0"/>
      <c r="K44" s="0" t="s">
        <v>2116</v>
      </c>
      <c r="L44" s="0" t="s">
        <v>2117</v>
      </c>
    </row>
    <row r="45">
      <c r="A45" s="0" t="s">
        <v>44</v>
      </c>
      <c r="B45" s="0" t="s">
        <v>278</v>
      </c>
      <c r="C45" s="0" t="s">
        <v>414</v>
      </c>
      <c r="D45" s="0">
        <v>0.32000000000000001</v>
      </c>
      <c r="E45" s="0"/>
      <c r="F45" s="0" t="s">
        <v>591</v>
      </c>
      <c r="G45" s="0"/>
      <c r="H45" s="0" t="s">
        <v>1210</v>
      </c>
      <c r="I45" s="0" t="s">
        <v>1698</v>
      </c>
      <c r="J45" s="0"/>
      <c r="K45" s="0" t="s">
        <v>2116</v>
      </c>
      <c r="L45" s="0" t="s">
        <v>2117</v>
      </c>
    </row>
    <row r="46">
      <c r="A46" s="0" t="s">
        <v>44</v>
      </c>
      <c r="B46" s="0" t="s">
        <v>278</v>
      </c>
      <c r="C46" s="0" t="s">
        <v>389</v>
      </c>
      <c r="D46" s="0">
        <v>0.35999999999999999</v>
      </c>
      <c r="E46" s="0"/>
      <c r="F46" s="0" t="s">
        <v>649</v>
      </c>
      <c r="G46" s="0"/>
      <c r="H46" s="0" t="s">
        <v>2040</v>
      </c>
      <c r="I46" s="0" t="s">
        <v>1698</v>
      </c>
      <c r="J46" s="0"/>
      <c r="K46" s="0" t="s">
        <v>2116</v>
      </c>
      <c r="L46" s="0" t="s">
        <v>2117</v>
      </c>
    </row>
    <row r="47">
      <c r="A47" s="0" t="s">
        <v>44</v>
      </c>
      <c r="B47" s="0" t="s">
        <v>278</v>
      </c>
      <c r="C47" s="0" t="s">
        <v>389</v>
      </c>
      <c r="D47" s="0">
        <v>0.44</v>
      </c>
      <c r="E47" s="0"/>
      <c r="F47" s="0" t="s">
        <v>723</v>
      </c>
      <c r="G47" s="0"/>
      <c r="H47" s="0" t="s">
        <v>1208</v>
      </c>
      <c r="I47" s="0" t="s">
        <v>1698</v>
      </c>
      <c r="J47" s="0"/>
      <c r="K47" s="0" t="s">
        <v>2116</v>
      </c>
      <c r="L47" s="0" t="s">
        <v>2117</v>
      </c>
    </row>
    <row r="48">
      <c r="A48" s="0" t="s">
        <v>44</v>
      </c>
      <c r="B48" s="0" t="s">
        <v>279</v>
      </c>
      <c r="C48" s="0" t="s">
        <v>415</v>
      </c>
      <c r="D48" s="0">
        <v>1135</v>
      </c>
      <c r="E48" s="0"/>
      <c r="F48" s="0" t="s">
        <v>1851</v>
      </c>
      <c r="G48" s="0"/>
      <c r="H48" s="0" t="s">
        <v>1211</v>
      </c>
      <c r="I48" s="0" t="s">
        <v>1699</v>
      </c>
      <c r="J48" s="0"/>
      <c r="K48" s="0" t="s">
        <v>2116</v>
      </c>
      <c r="L48" s="0" t="s">
        <v>2117</v>
      </c>
    </row>
    <row r="49">
      <c r="A49" s="0" t="s">
        <v>44</v>
      </c>
      <c r="B49" s="0" t="s">
        <v>279</v>
      </c>
      <c r="C49" s="0" t="s">
        <v>402</v>
      </c>
      <c r="D49" s="0">
        <v>1576</v>
      </c>
      <c r="E49" s="0"/>
      <c r="F49" s="0" t="s">
        <v>1852</v>
      </c>
      <c r="G49" s="0"/>
      <c r="H49" s="0" t="s">
        <v>1211</v>
      </c>
      <c r="I49" s="0" t="s">
        <v>1699</v>
      </c>
      <c r="J49" s="0"/>
      <c r="K49" s="0" t="s">
        <v>2116</v>
      </c>
      <c r="L49" s="0" t="s">
        <v>2117</v>
      </c>
    </row>
    <row r="50">
      <c r="A50" s="0" t="s">
        <v>44</v>
      </c>
      <c r="B50" s="0" t="s">
        <v>279</v>
      </c>
      <c r="C50" s="0" t="s">
        <v>392</v>
      </c>
      <c r="D50" s="0">
        <v>2252</v>
      </c>
      <c r="E50" s="0"/>
      <c r="F50" s="0" t="s">
        <v>1853</v>
      </c>
      <c r="G50" s="0"/>
      <c r="H50" s="0" t="s">
        <v>1211</v>
      </c>
      <c r="I50" s="0" t="s">
        <v>1699</v>
      </c>
      <c r="J50" s="0"/>
      <c r="K50" s="0" t="s">
        <v>2116</v>
      </c>
      <c r="L50" s="0" t="s">
        <v>2117</v>
      </c>
    </row>
    <row r="51">
      <c r="A51" s="0" t="s">
        <v>44</v>
      </c>
      <c r="B51" s="0" t="s">
        <v>283</v>
      </c>
      <c r="C51" s="0" t="s">
        <v>131</v>
      </c>
      <c r="D51" s="0">
        <v>4333</v>
      </c>
      <c r="E51" s="0"/>
      <c r="F51" s="0" t="s">
        <v>1854</v>
      </c>
      <c r="G51" s="0"/>
      <c r="H51" s="0" t="s">
        <v>1220</v>
      </c>
      <c r="I51" s="0" t="s">
        <v>1704</v>
      </c>
      <c r="J51" s="0"/>
      <c r="K51" s="0" t="s">
        <v>2116</v>
      </c>
      <c r="L51" s="0" t="s">
        <v>2117</v>
      </c>
    </row>
    <row r="52">
      <c r="A52" s="0" t="s">
        <v>44</v>
      </c>
      <c r="B52" s="0" t="s">
        <v>283</v>
      </c>
      <c r="C52" s="0" t="s">
        <v>419</v>
      </c>
      <c r="D52" s="0">
        <v>2416</v>
      </c>
      <c r="E52" s="0"/>
      <c r="F52" s="0" t="s">
        <v>1855</v>
      </c>
      <c r="G52" s="0"/>
      <c r="H52" s="0" t="s">
        <v>1220</v>
      </c>
      <c r="I52" s="0" t="s">
        <v>1704</v>
      </c>
      <c r="J52" s="0"/>
      <c r="K52" s="0" t="s">
        <v>2116</v>
      </c>
      <c r="L52" s="0" t="s">
        <v>2117</v>
      </c>
    </row>
    <row r="53">
      <c r="A53" s="0" t="s">
        <v>44</v>
      </c>
      <c r="B53" s="0" t="s">
        <v>262</v>
      </c>
      <c r="C53" s="0" t="s">
        <v>423</v>
      </c>
      <c r="D53" s="0">
        <v>0.67000000000000004</v>
      </c>
      <c r="E53" s="0"/>
      <c r="F53" s="0" t="s">
        <v>739</v>
      </c>
      <c r="G53" s="0"/>
      <c r="H53" s="0" t="s">
        <v>1227</v>
      </c>
      <c r="I53" s="0" t="s">
        <v>1709</v>
      </c>
      <c r="J53" s="0"/>
      <c r="K53" s="0" t="s">
        <v>2116</v>
      </c>
      <c r="L53" s="0" t="s">
        <v>2117</v>
      </c>
    </row>
    <row r="54">
      <c r="A54" s="0" t="s">
        <v>44</v>
      </c>
      <c r="B54" s="0" t="s">
        <v>289</v>
      </c>
      <c r="C54" s="0" t="s">
        <v>424</v>
      </c>
      <c r="D54" s="0">
        <v>200.19999999999999</v>
      </c>
      <c r="E54" s="0"/>
      <c r="F54" s="0" t="s">
        <v>1856</v>
      </c>
      <c r="G54" s="0"/>
      <c r="H54" s="0" t="s">
        <v>1228</v>
      </c>
      <c r="I54" s="0" t="s">
        <v>1711</v>
      </c>
      <c r="J54" s="0"/>
      <c r="K54" s="0" t="s">
        <v>2116</v>
      </c>
      <c r="L54" s="0" t="s">
        <v>2117</v>
      </c>
    </row>
    <row r="55">
      <c r="A55" s="0" t="s">
        <v>44</v>
      </c>
      <c r="B55" s="0" t="s">
        <v>254</v>
      </c>
      <c r="C55" s="0" t="s">
        <v>390</v>
      </c>
      <c r="D55" s="0">
        <v>0.050000000000000003</v>
      </c>
      <c r="E55" s="0"/>
      <c r="F55" s="0" t="s">
        <v>580</v>
      </c>
      <c r="G55" s="0"/>
      <c r="H55" s="0" t="s">
        <v>2041</v>
      </c>
      <c r="I55" s="0" t="s">
        <v>1713</v>
      </c>
      <c r="J55" s="0"/>
      <c r="K55" s="0" t="s">
        <v>2116</v>
      </c>
      <c r="L55" s="0" t="s">
        <v>2117</v>
      </c>
    </row>
    <row r="56">
      <c r="A56" s="0" t="s">
        <v>44</v>
      </c>
      <c r="B56" s="0" t="s">
        <v>254</v>
      </c>
      <c r="C56" s="0" t="s">
        <v>390</v>
      </c>
      <c r="D56" s="0">
        <v>0.064000000000000001</v>
      </c>
      <c r="E56" s="0"/>
      <c r="F56" s="0" t="s">
        <v>886</v>
      </c>
      <c r="G56" s="0"/>
      <c r="H56" s="0" t="s">
        <v>2042</v>
      </c>
      <c r="I56" s="0" t="s">
        <v>1713</v>
      </c>
      <c r="J56" s="0"/>
      <c r="K56" s="0" t="s">
        <v>2116</v>
      </c>
      <c r="L56" s="0" t="s">
        <v>2117</v>
      </c>
    </row>
    <row r="57">
      <c r="A57" s="0" t="s">
        <v>45</v>
      </c>
      <c r="B57" s="0" t="s">
        <v>263</v>
      </c>
      <c r="C57" s="0" t="s">
        <v>432</v>
      </c>
      <c r="D57" s="0">
        <v>1.4199999999999999</v>
      </c>
      <c r="E57" s="0"/>
      <c r="F57" s="0" t="s">
        <v>1857</v>
      </c>
      <c r="G57" s="0"/>
      <c r="H57" s="0" t="s">
        <v>1247</v>
      </c>
      <c r="I57" s="0" t="s">
        <v>1717</v>
      </c>
      <c r="J57" s="0"/>
      <c r="K57" s="0" t="s">
        <v>2116</v>
      </c>
      <c r="L57" s="0" t="s">
        <v>2117</v>
      </c>
    </row>
    <row r="58">
      <c r="A58" s="0" t="s">
        <v>45</v>
      </c>
      <c r="B58" s="0" t="s">
        <v>263</v>
      </c>
      <c r="C58" s="0" t="s">
        <v>432</v>
      </c>
      <c r="D58" s="0">
        <v>109.5</v>
      </c>
      <c r="E58" s="0"/>
      <c r="F58" s="0" t="s">
        <v>1858</v>
      </c>
      <c r="G58" s="0"/>
      <c r="H58" s="0" t="s">
        <v>1246</v>
      </c>
      <c r="I58" s="0" t="s">
        <v>1717</v>
      </c>
      <c r="J58" s="0"/>
      <c r="K58" s="0" t="s">
        <v>2116</v>
      </c>
      <c r="L58" s="0" t="s">
        <v>2117</v>
      </c>
    </row>
    <row r="59">
      <c r="A59" s="0" t="s">
        <v>45</v>
      </c>
      <c r="B59" s="0" t="s">
        <v>263</v>
      </c>
      <c r="C59" s="0" t="s">
        <v>432</v>
      </c>
      <c r="D59" s="0">
        <v>24.239999999999999</v>
      </c>
      <c r="E59" s="0"/>
      <c r="F59" s="0" t="s">
        <v>1859</v>
      </c>
      <c r="G59" s="0"/>
      <c r="H59" s="0" t="s">
        <v>1245</v>
      </c>
      <c r="I59" s="0" t="s">
        <v>1717</v>
      </c>
      <c r="J59" s="0"/>
      <c r="K59" s="0" t="s">
        <v>2116</v>
      </c>
      <c r="L59" s="0" t="s">
        <v>2117</v>
      </c>
    </row>
    <row r="60">
      <c r="A60" s="0" t="s">
        <v>45</v>
      </c>
      <c r="B60" s="0" t="s">
        <v>298</v>
      </c>
      <c r="C60" s="0" t="s">
        <v>432</v>
      </c>
      <c r="D60" s="0">
        <v>15</v>
      </c>
      <c r="E60" s="0"/>
      <c r="F60" s="0" t="s">
        <v>641</v>
      </c>
      <c r="G60" s="0"/>
      <c r="H60" s="0" t="s">
        <v>2043</v>
      </c>
      <c r="I60" s="0" t="s">
        <v>1722</v>
      </c>
      <c r="J60" s="0"/>
      <c r="K60" s="0" t="s">
        <v>2116</v>
      </c>
      <c r="L60" s="0" t="s">
        <v>2117</v>
      </c>
    </row>
    <row r="61">
      <c r="A61" s="0" t="s">
        <v>45</v>
      </c>
      <c r="B61" s="0" t="s">
        <v>298</v>
      </c>
      <c r="C61" s="0" t="s">
        <v>445</v>
      </c>
      <c r="D61" s="0">
        <v>21</v>
      </c>
      <c r="E61" s="0"/>
      <c r="F61" s="0" t="s">
        <v>1748</v>
      </c>
      <c r="G61" s="0"/>
      <c r="H61" s="0" t="s">
        <v>1270</v>
      </c>
      <c r="I61" s="0" t="s">
        <v>1722</v>
      </c>
      <c r="J61" s="0"/>
      <c r="K61" s="0" t="s">
        <v>2116</v>
      </c>
      <c r="L61" s="0" t="s">
        <v>2117</v>
      </c>
    </row>
    <row r="62">
      <c r="A62" s="0" t="s">
        <v>45</v>
      </c>
      <c r="B62" s="0" t="s">
        <v>298</v>
      </c>
      <c r="C62" s="0" t="s">
        <v>447</v>
      </c>
      <c r="D62" s="0">
        <v>27</v>
      </c>
      <c r="E62" s="0"/>
      <c r="F62" s="0" t="s">
        <v>827</v>
      </c>
      <c r="G62" s="0"/>
      <c r="H62" s="0" t="s">
        <v>1263</v>
      </c>
      <c r="I62" s="0" t="s">
        <v>1722</v>
      </c>
      <c r="J62" s="0"/>
      <c r="K62" s="0" t="s">
        <v>2116</v>
      </c>
      <c r="L62" s="0" t="s">
        <v>2117</v>
      </c>
    </row>
    <row r="63">
      <c r="A63" s="0" t="s">
        <v>45</v>
      </c>
      <c r="B63" s="0" t="s">
        <v>298</v>
      </c>
      <c r="C63" s="0" t="s">
        <v>432</v>
      </c>
      <c r="D63" s="0">
        <v>16</v>
      </c>
      <c r="E63" s="0"/>
      <c r="F63" s="0" t="s">
        <v>1794</v>
      </c>
      <c r="G63" s="0"/>
      <c r="H63" s="0" t="s">
        <v>2044</v>
      </c>
      <c r="I63" s="0" t="s">
        <v>1722</v>
      </c>
      <c r="J63" s="0"/>
      <c r="K63" s="0" t="s">
        <v>2116</v>
      </c>
      <c r="L63" s="0" t="s">
        <v>2117</v>
      </c>
    </row>
    <row r="64">
      <c r="A64" s="0" t="s">
        <v>45</v>
      </c>
      <c r="B64" s="0" t="s">
        <v>298</v>
      </c>
      <c r="C64" s="0" t="s">
        <v>432</v>
      </c>
      <c r="D64" s="0">
        <v>39</v>
      </c>
      <c r="E64" s="0"/>
      <c r="F64" s="0" t="s">
        <v>1770</v>
      </c>
      <c r="G64" s="0"/>
      <c r="H64" s="0" t="s">
        <v>2045</v>
      </c>
      <c r="I64" s="0" t="s">
        <v>1722</v>
      </c>
      <c r="J64" s="0"/>
      <c r="K64" s="0" t="s">
        <v>2116</v>
      </c>
      <c r="L64" s="0" t="s">
        <v>2117</v>
      </c>
    </row>
    <row r="65">
      <c r="A65" s="0" t="s">
        <v>45</v>
      </c>
      <c r="B65" s="0" t="s">
        <v>298</v>
      </c>
      <c r="C65" s="0" t="s">
        <v>445</v>
      </c>
      <c r="D65" s="0">
        <v>20</v>
      </c>
      <c r="E65" s="0"/>
      <c r="F65" s="0" t="s">
        <v>789</v>
      </c>
      <c r="G65" s="0"/>
      <c r="H65" s="0" t="s">
        <v>1258</v>
      </c>
      <c r="I65" s="0" t="s">
        <v>1722</v>
      </c>
      <c r="J65" s="0"/>
      <c r="K65" s="0" t="s">
        <v>2116</v>
      </c>
      <c r="L65" s="0" t="s">
        <v>2117</v>
      </c>
    </row>
    <row r="66">
      <c r="A66" s="0" t="s">
        <v>45</v>
      </c>
      <c r="B66" s="0" t="s">
        <v>298</v>
      </c>
      <c r="C66" s="0" t="s">
        <v>447</v>
      </c>
      <c r="D66" s="0">
        <v>30</v>
      </c>
      <c r="E66" s="0"/>
      <c r="F66" s="0" t="s">
        <v>1019</v>
      </c>
      <c r="G66" s="0"/>
      <c r="H66" s="0" t="s">
        <v>1269</v>
      </c>
      <c r="I66" s="0" t="s">
        <v>1722</v>
      </c>
      <c r="J66" s="0"/>
      <c r="K66" s="0" t="s">
        <v>2116</v>
      </c>
      <c r="L66" s="0" t="s">
        <v>2117</v>
      </c>
    </row>
    <row r="67">
      <c r="A67" s="0" t="s">
        <v>45</v>
      </c>
      <c r="B67" s="0" t="s">
        <v>298</v>
      </c>
      <c r="C67" s="0" t="s">
        <v>448</v>
      </c>
      <c r="D67" s="0">
        <v>30</v>
      </c>
      <c r="E67" s="0"/>
      <c r="F67" s="0" t="s">
        <v>1019</v>
      </c>
      <c r="G67" s="0"/>
      <c r="H67" s="0" t="s">
        <v>1268</v>
      </c>
      <c r="I67" s="0" t="s">
        <v>1722</v>
      </c>
      <c r="J67" s="0"/>
      <c r="K67" s="0" t="s">
        <v>2116</v>
      </c>
      <c r="L67" s="0" t="s">
        <v>2117</v>
      </c>
    </row>
    <row r="68">
      <c r="A68" s="0" t="s">
        <v>45</v>
      </c>
      <c r="B68" s="0" t="s">
        <v>298</v>
      </c>
      <c r="C68" s="0" t="s">
        <v>445</v>
      </c>
      <c r="D68" s="0">
        <v>33</v>
      </c>
      <c r="E68" s="0"/>
      <c r="F68" s="0" t="s">
        <v>1767</v>
      </c>
      <c r="G68" s="0"/>
      <c r="H68" s="0" t="s">
        <v>1260</v>
      </c>
      <c r="I68" s="0" t="s">
        <v>1722</v>
      </c>
      <c r="J68" s="0"/>
      <c r="K68" s="0" t="s">
        <v>2116</v>
      </c>
      <c r="L68" s="0" t="s">
        <v>2117</v>
      </c>
    </row>
    <row r="69">
      <c r="A69" s="0" t="s">
        <v>45</v>
      </c>
      <c r="B69" s="0" t="s">
        <v>298</v>
      </c>
      <c r="C69" s="0" t="s">
        <v>445</v>
      </c>
      <c r="D69" s="0">
        <v>40</v>
      </c>
      <c r="E69" s="0"/>
      <c r="F69" s="0" t="s">
        <v>1768</v>
      </c>
      <c r="G69" s="0"/>
      <c r="H69" s="0" t="s">
        <v>1264</v>
      </c>
      <c r="I69" s="0" t="s">
        <v>1722</v>
      </c>
      <c r="J69" s="0"/>
      <c r="K69" s="0" t="s">
        <v>2116</v>
      </c>
      <c r="L69" s="0" t="s">
        <v>2117</v>
      </c>
    </row>
    <row r="70">
      <c r="A70" s="0" t="s">
        <v>45</v>
      </c>
      <c r="B70" s="0" t="s">
        <v>298</v>
      </c>
      <c r="C70" s="0" t="s">
        <v>432</v>
      </c>
      <c r="D70" s="0">
        <v>38</v>
      </c>
      <c r="E70" s="0"/>
      <c r="F70" s="0" t="s">
        <v>1742</v>
      </c>
      <c r="G70" s="0"/>
      <c r="H70" s="0" t="s">
        <v>2046</v>
      </c>
      <c r="I70" s="0" t="s">
        <v>1722</v>
      </c>
      <c r="J70" s="0"/>
      <c r="K70" s="0" t="s">
        <v>2116</v>
      </c>
      <c r="L70" s="0" t="s">
        <v>2117</v>
      </c>
    </row>
    <row r="71">
      <c r="A71" s="0" t="s">
        <v>45</v>
      </c>
      <c r="B71" s="0" t="s">
        <v>298</v>
      </c>
      <c r="C71" s="0" t="s">
        <v>446</v>
      </c>
      <c r="D71" s="0">
        <v>12</v>
      </c>
      <c r="E71" s="0"/>
      <c r="F71" s="0" t="s">
        <v>640</v>
      </c>
      <c r="G71" s="0"/>
      <c r="H71" s="0" t="s">
        <v>1269</v>
      </c>
      <c r="I71" s="0" t="s">
        <v>1722</v>
      </c>
      <c r="J71" s="0"/>
      <c r="K71" s="0" t="s">
        <v>2116</v>
      </c>
      <c r="L71" s="0" t="s">
        <v>2117</v>
      </c>
    </row>
    <row r="72">
      <c r="A72" s="0" t="s">
        <v>45</v>
      </c>
      <c r="B72" s="0" t="s">
        <v>298</v>
      </c>
      <c r="C72" s="0" t="s">
        <v>448</v>
      </c>
      <c r="D72" s="0">
        <v>13</v>
      </c>
      <c r="E72" s="0"/>
      <c r="F72" s="0" t="s">
        <v>1790</v>
      </c>
      <c r="G72" s="0"/>
      <c r="H72" s="0" t="s">
        <v>2047</v>
      </c>
      <c r="I72" s="0" t="s">
        <v>1722</v>
      </c>
      <c r="J72" s="0"/>
      <c r="K72" s="0" t="s">
        <v>2116</v>
      </c>
      <c r="L72" s="0" t="s">
        <v>2117</v>
      </c>
    </row>
    <row r="73">
      <c r="A73" s="0" t="s">
        <v>45</v>
      </c>
      <c r="B73" s="0" t="s">
        <v>298</v>
      </c>
      <c r="C73" s="0" t="s">
        <v>446</v>
      </c>
      <c r="D73" s="0">
        <v>31</v>
      </c>
      <c r="E73" s="0"/>
      <c r="F73" s="0" t="s">
        <v>1795</v>
      </c>
      <c r="G73" s="0"/>
      <c r="H73" s="0" t="s">
        <v>1263</v>
      </c>
      <c r="I73" s="0" t="s">
        <v>1722</v>
      </c>
      <c r="J73" s="0"/>
      <c r="K73" s="0" t="s">
        <v>2116</v>
      </c>
      <c r="L73" s="0" t="s">
        <v>2117</v>
      </c>
    </row>
    <row r="74">
      <c r="A74" s="0" t="s">
        <v>45</v>
      </c>
      <c r="B74" s="0" t="s">
        <v>298</v>
      </c>
      <c r="C74" s="0" t="s">
        <v>448</v>
      </c>
      <c r="D74" s="0">
        <v>31</v>
      </c>
      <c r="E74" s="0"/>
      <c r="F74" s="0" t="s">
        <v>1795</v>
      </c>
      <c r="G74" s="0"/>
      <c r="H74" s="0" t="s">
        <v>1262</v>
      </c>
      <c r="I74" s="0" t="s">
        <v>1722</v>
      </c>
      <c r="J74" s="0"/>
      <c r="K74" s="0" t="s">
        <v>2116</v>
      </c>
      <c r="L74" s="0" t="s">
        <v>2117</v>
      </c>
    </row>
    <row r="75">
      <c r="A75" s="0" t="s">
        <v>45</v>
      </c>
      <c r="B75" s="0" t="s">
        <v>298</v>
      </c>
      <c r="C75" s="0" t="s">
        <v>446</v>
      </c>
      <c r="D75" s="0">
        <v>11</v>
      </c>
      <c r="E75" s="0"/>
      <c r="F75" s="0" t="s">
        <v>595</v>
      </c>
      <c r="G75" s="0"/>
      <c r="H75" s="0" t="s">
        <v>1259</v>
      </c>
      <c r="I75" s="0" t="s">
        <v>1722</v>
      </c>
      <c r="J75" s="0"/>
      <c r="K75" s="0" t="s">
        <v>2116</v>
      </c>
      <c r="L75" s="0" t="s">
        <v>2117</v>
      </c>
    </row>
    <row r="76">
      <c r="A76" s="0" t="s">
        <v>45</v>
      </c>
      <c r="B76" s="0" t="s">
        <v>298</v>
      </c>
      <c r="C76" s="0" t="s">
        <v>447</v>
      </c>
      <c r="D76" s="0">
        <v>23</v>
      </c>
      <c r="E76" s="0"/>
      <c r="F76" s="0" t="s">
        <v>1749</v>
      </c>
      <c r="G76" s="0"/>
      <c r="H76" s="0" t="s">
        <v>1259</v>
      </c>
      <c r="I76" s="0" t="s">
        <v>1722</v>
      </c>
      <c r="J76" s="0"/>
      <c r="K76" s="0" t="s">
        <v>2116</v>
      </c>
      <c r="L76" s="0" t="s">
        <v>2117</v>
      </c>
    </row>
    <row r="77">
      <c r="A77" s="0" t="s">
        <v>45</v>
      </c>
      <c r="B77" s="0" t="s">
        <v>298</v>
      </c>
      <c r="C77" s="0" t="s">
        <v>446</v>
      </c>
      <c r="D77" s="0">
        <v>32</v>
      </c>
      <c r="E77" s="0"/>
      <c r="F77" s="0" t="s">
        <v>705</v>
      </c>
      <c r="G77" s="0"/>
      <c r="H77" s="0" t="s">
        <v>1261</v>
      </c>
      <c r="I77" s="0" t="s">
        <v>1722</v>
      </c>
      <c r="J77" s="0"/>
      <c r="K77" s="0" t="s">
        <v>2116</v>
      </c>
      <c r="L77" s="0" t="s">
        <v>2117</v>
      </c>
    </row>
    <row r="78">
      <c r="A78" s="0" t="s">
        <v>45</v>
      </c>
      <c r="B78" s="0" t="s">
        <v>298</v>
      </c>
      <c r="C78" s="0" t="s">
        <v>447</v>
      </c>
      <c r="D78" s="0">
        <v>32</v>
      </c>
      <c r="E78" s="0"/>
      <c r="F78" s="0" t="s">
        <v>705</v>
      </c>
      <c r="G78" s="0"/>
      <c r="H78" s="0" t="s">
        <v>1261</v>
      </c>
      <c r="I78" s="0" t="s">
        <v>1722</v>
      </c>
      <c r="J78" s="0"/>
      <c r="K78" s="0" t="s">
        <v>2116</v>
      </c>
      <c r="L78" s="0" t="s">
        <v>2117</v>
      </c>
    </row>
    <row r="79">
      <c r="A79" s="0" t="s">
        <v>45</v>
      </c>
      <c r="B79" s="0" t="s">
        <v>301</v>
      </c>
      <c r="C79" s="0" t="s">
        <v>432</v>
      </c>
      <c r="D79" s="0">
        <v>43.329999999999998</v>
      </c>
      <c r="E79" s="0"/>
      <c r="F79" s="0" t="s">
        <v>1860</v>
      </c>
      <c r="G79" s="0"/>
      <c r="H79" s="0" t="s">
        <v>1275</v>
      </c>
      <c r="I79" s="0" t="s">
        <v>1724</v>
      </c>
      <c r="J79" s="0"/>
      <c r="K79" s="0" t="s">
        <v>2116</v>
      </c>
      <c r="L79" s="0" t="s">
        <v>2117</v>
      </c>
    </row>
    <row r="80">
      <c r="A80" s="0" t="s">
        <v>45</v>
      </c>
      <c r="B80" s="0" t="s">
        <v>301</v>
      </c>
      <c r="C80" s="0" t="s">
        <v>432</v>
      </c>
      <c r="D80" s="0">
        <v>56.329999999999998</v>
      </c>
      <c r="E80" s="0"/>
      <c r="F80" s="0" t="s">
        <v>1861</v>
      </c>
      <c r="G80" s="0"/>
      <c r="H80" s="0" t="s">
        <v>1277</v>
      </c>
      <c r="I80" s="0" t="s">
        <v>1724</v>
      </c>
      <c r="J80" s="0"/>
      <c r="K80" s="0" t="s">
        <v>2116</v>
      </c>
      <c r="L80" s="0" t="s">
        <v>2117</v>
      </c>
    </row>
    <row r="81">
      <c r="A81" s="0" t="s">
        <v>45</v>
      </c>
      <c r="B81" s="0" t="s">
        <v>263</v>
      </c>
      <c r="C81" s="0" t="s">
        <v>432</v>
      </c>
      <c r="D81" s="0">
        <v>0.105</v>
      </c>
      <c r="E81" s="0"/>
      <c r="F81" s="0" t="s">
        <v>1862</v>
      </c>
      <c r="G81" s="0"/>
      <c r="H81" s="0"/>
      <c r="I81" s="0" t="s">
        <v>1735</v>
      </c>
      <c r="J81" s="0"/>
      <c r="K81" s="0" t="s">
        <v>2116</v>
      </c>
      <c r="L81" s="0" t="s">
        <v>2117</v>
      </c>
    </row>
    <row r="82">
      <c r="A82" s="0" t="s">
        <v>45</v>
      </c>
      <c r="B82" s="0" t="s">
        <v>263</v>
      </c>
      <c r="C82" s="0" t="s">
        <v>432</v>
      </c>
      <c r="D82" s="0">
        <v>97</v>
      </c>
      <c r="E82" s="0"/>
      <c r="F82" s="0" t="s">
        <v>1761</v>
      </c>
      <c r="G82" s="0"/>
      <c r="H82" s="0" t="s">
        <v>1295</v>
      </c>
      <c r="I82" s="0" t="s">
        <v>1736</v>
      </c>
      <c r="J82" s="0"/>
      <c r="K82" s="0" t="s">
        <v>2116</v>
      </c>
      <c r="L82" s="0" t="s">
        <v>2117</v>
      </c>
    </row>
    <row r="83">
      <c r="A83" s="0" t="s">
        <v>45</v>
      </c>
      <c r="B83" s="0" t="s">
        <v>307</v>
      </c>
      <c r="C83" s="0" t="s">
        <v>432</v>
      </c>
      <c r="D83" s="0">
        <v>0.62</v>
      </c>
      <c r="E83" s="0"/>
      <c r="F83" s="0" t="s">
        <v>1863</v>
      </c>
      <c r="G83" s="0"/>
      <c r="H83" s="0" t="s">
        <v>1296</v>
      </c>
      <c r="I83" s="0" t="s">
        <v>1737</v>
      </c>
      <c r="J83" s="0"/>
      <c r="K83" s="0" t="s">
        <v>2116</v>
      </c>
      <c r="L83" s="0" t="s">
        <v>2117</v>
      </c>
    </row>
    <row r="84">
      <c r="A84" s="0" t="s">
        <v>45</v>
      </c>
      <c r="B84" s="0" t="s">
        <v>307</v>
      </c>
      <c r="C84" s="0" t="s">
        <v>432</v>
      </c>
      <c r="D84" s="0">
        <v>0.48999999999999999</v>
      </c>
      <c r="E84" s="0"/>
      <c r="F84" s="0" t="s">
        <v>787</v>
      </c>
      <c r="G84" s="0"/>
      <c r="H84" s="0" t="s">
        <v>1297</v>
      </c>
      <c r="I84" s="0" t="s">
        <v>1737</v>
      </c>
      <c r="J84" s="0"/>
      <c r="K84" s="0" t="s">
        <v>2116</v>
      </c>
      <c r="L84" s="0" t="s">
        <v>2117</v>
      </c>
    </row>
    <row r="85">
      <c r="A85" s="0" t="s">
        <v>45</v>
      </c>
      <c r="B85" s="0" t="s">
        <v>147</v>
      </c>
      <c r="C85" s="0" t="s">
        <v>1814</v>
      </c>
      <c r="D85" s="0">
        <v>1150</v>
      </c>
      <c r="E85" s="0"/>
      <c r="F85" s="0" t="s">
        <v>1864</v>
      </c>
      <c r="G85" s="0"/>
      <c r="H85" s="0"/>
      <c r="I85" s="0" t="s">
        <v>1707</v>
      </c>
      <c r="J85" s="0"/>
      <c r="K85" s="0" t="s">
        <v>2116</v>
      </c>
      <c r="L85" s="0" t="s">
        <v>2117</v>
      </c>
    </row>
    <row r="86">
      <c r="A86" s="0" t="s">
        <v>45</v>
      </c>
      <c r="B86" s="0" t="s">
        <v>274</v>
      </c>
      <c r="C86" s="0" t="s">
        <v>465</v>
      </c>
      <c r="D86" s="0">
        <v>0.40999999999999998</v>
      </c>
      <c r="E86" s="0"/>
      <c r="F86" s="0" t="s">
        <v>648</v>
      </c>
      <c r="G86" s="0"/>
      <c r="H86" s="0" t="s">
        <v>1311</v>
      </c>
      <c r="I86" s="0" t="s">
        <v>1745</v>
      </c>
      <c r="J86" s="0"/>
      <c r="K86" s="0" t="s">
        <v>2116</v>
      </c>
      <c r="L86" s="0" t="s">
        <v>2117</v>
      </c>
    </row>
    <row r="87">
      <c r="A87" s="0" t="s">
        <v>45</v>
      </c>
      <c r="B87" s="0" t="s">
        <v>274</v>
      </c>
      <c r="C87" s="0" t="s">
        <v>465</v>
      </c>
      <c r="D87" s="0">
        <v>0.38</v>
      </c>
      <c r="E87" s="0"/>
      <c r="F87" s="0" t="s">
        <v>894</v>
      </c>
      <c r="G87" s="0"/>
      <c r="H87" s="0" t="s">
        <v>1311</v>
      </c>
      <c r="I87" s="0" t="s">
        <v>1745</v>
      </c>
      <c r="J87" s="0"/>
      <c r="K87" s="0" t="s">
        <v>2116</v>
      </c>
      <c r="L87" s="0" t="s">
        <v>2117</v>
      </c>
    </row>
    <row r="88">
      <c r="A88" s="0" t="s">
        <v>45</v>
      </c>
      <c r="B88" s="0" t="s">
        <v>274</v>
      </c>
      <c r="C88" s="0" t="s">
        <v>465</v>
      </c>
      <c r="D88" s="0">
        <v>0.32000000000000001</v>
      </c>
      <c r="E88" s="0"/>
      <c r="F88" s="0" t="s">
        <v>591</v>
      </c>
      <c r="G88" s="0"/>
      <c r="H88" s="0" t="s">
        <v>1311</v>
      </c>
      <c r="I88" s="0" t="s">
        <v>1745</v>
      </c>
      <c r="J88" s="0"/>
      <c r="K88" s="0" t="s">
        <v>2116</v>
      </c>
      <c r="L88" s="0" t="s">
        <v>2117</v>
      </c>
    </row>
    <row r="89">
      <c r="A89" s="0" t="s">
        <v>45</v>
      </c>
      <c r="B89" s="0" t="s">
        <v>263</v>
      </c>
      <c r="C89" s="0" t="s">
        <v>438</v>
      </c>
      <c r="D89" s="0">
        <v>1.7</v>
      </c>
      <c r="E89" s="0"/>
      <c r="F89" s="0" t="s">
        <v>652</v>
      </c>
      <c r="G89" s="0"/>
      <c r="H89" s="0" t="s">
        <v>2048</v>
      </c>
      <c r="I89" s="0" t="s">
        <v>1747</v>
      </c>
      <c r="J89" s="0"/>
      <c r="K89" s="0" t="s">
        <v>2116</v>
      </c>
      <c r="L89" s="0" t="s">
        <v>2117</v>
      </c>
    </row>
    <row r="90">
      <c r="A90" s="0" t="s">
        <v>45</v>
      </c>
      <c r="B90" s="0" t="s">
        <v>263</v>
      </c>
      <c r="C90" s="0" t="s">
        <v>438</v>
      </c>
      <c r="D90" s="0">
        <v>21.699999999999999</v>
      </c>
      <c r="E90" s="0"/>
      <c r="F90" s="0" t="s">
        <v>1865</v>
      </c>
      <c r="G90" s="0"/>
      <c r="H90" s="0" t="s">
        <v>1323</v>
      </c>
      <c r="I90" s="0" t="s">
        <v>1747</v>
      </c>
      <c r="J90" s="0"/>
      <c r="K90" s="0" t="s">
        <v>2116</v>
      </c>
      <c r="L90" s="0" t="s">
        <v>2117</v>
      </c>
    </row>
    <row r="91">
      <c r="A91" s="0" t="s">
        <v>45</v>
      </c>
      <c r="B91" s="0" t="s">
        <v>263</v>
      </c>
      <c r="C91" s="0" t="s">
        <v>438</v>
      </c>
      <c r="D91" s="0">
        <v>8.3000000000000007</v>
      </c>
      <c r="E91" s="0"/>
      <c r="F91" s="0" t="s">
        <v>839</v>
      </c>
      <c r="G91" s="0"/>
      <c r="H91" s="0" t="s">
        <v>1325</v>
      </c>
      <c r="I91" s="0" t="s">
        <v>1747</v>
      </c>
      <c r="J91" s="0"/>
      <c r="K91" s="0" t="s">
        <v>2116</v>
      </c>
      <c r="L91" s="0" t="s">
        <v>2117</v>
      </c>
    </row>
    <row r="92">
      <c r="A92" s="0" t="s">
        <v>45</v>
      </c>
      <c r="B92" s="0" t="s">
        <v>263</v>
      </c>
      <c r="C92" s="0" t="s">
        <v>438</v>
      </c>
      <c r="D92" s="0">
        <v>95</v>
      </c>
      <c r="E92" s="0"/>
      <c r="F92" s="0" t="s">
        <v>1866</v>
      </c>
      <c r="G92" s="0"/>
      <c r="H92" s="0" t="s">
        <v>2049</v>
      </c>
      <c r="I92" s="0" t="s">
        <v>1747</v>
      </c>
      <c r="J92" s="0"/>
      <c r="K92" s="0" t="s">
        <v>2116</v>
      </c>
      <c r="L92" s="0" t="s">
        <v>2117</v>
      </c>
    </row>
    <row r="93">
      <c r="A93" s="0" t="s">
        <v>45</v>
      </c>
      <c r="B93" s="0" t="s">
        <v>263</v>
      </c>
      <c r="C93" s="0" t="s">
        <v>438</v>
      </c>
      <c r="D93" s="0">
        <v>305</v>
      </c>
      <c r="E93" s="0"/>
      <c r="F93" s="0" t="s">
        <v>1702</v>
      </c>
      <c r="G93" s="0"/>
      <c r="H93" s="0" t="s">
        <v>1321</v>
      </c>
      <c r="I93" s="0" t="s">
        <v>1747</v>
      </c>
      <c r="J93" s="0"/>
      <c r="K93" s="0" t="s">
        <v>2116</v>
      </c>
      <c r="L93" s="0" t="s">
        <v>2117</v>
      </c>
    </row>
    <row r="94">
      <c r="A94" s="0" t="s">
        <v>45</v>
      </c>
      <c r="B94" s="0" t="s">
        <v>263</v>
      </c>
      <c r="C94" s="0" t="s">
        <v>438</v>
      </c>
      <c r="D94" s="0">
        <v>106.7</v>
      </c>
      <c r="E94" s="0"/>
      <c r="F94" s="0" t="s">
        <v>1867</v>
      </c>
      <c r="G94" s="0"/>
      <c r="H94" s="0" t="s">
        <v>2050</v>
      </c>
      <c r="I94" s="0" t="s">
        <v>1747</v>
      </c>
      <c r="J94" s="0"/>
      <c r="K94" s="0" t="s">
        <v>2116</v>
      </c>
      <c r="L94" s="0" t="s">
        <v>2117</v>
      </c>
    </row>
    <row r="95">
      <c r="A95" s="0" t="s">
        <v>45</v>
      </c>
      <c r="B95" s="0" t="s">
        <v>286</v>
      </c>
      <c r="C95" s="0" t="s">
        <v>1814</v>
      </c>
      <c r="D95" s="0">
        <v>1250</v>
      </c>
      <c r="E95" s="0"/>
      <c r="F95" s="0" t="s">
        <v>1868</v>
      </c>
      <c r="G95" s="0"/>
      <c r="H95" s="0"/>
      <c r="I95" s="0" t="s">
        <v>1707</v>
      </c>
      <c r="J95" s="0"/>
      <c r="K95" s="0" t="s">
        <v>2116</v>
      </c>
      <c r="L95" s="0" t="s">
        <v>2117</v>
      </c>
    </row>
    <row r="96">
      <c r="A96" s="0" t="s">
        <v>45</v>
      </c>
      <c r="B96" s="0" t="s">
        <v>263</v>
      </c>
      <c r="C96" s="0" t="s">
        <v>438</v>
      </c>
      <c r="D96" s="0">
        <v>8.9299999999999997</v>
      </c>
      <c r="E96" s="0"/>
      <c r="F96" s="0" t="s">
        <v>1869</v>
      </c>
      <c r="G96" s="0"/>
      <c r="H96" s="0" t="s">
        <v>1341</v>
      </c>
      <c r="I96" s="0" t="s">
        <v>1751</v>
      </c>
      <c r="J96" s="0"/>
      <c r="K96" s="0" t="s">
        <v>2116</v>
      </c>
      <c r="L96" s="0" t="s">
        <v>2117</v>
      </c>
    </row>
    <row r="97">
      <c r="A97" s="0" t="s">
        <v>45</v>
      </c>
      <c r="B97" s="0" t="s">
        <v>263</v>
      </c>
      <c r="C97" s="0" t="s">
        <v>438</v>
      </c>
      <c r="D97" s="0">
        <v>16.039999999999999</v>
      </c>
      <c r="E97" s="0"/>
      <c r="F97" s="0" t="s">
        <v>1870</v>
      </c>
      <c r="G97" s="0"/>
      <c r="H97" s="0" t="s">
        <v>1342</v>
      </c>
      <c r="I97" s="0" t="s">
        <v>1751</v>
      </c>
      <c r="J97" s="0"/>
      <c r="K97" s="0" t="s">
        <v>2116</v>
      </c>
      <c r="L97" s="0" t="s">
        <v>2117</v>
      </c>
    </row>
    <row r="98">
      <c r="A98" s="0" t="s">
        <v>45</v>
      </c>
      <c r="B98" s="0" t="s">
        <v>263</v>
      </c>
      <c r="C98" s="0" t="s">
        <v>438</v>
      </c>
      <c r="D98" s="0">
        <v>21.739999999999999</v>
      </c>
      <c r="E98" s="0"/>
      <c r="F98" s="0" t="s">
        <v>1871</v>
      </c>
      <c r="G98" s="0"/>
      <c r="H98" s="0" t="s">
        <v>2051</v>
      </c>
      <c r="I98" s="0" t="s">
        <v>1751</v>
      </c>
      <c r="J98" s="0"/>
      <c r="K98" s="0" t="s">
        <v>2116</v>
      </c>
      <c r="L98" s="0" t="s">
        <v>2117</v>
      </c>
    </row>
    <row r="99">
      <c r="A99" s="0" t="s">
        <v>45</v>
      </c>
      <c r="B99" s="0" t="s">
        <v>263</v>
      </c>
      <c r="C99" s="0" t="s">
        <v>438</v>
      </c>
      <c r="D99" s="0">
        <v>123.65000000000001</v>
      </c>
      <c r="E99" s="0"/>
      <c r="F99" s="0" t="s">
        <v>1872</v>
      </c>
      <c r="G99" s="0"/>
      <c r="H99" s="0" t="s">
        <v>1339</v>
      </c>
      <c r="I99" s="0" t="s">
        <v>1751</v>
      </c>
      <c r="J99" s="0"/>
      <c r="K99" s="0" t="s">
        <v>2116</v>
      </c>
      <c r="L99" s="0" t="s">
        <v>2117</v>
      </c>
    </row>
    <row r="100">
      <c r="A100" s="0" t="s">
        <v>45</v>
      </c>
      <c r="B100" s="0" t="s">
        <v>263</v>
      </c>
      <c r="C100" s="0" t="s">
        <v>438</v>
      </c>
      <c r="D100" s="0">
        <v>175.52000000000001</v>
      </c>
      <c r="E100" s="0"/>
      <c r="F100" s="0" t="s">
        <v>1873</v>
      </c>
      <c r="G100" s="0"/>
      <c r="H100" s="0" t="s">
        <v>2052</v>
      </c>
      <c r="I100" s="0" t="s">
        <v>1751</v>
      </c>
      <c r="J100" s="0"/>
      <c r="K100" s="0" t="s">
        <v>2116</v>
      </c>
      <c r="L100" s="0" t="s">
        <v>2117</v>
      </c>
    </row>
    <row r="101">
      <c r="A101" s="0" t="s">
        <v>46</v>
      </c>
      <c r="B101" s="0" t="s">
        <v>311</v>
      </c>
      <c r="C101" s="0" t="s">
        <v>470</v>
      </c>
      <c r="D101" s="0">
        <v>2.6000000000000001</v>
      </c>
      <c r="E101" s="0"/>
      <c r="F101" s="0" t="s">
        <v>842</v>
      </c>
      <c r="G101" s="0"/>
      <c r="H101" s="0" t="s">
        <v>2053</v>
      </c>
      <c r="I101" s="0" t="s">
        <v>640</v>
      </c>
      <c r="J101" s="0"/>
      <c r="K101" s="0" t="s">
        <v>2116</v>
      </c>
      <c r="L101" s="0" t="s">
        <v>2117</v>
      </c>
    </row>
    <row r="102">
      <c r="A102" s="0" t="s">
        <v>46</v>
      </c>
      <c r="B102" s="0" t="s">
        <v>311</v>
      </c>
      <c r="C102" s="0" t="s">
        <v>470</v>
      </c>
      <c r="D102" s="0">
        <v>1.6000000000000001</v>
      </c>
      <c r="E102" s="0"/>
      <c r="F102" s="0" t="s">
        <v>783</v>
      </c>
      <c r="G102" s="0"/>
      <c r="H102" s="0" t="s">
        <v>2054</v>
      </c>
      <c r="I102" s="0" t="s">
        <v>640</v>
      </c>
      <c r="J102" s="0"/>
      <c r="K102" s="0" t="s">
        <v>2116</v>
      </c>
      <c r="L102" s="0" t="s">
        <v>2117</v>
      </c>
    </row>
    <row r="103">
      <c r="A103" s="0" t="s">
        <v>46</v>
      </c>
      <c r="B103" s="0" t="s">
        <v>311</v>
      </c>
      <c r="C103" s="0" t="s">
        <v>471</v>
      </c>
      <c r="D103" s="0">
        <v>7.2999999999999998</v>
      </c>
      <c r="E103" s="0"/>
      <c r="F103" s="0" t="s">
        <v>811</v>
      </c>
      <c r="G103" s="0"/>
      <c r="H103" s="0" t="s">
        <v>2054</v>
      </c>
      <c r="I103" s="0" t="s">
        <v>640</v>
      </c>
      <c r="J103" s="0"/>
      <c r="K103" s="0" t="s">
        <v>2116</v>
      </c>
      <c r="L103" s="0" t="s">
        <v>2117</v>
      </c>
    </row>
    <row r="104">
      <c r="A104" s="0" t="s">
        <v>46</v>
      </c>
      <c r="B104" s="0" t="s">
        <v>311</v>
      </c>
      <c r="C104" s="0" t="s">
        <v>471</v>
      </c>
      <c r="D104" s="0">
        <v>9.6999999999999993</v>
      </c>
      <c r="E104" s="0"/>
      <c r="F104" s="0" t="s">
        <v>1874</v>
      </c>
      <c r="G104" s="0"/>
      <c r="H104" s="0" t="s">
        <v>2053</v>
      </c>
      <c r="I104" s="0" t="s">
        <v>640</v>
      </c>
      <c r="J104" s="0"/>
      <c r="K104" s="0" t="s">
        <v>2116</v>
      </c>
      <c r="L104" s="0" t="s">
        <v>2117</v>
      </c>
    </row>
    <row r="105">
      <c r="A105" s="0" t="s">
        <v>46</v>
      </c>
      <c r="B105" s="0" t="s">
        <v>312</v>
      </c>
      <c r="C105" s="0" t="s">
        <v>133</v>
      </c>
      <c r="D105" s="0">
        <v>70.629999999999996</v>
      </c>
      <c r="E105" s="0"/>
      <c r="F105" s="0" t="s">
        <v>1875</v>
      </c>
      <c r="G105" s="0"/>
      <c r="H105" s="0" t="s">
        <v>1357</v>
      </c>
      <c r="I105" s="0" t="s">
        <v>1761</v>
      </c>
      <c r="J105" s="0"/>
      <c r="K105" s="0" t="s">
        <v>2116</v>
      </c>
      <c r="L105" s="0" t="s">
        <v>2117</v>
      </c>
    </row>
    <row r="106">
      <c r="A106" s="0" t="s">
        <v>46</v>
      </c>
      <c r="B106" s="0" t="s">
        <v>316</v>
      </c>
      <c r="C106" s="0" t="s">
        <v>471</v>
      </c>
      <c r="D106" s="0">
        <v>2589</v>
      </c>
      <c r="E106" s="0"/>
      <c r="F106" s="0" t="s">
        <v>1876</v>
      </c>
      <c r="G106" s="0"/>
      <c r="H106" s="0" t="s">
        <v>1361</v>
      </c>
      <c r="I106" s="0" t="s">
        <v>1726</v>
      </c>
      <c r="J106" s="0"/>
      <c r="K106" s="0" t="s">
        <v>2116</v>
      </c>
      <c r="L106" s="0" t="s">
        <v>2117</v>
      </c>
    </row>
    <row r="107">
      <c r="A107" s="0" t="s">
        <v>46</v>
      </c>
      <c r="B107" s="0" t="s">
        <v>316</v>
      </c>
      <c r="C107" s="0" t="s">
        <v>470</v>
      </c>
      <c r="D107" s="0">
        <v>2314</v>
      </c>
      <c r="E107" s="0"/>
      <c r="F107" s="0" t="s">
        <v>1877</v>
      </c>
      <c r="G107" s="0"/>
      <c r="H107" s="0" t="s">
        <v>1361</v>
      </c>
      <c r="I107" s="0" t="s">
        <v>1726</v>
      </c>
      <c r="J107" s="0"/>
      <c r="K107" s="0" t="s">
        <v>2116</v>
      </c>
      <c r="L107" s="0" t="s">
        <v>2117</v>
      </c>
    </row>
    <row r="108">
      <c r="A108" s="0" t="s">
        <v>46</v>
      </c>
      <c r="B108" s="0" t="s">
        <v>317</v>
      </c>
      <c r="C108" s="0" t="s">
        <v>133</v>
      </c>
      <c r="D108" s="0">
        <v>0.90000000000000002</v>
      </c>
      <c r="E108" s="0"/>
      <c r="F108" s="0" t="s">
        <v>788</v>
      </c>
      <c r="G108" s="0"/>
      <c r="H108" s="0" t="s">
        <v>1362</v>
      </c>
      <c r="I108" s="0" t="s">
        <v>1764</v>
      </c>
      <c r="J108" s="0"/>
      <c r="K108" s="0" t="s">
        <v>2116</v>
      </c>
      <c r="L108" s="0" t="s">
        <v>2117</v>
      </c>
    </row>
    <row r="109">
      <c r="A109" s="0" t="s">
        <v>46</v>
      </c>
      <c r="B109" s="0" t="s">
        <v>317</v>
      </c>
      <c r="C109" s="0" t="s">
        <v>472</v>
      </c>
      <c r="D109" s="0">
        <v>0.059999999999999998</v>
      </c>
      <c r="E109" s="0"/>
      <c r="F109" s="0" t="s">
        <v>665</v>
      </c>
      <c r="G109" s="0"/>
      <c r="H109" s="0" t="s">
        <v>1362</v>
      </c>
      <c r="I109" s="0" t="s">
        <v>1764</v>
      </c>
      <c r="J109" s="0"/>
      <c r="K109" s="0" t="s">
        <v>2116</v>
      </c>
      <c r="L109" s="0" t="s">
        <v>2117</v>
      </c>
    </row>
    <row r="110">
      <c r="A110" s="0" t="s">
        <v>46</v>
      </c>
      <c r="B110" s="0" t="s">
        <v>320</v>
      </c>
      <c r="C110" s="0" t="s">
        <v>474</v>
      </c>
      <c r="D110" s="0">
        <v>5.5</v>
      </c>
      <c r="E110" s="0"/>
      <c r="F110" s="0" t="s">
        <v>674</v>
      </c>
      <c r="G110" s="0"/>
      <c r="H110" s="0" t="s">
        <v>1366</v>
      </c>
      <c r="I110" s="0" t="s">
        <v>1766</v>
      </c>
      <c r="J110" s="0"/>
      <c r="K110" s="0" t="s">
        <v>2116</v>
      </c>
      <c r="L110" s="0" t="s">
        <v>2117</v>
      </c>
    </row>
    <row r="111">
      <c r="A111" s="0" t="s">
        <v>46</v>
      </c>
      <c r="B111" s="0" t="s">
        <v>320</v>
      </c>
      <c r="C111" s="0" t="s">
        <v>472</v>
      </c>
      <c r="D111" s="0">
        <v>63.299999999999997</v>
      </c>
      <c r="E111" s="0"/>
      <c r="F111" s="0" t="s">
        <v>1878</v>
      </c>
      <c r="G111" s="0"/>
      <c r="H111" s="0" t="s">
        <v>1366</v>
      </c>
      <c r="I111" s="0" t="s">
        <v>1766</v>
      </c>
      <c r="J111" s="0"/>
      <c r="K111" s="0" t="s">
        <v>2116</v>
      </c>
      <c r="L111" s="0" t="s">
        <v>2117</v>
      </c>
    </row>
    <row r="112">
      <c r="A112" s="0" t="s">
        <v>46</v>
      </c>
      <c r="B112" s="0" t="s">
        <v>320</v>
      </c>
      <c r="C112" s="0" t="s">
        <v>135</v>
      </c>
      <c r="D112" s="0">
        <v>13.300000000000001</v>
      </c>
      <c r="E112" s="0"/>
      <c r="F112" s="0" t="s">
        <v>1879</v>
      </c>
      <c r="G112" s="0"/>
      <c r="H112" s="0" t="s">
        <v>1366</v>
      </c>
      <c r="I112" s="0" t="s">
        <v>1766</v>
      </c>
      <c r="J112" s="0"/>
      <c r="K112" s="0" t="s">
        <v>2116</v>
      </c>
      <c r="L112" s="0" t="s">
        <v>2117</v>
      </c>
    </row>
    <row r="113">
      <c r="A113" s="0" t="s">
        <v>46</v>
      </c>
      <c r="B113" s="0" t="s">
        <v>320</v>
      </c>
      <c r="C113" s="0" t="s">
        <v>133</v>
      </c>
      <c r="D113" s="0">
        <v>55</v>
      </c>
      <c r="E113" s="0"/>
      <c r="F113" s="0" t="s">
        <v>1766</v>
      </c>
      <c r="G113" s="0"/>
      <c r="H113" s="0" t="s">
        <v>2055</v>
      </c>
      <c r="I113" s="0" t="s">
        <v>1773</v>
      </c>
      <c r="J113" s="0"/>
      <c r="K113" s="0" t="s">
        <v>2116</v>
      </c>
      <c r="L113" s="0" t="s">
        <v>2117</v>
      </c>
    </row>
    <row r="114">
      <c r="A114" s="0" t="s">
        <v>46</v>
      </c>
      <c r="B114" s="0" t="s">
        <v>321</v>
      </c>
      <c r="C114" s="0" t="s">
        <v>133</v>
      </c>
      <c r="D114" s="0">
        <v>22</v>
      </c>
      <c r="E114" s="0"/>
      <c r="F114" s="0" t="s">
        <v>644</v>
      </c>
      <c r="G114" s="0"/>
      <c r="H114" s="0"/>
      <c r="I114" s="0" t="s">
        <v>1697</v>
      </c>
      <c r="J114" s="0"/>
      <c r="K114" s="0" t="s">
        <v>2116</v>
      </c>
      <c r="L114" s="0" t="s">
        <v>2117</v>
      </c>
    </row>
    <row r="115">
      <c r="A115" s="0" t="s">
        <v>46</v>
      </c>
      <c r="B115" s="0" t="s">
        <v>322</v>
      </c>
      <c r="C115" s="0" t="s">
        <v>470</v>
      </c>
      <c r="D115" s="0">
        <v>24.800000000000001</v>
      </c>
      <c r="E115" s="0"/>
      <c r="F115" s="0" t="s">
        <v>1880</v>
      </c>
      <c r="G115" s="0"/>
      <c r="H115" s="0" t="s">
        <v>1367</v>
      </c>
      <c r="I115" s="0" t="s">
        <v>1654</v>
      </c>
      <c r="J115" s="0"/>
      <c r="K115" s="0" t="s">
        <v>2116</v>
      </c>
      <c r="L115" s="0" t="s">
        <v>2117</v>
      </c>
    </row>
    <row r="116">
      <c r="A116" s="0" t="s">
        <v>46</v>
      </c>
      <c r="B116" s="0" t="s">
        <v>325</v>
      </c>
      <c r="C116" s="0" t="s">
        <v>470</v>
      </c>
      <c r="D116" s="0">
        <v>3270</v>
      </c>
      <c r="E116" s="0"/>
      <c r="F116" s="0" t="s">
        <v>1881</v>
      </c>
      <c r="G116" s="0"/>
      <c r="H116" s="0" t="s">
        <v>1371</v>
      </c>
      <c r="I116" s="0" t="s">
        <v>1768</v>
      </c>
      <c r="J116" s="0"/>
      <c r="K116" s="0" t="s">
        <v>2116</v>
      </c>
      <c r="L116" s="0" t="s">
        <v>2117</v>
      </c>
    </row>
    <row r="117">
      <c r="A117" s="0" t="s">
        <v>46</v>
      </c>
      <c r="B117" s="0" t="s">
        <v>325</v>
      </c>
      <c r="C117" s="0" t="s">
        <v>471</v>
      </c>
      <c r="D117" s="0">
        <v>7500</v>
      </c>
      <c r="E117" s="0"/>
      <c r="F117" s="0" t="s">
        <v>1882</v>
      </c>
      <c r="G117" s="0"/>
      <c r="H117" s="0" t="s">
        <v>1371</v>
      </c>
      <c r="I117" s="0" t="s">
        <v>1768</v>
      </c>
      <c r="J117" s="0"/>
      <c r="K117" s="0" t="s">
        <v>2116</v>
      </c>
      <c r="L117" s="0" t="s">
        <v>2117</v>
      </c>
    </row>
    <row r="118">
      <c r="A118" s="0" t="s">
        <v>46</v>
      </c>
      <c r="B118" s="0" t="s">
        <v>325</v>
      </c>
      <c r="C118" s="0" t="s">
        <v>470</v>
      </c>
      <c r="D118" s="0">
        <v>3272</v>
      </c>
      <c r="E118" s="0"/>
      <c r="F118" s="0" t="s">
        <v>1883</v>
      </c>
      <c r="G118" s="0"/>
      <c r="H118" s="0" t="s">
        <v>1371</v>
      </c>
      <c r="I118" s="0" t="s">
        <v>1768</v>
      </c>
      <c r="J118" s="0"/>
      <c r="K118" s="0" t="s">
        <v>2116</v>
      </c>
      <c r="L118" s="0" t="s">
        <v>2117</v>
      </c>
    </row>
    <row r="119">
      <c r="A119" s="0" t="s">
        <v>46</v>
      </c>
      <c r="B119" s="0" t="s">
        <v>325</v>
      </c>
      <c r="C119" s="0" t="s">
        <v>471</v>
      </c>
      <c r="D119" s="0">
        <v>7504</v>
      </c>
      <c r="E119" s="0"/>
      <c r="F119" s="0" t="s">
        <v>1884</v>
      </c>
      <c r="G119" s="0"/>
      <c r="H119" s="0" t="s">
        <v>1371</v>
      </c>
      <c r="I119" s="0" t="s">
        <v>1768</v>
      </c>
      <c r="J119" s="0"/>
      <c r="K119" s="0" t="s">
        <v>2116</v>
      </c>
      <c r="L119" s="0" t="s">
        <v>2117</v>
      </c>
    </row>
    <row r="120">
      <c r="A120" s="0" t="s">
        <v>46</v>
      </c>
      <c r="B120" s="0" t="s">
        <v>274</v>
      </c>
      <c r="C120" s="0" t="s">
        <v>133</v>
      </c>
      <c r="D120" s="0">
        <v>1190</v>
      </c>
      <c r="E120" s="0"/>
      <c r="F120" s="0" t="s">
        <v>1885</v>
      </c>
      <c r="G120" s="0"/>
      <c r="H120" s="0" t="s">
        <v>1374</v>
      </c>
      <c r="I120" s="0" t="s">
        <v>1771</v>
      </c>
      <c r="J120" s="0"/>
      <c r="K120" s="0" t="s">
        <v>2116</v>
      </c>
      <c r="L120" s="0" t="s">
        <v>2117</v>
      </c>
    </row>
    <row r="121">
      <c r="A121" s="0" t="s">
        <v>46</v>
      </c>
      <c r="B121" s="0" t="s">
        <v>320</v>
      </c>
      <c r="C121" s="0" t="s">
        <v>472</v>
      </c>
      <c r="D121" s="0">
        <v>70</v>
      </c>
      <c r="E121" s="0"/>
      <c r="F121" s="0" t="s">
        <v>1808</v>
      </c>
      <c r="G121" s="0"/>
      <c r="H121" s="0" t="s">
        <v>1376</v>
      </c>
      <c r="I121" s="0" t="s">
        <v>1773</v>
      </c>
      <c r="J121" s="0"/>
      <c r="K121" s="0" t="s">
        <v>2116</v>
      </c>
      <c r="L121" s="0" t="s">
        <v>2117</v>
      </c>
    </row>
    <row r="122">
      <c r="A122" s="0" t="s">
        <v>46</v>
      </c>
      <c r="B122" s="0" t="s">
        <v>297</v>
      </c>
      <c r="C122" s="0" t="s">
        <v>472</v>
      </c>
      <c r="D122" s="0">
        <v>37.899999999999999</v>
      </c>
      <c r="E122" s="0"/>
      <c r="F122" s="0" t="s">
        <v>1829</v>
      </c>
      <c r="G122" s="0"/>
      <c r="H122" s="0"/>
      <c r="I122" s="0" t="s">
        <v>1730</v>
      </c>
      <c r="J122" s="0"/>
      <c r="K122" s="0" t="s">
        <v>2116</v>
      </c>
      <c r="L122" s="0" t="s">
        <v>2117</v>
      </c>
    </row>
    <row r="123">
      <c r="A123" s="0" t="s">
        <v>46</v>
      </c>
      <c r="B123" s="0" t="s">
        <v>297</v>
      </c>
      <c r="C123" s="0" t="s">
        <v>133</v>
      </c>
      <c r="D123" s="0">
        <v>632</v>
      </c>
      <c r="E123" s="0"/>
      <c r="F123" s="0" t="s">
        <v>1886</v>
      </c>
      <c r="G123" s="0"/>
      <c r="H123" s="0"/>
      <c r="I123" s="0" t="s">
        <v>1730</v>
      </c>
      <c r="J123" s="0"/>
      <c r="K123" s="0" t="s">
        <v>2116</v>
      </c>
      <c r="L123" s="0" t="s">
        <v>2117</v>
      </c>
    </row>
    <row r="124">
      <c r="A124" s="0" t="s">
        <v>46</v>
      </c>
      <c r="B124" s="0" t="s">
        <v>330</v>
      </c>
      <c r="C124" s="0" t="s">
        <v>476</v>
      </c>
      <c r="D124" s="0">
        <v>2.5</v>
      </c>
      <c r="E124" s="0"/>
      <c r="F124" s="0" t="s">
        <v>639</v>
      </c>
      <c r="G124" s="0"/>
      <c r="H124" s="0" t="s">
        <v>1380</v>
      </c>
      <c r="I124" s="0" t="s">
        <v>1721</v>
      </c>
      <c r="J124" s="0"/>
      <c r="K124" s="0" t="s">
        <v>2116</v>
      </c>
      <c r="L124" s="0" t="s">
        <v>2117</v>
      </c>
    </row>
    <row r="125">
      <c r="A125" s="0" t="s">
        <v>46</v>
      </c>
      <c r="B125" s="0" t="s">
        <v>330</v>
      </c>
      <c r="C125" s="0" t="s">
        <v>472</v>
      </c>
      <c r="D125" s="0">
        <v>983</v>
      </c>
      <c r="E125" s="0"/>
      <c r="F125" s="0" t="s">
        <v>1887</v>
      </c>
      <c r="G125" s="0"/>
      <c r="H125" s="0" t="s">
        <v>1382</v>
      </c>
      <c r="I125" s="0" t="s">
        <v>1721</v>
      </c>
      <c r="J125" s="0"/>
      <c r="K125" s="0" t="s">
        <v>2116</v>
      </c>
      <c r="L125" s="0" t="s">
        <v>2117</v>
      </c>
    </row>
    <row r="126">
      <c r="A126" s="0" t="s">
        <v>46</v>
      </c>
      <c r="B126" s="0" t="s">
        <v>330</v>
      </c>
      <c r="C126" s="0" t="s">
        <v>475</v>
      </c>
      <c r="D126" s="0">
        <v>4.1699999999999999</v>
      </c>
      <c r="E126" s="0"/>
      <c r="F126" s="0" t="s">
        <v>1888</v>
      </c>
      <c r="G126" s="0"/>
      <c r="H126" s="0" t="s">
        <v>1383</v>
      </c>
      <c r="I126" s="0" t="s">
        <v>1721</v>
      </c>
      <c r="J126" s="0"/>
      <c r="K126" s="0" t="s">
        <v>2116</v>
      </c>
      <c r="L126" s="0" t="s">
        <v>2117</v>
      </c>
    </row>
    <row r="127">
      <c r="A127" s="0" t="s">
        <v>46</v>
      </c>
      <c r="B127" s="0" t="s">
        <v>330</v>
      </c>
      <c r="C127" s="0" t="s">
        <v>472</v>
      </c>
      <c r="D127" s="0">
        <v>517</v>
      </c>
      <c r="E127" s="0"/>
      <c r="F127" s="0" t="s">
        <v>1889</v>
      </c>
      <c r="G127" s="0"/>
      <c r="H127" s="0" t="s">
        <v>1381</v>
      </c>
      <c r="I127" s="0" t="s">
        <v>1721</v>
      </c>
      <c r="J127" s="0"/>
      <c r="K127" s="0" t="s">
        <v>2116</v>
      </c>
      <c r="L127" s="0" t="s">
        <v>2117</v>
      </c>
    </row>
    <row r="128">
      <c r="A128" s="0" t="s">
        <v>46</v>
      </c>
      <c r="B128" s="0" t="s">
        <v>330</v>
      </c>
      <c r="C128" s="0" t="s">
        <v>472</v>
      </c>
      <c r="D128" s="0">
        <v>633</v>
      </c>
      <c r="E128" s="0"/>
      <c r="F128" s="0" t="s">
        <v>1890</v>
      </c>
      <c r="G128" s="0"/>
      <c r="H128" s="0" t="s">
        <v>1383</v>
      </c>
      <c r="I128" s="0" t="s">
        <v>1721</v>
      </c>
      <c r="J128" s="0"/>
      <c r="K128" s="0" t="s">
        <v>2116</v>
      </c>
      <c r="L128" s="0" t="s">
        <v>2117</v>
      </c>
    </row>
    <row r="129">
      <c r="A129" s="0" t="s">
        <v>46</v>
      </c>
      <c r="B129" s="0" t="s">
        <v>330</v>
      </c>
      <c r="C129" s="0" t="s">
        <v>133</v>
      </c>
      <c r="D129" s="0">
        <v>1417</v>
      </c>
      <c r="E129" s="0"/>
      <c r="F129" s="0" t="s">
        <v>1891</v>
      </c>
      <c r="G129" s="0"/>
      <c r="H129" s="0" t="s">
        <v>1382</v>
      </c>
      <c r="I129" s="0" t="s">
        <v>1721</v>
      </c>
      <c r="J129" s="0"/>
      <c r="K129" s="0" t="s">
        <v>2116</v>
      </c>
      <c r="L129" s="0" t="s">
        <v>2117</v>
      </c>
    </row>
    <row r="130">
      <c r="A130" s="0" t="s">
        <v>46</v>
      </c>
      <c r="B130" s="0" t="s">
        <v>330</v>
      </c>
      <c r="C130" s="0" t="s">
        <v>472</v>
      </c>
      <c r="D130" s="0">
        <v>1017</v>
      </c>
      <c r="E130" s="0"/>
      <c r="F130" s="0" t="s">
        <v>1892</v>
      </c>
      <c r="G130" s="0"/>
      <c r="H130" s="0" t="s">
        <v>1384</v>
      </c>
      <c r="I130" s="0" t="s">
        <v>1721</v>
      </c>
      <c r="J130" s="0"/>
      <c r="K130" s="0" t="s">
        <v>2116</v>
      </c>
      <c r="L130" s="0" t="s">
        <v>2117</v>
      </c>
    </row>
    <row r="131">
      <c r="A131" s="0" t="s">
        <v>46</v>
      </c>
      <c r="B131" s="0" t="s">
        <v>330</v>
      </c>
      <c r="C131" s="0" t="s">
        <v>133</v>
      </c>
      <c r="D131" s="0">
        <v>1533</v>
      </c>
      <c r="E131" s="0"/>
      <c r="F131" s="0" t="s">
        <v>1893</v>
      </c>
      <c r="G131" s="0"/>
      <c r="H131" s="0" t="s">
        <v>1384</v>
      </c>
      <c r="I131" s="0" t="s">
        <v>1721</v>
      </c>
      <c r="J131" s="0"/>
      <c r="K131" s="0" t="s">
        <v>2116</v>
      </c>
      <c r="L131" s="0" t="s">
        <v>2117</v>
      </c>
    </row>
    <row r="132">
      <c r="A132" s="0" t="s">
        <v>46</v>
      </c>
      <c r="B132" s="0" t="s">
        <v>330</v>
      </c>
      <c r="C132" s="0" t="s">
        <v>133</v>
      </c>
      <c r="D132" s="0">
        <v>1133</v>
      </c>
      <c r="E132" s="0"/>
      <c r="F132" s="0" t="s">
        <v>1894</v>
      </c>
      <c r="G132" s="0"/>
      <c r="H132" s="0" t="s">
        <v>2056</v>
      </c>
      <c r="I132" s="0" t="s">
        <v>1721</v>
      </c>
      <c r="J132" s="0"/>
      <c r="K132" s="0" t="s">
        <v>2116</v>
      </c>
      <c r="L132" s="0" t="s">
        <v>2117</v>
      </c>
    </row>
    <row r="133">
      <c r="A133" s="0" t="s">
        <v>46</v>
      </c>
      <c r="B133" s="0" t="s">
        <v>307</v>
      </c>
      <c r="C133" s="0" t="s">
        <v>472</v>
      </c>
      <c r="D133" s="0">
        <v>2</v>
      </c>
      <c r="E133" s="0"/>
      <c r="F133" s="0" t="s">
        <v>805</v>
      </c>
      <c r="G133" s="0"/>
      <c r="H133" s="0" t="s">
        <v>1385</v>
      </c>
      <c r="I133" s="0" t="s">
        <v>1766</v>
      </c>
      <c r="J133" s="0"/>
      <c r="K133" s="0" t="s">
        <v>2116</v>
      </c>
      <c r="L133" s="0" t="s">
        <v>2117</v>
      </c>
    </row>
    <row r="134">
      <c r="A134" s="0" t="s">
        <v>46</v>
      </c>
      <c r="B134" s="0" t="s">
        <v>307</v>
      </c>
      <c r="C134" s="0" t="s">
        <v>133</v>
      </c>
      <c r="D134" s="0">
        <v>27.600000000000001</v>
      </c>
      <c r="E134" s="0"/>
      <c r="F134" s="0" t="s">
        <v>1895</v>
      </c>
      <c r="G134" s="0"/>
      <c r="H134" s="0" t="s">
        <v>1385</v>
      </c>
      <c r="I134" s="0" t="s">
        <v>1766</v>
      </c>
      <c r="J134" s="0"/>
      <c r="K134" s="0" t="s">
        <v>2116</v>
      </c>
      <c r="L134" s="0" t="s">
        <v>2117</v>
      </c>
    </row>
    <row r="135">
      <c r="A135" s="0" t="s">
        <v>46</v>
      </c>
      <c r="B135" s="0" t="s">
        <v>307</v>
      </c>
      <c r="C135" s="0" t="s">
        <v>133</v>
      </c>
      <c r="D135" s="0">
        <v>2.7999999999999998</v>
      </c>
      <c r="E135" s="0"/>
      <c r="F135" s="0" t="s">
        <v>840</v>
      </c>
      <c r="G135" s="0"/>
      <c r="H135" s="0" t="s">
        <v>2057</v>
      </c>
      <c r="I135" s="0" t="s">
        <v>1775</v>
      </c>
      <c r="J135" s="0"/>
      <c r="K135" s="0" t="s">
        <v>2116</v>
      </c>
      <c r="L135" s="0" t="s">
        <v>2117</v>
      </c>
    </row>
    <row r="136">
      <c r="A136" s="0" t="s">
        <v>46</v>
      </c>
      <c r="B136" s="0" t="s">
        <v>307</v>
      </c>
      <c r="C136" s="0" t="s">
        <v>472</v>
      </c>
      <c r="D136" s="0">
        <v>4</v>
      </c>
      <c r="E136" s="0"/>
      <c r="F136" s="0" t="s">
        <v>734</v>
      </c>
      <c r="G136" s="0"/>
      <c r="H136" s="0" t="s">
        <v>2058</v>
      </c>
      <c r="I136" s="0" t="s">
        <v>1775</v>
      </c>
      <c r="J136" s="0"/>
      <c r="K136" s="0" t="s">
        <v>2116</v>
      </c>
      <c r="L136" s="0" t="s">
        <v>2117</v>
      </c>
    </row>
    <row r="137">
      <c r="A137" s="0" t="s">
        <v>46</v>
      </c>
      <c r="B137" s="0" t="s">
        <v>307</v>
      </c>
      <c r="C137" s="0" t="s">
        <v>472</v>
      </c>
      <c r="D137" s="0">
        <v>0.33300000000000002</v>
      </c>
      <c r="E137" s="0"/>
      <c r="F137" s="0" t="s">
        <v>1896</v>
      </c>
      <c r="G137" s="0"/>
      <c r="H137" s="0" t="s">
        <v>2059</v>
      </c>
      <c r="I137" s="0" t="s">
        <v>1775</v>
      </c>
      <c r="J137" s="0"/>
      <c r="K137" s="0" t="s">
        <v>2116</v>
      </c>
      <c r="L137" s="0" t="s">
        <v>2117</v>
      </c>
    </row>
    <row r="138">
      <c r="A138" s="0" t="s">
        <v>46</v>
      </c>
      <c r="B138" s="0" t="s">
        <v>307</v>
      </c>
      <c r="C138" s="0" t="s">
        <v>472</v>
      </c>
      <c r="D138" s="0">
        <v>6.3499999999999997</v>
      </c>
      <c r="E138" s="0"/>
      <c r="F138" s="0" t="s">
        <v>1897</v>
      </c>
      <c r="G138" s="0"/>
      <c r="H138" s="0" t="s">
        <v>2060</v>
      </c>
      <c r="I138" s="0" t="s">
        <v>1775</v>
      </c>
      <c r="J138" s="0"/>
      <c r="K138" s="0" t="s">
        <v>2116</v>
      </c>
      <c r="L138" s="0" t="s">
        <v>2117</v>
      </c>
    </row>
    <row r="139">
      <c r="A139" s="0" t="s">
        <v>46</v>
      </c>
      <c r="B139" s="0" t="s">
        <v>307</v>
      </c>
      <c r="C139" s="0" t="s">
        <v>133</v>
      </c>
      <c r="D139" s="0">
        <v>22.469999999999999</v>
      </c>
      <c r="E139" s="0"/>
      <c r="F139" s="0" t="s">
        <v>1898</v>
      </c>
      <c r="G139" s="0"/>
      <c r="H139" s="0" t="s">
        <v>2061</v>
      </c>
      <c r="I139" s="0" t="s">
        <v>1775</v>
      </c>
      <c r="J139" s="0"/>
      <c r="K139" s="0" t="s">
        <v>2116</v>
      </c>
      <c r="L139" s="0" t="s">
        <v>2117</v>
      </c>
    </row>
    <row r="140">
      <c r="A140" s="0" t="s">
        <v>46</v>
      </c>
      <c r="B140" s="0" t="s">
        <v>307</v>
      </c>
      <c r="C140" s="0" t="s">
        <v>472</v>
      </c>
      <c r="D140" s="0">
        <v>5.7830000000000004</v>
      </c>
      <c r="E140" s="0"/>
      <c r="F140" s="0" t="s">
        <v>1899</v>
      </c>
      <c r="G140" s="0"/>
      <c r="H140" s="0" t="s">
        <v>2062</v>
      </c>
      <c r="I140" s="0" t="s">
        <v>1775</v>
      </c>
      <c r="J140" s="0"/>
      <c r="K140" s="0" t="s">
        <v>2116</v>
      </c>
      <c r="L140" s="0" t="s">
        <v>2117</v>
      </c>
    </row>
    <row r="141">
      <c r="A141" s="0" t="s">
        <v>46</v>
      </c>
      <c r="B141" s="0" t="s">
        <v>307</v>
      </c>
      <c r="C141" s="0" t="s">
        <v>472</v>
      </c>
      <c r="D141" s="0">
        <v>4.4660000000000002</v>
      </c>
      <c r="E141" s="0"/>
      <c r="F141" s="0" t="s">
        <v>1900</v>
      </c>
      <c r="G141" s="0"/>
      <c r="H141" s="0" t="s">
        <v>2063</v>
      </c>
      <c r="I141" s="0" t="s">
        <v>1775</v>
      </c>
      <c r="J141" s="0"/>
      <c r="K141" s="0" t="s">
        <v>2116</v>
      </c>
      <c r="L141" s="0" t="s">
        <v>2117</v>
      </c>
    </row>
    <row r="142">
      <c r="A142" s="0" t="s">
        <v>46</v>
      </c>
      <c r="B142" s="0" t="s">
        <v>307</v>
      </c>
      <c r="C142" s="0" t="s">
        <v>472</v>
      </c>
      <c r="D142" s="0">
        <v>1.317</v>
      </c>
      <c r="E142" s="0"/>
      <c r="F142" s="0" t="s">
        <v>1901</v>
      </c>
      <c r="G142" s="0"/>
      <c r="H142" s="0" t="s">
        <v>2064</v>
      </c>
      <c r="I142" s="0" t="s">
        <v>1775</v>
      </c>
      <c r="J142" s="0"/>
      <c r="K142" s="0" t="s">
        <v>2116</v>
      </c>
      <c r="L142" s="0" t="s">
        <v>2117</v>
      </c>
    </row>
    <row r="143">
      <c r="A143" s="0" t="s">
        <v>46</v>
      </c>
      <c r="B143" s="0" t="s">
        <v>307</v>
      </c>
      <c r="C143" s="0" t="s">
        <v>472</v>
      </c>
      <c r="D143" s="0">
        <v>5.2670000000000004</v>
      </c>
      <c r="E143" s="0"/>
      <c r="F143" s="0" t="s">
        <v>1902</v>
      </c>
      <c r="G143" s="0"/>
      <c r="H143" s="0" t="s">
        <v>2065</v>
      </c>
      <c r="I143" s="0" t="s">
        <v>1775</v>
      </c>
      <c r="J143" s="0"/>
      <c r="K143" s="0" t="s">
        <v>2116</v>
      </c>
      <c r="L143" s="0" t="s">
        <v>2117</v>
      </c>
    </row>
    <row r="144">
      <c r="A144" s="0" t="s">
        <v>46</v>
      </c>
      <c r="B144" s="0" t="s">
        <v>307</v>
      </c>
      <c r="C144" s="0" t="s">
        <v>472</v>
      </c>
      <c r="D144" s="0">
        <v>6.8170000000000002</v>
      </c>
      <c r="E144" s="0"/>
      <c r="F144" s="0" t="s">
        <v>1903</v>
      </c>
      <c r="G144" s="0"/>
      <c r="H144" s="0" t="s">
        <v>2066</v>
      </c>
      <c r="I144" s="0" t="s">
        <v>1775</v>
      </c>
      <c r="J144" s="0"/>
      <c r="K144" s="0" t="s">
        <v>2116</v>
      </c>
      <c r="L144" s="0" t="s">
        <v>2117</v>
      </c>
    </row>
    <row r="145">
      <c r="A145" s="0" t="s">
        <v>46</v>
      </c>
      <c r="B145" s="0" t="s">
        <v>307</v>
      </c>
      <c r="C145" s="0" t="s">
        <v>472</v>
      </c>
      <c r="D145" s="0">
        <v>7.617</v>
      </c>
      <c r="E145" s="0"/>
      <c r="F145" s="0" t="s">
        <v>1904</v>
      </c>
      <c r="G145" s="0"/>
      <c r="H145" s="0" t="s">
        <v>2067</v>
      </c>
      <c r="I145" s="0" t="s">
        <v>1775</v>
      </c>
      <c r="J145" s="0"/>
      <c r="K145" s="0" t="s">
        <v>2116</v>
      </c>
      <c r="L145" s="0" t="s">
        <v>2117</v>
      </c>
    </row>
    <row r="146">
      <c r="A146" s="0" t="s">
        <v>46</v>
      </c>
      <c r="B146" s="0" t="s">
        <v>307</v>
      </c>
      <c r="C146" s="0" t="s">
        <v>133</v>
      </c>
      <c r="D146" s="0">
        <v>53.979999999999997</v>
      </c>
      <c r="E146" s="0"/>
      <c r="F146" s="0" t="s">
        <v>1905</v>
      </c>
      <c r="G146" s="0"/>
      <c r="H146" s="0" t="s">
        <v>2068</v>
      </c>
      <c r="I146" s="0" t="s">
        <v>1775</v>
      </c>
      <c r="J146" s="0"/>
      <c r="K146" s="0" t="s">
        <v>2116</v>
      </c>
      <c r="L146" s="0" t="s">
        <v>2117</v>
      </c>
    </row>
    <row r="147">
      <c r="A147" s="0" t="s">
        <v>46</v>
      </c>
      <c r="B147" s="0" t="s">
        <v>307</v>
      </c>
      <c r="C147" s="0" t="s">
        <v>133</v>
      </c>
      <c r="D147" s="0">
        <v>41.82</v>
      </c>
      <c r="E147" s="0"/>
      <c r="F147" s="0" t="s">
        <v>1906</v>
      </c>
      <c r="G147" s="0"/>
      <c r="H147" s="0" t="s">
        <v>2069</v>
      </c>
      <c r="I147" s="0" t="s">
        <v>1775</v>
      </c>
      <c r="J147" s="0"/>
      <c r="K147" s="0" t="s">
        <v>2116</v>
      </c>
      <c r="L147" s="0" t="s">
        <v>2117</v>
      </c>
    </row>
    <row r="148">
      <c r="A148" s="0" t="s">
        <v>46</v>
      </c>
      <c r="B148" s="0" t="s">
        <v>307</v>
      </c>
      <c r="C148" s="0" t="s">
        <v>133</v>
      </c>
      <c r="D148" s="0">
        <v>16.719999999999999</v>
      </c>
      <c r="E148" s="0"/>
      <c r="F148" s="0" t="s">
        <v>1907</v>
      </c>
      <c r="G148" s="0"/>
      <c r="H148" s="0" t="s">
        <v>2070</v>
      </c>
      <c r="I148" s="0" t="s">
        <v>1775</v>
      </c>
      <c r="J148" s="0"/>
      <c r="K148" s="0" t="s">
        <v>2116</v>
      </c>
      <c r="L148" s="0" t="s">
        <v>2117</v>
      </c>
    </row>
    <row r="149">
      <c r="A149" s="0" t="s">
        <v>46</v>
      </c>
      <c r="B149" s="0" t="s">
        <v>307</v>
      </c>
      <c r="C149" s="0" t="s">
        <v>133</v>
      </c>
      <c r="D149" s="0">
        <v>51.770000000000003</v>
      </c>
      <c r="E149" s="0"/>
      <c r="F149" s="0" t="s">
        <v>1908</v>
      </c>
      <c r="G149" s="0"/>
      <c r="H149" s="0" t="s">
        <v>2071</v>
      </c>
      <c r="I149" s="0" t="s">
        <v>1775</v>
      </c>
      <c r="J149" s="0"/>
      <c r="K149" s="0" t="s">
        <v>2116</v>
      </c>
      <c r="L149" s="0" t="s">
        <v>2117</v>
      </c>
    </row>
    <row r="150">
      <c r="A150" s="0" t="s">
        <v>46</v>
      </c>
      <c r="B150" s="0" t="s">
        <v>307</v>
      </c>
      <c r="C150" s="0" t="s">
        <v>133</v>
      </c>
      <c r="D150" s="0">
        <v>70.920000000000002</v>
      </c>
      <c r="E150" s="0"/>
      <c r="F150" s="0" t="s">
        <v>1909</v>
      </c>
      <c r="G150" s="0"/>
      <c r="H150" s="0" t="s">
        <v>2072</v>
      </c>
      <c r="I150" s="0" t="s">
        <v>1775</v>
      </c>
      <c r="J150" s="0"/>
      <c r="K150" s="0" t="s">
        <v>2116</v>
      </c>
      <c r="L150" s="0" t="s">
        <v>2117</v>
      </c>
    </row>
    <row r="151">
      <c r="A151" s="0" t="s">
        <v>46</v>
      </c>
      <c r="B151" s="0" t="s">
        <v>307</v>
      </c>
      <c r="C151" s="0" t="s">
        <v>133</v>
      </c>
      <c r="D151" s="0">
        <v>68.230000000000004</v>
      </c>
      <c r="E151" s="0"/>
      <c r="F151" s="0" t="s">
        <v>1910</v>
      </c>
      <c r="G151" s="0"/>
      <c r="H151" s="0" t="s">
        <v>2073</v>
      </c>
      <c r="I151" s="0" t="s">
        <v>1775</v>
      </c>
      <c r="J151" s="0"/>
      <c r="K151" s="0" t="s">
        <v>2116</v>
      </c>
      <c r="L151" s="0" t="s">
        <v>2117</v>
      </c>
    </row>
    <row r="152">
      <c r="A152" s="0" t="s">
        <v>46</v>
      </c>
      <c r="B152" s="0" t="s">
        <v>307</v>
      </c>
      <c r="C152" s="0" t="s">
        <v>133</v>
      </c>
      <c r="D152" s="0">
        <v>67.069999999999993</v>
      </c>
      <c r="E152" s="0"/>
      <c r="F152" s="0" t="s">
        <v>1911</v>
      </c>
      <c r="G152" s="0"/>
      <c r="H152" s="0" t="s">
        <v>2074</v>
      </c>
      <c r="I152" s="0" t="s">
        <v>1775</v>
      </c>
      <c r="J152" s="0"/>
      <c r="K152" s="0" t="s">
        <v>2116</v>
      </c>
      <c r="L152" s="0" t="s">
        <v>2117</v>
      </c>
    </row>
    <row r="153">
      <c r="A153" s="0" t="s">
        <v>46</v>
      </c>
      <c r="B153" s="0" t="s">
        <v>332</v>
      </c>
      <c r="C153" s="0" t="s">
        <v>472</v>
      </c>
      <c r="D153" s="0">
        <v>225</v>
      </c>
      <c r="E153" s="0"/>
      <c r="F153" s="0" t="s">
        <v>1912</v>
      </c>
      <c r="G153" s="0"/>
      <c r="H153" s="0" t="s">
        <v>1408</v>
      </c>
      <c r="I153" s="0" t="s">
        <v>820</v>
      </c>
      <c r="J153" s="0"/>
      <c r="K153" s="0" t="s">
        <v>2116</v>
      </c>
      <c r="L153" s="0" t="s">
        <v>2117</v>
      </c>
    </row>
    <row r="154">
      <c r="A154" s="0" t="s">
        <v>46</v>
      </c>
      <c r="B154" s="0" t="s">
        <v>332</v>
      </c>
      <c r="C154" s="0" t="s">
        <v>472</v>
      </c>
      <c r="D154" s="0">
        <v>96.900000000000006</v>
      </c>
      <c r="E154" s="0"/>
      <c r="F154" s="0" t="s">
        <v>1913</v>
      </c>
      <c r="G154" s="0"/>
      <c r="H154" s="0" t="s">
        <v>1410</v>
      </c>
      <c r="I154" s="0" t="s">
        <v>820</v>
      </c>
      <c r="J154" s="0"/>
      <c r="K154" s="0" t="s">
        <v>2116</v>
      </c>
      <c r="L154" s="0" t="s">
        <v>2117</v>
      </c>
    </row>
    <row r="155">
      <c r="A155" s="0" t="s">
        <v>46</v>
      </c>
      <c r="B155" s="0" t="s">
        <v>332</v>
      </c>
      <c r="C155" s="0" t="s">
        <v>133</v>
      </c>
      <c r="D155" s="0">
        <v>34.700000000000003</v>
      </c>
      <c r="E155" s="0"/>
      <c r="F155" s="0" t="s">
        <v>1914</v>
      </c>
      <c r="G155" s="0"/>
      <c r="H155" s="0" t="s">
        <v>1412</v>
      </c>
      <c r="I155" s="0" t="s">
        <v>820</v>
      </c>
      <c r="J155" s="0"/>
      <c r="K155" s="0" t="s">
        <v>2116</v>
      </c>
      <c r="L155" s="0" t="s">
        <v>2117</v>
      </c>
    </row>
    <row r="156">
      <c r="A156" s="0" t="s">
        <v>46</v>
      </c>
      <c r="B156" s="0" t="s">
        <v>332</v>
      </c>
      <c r="C156" s="0" t="s">
        <v>472</v>
      </c>
      <c r="D156" s="0">
        <v>32.5</v>
      </c>
      <c r="E156" s="0"/>
      <c r="F156" s="0" t="s">
        <v>1915</v>
      </c>
      <c r="G156" s="0"/>
      <c r="H156" s="0" t="s">
        <v>1412</v>
      </c>
      <c r="I156" s="0" t="s">
        <v>820</v>
      </c>
      <c r="J156" s="0"/>
      <c r="K156" s="0" t="s">
        <v>2116</v>
      </c>
      <c r="L156" s="0" t="s">
        <v>2117</v>
      </c>
    </row>
    <row r="157">
      <c r="A157" s="0" t="s">
        <v>46</v>
      </c>
      <c r="B157" s="0" t="s">
        <v>332</v>
      </c>
      <c r="C157" s="0" t="s">
        <v>472</v>
      </c>
      <c r="D157" s="0">
        <v>251.19999999999999</v>
      </c>
      <c r="E157" s="0"/>
      <c r="F157" s="0" t="s">
        <v>1916</v>
      </c>
      <c r="G157" s="0"/>
      <c r="H157" s="0" t="s">
        <v>1407</v>
      </c>
      <c r="I157" s="0" t="s">
        <v>820</v>
      </c>
      <c r="J157" s="0"/>
      <c r="K157" s="0" t="s">
        <v>2116</v>
      </c>
      <c r="L157" s="0" t="s">
        <v>2117</v>
      </c>
    </row>
    <row r="158">
      <c r="A158" s="0" t="s">
        <v>46</v>
      </c>
      <c r="B158" s="0" t="s">
        <v>332</v>
      </c>
      <c r="C158" s="0" t="s">
        <v>133</v>
      </c>
      <c r="D158" s="0">
        <v>212.40000000000001</v>
      </c>
      <c r="E158" s="0"/>
      <c r="F158" s="0" t="s">
        <v>1917</v>
      </c>
      <c r="G158" s="0"/>
      <c r="H158" s="0" t="s">
        <v>1410</v>
      </c>
      <c r="I158" s="0" t="s">
        <v>820</v>
      </c>
      <c r="J158" s="0"/>
      <c r="K158" s="0" t="s">
        <v>2116</v>
      </c>
      <c r="L158" s="0" t="s">
        <v>2117</v>
      </c>
    </row>
    <row r="159">
      <c r="A159" s="0" t="s">
        <v>46</v>
      </c>
      <c r="B159" s="0" t="s">
        <v>332</v>
      </c>
      <c r="C159" s="0" t="s">
        <v>133</v>
      </c>
      <c r="D159" s="0">
        <v>431.5</v>
      </c>
      <c r="E159" s="0"/>
      <c r="F159" s="0" t="s">
        <v>1918</v>
      </c>
      <c r="G159" s="0"/>
      <c r="H159" s="0" t="s">
        <v>1407</v>
      </c>
      <c r="I159" s="0" t="s">
        <v>820</v>
      </c>
      <c r="J159" s="0"/>
      <c r="K159" s="0" t="s">
        <v>2116</v>
      </c>
      <c r="L159" s="0" t="s">
        <v>2117</v>
      </c>
    </row>
    <row r="160">
      <c r="A160" s="0" t="s">
        <v>46</v>
      </c>
      <c r="B160" s="0" t="s">
        <v>332</v>
      </c>
      <c r="C160" s="0" t="s">
        <v>133</v>
      </c>
      <c r="D160" s="0">
        <v>286.60000000000002</v>
      </c>
      <c r="E160" s="0"/>
      <c r="F160" s="0" t="s">
        <v>1919</v>
      </c>
      <c r="G160" s="0"/>
      <c r="H160" s="0" t="s">
        <v>1408</v>
      </c>
      <c r="I160" s="0" t="s">
        <v>820</v>
      </c>
      <c r="J160" s="0"/>
      <c r="K160" s="0" t="s">
        <v>2116</v>
      </c>
      <c r="L160" s="0" t="s">
        <v>2117</v>
      </c>
    </row>
    <row r="161">
      <c r="A161" s="0" t="s">
        <v>46</v>
      </c>
      <c r="B161" s="0" t="s">
        <v>332</v>
      </c>
      <c r="C161" s="0" t="s">
        <v>133</v>
      </c>
      <c r="D161" s="0">
        <v>612.39999999999998</v>
      </c>
      <c r="E161" s="0"/>
      <c r="F161" s="0" t="s">
        <v>1920</v>
      </c>
      <c r="G161" s="0"/>
      <c r="H161" s="0" t="s">
        <v>1411</v>
      </c>
      <c r="I161" s="0" t="s">
        <v>820</v>
      </c>
      <c r="J161" s="0"/>
      <c r="K161" s="0" t="s">
        <v>2116</v>
      </c>
      <c r="L161" s="0" t="s">
        <v>2117</v>
      </c>
    </row>
    <row r="162">
      <c r="A162" s="0" t="s">
        <v>46</v>
      </c>
      <c r="B162" s="0" t="s">
        <v>332</v>
      </c>
      <c r="C162" s="0" t="s">
        <v>133</v>
      </c>
      <c r="D162" s="0">
        <v>246.5</v>
      </c>
      <c r="E162" s="0"/>
      <c r="F162" s="0" t="s">
        <v>1921</v>
      </c>
      <c r="G162" s="0"/>
      <c r="H162" s="0" t="s">
        <v>1409</v>
      </c>
      <c r="I162" s="0" t="s">
        <v>820</v>
      </c>
      <c r="J162" s="0"/>
      <c r="K162" s="0" t="s">
        <v>2116</v>
      </c>
      <c r="L162" s="0" t="s">
        <v>2117</v>
      </c>
    </row>
    <row r="163">
      <c r="A163" s="0" t="s">
        <v>46</v>
      </c>
      <c r="B163" s="0" t="s">
        <v>332</v>
      </c>
      <c r="C163" s="0" t="s">
        <v>472</v>
      </c>
      <c r="D163" s="0">
        <v>633.5</v>
      </c>
      <c r="E163" s="0"/>
      <c r="F163" s="0" t="s">
        <v>1922</v>
      </c>
      <c r="G163" s="0"/>
      <c r="H163" s="0" t="s">
        <v>1411</v>
      </c>
      <c r="I163" s="0" t="s">
        <v>820</v>
      </c>
      <c r="J163" s="0"/>
      <c r="K163" s="0" t="s">
        <v>2116</v>
      </c>
      <c r="L163" s="0" t="s">
        <v>2117</v>
      </c>
    </row>
    <row r="164">
      <c r="A164" s="0" t="s">
        <v>46</v>
      </c>
      <c r="B164" s="0" t="s">
        <v>332</v>
      </c>
      <c r="C164" s="0" t="s">
        <v>472</v>
      </c>
      <c r="D164" s="0">
        <v>133.1</v>
      </c>
      <c r="E164" s="0"/>
      <c r="F164" s="0" t="s">
        <v>1923</v>
      </c>
      <c r="G164" s="0"/>
      <c r="H164" s="0" t="s">
        <v>1409</v>
      </c>
      <c r="I164" s="0" t="s">
        <v>820</v>
      </c>
      <c r="J164" s="0"/>
      <c r="K164" s="0" t="s">
        <v>2116</v>
      </c>
      <c r="L164" s="0" t="s">
        <v>2117</v>
      </c>
    </row>
    <row r="165">
      <c r="A165" s="0" t="s">
        <v>46</v>
      </c>
      <c r="B165" s="0" t="s">
        <v>333</v>
      </c>
      <c r="C165" s="0" t="s">
        <v>133</v>
      </c>
      <c r="D165" s="0">
        <v>59.299999999999997</v>
      </c>
      <c r="E165" s="0"/>
      <c r="F165" s="0" t="s">
        <v>1924</v>
      </c>
      <c r="G165" s="0"/>
      <c r="H165" s="0" t="s">
        <v>1414</v>
      </c>
      <c r="I165" s="0" t="s">
        <v>1778</v>
      </c>
      <c r="J165" s="0"/>
      <c r="K165" s="0" t="s">
        <v>2116</v>
      </c>
      <c r="L165" s="0" t="s">
        <v>2117</v>
      </c>
    </row>
    <row r="166">
      <c r="A166" s="0" t="s">
        <v>46</v>
      </c>
      <c r="B166" s="0" t="s">
        <v>333</v>
      </c>
      <c r="C166" s="0" t="s">
        <v>472</v>
      </c>
      <c r="D166" s="0">
        <v>19.25</v>
      </c>
      <c r="E166" s="0"/>
      <c r="F166" s="0" t="s">
        <v>1925</v>
      </c>
      <c r="G166" s="0"/>
      <c r="H166" s="0" t="s">
        <v>1414</v>
      </c>
      <c r="I166" s="0" t="s">
        <v>1778</v>
      </c>
      <c r="J166" s="0"/>
      <c r="K166" s="0" t="s">
        <v>2116</v>
      </c>
      <c r="L166" s="0" t="s">
        <v>2117</v>
      </c>
    </row>
    <row r="167">
      <c r="A167" s="0" t="s">
        <v>46</v>
      </c>
      <c r="B167" s="0" t="s">
        <v>333</v>
      </c>
      <c r="C167" s="0" t="s">
        <v>133</v>
      </c>
      <c r="D167" s="0">
        <v>3275.5</v>
      </c>
      <c r="E167" s="0"/>
      <c r="F167" s="0" t="s">
        <v>1926</v>
      </c>
      <c r="G167" s="0"/>
      <c r="H167" s="0" t="s">
        <v>1416</v>
      </c>
      <c r="I167" s="0" t="s">
        <v>1778</v>
      </c>
      <c r="J167" s="0"/>
      <c r="K167" s="0" t="s">
        <v>2116</v>
      </c>
      <c r="L167" s="0" t="s">
        <v>2117</v>
      </c>
    </row>
    <row r="168">
      <c r="A168" s="0" t="s">
        <v>46</v>
      </c>
      <c r="B168" s="0" t="s">
        <v>333</v>
      </c>
      <c r="C168" s="0" t="s">
        <v>472</v>
      </c>
      <c r="D168" s="0">
        <v>1298.4000000000001</v>
      </c>
      <c r="E168" s="0"/>
      <c r="F168" s="0" t="s">
        <v>1927</v>
      </c>
      <c r="G168" s="0"/>
      <c r="H168" s="0" t="s">
        <v>1416</v>
      </c>
      <c r="I168" s="0" t="s">
        <v>1778</v>
      </c>
      <c r="J168" s="0"/>
      <c r="K168" s="0" t="s">
        <v>2116</v>
      </c>
      <c r="L168" s="0" t="s">
        <v>2117</v>
      </c>
    </row>
    <row r="169">
      <c r="A169" s="0" t="s">
        <v>46</v>
      </c>
      <c r="B169" s="0" t="s">
        <v>330</v>
      </c>
      <c r="C169" s="0" t="s">
        <v>471</v>
      </c>
      <c r="D169" s="0">
        <v>1.1000000000000001</v>
      </c>
      <c r="E169" s="0"/>
      <c r="F169" s="0" t="s">
        <v>576</v>
      </c>
      <c r="G169" s="0"/>
      <c r="H169" s="0"/>
      <c r="I169" s="0" t="s">
        <v>640</v>
      </c>
      <c r="J169" s="0"/>
      <c r="K169" s="0" t="s">
        <v>2116</v>
      </c>
      <c r="L169" s="0" t="s">
        <v>2117</v>
      </c>
    </row>
    <row r="170">
      <c r="A170" s="0" t="s">
        <v>46</v>
      </c>
      <c r="B170" s="0" t="s">
        <v>330</v>
      </c>
      <c r="C170" s="0" t="s">
        <v>470</v>
      </c>
      <c r="D170" s="0">
        <v>7</v>
      </c>
      <c r="E170" s="0"/>
      <c r="F170" s="0" t="s">
        <v>884</v>
      </c>
      <c r="G170" s="0"/>
      <c r="H170" s="0"/>
      <c r="I170" s="0" t="s">
        <v>640</v>
      </c>
      <c r="J170" s="0"/>
      <c r="K170" s="0" t="s">
        <v>2116</v>
      </c>
      <c r="L170" s="0" t="s">
        <v>2117</v>
      </c>
    </row>
    <row r="171">
      <c r="A171" s="0" t="s">
        <v>46</v>
      </c>
      <c r="B171" s="0" t="s">
        <v>261</v>
      </c>
      <c r="C171" s="0" t="s">
        <v>133</v>
      </c>
      <c r="D171" s="0">
        <v>37</v>
      </c>
      <c r="E171" s="0"/>
      <c r="F171" s="0" t="s">
        <v>1928</v>
      </c>
      <c r="G171" s="0"/>
      <c r="H171" s="0" t="s">
        <v>1420</v>
      </c>
      <c r="I171" s="0" t="s">
        <v>1771</v>
      </c>
      <c r="J171" s="0"/>
      <c r="K171" s="0" t="s">
        <v>2116</v>
      </c>
      <c r="L171" s="0" t="s">
        <v>2117</v>
      </c>
    </row>
    <row r="172">
      <c r="A172" s="0" t="s">
        <v>46</v>
      </c>
      <c r="B172" s="0" t="s">
        <v>336</v>
      </c>
      <c r="C172" s="0" t="s">
        <v>133</v>
      </c>
      <c r="D172" s="0">
        <v>0.15</v>
      </c>
      <c r="E172" s="0"/>
      <c r="F172" s="0" t="s">
        <v>1929</v>
      </c>
      <c r="G172" s="0"/>
      <c r="H172" s="0" t="s">
        <v>2075</v>
      </c>
      <c r="I172" s="0" t="s">
        <v>1782</v>
      </c>
      <c r="J172" s="0"/>
      <c r="K172" s="0" t="s">
        <v>2116</v>
      </c>
      <c r="L172" s="0" t="s">
        <v>2117</v>
      </c>
    </row>
    <row r="173">
      <c r="A173" s="0" t="s">
        <v>46</v>
      </c>
      <c r="B173" s="0" t="s">
        <v>337</v>
      </c>
      <c r="C173" s="0" t="s">
        <v>133</v>
      </c>
      <c r="D173" s="0">
        <v>2.2999999999999998</v>
      </c>
      <c r="E173" s="0"/>
      <c r="F173" s="0" t="s">
        <v>721</v>
      </c>
      <c r="G173" s="0"/>
      <c r="H173" s="0" t="s">
        <v>1422</v>
      </c>
      <c r="I173" s="0" t="s">
        <v>1782</v>
      </c>
      <c r="J173" s="0"/>
      <c r="K173" s="0" t="s">
        <v>2116</v>
      </c>
      <c r="L173" s="0" t="s">
        <v>2117</v>
      </c>
    </row>
    <row r="174">
      <c r="A174" s="0" t="s">
        <v>46</v>
      </c>
      <c r="B174" s="0" t="s">
        <v>338</v>
      </c>
      <c r="C174" s="0" t="s">
        <v>133</v>
      </c>
      <c r="D174" s="0">
        <v>0.021999999999999999</v>
      </c>
      <c r="E174" s="0"/>
      <c r="F174" s="0" t="s">
        <v>1930</v>
      </c>
      <c r="G174" s="0"/>
      <c r="H174" s="0" t="s">
        <v>1424</v>
      </c>
      <c r="I174" s="0" t="s">
        <v>1782</v>
      </c>
      <c r="J174" s="0"/>
      <c r="K174" s="0" t="s">
        <v>2116</v>
      </c>
      <c r="L174" s="0" t="s">
        <v>2117</v>
      </c>
    </row>
    <row r="175">
      <c r="A175" s="0" t="s">
        <v>46</v>
      </c>
      <c r="B175" s="0" t="s">
        <v>338</v>
      </c>
      <c r="C175" s="0" t="s">
        <v>133</v>
      </c>
      <c r="D175" s="0">
        <v>0.0064999999999999997</v>
      </c>
      <c r="E175" s="0"/>
      <c r="F175" s="0" t="s">
        <v>1931</v>
      </c>
      <c r="G175" s="0"/>
      <c r="H175" s="0" t="s">
        <v>1425</v>
      </c>
      <c r="I175" s="0" t="s">
        <v>1782</v>
      </c>
      <c r="J175" s="0"/>
      <c r="K175" s="0" t="s">
        <v>2116</v>
      </c>
      <c r="L175" s="0" t="s">
        <v>2117</v>
      </c>
    </row>
    <row r="176">
      <c r="A176" s="0" t="s">
        <v>46</v>
      </c>
      <c r="B176" s="0" t="s">
        <v>338</v>
      </c>
      <c r="C176" s="0" t="s">
        <v>133</v>
      </c>
      <c r="D176" s="0">
        <v>0.0023999999999999998</v>
      </c>
      <c r="E176" s="0"/>
      <c r="F176" s="0" t="s">
        <v>1932</v>
      </c>
      <c r="G176" s="0"/>
      <c r="H176" s="0" t="s">
        <v>1423</v>
      </c>
      <c r="I176" s="0" t="s">
        <v>1782</v>
      </c>
      <c r="J176" s="0"/>
      <c r="K176" s="0" t="s">
        <v>2116</v>
      </c>
      <c r="L176" s="0" t="s">
        <v>2117</v>
      </c>
    </row>
    <row r="177">
      <c r="A177" s="0" t="s">
        <v>46</v>
      </c>
      <c r="B177" s="0" t="s">
        <v>342</v>
      </c>
      <c r="C177" s="0" t="s">
        <v>472</v>
      </c>
      <c r="D177" s="0">
        <v>0.47999999999999998</v>
      </c>
      <c r="E177" s="0"/>
      <c r="F177" s="0" t="s">
        <v>597</v>
      </c>
      <c r="G177" s="0"/>
      <c r="H177" s="0" t="s">
        <v>1435</v>
      </c>
      <c r="I177" s="0" t="s">
        <v>1786</v>
      </c>
      <c r="J177" s="0"/>
      <c r="K177" s="0" t="s">
        <v>2116</v>
      </c>
      <c r="L177" s="0" t="s">
        <v>2117</v>
      </c>
    </row>
    <row r="178">
      <c r="A178" s="0" t="s">
        <v>46</v>
      </c>
      <c r="B178" s="0" t="s">
        <v>342</v>
      </c>
      <c r="C178" s="0" t="s">
        <v>472</v>
      </c>
      <c r="D178" s="0">
        <v>4.4199999999999999</v>
      </c>
      <c r="E178" s="0"/>
      <c r="F178" s="0" t="s">
        <v>1933</v>
      </c>
      <c r="G178" s="0"/>
      <c r="H178" s="0" t="s">
        <v>1433</v>
      </c>
      <c r="I178" s="0" t="s">
        <v>1786</v>
      </c>
      <c r="J178" s="0"/>
      <c r="K178" s="0" t="s">
        <v>2116</v>
      </c>
      <c r="L178" s="0" t="s">
        <v>2117</v>
      </c>
    </row>
    <row r="179">
      <c r="A179" s="0" t="s">
        <v>46</v>
      </c>
      <c r="B179" s="0" t="s">
        <v>342</v>
      </c>
      <c r="C179" s="0" t="s">
        <v>472</v>
      </c>
      <c r="D179" s="0">
        <v>3.7200000000000002</v>
      </c>
      <c r="E179" s="0"/>
      <c r="F179" s="0" t="s">
        <v>1934</v>
      </c>
      <c r="G179" s="0"/>
      <c r="H179" s="0" t="s">
        <v>1432</v>
      </c>
      <c r="I179" s="0" t="s">
        <v>1786</v>
      </c>
      <c r="J179" s="0"/>
      <c r="K179" s="0" t="s">
        <v>2116</v>
      </c>
      <c r="L179" s="0" t="s">
        <v>2117</v>
      </c>
    </row>
    <row r="180">
      <c r="A180" s="0" t="s">
        <v>46</v>
      </c>
      <c r="B180" s="0" t="s">
        <v>342</v>
      </c>
      <c r="C180" s="0" t="s">
        <v>472</v>
      </c>
      <c r="D180" s="0">
        <v>5.2300000000000004</v>
      </c>
      <c r="E180" s="0"/>
      <c r="F180" s="0" t="s">
        <v>1935</v>
      </c>
      <c r="G180" s="0"/>
      <c r="H180" s="0" t="s">
        <v>1431</v>
      </c>
      <c r="I180" s="0" t="s">
        <v>1786</v>
      </c>
      <c r="J180" s="0"/>
      <c r="K180" s="0" t="s">
        <v>2116</v>
      </c>
      <c r="L180" s="0" t="s">
        <v>2117</v>
      </c>
    </row>
    <row r="181">
      <c r="A181" s="0" t="s">
        <v>46</v>
      </c>
      <c r="B181" s="0" t="s">
        <v>342</v>
      </c>
      <c r="C181" s="0" t="s">
        <v>472</v>
      </c>
      <c r="D181" s="0">
        <v>4.25</v>
      </c>
      <c r="E181" s="0"/>
      <c r="F181" s="0" t="s">
        <v>891</v>
      </c>
      <c r="G181" s="0"/>
      <c r="H181" s="0" t="s">
        <v>1429</v>
      </c>
      <c r="I181" s="0" t="s">
        <v>1786</v>
      </c>
      <c r="J181" s="0"/>
      <c r="K181" s="0" t="s">
        <v>2116</v>
      </c>
      <c r="L181" s="0" t="s">
        <v>2117</v>
      </c>
    </row>
    <row r="182">
      <c r="A182" s="0" t="s">
        <v>46</v>
      </c>
      <c r="B182" s="0" t="s">
        <v>342</v>
      </c>
      <c r="C182" s="0" t="s">
        <v>472</v>
      </c>
      <c r="D182" s="0">
        <v>6.6399999999999997</v>
      </c>
      <c r="E182" s="0"/>
      <c r="F182" s="0" t="s">
        <v>1936</v>
      </c>
      <c r="G182" s="0"/>
      <c r="H182" s="0" t="s">
        <v>1430</v>
      </c>
      <c r="I182" s="0" t="s">
        <v>1786</v>
      </c>
      <c r="J182" s="0"/>
      <c r="K182" s="0" t="s">
        <v>2116</v>
      </c>
      <c r="L182" s="0" t="s">
        <v>2117</v>
      </c>
    </row>
    <row r="183">
      <c r="A183" s="0" t="s">
        <v>46</v>
      </c>
      <c r="B183" s="0" t="s">
        <v>342</v>
      </c>
      <c r="C183" s="0" t="s">
        <v>472</v>
      </c>
      <c r="D183" s="0">
        <v>0.50600000000000001</v>
      </c>
      <c r="E183" s="0"/>
      <c r="F183" s="0" t="s">
        <v>1937</v>
      </c>
      <c r="G183" s="0"/>
      <c r="H183" s="0" t="s">
        <v>1434</v>
      </c>
      <c r="I183" s="0" t="s">
        <v>1786</v>
      </c>
      <c r="J183" s="0"/>
      <c r="K183" s="0" t="s">
        <v>2116</v>
      </c>
      <c r="L183" s="0" t="s">
        <v>2117</v>
      </c>
    </row>
    <row r="184">
      <c r="A184" s="0" t="s">
        <v>46</v>
      </c>
      <c r="B184" s="0" t="s">
        <v>343</v>
      </c>
      <c r="C184" s="0" t="s">
        <v>133</v>
      </c>
      <c r="D184" s="0">
        <v>3.6000000000000001</v>
      </c>
      <c r="E184" s="0"/>
      <c r="F184" s="0" t="s">
        <v>800</v>
      </c>
      <c r="G184" s="0"/>
      <c r="H184" s="0" t="s">
        <v>1439</v>
      </c>
      <c r="I184" s="0" t="s">
        <v>1787</v>
      </c>
      <c r="J184" s="0"/>
      <c r="K184" s="0" t="s">
        <v>2116</v>
      </c>
      <c r="L184" s="0" t="s">
        <v>2117</v>
      </c>
    </row>
    <row r="185">
      <c r="A185" s="0" t="s">
        <v>46</v>
      </c>
      <c r="B185" s="0" t="s">
        <v>343</v>
      </c>
      <c r="C185" s="0" t="s">
        <v>133</v>
      </c>
      <c r="D185" s="0">
        <v>12.6</v>
      </c>
      <c r="E185" s="0"/>
      <c r="F185" s="0" t="s">
        <v>1938</v>
      </c>
      <c r="G185" s="0"/>
      <c r="H185" s="0" t="s">
        <v>1437</v>
      </c>
      <c r="I185" s="0" t="s">
        <v>1787</v>
      </c>
      <c r="J185" s="0"/>
      <c r="K185" s="0" t="s">
        <v>2116</v>
      </c>
      <c r="L185" s="0" t="s">
        <v>2117</v>
      </c>
    </row>
    <row r="186">
      <c r="A186" s="0" t="s">
        <v>46</v>
      </c>
      <c r="B186" s="0" t="s">
        <v>343</v>
      </c>
      <c r="C186" s="0" t="s">
        <v>133</v>
      </c>
      <c r="D186" s="0">
        <v>12</v>
      </c>
      <c r="E186" s="0"/>
      <c r="F186" s="0" t="s">
        <v>640</v>
      </c>
      <c r="G186" s="0"/>
      <c r="H186" s="0" t="s">
        <v>1441</v>
      </c>
      <c r="I186" s="0" t="s">
        <v>1787</v>
      </c>
      <c r="J186" s="0"/>
      <c r="K186" s="0" t="s">
        <v>2116</v>
      </c>
      <c r="L186" s="0" t="s">
        <v>2117</v>
      </c>
    </row>
    <row r="187">
      <c r="A187" s="0" t="s">
        <v>46</v>
      </c>
      <c r="B187" s="0" t="s">
        <v>343</v>
      </c>
      <c r="C187" s="0" t="s">
        <v>133</v>
      </c>
      <c r="D187" s="0">
        <v>4.9000000000000004</v>
      </c>
      <c r="E187" s="0"/>
      <c r="F187" s="0" t="s">
        <v>688</v>
      </c>
      <c r="G187" s="0"/>
      <c r="H187" s="0" t="s">
        <v>1438</v>
      </c>
      <c r="I187" s="0" t="s">
        <v>1787</v>
      </c>
      <c r="J187" s="0"/>
      <c r="K187" s="0" t="s">
        <v>2116</v>
      </c>
      <c r="L187" s="0" t="s">
        <v>2117</v>
      </c>
    </row>
    <row r="188">
      <c r="A188" s="0" t="s">
        <v>46</v>
      </c>
      <c r="B188" s="0" t="s">
        <v>343</v>
      </c>
      <c r="C188" s="0" t="s">
        <v>133</v>
      </c>
      <c r="D188" s="0">
        <v>4.7000000000000002</v>
      </c>
      <c r="E188" s="0"/>
      <c r="F188" s="0" t="s">
        <v>606</v>
      </c>
      <c r="G188" s="0"/>
      <c r="H188" s="0" t="s">
        <v>1436</v>
      </c>
      <c r="I188" s="0" t="s">
        <v>1787</v>
      </c>
      <c r="J188" s="0"/>
      <c r="K188" s="0" t="s">
        <v>2116</v>
      </c>
      <c r="L188" s="0" t="s">
        <v>2117</v>
      </c>
    </row>
    <row r="189">
      <c r="A189" s="0" t="s">
        <v>46</v>
      </c>
      <c r="B189" s="0" t="s">
        <v>343</v>
      </c>
      <c r="C189" s="0" t="s">
        <v>133</v>
      </c>
      <c r="D189" s="0">
        <v>5.5999999999999996</v>
      </c>
      <c r="E189" s="0"/>
      <c r="F189" s="0" t="s">
        <v>809</v>
      </c>
      <c r="G189" s="0"/>
      <c r="H189" s="0" t="s">
        <v>1442</v>
      </c>
      <c r="I189" s="0" t="s">
        <v>1787</v>
      </c>
      <c r="J189" s="0"/>
      <c r="K189" s="0" t="s">
        <v>2116</v>
      </c>
      <c r="L189" s="0" t="s">
        <v>2117</v>
      </c>
    </row>
    <row r="190">
      <c r="A190" s="0" t="s">
        <v>46</v>
      </c>
      <c r="B190" s="0" t="s">
        <v>343</v>
      </c>
      <c r="C190" s="0" t="s">
        <v>133</v>
      </c>
      <c r="D190" s="0">
        <v>7.7999999999999998</v>
      </c>
      <c r="E190" s="0"/>
      <c r="F190" s="0" t="s">
        <v>814</v>
      </c>
      <c r="G190" s="0"/>
      <c r="H190" s="0" t="s">
        <v>1443</v>
      </c>
      <c r="I190" s="0" t="s">
        <v>1787</v>
      </c>
      <c r="J190" s="0"/>
      <c r="K190" s="0" t="s">
        <v>2116</v>
      </c>
      <c r="L190" s="0" t="s">
        <v>2117</v>
      </c>
    </row>
    <row r="191">
      <c r="A191" s="0" t="s">
        <v>46</v>
      </c>
      <c r="B191" s="0" t="s">
        <v>343</v>
      </c>
      <c r="C191" s="0" t="s">
        <v>133</v>
      </c>
      <c r="D191" s="0">
        <v>16.399999999999999</v>
      </c>
      <c r="E191" s="0"/>
      <c r="F191" s="0" t="s">
        <v>1939</v>
      </c>
      <c r="G191" s="0"/>
      <c r="H191" s="0" t="s">
        <v>1444</v>
      </c>
      <c r="I191" s="0" t="s">
        <v>1787</v>
      </c>
      <c r="J191" s="0"/>
      <c r="K191" s="0" t="s">
        <v>2116</v>
      </c>
      <c r="L191" s="0" t="s">
        <v>2117</v>
      </c>
    </row>
    <row r="192">
      <c r="A192" s="0" t="s">
        <v>46</v>
      </c>
      <c r="B192" s="0" t="s">
        <v>343</v>
      </c>
      <c r="C192" s="0" t="s">
        <v>133</v>
      </c>
      <c r="D192" s="0">
        <v>17.199999999999999</v>
      </c>
      <c r="E192" s="0"/>
      <c r="F192" s="0" t="s">
        <v>1940</v>
      </c>
      <c r="G192" s="0"/>
      <c r="H192" s="0" t="s">
        <v>1440</v>
      </c>
      <c r="I192" s="0" t="s">
        <v>1787</v>
      </c>
      <c r="J192" s="0"/>
      <c r="K192" s="0" t="s">
        <v>2116</v>
      </c>
      <c r="L192" s="0" t="s">
        <v>2117</v>
      </c>
    </row>
    <row r="193">
      <c r="A193" s="0" t="s">
        <v>47</v>
      </c>
      <c r="B193" s="0" t="s">
        <v>264</v>
      </c>
      <c r="C193" s="0" t="s">
        <v>479</v>
      </c>
      <c r="D193" s="0">
        <v>804</v>
      </c>
      <c r="E193" s="0"/>
      <c r="F193" s="0" t="s">
        <v>1941</v>
      </c>
      <c r="G193" s="0"/>
      <c r="H193" s="0" t="s">
        <v>1448</v>
      </c>
      <c r="I193" s="0" t="s">
        <v>1748</v>
      </c>
      <c r="J193" s="0"/>
      <c r="K193" s="0" t="s">
        <v>2116</v>
      </c>
      <c r="L193" s="0" t="s">
        <v>2117</v>
      </c>
    </row>
    <row r="194">
      <c r="A194" s="0" t="s">
        <v>47</v>
      </c>
      <c r="B194" s="0" t="s">
        <v>346</v>
      </c>
      <c r="C194" s="0" t="s">
        <v>479</v>
      </c>
      <c r="D194" s="0">
        <v>2.94</v>
      </c>
      <c r="E194" s="0"/>
      <c r="F194" s="0" t="s">
        <v>1942</v>
      </c>
      <c r="G194" s="0"/>
      <c r="H194" s="0" t="s">
        <v>1449</v>
      </c>
      <c r="I194" s="0" t="s">
        <v>827</v>
      </c>
      <c r="J194" s="0"/>
      <c r="K194" s="0" t="s">
        <v>2116</v>
      </c>
      <c r="L194" s="0" t="s">
        <v>2117</v>
      </c>
    </row>
    <row r="195">
      <c r="A195" s="0" t="s">
        <v>47</v>
      </c>
      <c r="B195" s="0" t="s">
        <v>346</v>
      </c>
      <c r="C195" s="0" t="s">
        <v>481</v>
      </c>
      <c r="D195" s="0">
        <v>0.00040000000000000002</v>
      </c>
      <c r="E195" s="0"/>
      <c r="F195" s="0" t="s">
        <v>1125</v>
      </c>
      <c r="G195" s="0"/>
      <c r="H195" s="0" t="s">
        <v>2076</v>
      </c>
      <c r="I195" s="0" t="s">
        <v>827</v>
      </c>
      <c r="J195" s="0"/>
      <c r="K195" s="0" t="s">
        <v>2116</v>
      </c>
      <c r="L195" s="0" t="s">
        <v>2117</v>
      </c>
    </row>
    <row r="196">
      <c r="A196" s="0" t="s">
        <v>47</v>
      </c>
      <c r="B196" s="0" t="s">
        <v>346</v>
      </c>
      <c r="C196" s="0" t="s">
        <v>479</v>
      </c>
      <c r="D196" s="0">
        <v>1.508</v>
      </c>
      <c r="E196" s="0"/>
      <c r="F196" s="0" t="s">
        <v>1943</v>
      </c>
      <c r="G196" s="0"/>
      <c r="H196" s="0" t="s">
        <v>1449</v>
      </c>
      <c r="I196" s="0" t="s">
        <v>827</v>
      </c>
      <c r="J196" s="0"/>
      <c r="K196" s="0" t="s">
        <v>2116</v>
      </c>
      <c r="L196" s="0" t="s">
        <v>2117</v>
      </c>
    </row>
    <row r="197">
      <c r="A197" s="0" t="s">
        <v>47</v>
      </c>
      <c r="B197" s="0" t="s">
        <v>346</v>
      </c>
      <c r="C197" s="0" t="s">
        <v>480</v>
      </c>
      <c r="D197" s="0">
        <v>3.0000000000000001e-05</v>
      </c>
      <c r="E197" s="0"/>
      <c r="F197" s="0" t="s">
        <v>1944</v>
      </c>
      <c r="G197" s="0"/>
      <c r="H197" s="0" t="s">
        <v>2076</v>
      </c>
      <c r="I197" s="0" t="s">
        <v>827</v>
      </c>
      <c r="J197" s="0"/>
      <c r="K197" s="0" t="s">
        <v>2116</v>
      </c>
      <c r="L197" s="0" t="s">
        <v>2117</v>
      </c>
    </row>
    <row r="198">
      <c r="A198" s="0" t="s">
        <v>47</v>
      </c>
      <c r="B198" s="0" t="s">
        <v>347</v>
      </c>
      <c r="C198" s="0" t="s">
        <v>134</v>
      </c>
      <c r="D198" s="0">
        <v>0.14299999999999999</v>
      </c>
      <c r="E198" s="0"/>
      <c r="F198" s="0" t="s">
        <v>1119</v>
      </c>
      <c r="G198" s="0"/>
      <c r="H198" s="0" t="s">
        <v>1452</v>
      </c>
      <c r="I198" s="0" t="s">
        <v>1791</v>
      </c>
      <c r="J198" s="0"/>
      <c r="K198" s="0" t="s">
        <v>2116</v>
      </c>
      <c r="L198" s="0" t="s">
        <v>2117</v>
      </c>
    </row>
    <row r="199">
      <c r="A199" s="0" t="s">
        <v>47</v>
      </c>
      <c r="B199" s="0" t="s">
        <v>347</v>
      </c>
      <c r="C199" s="0" t="s">
        <v>134</v>
      </c>
      <c r="D199" s="0">
        <v>0.182</v>
      </c>
      <c r="E199" s="0"/>
      <c r="F199" s="0" t="s">
        <v>1945</v>
      </c>
      <c r="G199" s="0"/>
      <c r="H199" s="0" t="s">
        <v>1453</v>
      </c>
      <c r="I199" s="0" t="s">
        <v>1791</v>
      </c>
      <c r="J199" s="0"/>
      <c r="K199" s="0" t="s">
        <v>2116</v>
      </c>
      <c r="L199" s="0" t="s">
        <v>2117</v>
      </c>
    </row>
    <row r="200">
      <c r="A200" s="0" t="s">
        <v>47</v>
      </c>
      <c r="B200" s="0" t="s">
        <v>347</v>
      </c>
      <c r="C200" s="0" t="s">
        <v>134</v>
      </c>
      <c r="D200" s="0">
        <v>0.0073000000000000001</v>
      </c>
      <c r="E200" s="0"/>
      <c r="F200" s="0" t="s">
        <v>1946</v>
      </c>
      <c r="G200" s="0"/>
      <c r="H200" s="0" t="s">
        <v>1454</v>
      </c>
      <c r="I200" s="0" t="s">
        <v>1791</v>
      </c>
      <c r="J200" s="0"/>
      <c r="K200" s="0" t="s">
        <v>2116</v>
      </c>
      <c r="L200" s="0" t="s">
        <v>2117</v>
      </c>
    </row>
    <row r="201">
      <c r="A201" s="0" t="s">
        <v>47</v>
      </c>
      <c r="B201" s="0" t="s">
        <v>347</v>
      </c>
      <c r="C201" s="0" t="s">
        <v>134</v>
      </c>
      <c r="D201" s="0">
        <v>0.16800000000000001</v>
      </c>
      <c r="E201" s="0"/>
      <c r="F201" s="0" t="s">
        <v>1947</v>
      </c>
      <c r="G201" s="0"/>
      <c r="H201" s="0" t="s">
        <v>2077</v>
      </c>
      <c r="I201" s="0" t="s">
        <v>1791</v>
      </c>
      <c r="J201" s="0"/>
      <c r="K201" s="0" t="s">
        <v>2116</v>
      </c>
      <c r="L201" s="0" t="s">
        <v>2117</v>
      </c>
    </row>
    <row r="202">
      <c r="A202" s="0" t="s">
        <v>47</v>
      </c>
      <c r="B202" s="0" t="s">
        <v>347</v>
      </c>
      <c r="C202" s="0" t="s">
        <v>134</v>
      </c>
      <c r="D202" s="0">
        <v>0.17899999999999999</v>
      </c>
      <c r="E202" s="0"/>
      <c r="F202" s="0" t="s">
        <v>1016</v>
      </c>
      <c r="G202" s="0"/>
      <c r="H202" s="0" t="s">
        <v>1451</v>
      </c>
      <c r="I202" s="0" t="s">
        <v>1791</v>
      </c>
      <c r="J202" s="0"/>
      <c r="K202" s="0" t="s">
        <v>2116</v>
      </c>
      <c r="L202" s="0" t="s">
        <v>2117</v>
      </c>
    </row>
    <row r="203">
      <c r="A203" s="0" t="s">
        <v>47</v>
      </c>
      <c r="B203" s="0" t="s">
        <v>261</v>
      </c>
      <c r="C203" s="0" t="s">
        <v>134</v>
      </c>
      <c r="D203" s="0">
        <v>0.15</v>
      </c>
      <c r="E203" s="0"/>
      <c r="F203" s="0" t="s">
        <v>1929</v>
      </c>
      <c r="G203" s="0"/>
      <c r="H203" s="0" t="s">
        <v>1461</v>
      </c>
      <c r="I203" s="0" t="s">
        <v>1768</v>
      </c>
      <c r="J203" s="0"/>
      <c r="K203" s="0" t="s">
        <v>2116</v>
      </c>
      <c r="L203" s="0" t="s">
        <v>2117</v>
      </c>
    </row>
    <row r="204">
      <c r="A204" s="0" t="s">
        <v>47</v>
      </c>
      <c r="B204" s="0" t="s">
        <v>261</v>
      </c>
      <c r="C204" s="0" t="s">
        <v>134</v>
      </c>
      <c r="D204" s="0">
        <v>18.600000000000001</v>
      </c>
      <c r="E204" s="0"/>
      <c r="F204" s="0" t="s">
        <v>1948</v>
      </c>
      <c r="G204" s="0"/>
      <c r="H204" s="0" t="s">
        <v>1460</v>
      </c>
      <c r="I204" s="0" t="s">
        <v>1741</v>
      </c>
      <c r="J204" s="0"/>
      <c r="K204" s="0" t="s">
        <v>2116</v>
      </c>
      <c r="L204" s="0" t="s">
        <v>2117</v>
      </c>
    </row>
    <row r="205">
      <c r="A205" s="0" t="s">
        <v>47</v>
      </c>
      <c r="B205" s="0" t="s">
        <v>349</v>
      </c>
      <c r="C205" s="0" t="s">
        <v>134</v>
      </c>
      <c r="D205" s="0">
        <v>1506</v>
      </c>
      <c r="E205" s="0"/>
      <c r="F205" s="0" t="s">
        <v>1949</v>
      </c>
      <c r="G205" s="0"/>
      <c r="H205" s="0" t="s">
        <v>1462</v>
      </c>
      <c r="I205" s="0" t="s">
        <v>1792</v>
      </c>
      <c r="J205" s="0"/>
      <c r="K205" s="0" t="s">
        <v>2116</v>
      </c>
      <c r="L205" s="0" t="s">
        <v>2117</v>
      </c>
    </row>
    <row r="206">
      <c r="A206" s="0" t="s">
        <v>47</v>
      </c>
      <c r="B206" s="0" t="s">
        <v>350</v>
      </c>
      <c r="C206" s="0" t="s">
        <v>134</v>
      </c>
      <c r="D206" s="0">
        <v>2.5</v>
      </c>
      <c r="E206" s="0"/>
      <c r="F206" s="0" t="s">
        <v>639</v>
      </c>
      <c r="G206" s="0"/>
      <c r="H206" s="0" t="s">
        <v>1463</v>
      </c>
      <c r="I206" s="0" t="s">
        <v>1793</v>
      </c>
      <c r="J206" s="0"/>
      <c r="K206" s="0" t="s">
        <v>2116</v>
      </c>
      <c r="L206" s="0" t="s">
        <v>2117</v>
      </c>
    </row>
    <row r="207">
      <c r="A207" s="0" t="s">
        <v>47</v>
      </c>
      <c r="B207" s="0" t="s">
        <v>351</v>
      </c>
      <c r="C207" s="0" t="s">
        <v>134</v>
      </c>
      <c r="D207" s="0">
        <v>11.699999999999999</v>
      </c>
      <c r="E207" s="0"/>
      <c r="F207" s="0" t="s">
        <v>1950</v>
      </c>
      <c r="G207" s="0"/>
      <c r="H207" s="0" t="s">
        <v>1464</v>
      </c>
      <c r="I207" s="0" t="s">
        <v>1727</v>
      </c>
      <c r="J207" s="0"/>
      <c r="K207" s="0" t="s">
        <v>2116</v>
      </c>
      <c r="L207" s="0" t="s">
        <v>2117</v>
      </c>
    </row>
    <row r="208">
      <c r="A208" s="0" t="s">
        <v>49</v>
      </c>
      <c r="B208" s="0" t="s">
        <v>356</v>
      </c>
      <c r="C208" s="0" t="s">
        <v>137</v>
      </c>
      <c r="D208" s="0">
        <v>6.5599999999999996</v>
      </c>
      <c r="E208" s="0"/>
      <c r="F208" s="0" t="s">
        <v>1951</v>
      </c>
      <c r="G208" s="0"/>
      <c r="H208" s="0" t="s">
        <v>1472</v>
      </c>
      <c r="I208" s="0" t="s">
        <v>827</v>
      </c>
      <c r="J208" s="0"/>
      <c r="K208" s="0" t="s">
        <v>2116</v>
      </c>
      <c r="L208" s="0" t="s">
        <v>2117</v>
      </c>
    </row>
    <row r="209">
      <c r="A209" s="0" t="s">
        <v>49</v>
      </c>
      <c r="B209" s="0" t="s">
        <v>356</v>
      </c>
      <c r="C209" s="0" t="s">
        <v>137</v>
      </c>
      <c r="D209" s="0">
        <v>12.9</v>
      </c>
      <c r="E209" s="0"/>
      <c r="F209" s="0" t="s">
        <v>1952</v>
      </c>
      <c r="G209" s="0"/>
      <c r="H209" s="0" t="s">
        <v>1473</v>
      </c>
      <c r="I209" s="0" t="s">
        <v>827</v>
      </c>
      <c r="J209" s="0"/>
      <c r="K209" s="0" t="s">
        <v>2116</v>
      </c>
      <c r="L209" s="0" t="s">
        <v>2117</v>
      </c>
    </row>
    <row r="210">
      <c r="A210" s="0" t="s">
        <v>49</v>
      </c>
      <c r="B210" s="0" t="s">
        <v>147</v>
      </c>
      <c r="C210" s="0" t="s">
        <v>137</v>
      </c>
      <c r="D210" s="0">
        <v>0.00016000000000000001</v>
      </c>
      <c r="E210" s="0"/>
      <c r="F210" s="0" t="s">
        <v>1953</v>
      </c>
      <c r="G210" s="0"/>
      <c r="H210" s="0"/>
      <c r="I210" s="0" t="s">
        <v>585</v>
      </c>
      <c r="J210" s="0"/>
      <c r="K210" s="0" t="s">
        <v>2116</v>
      </c>
      <c r="L210" s="0" t="s">
        <v>2117</v>
      </c>
    </row>
    <row r="211">
      <c r="A211" s="0" t="s">
        <v>50</v>
      </c>
      <c r="B211" s="0" t="s">
        <v>361</v>
      </c>
      <c r="C211" s="0" t="s">
        <v>488</v>
      </c>
      <c r="D211" s="0">
        <v>0.014999999999999999</v>
      </c>
      <c r="E211" s="0"/>
      <c r="F211" s="0" t="s">
        <v>1108</v>
      </c>
      <c r="G211" s="0"/>
      <c r="H211" s="0" t="s">
        <v>1482</v>
      </c>
      <c r="I211" s="0" t="s">
        <v>1738</v>
      </c>
      <c r="J211" s="0"/>
      <c r="K211" s="0" t="s">
        <v>2116</v>
      </c>
      <c r="L211" s="0" t="s">
        <v>2117</v>
      </c>
    </row>
    <row r="212">
      <c r="A212" s="0" t="s">
        <v>50</v>
      </c>
      <c r="B212" s="0" t="s">
        <v>361</v>
      </c>
      <c r="C212" s="0" t="s">
        <v>490</v>
      </c>
      <c r="D212" s="0">
        <v>0.22</v>
      </c>
      <c r="E212" s="0"/>
      <c r="F212" s="0" t="s">
        <v>590</v>
      </c>
      <c r="G212" s="0"/>
      <c r="H212" s="0" t="s">
        <v>1481</v>
      </c>
      <c r="I212" s="0" t="s">
        <v>1738</v>
      </c>
      <c r="J212" s="0"/>
      <c r="K212" s="0" t="s">
        <v>2116</v>
      </c>
      <c r="L212" s="0" t="s">
        <v>2117</v>
      </c>
    </row>
    <row r="213">
      <c r="A213" s="0" t="s">
        <v>51</v>
      </c>
      <c r="B213" s="0" t="s">
        <v>363</v>
      </c>
      <c r="C213" s="0" t="s">
        <v>139</v>
      </c>
      <c r="D213" s="0">
        <v>0.051999999999999998</v>
      </c>
      <c r="E213" s="0"/>
      <c r="F213" s="0" t="s">
        <v>1954</v>
      </c>
      <c r="G213" s="0"/>
      <c r="H213" s="0"/>
      <c r="I213" s="0" t="s">
        <v>1794</v>
      </c>
      <c r="J213" s="0"/>
      <c r="K213" s="0" t="s">
        <v>2116</v>
      </c>
      <c r="L213" s="0" t="s">
        <v>2117</v>
      </c>
    </row>
    <row r="214">
      <c r="A214" s="0" t="s">
        <v>51</v>
      </c>
      <c r="B214" s="0" t="s">
        <v>363</v>
      </c>
      <c r="C214" s="0" t="s">
        <v>496</v>
      </c>
      <c r="D214" s="0">
        <v>0.058000000000000003</v>
      </c>
      <c r="E214" s="0"/>
      <c r="F214" s="0" t="s">
        <v>758</v>
      </c>
      <c r="G214" s="0"/>
      <c r="H214" s="0"/>
      <c r="I214" s="0" t="s">
        <v>1794</v>
      </c>
      <c r="J214" s="0"/>
      <c r="K214" s="0" t="s">
        <v>2116</v>
      </c>
      <c r="L214" s="0" t="s">
        <v>2117</v>
      </c>
    </row>
    <row r="215">
      <c r="A215" s="0" t="s">
        <v>51</v>
      </c>
      <c r="B215" s="0" t="s">
        <v>364</v>
      </c>
      <c r="C215" s="0" t="s">
        <v>498</v>
      </c>
      <c r="D215" s="0">
        <v>4.9000000000000004</v>
      </c>
      <c r="E215" s="0"/>
      <c r="F215" s="0" t="s">
        <v>688</v>
      </c>
      <c r="G215" s="0"/>
      <c r="H215" s="0" t="s">
        <v>1489</v>
      </c>
      <c r="I215" s="0" t="s">
        <v>1729</v>
      </c>
      <c r="J215" s="0"/>
      <c r="K215" s="0" t="s">
        <v>2116</v>
      </c>
      <c r="L215" s="0" t="s">
        <v>2117</v>
      </c>
    </row>
    <row r="216">
      <c r="A216" s="0" t="s">
        <v>51</v>
      </c>
      <c r="B216" s="0" t="s">
        <v>364</v>
      </c>
      <c r="C216" s="0" t="s">
        <v>497</v>
      </c>
      <c r="D216" s="0">
        <v>4.1299999999999999</v>
      </c>
      <c r="E216" s="0"/>
      <c r="F216" s="0" t="s">
        <v>1955</v>
      </c>
      <c r="G216" s="0"/>
      <c r="H216" s="0" t="s">
        <v>1489</v>
      </c>
      <c r="I216" s="0" t="s">
        <v>1729</v>
      </c>
      <c r="J216" s="0"/>
      <c r="K216" s="0" t="s">
        <v>2116</v>
      </c>
      <c r="L216" s="0" t="s">
        <v>2117</v>
      </c>
    </row>
    <row r="217">
      <c r="A217" s="0" t="s">
        <v>51</v>
      </c>
      <c r="B217" s="0" t="s">
        <v>364</v>
      </c>
      <c r="C217" s="0" t="s">
        <v>499</v>
      </c>
      <c r="D217" s="0">
        <v>8.6300000000000008</v>
      </c>
      <c r="E217" s="0"/>
      <c r="F217" s="0" t="s">
        <v>1956</v>
      </c>
      <c r="G217" s="0"/>
      <c r="H217" s="0" t="s">
        <v>2078</v>
      </c>
      <c r="I217" s="0" t="s">
        <v>1729</v>
      </c>
      <c r="J217" s="0"/>
      <c r="K217" s="0" t="s">
        <v>2116</v>
      </c>
      <c r="L217" s="0" t="s">
        <v>2117</v>
      </c>
    </row>
    <row r="218">
      <c r="A218" s="0" t="s">
        <v>51</v>
      </c>
      <c r="B218" s="0" t="s">
        <v>364</v>
      </c>
      <c r="C218" s="0" t="s">
        <v>496</v>
      </c>
      <c r="D218" s="0">
        <v>2.2799999999999998</v>
      </c>
      <c r="E218" s="0"/>
      <c r="F218" s="0" t="s">
        <v>1957</v>
      </c>
      <c r="G218" s="0"/>
      <c r="H218" s="0" t="s">
        <v>2079</v>
      </c>
      <c r="I218" s="0" t="s">
        <v>1729</v>
      </c>
      <c r="J218" s="0"/>
      <c r="K218" s="0" t="s">
        <v>2116</v>
      </c>
      <c r="L218" s="0" t="s">
        <v>2117</v>
      </c>
    </row>
    <row r="219">
      <c r="A219" s="0" t="s">
        <v>51</v>
      </c>
      <c r="B219" s="0" t="s">
        <v>364</v>
      </c>
      <c r="C219" s="0" t="s">
        <v>496</v>
      </c>
      <c r="D219" s="0">
        <v>5.8200000000000003</v>
      </c>
      <c r="E219" s="0"/>
      <c r="F219" s="0" t="s">
        <v>1958</v>
      </c>
      <c r="G219" s="0"/>
      <c r="H219" s="0" t="s">
        <v>1492</v>
      </c>
      <c r="I219" s="0" t="s">
        <v>1729</v>
      </c>
      <c r="J219" s="0"/>
      <c r="K219" s="0" t="s">
        <v>2116</v>
      </c>
      <c r="L219" s="0" t="s">
        <v>2117</v>
      </c>
    </row>
    <row r="220">
      <c r="A220" s="0" t="s">
        <v>51</v>
      </c>
      <c r="B220" s="0" t="s">
        <v>306</v>
      </c>
      <c r="C220" s="0" t="s">
        <v>496</v>
      </c>
      <c r="D220" s="0">
        <v>0.17000000000000001</v>
      </c>
      <c r="E220" s="0"/>
      <c r="F220" s="0" t="s">
        <v>667</v>
      </c>
      <c r="G220" s="0"/>
      <c r="H220" s="0" t="s">
        <v>1493</v>
      </c>
      <c r="I220" s="0" t="s">
        <v>1791</v>
      </c>
      <c r="J220" s="0"/>
      <c r="K220" s="0" t="s">
        <v>2116</v>
      </c>
      <c r="L220" s="0" t="s">
        <v>2117</v>
      </c>
    </row>
    <row r="221">
      <c r="A221" s="0" t="s">
        <v>51</v>
      </c>
      <c r="B221" s="0" t="s">
        <v>306</v>
      </c>
      <c r="C221" s="0" t="s">
        <v>139</v>
      </c>
      <c r="D221" s="0">
        <v>0.20999999999999999</v>
      </c>
      <c r="E221" s="0"/>
      <c r="F221" s="0" t="s">
        <v>713</v>
      </c>
      <c r="G221" s="0"/>
      <c r="H221" s="0" t="s">
        <v>1496</v>
      </c>
      <c r="I221" s="0" t="s">
        <v>1791</v>
      </c>
      <c r="J221" s="0"/>
      <c r="K221" s="0" t="s">
        <v>2116</v>
      </c>
      <c r="L221" s="0" t="s">
        <v>2117</v>
      </c>
    </row>
    <row r="222">
      <c r="A222" s="0" t="s">
        <v>51</v>
      </c>
      <c r="B222" s="0" t="s">
        <v>306</v>
      </c>
      <c r="C222" s="0" t="s">
        <v>500</v>
      </c>
      <c r="D222" s="0">
        <v>0.14000000000000001</v>
      </c>
      <c r="E222" s="0"/>
      <c r="F222" s="0" t="s">
        <v>924</v>
      </c>
      <c r="G222" s="0"/>
      <c r="H222" s="0" t="s">
        <v>1494</v>
      </c>
      <c r="I222" s="0" t="s">
        <v>1791</v>
      </c>
      <c r="J222" s="0"/>
      <c r="K222" s="0" t="s">
        <v>2116</v>
      </c>
      <c r="L222" s="0" t="s">
        <v>2117</v>
      </c>
    </row>
    <row r="223">
      <c r="A223" s="0" t="s">
        <v>51</v>
      </c>
      <c r="B223" s="0" t="s">
        <v>306</v>
      </c>
      <c r="C223" s="0" t="s">
        <v>496</v>
      </c>
      <c r="D223" s="0">
        <v>0.13</v>
      </c>
      <c r="E223" s="0"/>
      <c r="F223" s="0" t="s">
        <v>793</v>
      </c>
      <c r="G223" s="0"/>
      <c r="H223" s="0" t="s">
        <v>1495</v>
      </c>
      <c r="I223" s="0" t="s">
        <v>1791</v>
      </c>
      <c r="J223" s="0"/>
      <c r="K223" s="0" t="s">
        <v>2116</v>
      </c>
      <c r="L223" s="0" t="s">
        <v>2117</v>
      </c>
    </row>
    <row r="224">
      <c r="A224" s="0" t="s">
        <v>51</v>
      </c>
      <c r="B224" s="0" t="s">
        <v>306</v>
      </c>
      <c r="C224" s="0" t="s">
        <v>501</v>
      </c>
      <c r="D224" s="0">
        <v>0.22</v>
      </c>
      <c r="E224" s="0"/>
      <c r="F224" s="0" t="s">
        <v>590</v>
      </c>
      <c r="G224" s="0"/>
      <c r="H224" s="0" t="s">
        <v>1497</v>
      </c>
      <c r="I224" s="0" t="s">
        <v>1791</v>
      </c>
      <c r="J224" s="0"/>
      <c r="K224" s="0" t="s">
        <v>2116</v>
      </c>
      <c r="L224" s="0" t="s">
        <v>2117</v>
      </c>
    </row>
    <row r="225">
      <c r="A225" s="0" t="s">
        <v>51</v>
      </c>
      <c r="B225" s="0" t="s">
        <v>358</v>
      </c>
      <c r="C225" s="0" t="s">
        <v>139</v>
      </c>
      <c r="D225" s="0">
        <v>0.0050000000000000001</v>
      </c>
      <c r="E225" s="0"/>
      <c r="F225" s="0" t="s">
        <v>794</v>
      </c>
      <c r="G225" s="0"/>
      <c r="H225" s="0" t="s">
        <v>1508</v>
      </c>
      <c r="I225" s="0" t="s">
        <v>1019</v>
      </c>
      <c r="J225" s="0"/>
      <c r="K225" s="0" t="s">
        <v>2116</v>
      </c>
      <c r="L225" s="0" t="s">
        <v>2117</v>
      </c>
    </row>
    <row r="226">
      <c r="A226" s="0" t="s">
        <v>51</v>
      </c>
      <c r="B226" s="0" t="s">
        <v>358</v>
      </c>
      <c r="C226" s="0" t="s">
        <v>496</v>
      </c>
      <c r="D226" s="0">
        <v>0.39000000000000001</v>
      </c>
      <c r="E226" s="0"/>
      <c r="F226" s="0" t="s">
        <v>719</v>
      </c>
      <c r="G226" s="0"/>
      <c r="H226" s="0" t="s">
        <v>2080</v>
      </c>
      <c r="I226" s="0" t="s">
        <v>827</v>
      </c>
      <c r="J226" s="0"/>
      <c r="K226" s="0" t="s">
        <v>2116</v>
      </c>
      <c r="L226" s="0" t="s">
        <v>2117</v>
      </c>
    </row>
    <row r="227">
      <c r="A227" s="0" t="s">
        <v>51</v>
      </c>
      <c r="B227" s="0" t="s">
        <v>358</v>
      </c>
      <c r="C227" s="0" t="s">
        <v>501</v>
      </c>
      <c r="D227" s="0">
        <v>0.36699999999999999</v>
      </c>
      <c r="E227" s="0"/>
      <c r="F227" s="0" t="s">
        <v>1959</v>
      </c>
      <c r="G227" s="0"/>
      <c r="H227" s="0" t="s">
        <v>1503</v>
      </c>
      <c r="I227" s="0" t="s">
        <v>1019</v>
      </c>
      <c r="J227" s="0"/>
      <c r="K227" s="0" t="s">
        <v>2116</v>
      </c>
      <c r="L227" s="0" t="s">
        <v>2117</v>
      </c>
    </row>
    <row r="228">
      <c r="A228" s="0" t="s">
        <v>51</v>
      </c>
      <c r="B228" s="0" t="s">
        <v>358</v>
      </c>
      <c r="C228" s="0" t="s">
        <v>499</v>
      </c>
      <c r="D228" s="0">
        <v>1.8200000000000001</v>
      </c>
      <c r="E228" s="0"/>
      <c r="F228" s="0" t="s">
        <v>577</v>
      </c>
      <c r="G228" s="0"/>
      <c r="H228" s="0" t="s">
        <v>2081</v>
      </c>
      <c r="I228" s="0" t="s">
        <v>827</v>
      </c>
      <c r="J228" s="0"/>
      <c r="K228" s="0" t="s">
        <v>2116</v>
      </c>
      <c r="L228" s="0" t="s">
        <v>2117</v>
      </c>
    </row>
    <row r="229">
      <c r="A229" s="0" t="s">
        <v>51</v>
      </c>
      <c r="B229" s="0" t="s">
        <v>358</v>
      </c>
      <c r="C229" s="0" t="s">
        <v>139</v>
      </c>
      <c r="D229" s="0">
        <v>1.8200000000000001</v>
      </c>
      <c r="E229" s="0"/>
      <c r="F229" s="0" t="s">
        <v>577</v>
      </c>
      <c r="G229" s="0"/>
      <c r="H229" s="0" t="s">
        <v>1498</v>
      </c>
      <c r="I229" s="0" t="s">
        <v>1019</v>
      </c>
      <c r="J229" s="0"/>
      <c r="K229" s="0" t="s">
        <v>2116</v>
      </c>
      <c r="L229" s="0" t="s">
        <v>2117</v>
      </c>
    </row>
    <row r="230">
      <c r="A230" s="0" t="s">
        <v>51</v>
      </c>
      <c r="B230" s="0" t="s">
        <v>358</v>
      </c>
      <c r="C230" s="0" t="s">
        <v>498</v>
      </c>
      <c r="D230" s="0">
        <v>3.6299999999999999</v>
      </c>
      <c r="E230" s="0"/>
      <c r="F230" s="0" t="s">
        <v>1960</v>
      </c>
      <c r="G230" s="0"/>
      <c r="H230" s="0" t="s">
        <v>1505</v>
      </c>
      <c r="I230" s="0" t="s">
        <v>827</v>
      </c>
      <c r="J230" s="0"/>
      <c r="K230" s="0" t="s">
        <v>2116</v>
      </c>
      <c r="L230" s="0" t="s">
        <v>2117</v>
      </c>
    </row>
    <row r="231">
      <c r="A231" s="0" t="s">
        <v>51</v>
      </c>
      <c r="B231" s="0" t="s">
        <v>358</v>
      </c>
      <c r="C231" s="0" t="s">
        <v>139</v>
      </c>
      <c r="D231" s="0">
        <v>0.021999999999999999</v>
      </c>
      <c r="E231" s="0"/>
      <c r="F231" s="0" t="s">
        <v>1930</v>
      </c>
      <c r="G231" s="0"/>
      <c r="H231" s="0" t="s">
        <v>1506</v>
      </c>
      <c r="I231" s="0" t="s">
        <v>1019</v>
      </c>
      <c r="J231" s="0"/>
      <c r="K231" s="0" t="s">
        <v>2116</v>
      </c>
      <c r="L231" s="0" t="s">
        <v>2117</v>
      </c>
    </row>
    <row r="232">
      <c r="A232" s="0" t="s">
        <v>51</v>
      </c>
      <c r="B232" s="0" t="s">
        <v>358</v>
      </c>
      <c r="C232" s="0" t="s">
        <v>496</v>
      </c>
      <c r="D232" s="0">
        <v>0.48999999999999999</v>
      </c>
      <c r="E232" s="0"/>
      <c r="F232" s="0" t="s">
        <v>787</v>
      </c>
      <c r="G232" s="0"/>
      <c r="H232" s="0" t="s">
        <v>1499</v>
      </c>
      <c r="I232" s="0" t="s">
        <v>827</v>
      </c>
      <c r="J232" s="0"/>
      <c r="K232" s="0" t="s">
        <v>2116</v>
      </c>
      <c r="L232" s="0" t="s">
        <v>2117</v>
      </c>
    </row>
    <row r="233">
      <c r="A233" s="0" t="s">
        <v>51</v>
      </c>
      <c r="B233" s="0" t="s">
        <v>358</v>
      </c>
      <c r="C233" s="0" t="s">
        <v>497</v>
      </c>
      <c r="D233" s="0">
        <v>3.0800000000000001</v>
      </c>
      <c r="E233" s="0"/>
      <c r="F233" s="0" t="s">
        <v>1961</v>
      </c>
      <c r="G233" s="0"/>
      <c r="H233" s="0" t="s">
        <v>1505</v>
      </c>
      <c r="I233" s="0" t="s">
        <v>827</v>
      </c>
      <c r="J233" s="0"/>
      <c r="K233" s="0" t="s">
        <v>2116</v>
      </c>
      <c r="L233" s="0" t="s">
        <v>2117</v>
      </c>
    </row>
    <row r="234">
      <c r="A234" s="0" t="s">
        <v>51</v>
      </c>
      <c r="B234" s="0" t="s">
        <v>358</v>
      </c>
      <c r="C234" s="0" t="s">
        <v>501</v>
      </c>
      <c r="D234" s="0">
        <v>3.0800000000000001</v>
      </c>
      <c r="E234" s="0"/>
      <c r="F234" s="0" t="s">
        <v>1961</v>
      </c>
      <c r="G234" s="0"/>
      <c r="H234" s="0" t="s">
        <v>2082</v>
      </c>
      <c r="I234" s="0" t="s">
        <v>1019</v>
      </c>
      <c r="J234" s="0"/>
      <c r="K234" s="0" t="s">
        <v>2116</v>
      </c>
      <c r="L234" s="0" t="s">
        <v>2117</v>
      </c>
    </row>
    <row r="235">
      <c r="A235" s="0" t="s">
        <v>51</v>
      </c>
      <c r="B235" s="0" t="s">
        <v>358</v>
      </c>
      <c r="C235" s="0" t="s">
        <v>501</v>
      </c>
      <c r="D235" s="0">
        <v>1.4830000000000001</v>
      </c>
      <c r="E235" s="0"/>
      <c r="F235" s="0" t="s">
        <v>1962</v>
      </c>
      <c r="G235" s="0"/>
      <c r="H235" s="0" t="s">
        <v>1507</v>
      </c>
      <c r="I235" s="0" t="s">
        <v>1019</v>
      </c>
      <c r="J235" s="0"/>
      <c r="K235" s="0" t="s">
        <v>2116</v>
      </c>
      <c r="L235" s="0" t="s">
        <v>2117</v>
      </c>
    </row>
    <row r="236">
      <c r="A236" s="0" t="s">
        <v>51</v>
      </c>
      <c r="B236" s="0" t="s">
        <v>306</v>
      </c>
      <c r="C236" s="0" t="s">
        <v>496</v>
      </c>
      <c r="D236" s="0">
        <v>0.20999999999999999</v>
      </c>
      <c r="E236" s="0"/>
      <c r="F236" s="0" t="s">
        <v>713</v>
      </c>
      <c r="G236" s="0"/>
      <c r="H236" s="0" t="s">
        <v>1512</v>
      </c>
      <c r="I236" s="0" t="s">
        <v>1791</v>
      </c>
      <c r="J236" s="0"/>
      <c r="K236" s="0" t="s">
        <v>2116</v>
      </c>
      <c r="L236" s="0" t="s">
        <v>2117</v>
      </c>
    </row>
    <row r="237">
      <c r="A237" s="0" t="s">
        <v>51</v>
      </c>
      <c r="B237" s="0" t="s">
        <v>306</v>
      </c>
      <c r="C237" s="0" t="s">
        <v>500</v>
      </c>
      <c r="D237" s="0">
        <v>0.20999999999999999</v>
      </c>
      <c r="E237" s="0"/>
      <c r="F237" s="0" t="s">
        <v>713</v>
      </c>
      <c r="G237" s="0"/>
      <c r="H237" s="0" t="s">
        <v>1513</v>
      </c>
      <c r="I237" s="0" t="s">
        <v>1791</v>
      </c>
      <c r="J237" s="0"/>
      <c r="K237" s="0" t="s">
        <v>2116</v>
      </c>
      <c r="L237" s="0" t="s">
        <v>2117</v>
      </c>
    </row>
    <row r="238">
      <c r="A238" s="0" t="s">
        <v>51</v>
      </c>
      <c r="B238" s="0" t="s">
        <v>306</v>
      </c>
      <c r="C238" s="0" t="s">
        <v>496</v>
      </c>
      <c r="D238" s="0">
        <v>0.27000000000000002</v>
      </c>
      <c r="E238" s="0"/>
      <c r="F238" s="0" t="s">
        <v>650</v>
      </c>
      <c r="G238" s="0"/>
      <c r="H238" s="0" t="s">
        <v>1509</v>
      </c>
      <c r="I238" s="0" t="s">
        <v>1791</v>
      </c>
      <c r="J238" s="0"/>
      <c r="K238" s="0" t="s">
        <v>2116</v>
      </c>
      <c r="L238" s="0" t="s">
        <v>2117</v>
      </c>
    </row>
    <row r="239">
      <c r="A239" s="0" t="s">
        <v>51</v>
      </c>
      <c r="B239" s="0" t="s">
        <v>306</v>
      </c>
      <c r="C239" s="0" t="s">
        <v>139</v>
      </c>
      <c r="D239" s="0">
        <v>0.27000000000000002</v>
      </c>
      <c r="E239" s="0"/>
      <c r="F239" s="0" t="s">
        <v>650</v>
      </c>
      <c r="G239" s="0"/>
      <c r="H239" s="0" t="s">
        <v>1511</v>
      </c>
      <c r="I239" s="0" t="s">
        <v>1791</v>
      </c>
      <c r="J239" s="0"/>
      <c r="K239" s="0" t="s">
        <v>2116</v>
      </c>
      <c r="L239" s="0" t="s">
        <v>2117</v>
      </c>
    </row>
    <row r="240">
      <c r="A240" s="0" t="s">
        <v>51</v>
      </c>
      <c r="B240" s="0" t="s">
        <v>306</v>
      </c>
      <c r="C240" s="0" t="s">
        <v>501</v>
      </c>
      <c r="D240" s="0">
        <v>0.27000000000000002</v>
      </c>
      <c r="E240" s="0"/>
      <c r="F240" s="0" t="s">
        <v>650</v>
      </c>
      <c r="G240" s="0"/>
      <c r="H240" s="0" t="s">
        <v>1510</v>
      </c>
      <c r="I240" s="0" t="s">
        <v>1791</v>
      </c>
      <c r="J240" s="0"/>
      <c r="K240" s="0" t="s">
        <v>2116</v>
      </c>
      <c r="L240" s="0" t="s">
        <v>2117</v>
      </c>
    </row>
    <row r="241">
      <c r="A241" s="0" t="s">
        <v>51</v>
      </c>
      <c r="B241" s="0" t="s">
        <v>306</v>
      </c>
      <c r="C241" s="0" t="s">
        <v>500</v>
      </c>
      <c r="D241" s="0">
        <v>0.040000000000000001</v>
      </c>
      <c r="E241" s="0"/>
      <c r="F241" s="0" t="s">
        <v>581</v>
      </c>
      <c r="G241" s="0"/>
      <c r="H241" s="0" t="s">
        <v>1520</v>
      </c>
      <c r="I241" s="0" t="s">
        <v>1791</v>
      </c>
      <c r="J241" s="0"/>
      <c r="K241" s="0" t="s">
        <v>2116</v>
      </c>
      <c r="L241" s="0" t="s">
        <v>2117</v>
      </c>
    </row>
    <row r="242">
      <c r="A242" s="0" t="s">
        <v>51</v>
      </c>
      <c r="B242" s="0" t="s">
        <v>306</v>
      </c>
      <c r="C242" s="0" t="s">
        <v>501</v>
      </c>
      <c r="D242" s="0">
        <v>0.040000000000000001</v>
      </c>
      <c r="E242" s="0"/>
      <c r="F242" s="0" t="s">
        <v>581</v>
      </c>
      <c r="G242" s="0"/>
      <c r="H242" s="0" t="s">
        <v>1517</v>
      </c>
      <c r="I242" s="0" t="s">
        <v>1791</v>
      </c>
      <c r="J242" s="0"/>
      <c r="K242" s="0" t="s">
        <v>2116</v>
      </c>
      <c r="L242" s="0" t="s">
        <v>2117</v>
      </c>
    </row>
    <row r="243">
      <c r="A243" s="0" t="s">
        <v>51</v>
      </c>
      <c r="B243" s="0" t="s">
        <v>306</v>
      </c>
      <c r="C243" s="0" t="s">
        <v>496</v>
      </c>
      <c r="D243" s="0">
        <v>0.059999999999999998</v>
      </c>
      <c r="E243" s="0"/>
      <c r="F243" s="0" t="s">
        <v>665</v>
      </c>
      <c r="G243" s="0"/>
      <c r="H243" s="0" t="s">
        <v>1518</v>
      </c>
      <c r="I243" s="0" t="s">
        <v>1791</v>
      </c>
      <c r="J243" s="0"/>
      <c r="K243" s="0" t="s">
        <v>2116</v>
      </c>
      <c r="L243" s="0" t="s">
        <v>2117</v>
      </c>
    </row>
    <row r="244">
      <c r="A244" s="0" t="s">
        <v>51</v>
      </c>
      <c r="B244" s="0" t="s">
        <v>306</v>
      </c>
      <c r="C244" s="0" t="s">
        <v>496</v>
      </c>
      <c r="D244" s="0">
        <v>0.029999999999999999</v>
      </c>
      <c r="E244" s="0"/>
      <c r="F244" s="0" t="s">
        <v>579</v>
      </c>
      <c r="G244" s="0"/>
      <c r="H244" s="0" t="s">
        <v>1516</v>
      </c>
      <c r="I244" s="0" t="s">
        <v>1791</v>
      </c>
      <c r="J244" s="0"/>
      <c r="K244" s="0" t="s">
        <v>2116</v>
      </c>
      <c r="L244" s="0" t="s">
        <v>2117</v>
      </c>
    </row>
    <row r="245">
      <c r="A245" s="0" t="s">
        <v>51</v>
      </c>
      <c r="B245" s="0" t="s">
        <v>306</v>
      </c>
      <c r="C245" s="0" t="s">
        <v>139</v>
      </c>
      <c r="D245" s="0">
        <v>0.089999999999999997</v>
      </c>
      <c r="E245" s="0"/>
      <c r="F245" s="0" t="s">
        <v>707</v>
      </c>
      <c r="G245" s="0"/>
      <c r="H245" s="0" t="s">
        <v>1519</v>
      </c>
      <c r="I245" s="0" t="s">
        <v>1791</v>
      </c>
      <c r="J245" s="0"/>
      <c r="K245" s="0" t="s">
        <v>2116</v>
      </c>
      <c r="L245" s="0" t="s">
        <v>2117</v>
      </c>
    </row>
    <row r="246">
      <c r="A246" s="0" t="s">
        <v>51</v>
      </c>
      <c r="B246" s="0" t="s">
        <v>364</v>
      </c>
      <c r="C246" s="0" t="s">
        <v>496</v>
      </c>
      <c r="D246" s="0">
        <v>71.870000000000005</v>
      </c>
      <c r="E246" s="0"/>
      <c r="F246" s="0" t="s">
        <v>1963</v>
      </c>
      <c r="G246" s="0"/>
      <c r="H246" s="0" t="s">
        <v>1534</v>
      </c>
      <c r="I246" s="0" t="s">
        <v>1759</v>
      </c>
      <c r="J246" s="0"/>
      <c r="K246" s="0" t="s">
        <v>2116</v>
      </c>
      <c r="L246" s="0" t="s">
        <v>2117</v>
      </c>
    </row>
    <row r="247">
      <c r="A247" s="0" t="s">
        <v>51</v>
      </c>
      <c r="B247" s="0" t="s">
        <v>364</v>
      </c>
      <c r="C247" s="0" t="s">
        <v>139</v>
      </c>
      <c r="D247" s="0">
        <v>17.77</v>
      </c>
      <c r="E247" s="0"/>
      <c r="F247" s="0" t="s">
        <v>1964</v>
      </c>
      <c r="G247" s="0"/>
      <c r="H247" s="0" t="s">
        <v>1534</v>
      </c>
      <c r="I247" s="0" t="s">
        <v>1759</v>
      </c>
      <c r="J247" s="0"/>
      <c r="K247" s="0" t="s">
        <v>2116</v>
      </c>
      <c r="L247" s="0" t="s">
        <v>2117</v>
      </c>
    </row>
    <row r="248">
      <c r="A248" s="0" t="s">
        <v>51</v>
      </c>
      <c r="B248" s="0" t="s">
        <v>371</v>
      </c>
      <c r="C248" s="0" t="s">
        <v>496</v>
      </c>
      <c r="D248" s="0">
        <v>54.020000000000003</v>
      </c>
      <c r="E248" s="0"/>
      <c r="F248" s="0" t="s">
        <v>1965</v>
      </c>
      <c r="G248" s="0"/>
      <c r="H248" s="0" t="s">
        <v>1535</v>
      </c>
      <c r="I248" s="0" t="s">
        <v>1759</v>
      </c>
      <c r="J248" s="0"/>
      <c r="K248" s="0" t="s">
        <v>2116</v>
      </c>
      <c r="L248" s="0" t="s">
        <v>2117</v>
      </c>
    </row>
    <row r="249">
      <c r="A249" s="0" t="s">
        <v>51</v>
      </c>
      <c r="B249" s="0" t="s">
        <v>371</v>
      </c>
      <c r="C249" s="0" t="s">
        <v>139</v>
      </c>
      <c r="D249" s="0">
        <v>117.84999999999999</v>
      </c>
      <c r="E249" s="0"/>
      <c r="F249" s="0" t="s">
        <v>1966</v>
      </c>
      <c r="G249" s="0"/>
      <c r="H249" s="0" t="s">
        <v>1535</v>
      </c>
      <c r="I249" s="0" t="s">
        <v>1759</v>
      </c>
      <c r="J249" s="0"/>
      <c r="K249" s="0" t="s">
        <v>2116</v>
      </c>
      <c r="L249" s="0" t="s">
        <v>2117</v>
      </c>
    </row>
    <row r="250">
      <c r="A250" s="0" t="s">
        <v>51</v>
      </c>
      <c r="B250" s="0" t="s">
        <v>372</v>
      </c>
      <c r="C250" s="0" t="s">
        <v>496</v>
      </c>
      <c r="D250" s="0">
        <v>3.9500000000000002</v>
      </c>
      <c r="E250" s="0"/>
      <c r="F250" s="0" t="s">
        <v>1967</v>
      </c>
      <c r="G250" s="0"/>
      <c r="H250" s="0" t="s">
        <v>1536</v>
      </c>
      <c r="I250" s="0" t="s">
        <v>1759</v>
      </c>
      <c r="J250" s="0"/>
      <c r="K250" s="0" t="s">
        <v>2116</v>
      </c>
      <c r="L250" s="0" t="s">
        <v>2117</v>
      </c>
    </row>
    <row r="251">
      <c r="A251" s="0" t="s">
        <v>51</v>
      </c>
      <c r="B251" s="0" t="s">
        <v>372</v>
      </c>
      <c r="C251" s="0" t="s">
        <v>139</v>
      </c>
      <c r="D251" s="0">
        <v>16.11</v>
      </c>
      <c r="E251" s="0"/>
      <c r="F251" s="0" t="s">
        <v>1968</v>
      </c>
      <c r="G251" s="0"/>
      <c r="H251" s="0" t="s">
        <v>1536</v>
      </c>
      <c r="I251" s="0" t="s">
        <v>1759</v>
      </c>
      <c r="J251" s="0"/>
      <c r="K251" s="0" t="s">
        <v>2116</v>
      </c>
      <c r="L251" s="0" t="s">
        <v>2117</v>
      </c>
    </row>
    <row r="252">
      <c r="A252" s="0" t="s">
        <v>51</v>
      </c>
      <c r="B252" s="0" t="s">
        <v>373</v>
      </c>
      <c r="C252" s="0" t="s">
        <v>139</v>
      </c>
      <c r="D252" s="0">
        <v>5.5800000000000001</v>
      </c>
      <c r="E252" s="0"/>
      <c r="F252" s="0" t="s">
        <v>1969</v>
      </c>
      <c r="G252" s="0"/>
      <c r="H252" s="0" t="s">
        <v>1537</v>
      </c>
      <c r="I252" s="0" t="s">
        <v>1759</v>
      </c>
      <c r="J252" s="0"/>
      <c r="K252" s="0" t="s">
        <v>2116</v>
      </c>
      <c r="L252" s="0" t="s">
        <v>2117</v>
      </c>
    </row>
    <row r="253">
      <c r="A253" s="0" t="s">
        <v>51</v>
      </c>
      <c r="B253" s="0" t="s">
        <v>373</v>
      </c>
      <c r="C253" s="0" t="s">
        <v>496</v>
      </c>
      <c r="D253" s="0">
        <v>45.380000000000003</v>
      </c>
      <c r="E253" s="0"/>
      <c r="F253" s="0" t="s">
        <v>1970</v>
      </c>
      <c r="G253" s="0"/>
      <c r="H253" s="0" t="s">
        <v>1537</v>
      </c>
      <c r="I253" s="0" t="s">
        <v>1759</v>
      </c>
      <c r="J253" s="0"/>
      <c r="K253" s="0" t="s">
        <v>2116</v>
      </c>
      <c r="L253" s="0" t="s">
        <v>2117</v>
      </c>
    </row>
    <row r="254">
      <c r="A254" s="0" t="s">
        <v>51</v>
      </c>
      <c r="B254" s="0" t="s">
        <v>374</v>
      </c>
      <c r="C254" s="0" t="s">
        <v>496</v>
      </c>
      <c r="D254" s="0">
        <v>10.94</v>
      </c>
      <c r="E254" s="0"/>
      <c r="F254" s="0" t="s">
        <v>1971</v>
      </c>
      <c r="G254" s="0"/>
      <c r="H254" s="0" t="s">
        <v>1538</v>
      </c>
      <c r="I254" s="0" t="s">
        <v>1759</v>
      </c>
      <c r="J254" s="0"/>
      <c r="K254" s="0" t="s">
        <v>2116</v>
      </c>
      <c r="L254" s="0" t="s">
        <v>2117</v>
      </c>
    </row>
    <row r="255">
      <c r="A255" s="0" t="s">
        <v>51</v>
      </c>
      <c r="B255" s="0" t="s">
        <v>374</v>
      </c>
      <c r="C255" s="0" t="s">
        <v>139</v>
      </c>
      <c r="D255" s="0">
        <v>10.412000000000001</v>
      </c>
      <c r="E255" s="0"/>
      <c r="F255" s="0" t="s">
        <v>1972</v>
      </c>
      <c r="G255" s="0"/>
      <c r="H255" s="0" t="s">
        <v>1538</v>
      </c>
      <c r="I255" s="0" t="s">
        <v>1759</v>
      </c>
      <c r="J255" s="0"/>
      <c r="K255" s="0" t="s">
        <v>2116</v>
      </c>
      <c r="L255" s="0" t="s">
        <v>2117</v>
      </c>
    </row>
    <row r="256">
      <c r="A256" s="0" t="s">
        <v>51</v>
      </c>
      <c r="B256" s="0" t="s">
        <v>294</v>
      </c>
      <c r="C256" s="0" t="s">
        <v>496</v>
      </c>
      <c r="D256" s="0">
        <v>144.47</v>
      </c>
      <c r="E256" s="0"/>
      <c r="F256" s="0" t="s">
        <v>1973</v>
      </c>
      <c r="G256" s="0"/>
      <c r="H256" s="0" t="s">
        <v>1541</v>
      </c>
      <c r="I256" s="0" t="s">
        <v>1759</v>
      </c>
      <c r="J256" s="0"/>
      <c r="K256" s="0" t="s">
        <v>2116</v>
      </c>
      <c r="L256" s="0" t="s">
        <v>2117</v>
      </c>
    </row>
    <row r="257">
      <c r="A257" s="0" t="s">
        <v>51</v>
      </c>
      <c r="B257" s="0" t="s">
        <v>294</v>
      </c>
      <c r="C257" s="0" t="s">
        <v>139</v>
      </c>
      <c r="D257" s="0">
        <v>3.238</v>
      </c>
      <c r="E257" s="0"/>
      <c r="F257" s="0" t="s">
        <v>1974</v>
      </c>
      <c r="G257" s="0"/>
      <c r="H257" s="0" t="s">
        <v>1541</v>
      </c>
      <c r="I257" s="0" t="s">
        <v>1759</v>
      </c>
      <c r="J257" s="0"/>
      <c r="K257" s="0" t="s">
        <v>2116</v>
      </c>
      <c r="L257" s="0" t="s">
        <v>2117</v>
      </c>
    </row>
    <row r="258">
      <c r="A258" s="0" t="s">
        <v>52</v>
      </c>
      <c r="B258" s="0" t="s">
        <v>358</v>
      </c>
      <c r="C258" s="0" t="s">
        <v>139</v>
      </c>
      <c r="D258" s="0">
        <v>3.3999999999999999</v>
      </c>
      <c r="E258" s="0"/>
      <c r="F258" s="0" t="s">
        <v>764</v>
      </c>
      <c r="G258" s="0"/>
      <c r="H258" s="0" t="s">
        <v>1547</v>
      </c>
      <c r="I258" s="0" t="s">
        <v>819</v>
      </c>
      <c r="J258" s="0"/>
      <c r="K258" s="0" t="s">
        <v>2116</v>
      </c>
      <c r="L258" s="0" t="s">
        <v>2117</v>
      </c>
    </row>
    <row r="259">
      <c r="A259" s="0" t="s">
        <v>52</v>
      </c>
      <c r="B259" s="0" t="s">
        <v>358</v>
      </c>
      <c r="C259" s="0" t="s">
        <v>139</v>
      </c>
      <c r="D259" s="0">
        <v>4.0999999999999996</v>
      </c>
      <c r="E259" s="0"/>
      <c r="F259" s="0" t="s">
        <v>808</v>
      </c>
      <c r="G259" s="0"/>
      <c r="H259" s="0" t="s">
        <v>1545</v>
      </c>
      <c r="I259" s="0" t="s">
        <v>819</v>
      </c>
      <c r="J259" s="0"/>
      <c r="K259" s="0" t="s">
        <v>2116</v>
      </c>
      <c r="L259" s="0" t="s">
        <v>2117</v>
      </c>
    </row>
    <row r="260">
      <c r="A260" s="0" t="s">
        <v>52</v>
      </c>
      <c r="B260" s="0" t="s">
        <v>147</v>
      </c>
      <c r="C260" s="0" t="s">
        <v>139</v>
      </c>
      <c r="D260" s="0">
        <v>0.016</v>
      </c>
      <c r="E260" s="0"/>
      <c r="F260" s="0" t="s">
        <v>955</v>
      </c>
      <c r="G260" s="0"/>
      <c r="H260" s="0" t="s">
        <v>1554</v>
      </c>
      <c r="I260" s="0" t="s">
        <v>1729</v>
      </c>
      <c r="J260" s="0"/>
      <c r="K260" s="0" t="s">
        <v>2116</v>
      </c>
      <c r="L260" s="0" t="s">
        <v>2117</v>
      </c>
    </row>
    <row r="261">
      <c r="A261" s="0" t="s">
        <v>52</v>
      </c>
      <c r="B261" s="0" t="s">
        <v>147</v>
      </c>
      <c r="C261" s="0" t="s">
        <v>502</v>
      </c>
      <c r="D261" s="0">
        <v>0.19</v>
      </c>
      <c r="E261" s="0"/>
      <c r="F261" s="0" t="s">
        <v>1975</v>
      </c>
      <c r="G261" s="0"/>
      <c r="H261" s="0" t="s">
        <v>1548</v>
      </c>
      <c r="I261" s="0" t="s">
        <v>1729</v>
      </c>
      <c r="J261" s="0"/>
      <c r="K261" s="0" t="s">
        <v>2116</v>
      </c>
      <c r="L261" s="0" t="s">
        <v>2117</v>
      </c>
    </row>
    <row r="262">
      <c r="A262" s="0" t="s">
        <v>52</v>
      </c>
      <c r="B262" s="0" t="s">
        <v>147</v>
      </c>
      <c r="C262" s="0" t="s">
        <v>502</v>
      </c>
      <c r="D262" s="0">
        <v>0.20000000000000001</v>
      </c>
      <c r="E262" s="0"/>
      <c r="F262" s="0" t="s">
        <v>583</v>
      </c>
      <c r="G262" s="0"/>
      <c r="H262" s="0" t="s">
        <v>1549</v>
      </c>
      <c r="I262" s="0" t="s">
        <v>1729</v>
      </c>
      <c r="J262" s="0"/>
      <c r="K262" s="0" t="s">
        <v>2116</v>
      </c>
      <c r="L262" s="0" t="s">
        <v>2117</v>
      </c>
    </row>
    <row r="263">
      <c r="A263" s="0" t="s">
        <v>52</v>
      </c>
      <c r="B263" s="0" t="s">
        <v>147</v>
      </c>
      <c r="C263" s="0" t="s">
        <v>139</v>
      </c>
      <c r="D263" s="0">
        <v>0.26000000000000001</v>
      </c>
      <c r="E263" s="0"/>
      <c r="F263" s="0" t="s">
        <v>1042</v>
      </c>
      <c r="G263" s="0"/>
      <c r="H263" s="0" t="s">
        <v>1555</v>
      </c>
      <c r="I263" s="0" t="s">
        <v>1729</v>
      </c>
      <c r="J263" s="0"/>
      <c r="K263" s="0" t="s">
        <v>2116</v>
      </c>
      <c r="L263" s="0" t="s">
        <v>2117</v>
      </c>
    </row>
    <row r="264">
      <c r="A264" s="0" t="s">
        <v>52</v>
      </c>
      <c r="B264" s="0" t="s">
        <v>147</v>
      </c>
      <c r="C264" s="0" t="s">
        <v>502</v>
      </c>
      <c r="D264" s="0">
        <v>0.25</v>
      </c>
      <c r="E264" s="0"/>
      <c r="F264" s="0" t="s">
        <v>708</v>
      </c>
      <c r="G264" s="0"/>
      <c r="H264" s="0" t="s">
        <v>1551</v>
      </c>
      <c r="I264" s="0" t="s">
        <v>1729</v>
      </c>
      <c r="J264" s="0"/>
      <c r="K264" s="0" t="s">
        <v>2116</v>
      </c>
      <c r="L264" s="0" t="s">
        <v>2117</v>
      </c>
    </row>
    <row r="265">
      <c r="A265" s="0" t="s">
        <v>52</v>
      </c>
      <c r="B265" s="0" t="s">
        <v>147</v>
      </c>
      <c r="C265" s="0" t="s">
        <v>139</v>
      </c>
      <c r="D265" s="0">
        <v>0.25</v>
      </c>
      <c r="E265" s="0"/>
      <c r="F265" s="0" t="s">
        <v>708</v>
      </c>
      <c r="G265" s="0"/>
      <c r="H265" s="0" t="s">
        <v>1551</v>
      </c>
      <c r="I265" s="0" t="s">
        <v>1729</v>
      </c>
      <c r="J265" s="0"/>
      <c r="K265" s="0" t="s">
        <v>2116</v>
      </c>
      <c r="L265" s="0" t="s">
        <v>2117</v>
      </c>
    </row>
    <row r="266">
      <c r="A266" s="0" t="s">
        <v>52</v>
      </c>
      <c r="B266" s="0" t="s">
        <v>147</v>
      </c>
      <c r="C266" s="0" t="s">
        <v>502</v>
      </c>
      <c r="D266" s="0">
        <v>0.014999999999999999</v>
      </c>
      <c r="E266" s="0"/>
      <c r="F266" s="0" t="s">
        <v>1108</v>
      </c>
      <c r="G266" s="0"/>
      <c r="H266" s="0" t="s">
        <v>1553</v>
      </c>
      <c r="I266" s="0" t="s">
        <v>1729</v>
      </c>
      <c r="J266" s="0"/>
      <c r="K266" s="0" t="s">
        <v>2116</v>
      </c>
      <c r="L266" s="0" t="s">
        <v>2117</v>
      </c>
    </row>
    <row r="267">
      <c r="A267" s="0" t="s">
        <v>52</v>
      </c>
      <c r="B267" s="0" t="s">
        <v>147</v>
      </c>
      <c r="C267" s="0" t="s">
        <v>139</v>
      </c>
      <c r="D267" s="0">
        <v>0.23000000000000001</v>
      </c>
      <c r="E267" s="0"/>
      <c r="F267" s="0" t="s">
        <v>695</v>
      </c>
      <c r="G267" s="0"/>
      <c r="H267" s="0" t="s">
        <v>1552</v>
      </c>
      <c r="I267" s="0" t="s">
        <v>1729</v>
      </c>
      <c r="J267" s="0"/>
      <c r="K267" s="0" t="s">
        <v>2116</v>
      </c>
      <c r="L267" s="0" t="s">
        <v>2117</v>
      </c>
    </row>
    <row r="268">
      <c r="A268" s="0" t="s">
        <v>52</v>
      </c>
      <c r="B268" s="0" t="s">
        <v>356</v>
      </c>
      <c r="C268" s="0" t="s">
        <v>502</v>
      </c>
      <c r="D268" s="0">
        <v>1.1499999999999999</v>
      </c>
      <c r="E268" s="0"/>
      <c r="F268" s="0" t="s">
        <v>1976</v>
      </c>
      <c r="G268" s="0"/>
      <c r="H268" s="0"/>
      <c r="I268" s="0" t="s">
        <v>644</v>
      </c>
      <c r="J268" s="0"/>
      <c r="K268" s="0" t="s">
        <v>2116</v>
      </c>
      <c r="L268" s="0" t="s">
        <v>2117</v>
      </c>
    </row>
    <row r="269">
      <c r="A269" s="0" t="s">
        <v>53</v>
      </c>
      <c r="B269" s="0" t="s">
        <v>356</v>
      </c>
      <c r="C269" s="0" t="s">
        <v>509</v>
      </c>
      <c r="D269" s="0">
        <v>5.4000000000000004</v>
      </c>
      <c r="E269" s="0"/>
      <c r="F269" s="0" t="s">
        <v>885</v>
      </c>
      <c r="G269" s="0"/>
      <c r="H269" s="0" t="s">
        <v>1566</v>
      </c>
      <c r="I269" s="0" t="s">
        <v>1800</v>
      </c>
      <c r="J269" s="0"/>
      <c r="K269" s="0" t="s">
        <v>2116</v>
      </c>
      <c r="L269" s="0" t="s">
        <v>2117</v>
      </c>
    </row>
    <row r="270">
      <c r="A270" s="0" t="s">
        <v>53</v>
      </c>
      <c r="B270" s="0" t="s">
        <v>356</v>
      </c>
      <c r="C270" s="0" t="s">
        <v>511</v>
      </c>
      <c r="D270" s="0">
        <v>9.5999999999999997</v>
      </c>
      <c r="E270" s="0"/>
      <c r="F270" s="0" t="s">
        <v>1977</v>
      </c>
      <c r="G270" s="0"/>
      <c r="H270" s="0" t="s">
        <v>1566</v>
      </c>
      <c r="I270" s="0" t="s">
        <v>1800</v>
      </c>
      <c r="J270" s="0"/>
      <c r="K270" s="0" t="s">
        <v>2116</v>
      </c>
      <c r="L270" s="0" t="s">
        <v>2117</v>
      </c>
    </row>
    <row r="271">
      <c r="A271" s="0" t="s">
        <v>53</v>
      </c>
      <c r="B271" s="0" t="s">
        <v>356</v>
      </c>
      <c r="C271" s="0" t="s">
        <v>510</v>
      </c>
      <c r="D271" s="0">
        <v>6.4000000000000004</v>
      </c>
      <c r="E271" s="0"/>
      <c r="F271" s="0" t="s">
        <v>1978</v>
      </c>
      <c r="G271" s="0"/>
      <c r="H271" s="0" t="s">
        <v>1566</v>
      </c>
      <c r="I271" s="0" t="s">
        <v>1800</v>
      </c>
      <c r="J271" s="0"/>
      <c r="K271" s="0" t="s">
        <v>2116</v>
      </c>
      <c r="L271" s="0" t="s">
        <v>2117</v>
      </c>
    </row>
    <row r="272">
      <c r="A272" s="0" t="s">
        <v>53</v>
      </c>
      <c r="B272" s="0" t="s">
        <v>356</v>
      </c>
      <c r="C272" s="0" t="s">
        <v>508</v>
      </c>
      <c r="D272" s="0">
        <v>8.4000000000000004</v>
      </c>
      <c r="E272" s="0"/>
      <c r="F272" s="0" t="s">
        <v>1979</v>
      </c>
      <c r="G272" s="0"/>
      <c r="H272" s="0" t="s">
        <v>1566</v>
      </c>
      <c r="I272" s="0" t="s">
        <v>1800</v>
      </c>
      <c r="J272" s="0"/>
      <c r="K272" s="0" t="s">
        <v>2116</v>
      </c>
      <c r="L272" s="0" t="s">
        <v>2117</v>
      </c>
    </row>
    <row r="273">
      <c r="A273" s="0" t="s">
        <v>53</v>
      </c>
      <c r="B273" s="0" t="s">
        <v>356</v>
      </c>
      <c r="C273" s="0" t="s">
        <v>512</v>
      </c>
      <c r="D273" s="0">
        <v>2.1299999999999999</v>
      </c>
      <c r="E273" s="0"/>
      <c r="F273" s="0" t="s">
        <v>1980</v>
      </c>
      <c r="G273" s="0"/>
      <c r="H273" s="0" t="s">
        <v>1566</v>
      </c>
      <c r="I273" s="0" t="s">
        <v>1800</v>
      </c>
      <c r="J273" s="0"/>
      <c r="K273" s="0" t="s">
        <v>2116</v>
      </c>
      <c r="L273" s="0" t="s">
        <v>2117</v>
      </c>
    </row>
    <row r="274">
      <c r="A274" s="0" t="s">
        <v>53</v>
      </c>
      <c r="B274" s="0" t="s">
        <v>279</v>
      </c>
      <c r="C274" s="0" t="s">
        <v>513</v>
      </c>
      <c r="D274" s="0">
        <v>132</v>
      </c>
      <c r="E274" s="0"/>
      <c r="F274" s="0" t="s">
        <v>1981</v>
      </c>
      <c r="G274" s="0"/>
      <c r="H274" s="0" t="s">
        <v>1568</v>
      </c>
      <c r="I274" s="0" t="s">
        <v>1742</v>
      </c>
      <c r="J274" s="0"/>
      <c r="K274" s="0" t="s">
        <v>2116</v>
      </c>
      <c r="L274" s="0" t="s">
        <v>2117</v>
      </c>
    </row>
    <row r="275">
      <c r="A275" s="0" t="s">
        <v>53</v>
      </c>
      <c r="B275" s="0" t="s">
        <v>279</v>
      </c>
      <c r="C275" s="0" t="s">
        <v>514</v>
      </c>
      <c r="D275" s="0">
        <v>29.600000000000001</v>
      </c>
      <c r="E275" s="0"/>
      <c r="F275" s="0" t="s">
        <v>818</v>
      </c>
      <c r="G275" s="0"/>
      <c r="H275" s="0" t="s">
        <v>1568</v>
      </c>
      <c r="I275" s="0" t="s">
        <v>1742</v>
      </c>
      <c r="J275" s="0"/>
      <c r="K275" s="0" t="s">
        <v>2116</v>
      </c>
      <c r="L275" s="0" t="s">
        <v>2117</v>
      </c>
    </row>
    <row r="276">
      <c r="A276" s="0" t="s">
        <v>53</v>
      </c>
      <c r="B276" s="0" t="s">
        <v>279</v>
      </c>
      <c r="C276" s="0" t="s">
        <v>507</v>
      </c>
      <c r="D276" s="0">
        <v>21.399999999999999</v>
      </c>
      <c r="E276" s="0"/>
      <c r="F276" s="0" t="s">
        <v>1982</v>
      </c>
      <c r="G276" s="0"/>
      <c r="H276" s="0" t="s">
        <v>1568</v>
      </c>
      <c r="I276" s="0" t="s">
        <v>1742</v>
      </c>
      <c r="J276" s="0"/>
      <c r="K276" s="0" t="s">
        <v>2116</v>
      </c>
      <c r="L276" s="0" t="s">
        <v>2117</v>
      </c>
    </row>
    <row r="277">
      <c r="A277" s="0" t="s">
        <v>53</v>
      </c>
      <c r="B277" s="0" t="s">
        <v>279</v>
      </c>
      <c r="C277" s="0" t="s">
        <v>508</v>
      </c>
      <c r="D277" s="0">
        <v>43.600000000000001</v>
      </c>
      <c r="E277" s="0"/>
      <c r="F277" s="0" t="s">
        <v>1983</v>
      </c>
      <c r="G277" s="0"/>
      <c r="H277" s="0" t="s">
        <v>1568</v>
      </c>
      <c r="I277" s="0" t="s">
        <v>1742</v>
      </c>
      <c r="J277" s="0"/>
      <c r="K277" s="0" t="s">
        <v>2116</v>
      </c>
      <c r="L277" s="0" t="s">
        <v>2117</v>
      </c>
    </row>
    <row r="278">
      <c r="A278" s="0" t="s">
        <v>53</v>
      </c>
      <c r="B278" s="0" t="s">
        <v>306</v>
      </c>
      <c r="C278" s="0" t="s">
        <v>507</v>
      </c>
      <c r="D278" s="0">
        <v>18.699999999999999</v>
      </c>
      <c r="E278" s="0"/>
      <c r="F278" s="0" t="s">
        <v>1984</v>
      </c>
      <c r="G278" s="0"/>
      <c r="H278" s="0"/>
      <c r="I278" s="0" t="s">
        <v>1792</v>
      </c>
      <c r="J278" s="0"/>
      <c r="K278" s="0" t="s">
        <v>2116</v>
      </c>
      <c r="L278" s="0" t="s">
        <v>2117</v>
      </c>
    </row>
    <row r="279">
      <c r="A279" s="0" t="s">
        <v>53</v>
      </c>
      <c r="B279" s="0" t="s">
        <v>306</v>
      </c>
      <c r="C279" s="0" t="s">
        <v>507</v>
      </c>
      <c r="D279" s="0">
        <v>2</v>
      </c>
      <c r="E279" s="0"/>
      <c r="F279" s="0" t="s">
        <v>805</v>
      </c>
      <c r="G279" s="0"/>
      <c r="H279" s="0"/>
      <c r="I279" s="0" t="s">
        <v>1792</v>
      </c>
      <c r="J279" s="0"/>
      <c r="K279" s="0" t="s">
        <v>2116</v>
      </c>
      <c r="L279" s="0" t="s">
        <v>2117</v>
      </c>
    </row>
    <row r="280">
      <c r="A280" s="0" t="s">
        <v>53</v>
      </c>
      <c r="B280" s="0" t="s">
        <v>261</v>
      </c>
      <c r="C280" s="0" t="s">
        <v>506</v>
      </c>
      <c r="D280" s="0">
        <v>0.26000000000000001</v>
      </c>
      <c r="E280" s="0"/>
      <c r="F280" s="0" t="s">
        <v>1042</v>
      </c>
      <c r="G280" s="0"/>
      <c r="H280" s="0" t="s">
        <v>1571</v>
      </c>
      <c r="I280" s="0" t="s">
        <v>1738</v>
      </c>
      <c r="J280" s="0"/>
      <c r="K280" s="0" t="s">
        <v>2116</v>
      </c>
      <c r="L280" s="0" t="s">
        <v>2117</v>
      </c>
    </row>
    <row r="281">
      <c r="A281" s="0" t="s">
        <v>53</v>
      </c>
      <c r="B281" s="0" t="s">
        <v>261</v>
      </c>
      <c r="C281" s="0" t="s">
        <v>507</v>
      </c>
      <c r="D281" s="0">
        <v>0.40000000000000002</v>
      </c>
      <c r="E281" s="0"/>
      <c r="F281" s="0" t="s">
        <v>703</v>
      </c>
      <c r="G281" s="0"/>
      <c r="H281" s="0" t="s">
        <v>1572</v>
      </c>
      <c r="I281" s="0" t="s">
        <v>1738</v>
      </c>
      <c r="J281" s="0"/>
      <c r="K281" s="0" t="s">
        <v>2116</v>
      </c>
      <c r="L281" s="0" t="s">
        <v>2117</v>
      </c>
    </row>
    <row r="282">
      <c r="A282" s="0" t="s">
        <v>53</v>
      </c>
      <c r="B282" s="0" t="s">
        <v>377</v>
      </c>
      <c r="C282" s="0" t="s">
        <v>512</v>
      </c>
      <c r="D282" s="0">
        <v>8</v>
      </c>
      <c r="E282" s="0"/>
      <c r="F282" s="0" t="s">
        <v>1043</v>
      </c>
      <c r="G282" s="0"/>
      <c r="H282" s="0" t="s">
        <v>1573</v>
      </c>
      <c r="I282" s="0" t="s">
        <v>1774</v>
      </c>
      <c r="J282" s="0"/>
      <c r="K282" s="0" t="s">
        <v>2116</v>
      </c>
      <c r="L282" s="0" t="s">
        <v>2117</v>
      </c>
    </row>
    <row r="283">
      <c r="A283" s="0" t="s">
        <v>53</v>
      </c>
      <c r="B283" s="0" t="s">
        <v>377</v>
      </c>
      <c r="C283" s="0" t="s">
        <v>512</v>
      </c>
      <c r="D283" s="0">
        <v>1.3</v>
      </c>
      <c r="E283" s="0"/>
      <c r="F283" s="0" t="s">
        <v>692</v>
      </c>
      <c r="G283" s="0"/>
      <c r="H283" s="0" t="s">
        <v>2083</v>
      </c>
      <c r="I283" s="0" t="s">
        <v>1774</v>
      </c>
      <c r="J283" s="0"/>
      <c r="K283" s="0" t="s">
        <v>2116</v>
      </c>
      <c r="L283" s="0" t="s">
        <v>2117</v>
      </c>
    </row>
    <row r="284">
      <c r="A284" s="0" t="s">
        <v>53</v>
      </c>
      <c r="B284" s="0" t="s">
        <v>377</v>
      </c>
      <c r="C284" s="0" t="s">
        <v>512</v>
      </c>
      <c r="D284" s="0">
        <v>2.7000000000000002</v>
      </c>
      <c r="E284" s="0"/>
      <c r="F284" s="0" t="s">
        <v>636</v>
      </c>
      <c r="G284" s="0"/>
      <c r="H284" s="0" t="s">
        <v>2084</v>
      </c>
      <c r="I284" s="0" t="s">
        <v>1774</v>
      </c>
      <c r="J284" s="0"/>
      <c r="K284" s="0" t="s">
        <v>2116</v>
      </c>
      <c r="L284" s="0" t="s">
        <v>2117</v>
      </c>
    </row>
    <row r="285">
      <c r="A285" s="0" t="s">
        <v>53</v>
      </c>
      <c r="B285" s="0" t="s">
        <v>377</v>
      </c>
      <c r="C285" s="0" t="s">
        <v>512</v>
      </c>
      <c r="D285" s="0">
        <v>1.3999999999999999</v>
      </c>
      <c r="E285" s="0"/>
      <c r="F285" s="0" t="s">
        <v>759</v>
      </c>
      <c r="G285" s="0"/>
      <c r="H285" s="0" t="s">
        <v>2085</v>
      </c>
      <c r="I285" s="0" t="s">
        <v>1774</v>
      </c>
      <c r="J285" s="0"/>
      <c r="K285" s="0" t="s">
        <v>2116</v>
      </c>
      <c r="L285" s="0" t="s">
        <v>2117</v>
      </c>
    </row>
    <row r="286">
      <c r="A286" s="0" t="s">
        <v>53</v>
      </c>
      <c r="B286" s="0" t="s">
        <v>377</v>
      </c>
      <c r="C286" s="0" t="s">
        <v>512</v>
      </c>
      <c r="D286" s="0">
        <v>2.5</v>
      </c>
      <c r="E286" s="0"/>
      <c r="F286" s="0" t="s">
        <v>639</v>
      </c>
      <c r="G286" s="0"/>
      <c r="H286" s="0" t="s">
        <v>2086</v>
      </c>
      <c r="I286" s="0" t="s">
        <v>1774</v>
      </c>
      <c r="J286" s="0"/>
      <c r="K286" s="0" t="s">
        <v>2116</v>
      </c>
      <c r="L286" s="0" t="s">
        <v>2117</v>
      </c>
    </row>
    <row r="287">
      <c r="A287" s="0" t="s">
        <v>53</v>
      </c>
      <c r="B287" s="0" t="s">
        <v>377</v>
      </c>
      <c r="C287" s="0" t="s">
        <v>512</v>
      </c>
      <c r="D287" s="0">
        <v>8.8000000000000007</v>
      </c>
      <c r="E287" s="0"/>
      <c r="F287" s="0" t="s">
        <v>1985</v>
      </c>
      <c r="G287" s="0"/>
      <c r="H287" s="0" t="s">
        <v>2087</v>
      </c>
      <c r="I287" s="0" t="s">
        <v>1774</v>
      </c>
      <c r="J287" s="0"/>
      <c r="K287" s="0" t="s">
        <v>2116</v>
      </c>
      <c r="L287" s="0" t="s">
        <v>2117</v>
      </c>
    </row>
    <row r="288">
      <c r="A288" s="0" t="s">
        <v>53</v>
      </c>
      <c r="B288" s="0" t="s">
        <v>377</v>
      </c>
      <c r="C288" s="0" t="s">
        <v>512</v>
      </c>
      <c r="D288" s="0">
        <v>0.68999999999999995</v>
      </c>
      <c r="E288" s="0"/>
      <c r="F288" s="0" t="s">
        <v>795</v>
      </c>
      <c r="G288" s="0"/>
      <c r="H288" s="0" t="s">
        <v>2088</v>
      </c>
      <c r="I288" s="0" t="s">
        <v>1774</v>
      </c>
      <c r="J288" s="0"/>
      <c r="K288" s="0" t="s">
        <v>2116</v>
      </c>
      <c r="L288" s="0" t="s">
        <v>2117</v>
      </c>
    </row>
    <row r="289">
      <c r="A289" s="0" t="s">
        <v>53</v>
      </c>
      <c r="B289" s="0" t="s">
        <v>377</v>
      </c>
      <c r="C289" s="0" t="s">
        <v>512</v>
      </c>
      <c r="D289" s="0">
        <v>0.78000000000000003</v>
      </c>
      <c r="E289" s="0"/>
      <c r="F289" s="0" t="s">
        <v>1986</v>
      </c>
      <c r="G289" s="0"/>
      <c r="H289" s="0" t="s">
        <v>2089</v>
      </c>
      <c r="I289" s="0" t="s">
        <v>1774</v>
      </c>
      <c r="J289" s="0"/>
      <c r="K289" s="0" t="s">
        <v>2116</v>
      </c>
      <c r="L289" s="0" t="s">
        <v>2117</v>
      </c>
    </row>
    <row r="290">
      <c r="A290" s="0" t="s">
        <v>53</v>
      </c>
      <c r="B290" s="0" t="s">
        <v>377</v>
      </c>
      <c r="C290" s="0" t="s">
        <v>512</v>
      </c>
      <c r="D290" s="0">
        <v>1.8</v>
      </c>
      <c r="E290" s="0"/>
      <c r="F290" s="0" t="s">
        <v>760</v>
      </c>
      <c r="G290" s="0"/>
      <c r="H290" s="0" t="s">
        <v>2090</v>
      </c>
      <c r="I290" s="0" t="s">
        <v>1774</v>
      </c>
      <c r="J290" s="0"/>
      <c r="K290" s="0" t="s">
        <v>2116</v>
      </c>
      <c r="L290" s="0" t="s">
        <v>2117</v>
      </c>
    </row>
    <row r="291">
      <c r="A291" s="0" t="s">
        <v>53</v>
      </c>
      <c r="B291" s="0" t="s">
        <v>377</v>
      </c>
      <c r="C291" s="0" t="s">
        <v>512</v>
      </c>
      <c r="D291" s="0">
        <v>0.70999999999999997</v>
      </c>
      <c r="E291" s="0"/>
      <c r="F291" s="0" t="s">
        <v>1987</v>
      </c>
      <c r="G291" s="0"/>
      <c r="H291" s="0" t="s">
        <v>2091</v>
      </c>
      <c r="I291" s="0" t="s">
        <v>1774</v>
      </c>
      <c r="J291" s="0"/>
      <c r="K291" s="0" t="s">
        <v>2116</v>
      </c>
      <c r="L291" s="0" t="s">
        <v>2117</v>
      </c>
    </row>
    <row r="292">
      <c r="A292" s="0" t="s">
        <v>53</v>
      </c>
      <c r="B292" s="0" t="s">
        <v>377</v>
      </c>
      <c r="C292" s="0" t="s">
        <v>512</v>
      </c>
      <c r="D292" s="0">
        <v>0.57999999999999996</v>
      </c>
      <c r="E292" s="0"/>
      <c r="F292" s="0" t="s">
        <v>796</v>
      </c>
      <c r="G292" s="0"/>
      <c r="H292" s="0" t="s">
        <v>2092</v>
      </c>
      <c r="I292" s="0" t="s">
        <v>1774</v>
      </c>
      <c r="J292" s="0"/>
      <c r="K292" s="0" t="s">
        <v>2116</v>
      </c>
      <c r="L292" s="0" t="s">
        <v>2117</v>
      </c>
    </row>
    <row r="293">
      <c r="A293" s="0" t="s">
        <v>53</v>
      </c>
      <c r="B293" s="0" t="s">
        <v>377</v>
      </c>
      <c r="C293" s="0" t="s">
        <v>512</v>
      </c>
      <c r="D293" s="0">
        <v>0.51000000000000001</v>
      </c>
      <c r="E293" s="0"/>
      <c r="F293" s="0" t="s">
        <v>1988</v>
      </c>
      <c r="G293" s="0"/>
      <c r="H293" s="0" t="s">
        <v>2093</v>
      </c>
      <c r="I293" s="0" t="s">
        <v>1774</v>
      </c>
      <c r="J293" s="0"/>
      <c r="K293" s="0" t="s">
        <v>2116</v>
      </c>
      <c r="L293" s="0" t="s">
        <v>2117</v>
      </c>
    </row>
    <row r="294">
      <c r="A294" s="0" t="s">
        <v>53</v>
      </c>
      <c r="B294" s="0" t="s">
        <v>378</v>
      </c>
      <c r="C294" s="0" t="s">
        <v>515</v>
      </c>
      <c r="D294" s="0">
        <v>241.6</v>
      </c>
      <c r="E294" s="0"/>
      <c r="F294" s="0" t="s">
        <v>1989</v>
      </c>
      <c r="G294" s="0"/>
      <c r="H294" s="0" t="s">
        <v>1598</v>
      </c>
      <c r="I294" s="0" t="s">
        <v>1700</v>
      </c>
      <c r="J294" s="0"/>
      <c r="K294" s="0" t="s">
        <v>2116</v>
      </c>
      <c r="L294" s="0" t="s">
        <v>2117</v>
      </c>
    </row>
    <row r="295">
      <c r="A295" s="0" t="s">
        <v>53</v>
      </c>
      <c r="B295" s="0" t="s">
        <v>378</v>
      </c>
      <c r="C295" s="0" t="s">
        <v>515</v>
      </c>
      <c r="D295" s="0">
        <v>443.80000000000001</v>
      </c>
      <c r="E295" s="0"/>
      <c r="F295" s="0" t="s">
        <v>1990</v>
      </c>
      <c r="G295" s="0"/>
      <c r="H295" s="0" t="s">
        <v>1597</v>
      </c>
      <c r="I295" s="0" t="s">
        <v>1700</v>
      </c>
      <c r="J295" s="0"/>
      <c r="K295" s="0" t="s">
        <v>2116</v>
      </c>
      <c r="L295" s="0" t="s">
        <v>2117</v>
      </c>
    </row>
    <row r="296">
      <c r="A296" s="0" t="s">
        <v>53</v>
      </c>
      <c r="B296" s="0" t="s">
        <v>378</v>
      </c>
      <c r="C296" s="0" t="s">
        <v>508</v>
      </c>
      <c r="D296" s="0">
        <v>334.10000000000002</v>
      </c>
      <c r="E296" s="0"/>
      <c r="F296" s="0" t="s">
        <v>1991</v>
      </c>
      <c r="G296" s="0"/>
      <c r="H296" s="0" t="s">
        <v>1591</v>
      </c>
      <c r="I296" s="0" t="s">
        <v>1700</v>
      </c>
      <c r="J296" s="0"/>
      <c r="K296" s="0" t="s">
        <v>2116</v>
      </c>
      <c r="L296" s="0" t="s">
        <v>2117</v>
      </c>
    </row>
    <row r="297">
      <c r="A297" s="0" t="s">
        <v>53</v>
      </c>
      <c r="B297" s="0" t="s">
        <v>378</v>
      </c>
      <c r="C297" s="0" t="s">
        <v>508</v>
      </c>
      <c r="D297" s="0">
        <v>98.420000000000002</v>
      </c>
      <c r="E297" s="0"/>
      <c r="F297" s="0" t="s">
        <v>1992</v>
      </c>
      <c r="G297" s="0"/>
      <c r="H297" s="0" t="s">
        <v>1586</v>
      </c>
      <c r="I297" s="0" t="s">
        <v>1700</v>
      </c>
      <c r="J297" s="0"/>
      <c r="K297" s="0" t="s">
        <v>2116</v>
      </c>
      <c r="L297" s="0" t="s">
        <v>2117</v>
      </c>
    </row>
    <row r="298">
      <c r="A298" s="0" t="s">
        <v>53</v>
      </c>
      <c r="B298" s="0" t="s">
        <v>378</v>
      </c>
      <c r="C298" s="0" t="s">
        <v>508</v>
      </c>
      <c r="D298" s="0">
        <v>62.630000000000003</v>
      </c>
      <c r="E298" s="0"/>
      <c r="F298" s="0" t="s">
        <v>1993</v>
      </c>
      <c r="G298" s="0"/>
      <c r="H298" s="0" t="s">
        <v>1585</v>
      </c>
      <c r="I298" s="0" t="s">
        <v>1700</v>
      </c>
      <c r="J298" s="0"/>
      <c r="K298" s="0" t="s">
        <v>2116</v>
      </c>
      <c r="L298" s="0" t="s">
        <v>2117</v>
      </c>
    </row>
    <row r="299">
      <c r="A299" s="0" t="s">
        <v>53</v>
      </c>
      <c r="B299" s="0" t="s">
        <v>378</v>
      </c>
      <c r="C299" s="0" t="s">
        <v>508</v>
      </c>
      <c r="D299" s="0">
        <v>95.790000000000006</v>
      </c>
      <c r="E299" s="0"/>
      <c r="F299" s="0" t="s">
        <v>1994</v>
      </c>
      <c r="G299" s="0"/>
      <c r="H299" s="0" t="s">
        <v>1588</v>
      </c>
      <c r="I299" s="0" t="s">
        <v>1700</v>
      </c>
      <c r="J299" s="0"/>
      <c r="K299" s="0" t="s">
        <v>2116</v>
      </c>
      <c r="L299" s="0" t="s">
        <v>2117</v>
      </c>
    </row>
    <row r="300">
      <c r="A300" s="0" t="s">
        <v>53</v>
      </c>
      <c r="B300" s="0" t="s">
        <v>378</v>
      </c>
      <c r="C300" s="0" t="s">
        <v>508</v>
      </c>
      <c r="D300" s="0">
        <v>308.89999999999998</v>
      </c>
      <c r="E300" s="0"/>
      <c r="F300" s="0" t="s">
        <v>1995</v>
      </c>
      <c r="G300" s="0"/>
      <c r="H300" s="0" t="s">
        <v>1594</v>
      </c>
      <c r="I300" s="0" t="s">
        <v>1700</v>
      </c>
      <c r="J300" s="0"/>
      <c r="K300" s="0" t="s">
        <v>2116</v>
      </c>
      <c r="L300" s="0" t="s">
        <v>2117</v>
      </c>
    </row>
    <row r="301">
      <c r="A301" s="0" t="s">
        <v>53</v>
      </c>
      <c r="B301" s="0" t="s">
        <v>378</v>
      </c>
      <c r="C301" s="0" t="s">
        <v>508</v>
      </c>
      <c r="D301" s="0">
        <v>280.30000000000001</v>
      </c>
      <c r="E301" s="0"/>
      <c r="F301" s="0" t="s">
        <v>1996</v>
      </c>
      <c r="G301" s="0"/>
      <c r="H301" s="0" t="s">
        <v>2094</v>
      </c>
      <c r="I301" s="0" t="s">
        <v>1700</v>
      </c>
      <c r="J301" s="0"/>
      <c r="K301" s="0" t="s">
        <v>2116</v>
      </c>
      <c r="L301" s="0" t="s">
        <v>2117</v>
      </c>
    </row>
    <row r="302">
      <c r="A302" s="0" t="s">
        <v>53</v>
      </c>
      <c r="B302" s="0" t="s">
        <v>378</v>
      </c>
      <c r="C302" s="0" t="s">
        <v>515</v>
      </c>
      <c r="D302" s="0">
        <v>145.1</v>
      </c>
      <c r="E302" s="0"/>
      <c r="F302" s="0" t="s">
        <v>1997</v>
      </c>
      <c r="G302" s="0"/>
      <c r="H302" s="0" t="s">
        <v>2095</v>
      </c>
      <c r="I302" s="0" t="s">
        <v>1700</v>
      </c>
      <c r="J302" s="0"/>
      <c r="K302" s="0" t="s">
        <v>2116</v>
      </c>
      <c r="L302" s="0" t="s">
        <v>2117</v>
      </c>
    </row>
    <row r="303">
      <c r="A303" s="0" t="s">
        <v>53</v>
      </c>
      <c r="B303" s="0" t="s">
        <v>378</v>
      </c>
      <c r="C303" s="0" t="s">
        <v>515</v>
      </c>
      <c r="D303" s="0">
        <v>84.620000000000005</v>
      </c>
      <c r="E303" s="0"/>
      <c r="F303" s="0" t="s">
        <v>1998</v>
      </c>
      <c r="G303" s="0"/>
      <c r="H303" s="0" t="s">
        <v>2096</v>
      </c>
      <c r="I303" s="0" t="s">
        <v>1700</v>
      </c>
      <c r="J303" s="0"/>
      <c r="K303" s="0" t="s">
        <v>2116</v>
      </c>
      <c r="L303" s="0" t="s">
        <v>2117</v>
      </c>
    </row>
    <row r="304">
      <c r="A304" s="0" t="s">
        <v>53</v>
      </c>
      <c r="B304" s="0" t="s">
        <v>378</v>
      </c>
      <c r="C304" s="0" t="s">
        <v>515</v>
      </c>
      <c r="D304" s="0">
        <v>416.19999999999999</v>
      </c>
      <c r="E304" s="0"/>
      <c r="F304" s="0" t="s">
        <v>1999</v>
      </c>
      <c r="G304" s="0"/>
      <c r="H304" s="0" t="s">
        <v>1599</v>
      </c>
      <c r="I304" s="0" t="s">
        <v>1700</v>
      </c>
      <c r="J304" s="0"/>
      <c r="K304" s="0" t="s">
        <v>2116</v>
      </c>
      <c r="L304" s="0" t="s">
        <v>2117</v>
      </c>
    </row>
    <row r="305">
      <c r="A305" s="0" t="s">
        <v>53</v>
      </c>
      <c r="B305" s="0" t="s">
        <v>378</v>
      </c>
      <c r="C305" s="0" t="s">
        <v>515</v>
      </c>
      <c r="D305" s="0">
        <v>253.90000000000001</v>
      </c>
      <c r="E305" s="0"/>
      <c r="F305" s="0" t="s">
        <v>2000</v>
      </c>
      <c r="G305" s="0"/>
      <c r="H305" s="0" t="s">
        <v>1589</v>
      </c>
      <c r="I305" s="0" t="s">
        <v>1700</v>
      </c>
      <c r="J305" s="0"/>
      <c r="K305" s="0" t="s">
        <v>2116</v>
      </c>
      <c r="L305" s="0" t="s">
        <v>2117</v>
      </c>
    </row>
    <row r="306">
      <c r="A306" s="0" t="s">
        <v>53</v>
      </c>
      <c r="B306" s="0" t="s">
        <v>378</v>
      </c>
      <c r="C306" s="0" t="s">
        <v>517</v>
      </c>
      <c r="D306" s="0">
        <v>224.30000000000001</v>
      </c>
      <c r="E306" s="0"/>
      <c r="F306" s="0" t="s">
        <v>2001</v>
      </c>
      <c r="G306" s="0"/>
      <c r="H306" s="0" t="s">
        <v>1593</v>
      </c>
      <c r="I306" s="0" t="s">
        <v>1700</v>
      </c>
      <c r="J306" s="0"/>
      <c r="K306" s="0" t="s">
        <v>2116</v>
      </c>
      <c r="L306" s="0" t="s">
        <v>2117</v>
      </c>
    </row>
    <row r="307">
      <c r="A307" s="0" t="s">
        <v>53</v>
      </c>
      <c r="B307" s="0" t="s">
        <v>378</v>
      </c>
      <c r="C307" s="0" t="s">
        <v>517</v>
      </c>
      <c r="D307" s="0">
        <v>48.439999999999998</v>
      </c>
      <c r="E307" s="0"/>
      <c r="F307" s="0" t="s">
        <v>2002</v>
      </c>
      <c r="G307" s="0"/>
      <c r="H307" s="0" t="s">
        <v>2097</v>
      </c>
      <c r="I307" s="0" t="s">
        <v>1700</v>
      </c>
      <c r="J307" s="0"/>
      <c r="K307" s="0" t="s">
        <v>2116</v>
      </c>
      <c r="L307" s="0" t="s">
        <v>2117</v>
      </c>
    </row>
    <row r="308">
      <c r="A308" s="0" t="s">
        <v>53</v>
      </c>
      <c r="B308" s="0" t="s">
        <v>378</v>
      </c>
      <c r="C308" s="0" t="s">
        <v>517</v>
      </c>
      <c r="D308" s="0">
        <v>441.19999999999999</v>
      </c>
      <c r="E308" s="0"/>
      <c r="F308" s="0" t="s">
        <v>2003</v>
      </c>
      <c r="G308" s="0"/>
      <c r="H308" s="0" t="s">
        <v>2098</v>
      </c>
      <c r="I308" s="0" t="s">
        <v>1700</v>
      </c>
      <c r="J308" s="0"/>
      <c r="K308" s="0" t="s">
        <v>2116</v>
      </c>
      <c r="L308" s="0" t="s">
        <v>2117</v>
      </c>
    </row>
    <row r="309">
      <c r="A309" s="0" t="s">
        <v>53</v>
      </c>
      <c r="B309" s="0" t="s">
        <v>378</v>
      </c>
      <c r="C309" s="0" t="s">
        <v>517</v>
      </c>
      <c r="D309" s="0">
        <v>80.030000000000001</v>
      </c>
      <c r="E309" s="0"/>
      <c r="F309" s="0" t="s">
        <v>2004</v>
      </c>
      <c r="G309" s="0"/>
      <c r="H309" s="0" t="s">
        <v>1596</v>
      </c>
      <c r="I309" s="0" t="s">
        <v>1700</v>
      </c>
      <c r="J309" s="0"/>
      <c r="K309" s="0" t="s">
        <v>2116</v>
      </c>
      <c r="L309" s="0" t="s">
        <v>2117</v>
      </c>
    </row>
    <row r="310">
      <c r="A310" s="0" t="s">
        <v>53</v>
      </c>
      <c r="B310" s="0" t="s">
        <v>378</v>
      </c>
      <c r="C310" s="0" t="s">
        <v>517</v>
      </c>
      <c r="D310" s="0">
        <v>372.80000000000001</v>
      </c>
      <c r="E310" s="0"/>
      <c r="F310" s="0" t="s">
        <v>2005</v>
      </c>
      <c r="G310" s="0"/>
      <c r="H310" s="0" t="s">
        <v>1601</v>
      </c>
      <c r="I310" s="0" t="s">
        <v>1700</v>
      </c>
      <c r="J310" s="0"/>
      <c r="K310" s="0" t="s">
        <v>2116</v>
      </c>
      <c r="L310" s="0" t="s">
        <v>2117</v>
      </c>
    </row>
    <row r="311">
      <c r="A311" s="0" t="s">
        <v>53</v>
      </c>
      <c r="B311" s="0" t="s">
        <v>378</v>
      </c>
      <c r="C311" s="0" t="s">
        <v>517</v>
      </c>
      <c r="D311" s="0">
        <v>299.19999999999999</v>
      </c>
      <c r="E311" s="0"/>
      <c r="F311" s="0" t="s">
        <v>2006</v>
      </c>
      <c r="G311" s="0"/>
      <c r="H311" s="0" t="s">
        <v>2099</v>
      </c>
      <c r="I311" s="0" t="s">
        <v>1700</v>
      </c>
      <c r="J311" s="0"/>
      <c r="K311" s="0" t="s">
        <v>2116</v>
      </c>
      <c r="L311" s="0" t="s">
        <v>2117</v>
      </c>
    </row>
    <row r="312">
      <c r="A312" s="0" t="s">
        <v>53</v>
      </c>
      <c r="B312" s="0" t="s">
        <v>147</v>
      </c>
      <c r="C312" s="0" t="s">
        <v>527</v>
      </c>
      <c r="D312" s="0">
        <v>3.7999999999999998</v>
      </c>
      <c r="E312" s="0"/>
      <c r="F312" s="0" t="s">
        <v>833</v>
      </c>
      <c r="G312" s="0"/>
      <c r="H312" s="0" t="s">
        <v>1608</v>
      </c>
      <c r="I312" s="0" t="s">
        <v>1791</v>
      </c>
      <c r="J312" s="0"/>
      <c r="K312" s="0" t="s">
        <v>2116</v>
      </c>
      <c r="L312" s="0" t="s">
        <v>2117</v>
      </c>
    </row>
    <row r="313">
      <c r="A313" s="0" t="s">
        <v>53</v>
      </c>
      <c r="B313" s="0" t="s">
        <v>147</v>
      </c>
      <c r="C313" s="0" t="s">
        <v>534</v>
      </c>
      <c r="D313" s="0">
        <v>0.29999999999999999</v>
      </c>
      <c r="E313" s="0"/>
      <c r="F313" s="0" t="s">
        <v>589</v>
      </c>
      <c r="G313" s="0"/>
      <c r="H313" s="0" t="s">
        <v>1610</v>
      </c>
      <c r="I313" s="0" t="s">
        <v>1791</v>
      </c>
      <c r="J313" s="0"/>
      <c r="K313" s="0" t="s">
        <v>2116</v>
      </c>
      <c r="L313" s="0" t="s">
        <v>2117</v>
      </c>
    </row>
    <row r="314">
      <c r="A314" s="0" t="s">
        <v>53</v>
      </c>
      <c r="B314" s="0" t="s">
        <v>147</v>
      </c>
      <c r="C314" s="0" t="s">
        <v>536</v>
      </c>
      <c r="D314" s="0">
        <v>0.80000000000000004</v>
      </c>
      <c r="E314" s="0"/>
      <c r="F314" s="0" t="s">
        <v>774</v>
      </c>
      <c r="G314" s="0"/>
      <c r="H314" s="0" t="s">
        <v>1612</v>
      </c>
      <c r="I314" s="0" t="s">
        <v>1791</v>
      </c>
      <c r="J314" s="0"/>
      <c r="K314" s="0" t="s">
        <v>2116</v>
      </c>
      <c r="L314" s="0" t="s">
        <v>2117</v>
      </c>
    </row>
    <row r="315">
      <c r="A315" s="0" t="s">
        <v>53</v>
      </c>
      <c r="B315" s="0" t="s">
        <v>147</v>
      </c>
      <c r="C315" s="0" t="s">
        <v>519</v>
      </c>
      <c r="D315" s="0">
        <v>1.5</v>
      </c>
      <c r="E315" s="0"/>
      <c r="F315" s="0" t="s">
        <v>570</v>
      </c>
      <c r="G315" s="0"/>
      <c r="H315" s="0"/>
      <c r="I315" s="0" t="s">
        <v>1791</v>
      </c>
      <c r="J315" s="0"/>
      <c r="K315" s="0" t="s">
        <v>2116</v>
      </c>
      <c r="L315" s="0" t="s">
        <v>2117</v>
      </c>
    </row>
    <row r="316">
      <c r="A316" s="0" t="s">
        <v>53</v>
      </c>
      <c r="B316" s="0" t="s">
        <v>147</v>
      </c>
      <c r="C316" s="0" t="s">
        <v>535</v>
      </c>
      <c r="D316" s="0">
        <v>1.5</v>
      </c>
      <c r="E316" s="0"/>
      <c r="F316" s="0" t="s">
        <v>570</v>
      </c>
      <c r="G316" s="0"/>
      <c r="H316" s="0" t="s">
        <v>1611</v>
      </c>
      <c r="I316" s="0" t="s">
        <v>1791</v>
      </c>
      <c r="J316" s="0"/>
      <c r="K316" s="0" t="s">
        <v>2116</v>
      </c>
      <c r="L316" s="0" t="s">
        <v>2117</v>
      </c>
    </row>
    <row r="317">
      <c r="A317" s="0" t="s">
        <v>53</v>
      </c>
      <c r="B317" s="0" t="s">
        <v>147</v>
      </c>
      <c r="C317" s="0" t="s">
        <v>532</v>
      </c>
      <c r="D317" s="0">
        <v>2.2999999999999998</v>
      </c>
      <c r="E317" s="0"/>
      <c r="F317" s="0" t="s">
        <v>721</v>
      </c>
      <c r="G317" s="0"/>
      <c r="H317" s="0"/>
      <c r="I317" s="0" t="s">
        <v>1791</v>
      </c>
      <c r="J317" s="0"/>
      <c r="K317" s="0" t="s">
        <v>2116</v>
      </c>
      <c r="L317" s="0" t="s">
        <v>2117</v>
      </c>
    </row>
    <row r="318">
      <c r="A318" s="0" t="s">
        <v>53</v>
      </c>
      <c r="B318" s="0" t="s">
        <v>147</v>
      </c>
      <c r="C318" s="0" t="s">
        <v>545</v>
      </c>
      <c r="D318" s="0">
        <v>5.5</v>
      </c>
      <c r="E318" s="0"/>
      <c r="F318" s="0" t="s">
        <v>674</v>
      </c>
      <c r="G318" s="0"/>
      <c r="H318" s="0" t="s">
        <v>1615</v>
      </c>
      <c r="I318" s="0" t="s">
        <v>1791</v>
      </c>
      <c r="J318" s="0"/>
      <c r="K318" s="0" t="s">
        <v>2116</v>
      </c>
      <c r="L318" s="0" t="s">
        <v>2117</v>
      </c>
    </row>
    <row r="319">
      <c r="A319" s="0" t="s">
        <v>53</v>
      </c>
      <c r="B319" s="0" t="s">
        <v>147</v>
      </c>
      <c r="C319" s="0" t="s">
        <v>521</v>
      </c>
      <c r="D319" s="0">
        <v>1.3999999999999999</v>
      </c>
      <c r="E319" s="0"/>
      <c r="F319" s="0" t="s">
        <v>759</v>
      </c>
      <c r="G319" s="0"/>
      <c r="H319" s="0" t="s">
        <v>1604</v>
      </c>
      <c r="I319" s="0" t="s">
        <v>1791</v>
      </c>
      <c r="J319" s="0"/>
      <c r="K319" s="0" t="s">
        <v>2116</v>
      </c>
      <c r="L319" s="0" t="s">
        <v>2117</v>
      </c>
    </row>
    <row r="320">
      <c r="A320" s="0" t="s">
        <v>53</v>
      </c>
      <c r="B320" s="0" t="s">
        <v>147</v>
      </c>
      <c r="C320" s="0" t="s">
        <v>530</v>
      </c>
      <c r="D320" s="0">
        <v>2.8999999999999999</v>
      </c>
      <c r="E320" s="0"/>
      <c r="F320" s="0" t="s">
        <v>701</v>
      </c>
      <c r="G320" s="0"/>
      <c r="H320" s="0"/>
      <c r="I320" s="0" t="s">
        <v>1791</v>
      </c>
      <c r="J320" s="0"/>
      <c r="K320" s="0" t="s">
        <v>2116</v>
      </c>
      <c r="L320" s="0" t="s">
        <v>2117</v>
      </c>
    </row>
    <row r="321">
      <c r="A321" s="0" t="s">
        <v>53</v>
      </c>
      <c r="B321" s="0" t="s">
        <v>147</v>
      </c>
      <c r="C321" s="0" t="s">
        <v>544</v>
      </c>
      <c r="D321" s="0">
        <v>0.040000000000000001</v>
      </c>
      <c r="E321" s="0"/>
      <c r="F321" s="0" t="s">
        <v>581</v>
      </c>
      <c r="G321" s="0"/>
      <c r="H321" s="0"/>
      <c r="I321" s="0" t="s">
        <v>1791</v>
      </c>
      <c r="J321" s="0"/>
      <c r="K321" s="0" t="s">
        <v>2116</v>
      </c>
      <c r="L321" s="0" t="s">
        <v>2117</v>
      </c>
    </row>
    <row r="322">
      <c r="A322" s="0" t="s">
        <v>53</v>
      </c>
      <c r="B322" s="0" t="s">
        <v>147</v>
      </c>
      <c r="C322" s="0" t="s">
        <v>533</v>
      </c>
      <c r="D322" s="0">
        <v>2.5</v>
      </c>
      <c r="E322" s="0"/>
      <c r="F322" s="0" t="s">
        <v>639</v>
      </c>
      <c r="G322" s="0"/>
      <c r="H322" s="0" t="s">
        <v>1609</v>
      </c>
      <c r="I322" s="0" t="s">
        <v>1791</v>
      </c>
      <c r="J322" s="0"/>
      <c r="K322" s="0" t="s">
        <v>2116</v>
      </c>
      <c r="L322" s="0" t="s">
        <v>2117</v>
      </c>
    </row>
    <row r="323">
      <c r="A323" s="0" t="s">
        <v>53</v>
      </c>
      <c r="B323" s="0" t="s">
        <v>147</v>
      </c>
      <c r="C323" s="0" t="s">
        <v>539</v>
      </c>
      <c r="D323" s="0">
        <v>4.7999999999999998</v>
      </c>
      <c r="E323" s="0"/>
      <c r="F323" s="0" t="s">
        <v>823</v>
      </c>
      <c r="G323" s="0"/>
      <c r="H323" s="0"/>
      <c r="I323" s="0" t="s">
        <v>1791</v>
      </c>
      <c r="J323" s="0"/>
      <c r="K323" s="0" t="s">
        <v>2116</v>
      </c>
      <c r="L323" s="0" t="s">
        <v>2117</v>
      </c>
    </row>
    <row r="324">
      <c r="A324" s="0" t="s">
        <v>53</v>
      </c>
      <c r="B324" s="0" t="s">
        <v>147</v>
      </c>
      <c r="C324" s="0" t="s">
        <v>547</v>
      </c>
      <c r="D324" s="0">
        <v>1.01</v>
      </c>
      <c r="E324" s="0"/>
      <c r="F324" s="0" t="s">
        <v>2007</v>
      </c>
      <c r="G324" s="0"/>
      <c r="H324" s="0"/>
      <c r="I324" s="0" t="s">
        <v>1791</v>
      </c>
      <c r="J324" s="0"/>
      <c r="K324" s="0" t="s">
        <v>2116</v>
      </c>
      <c r="L324" s="0" t="s">
        <v>2117</v>
      </c>
    </row>
    <row r="325">
      <c r="A325" s="0" t="s">
        <v>53</v>
      </c>
      <c r="B325" s="0" t="s">
        <v>147</v>
      </c>
      <c r="C325" s="0" t="s">
        <v>526</v>
      </c>
      <c r="D325" s="0">
        <v>1.46</v>
      </c>
      <c r="E325" s="0"/>
      <c r="F325" s="0" t="s">
        <v>2008</v>
      </c>
      <c r="G325" s="0"/>
      <c r="H325" s="0"/>
      <c r="I325" s="0" t="s">
        <v>1791</v>
      </c>
      <c r="J325" s="0"/>
      <c r="K325" s="0" t="s">
        <v>2116</v>
      </c>
      <c r="L325" s="0" t="s">
        <v>2117</v>
      </c>
    </row>
    <row r="326">
      <c r="A326" s="0" t="s">
        <v>53</v>
      </c>
      <c r="B326" s="0" t="s">
        <v>147</v>
      </c>
      <c r="C326" s="0" t="s">
        <v>531</v>
      </c>
      <c r="D326" s="0">
        <v>0.28000000000000003</v>
      </c>
      <c r="E326" s="0"/>
      <c r="F326" s="0" t="s">
        <v>2009</v>
      </c>
      <c r="G326" s="0"/>
      <c r="H326" s="0"/>
      <c r="I326" s="0" t="s">
        <v>1791</v>
      </c>
      <c r="J326" s="0"/>
      <c r="K326" s="0" t="s">
        <v>2116</v>
      </c>
      <c r="L326" s="0" t="s">
        <v>2117</v>
      </c>
    </row>
    <row r="327">
      <c r="A327" s="0" t="s">
        <v>53</v>
      </c>
      <c r="B327" s="0" t="s">
        <v>147</v>
      </c>
      <c r="C327" s="0" t="s">
        <v>529</v>
      </c>
      <c r="D327" s="0">
        <v>4.5999999999999996</v>
      </c>
      <c r="E327" s="0"/>
      <c r="F327" s="0" t="s">
        <v>2010</v>
      </c>
      <c r="G327" s="0"/>
      <c r="H327" s="0"/>
      <c r="I327" s="0" t="s">
        <v>1791</v>
      </c>
      <c r="J327" s="0"/>
      <c r="K327" s="0" t="s">
        <v>2116</v>
      </c>
      <c r="L327" s="0" t="s">
        <v>2117</v>
      </c>
    </row>
    <row r="328">
      <c r="A328" s="0" t="s">
        <v>53</v>
      </c>
      <c r="B328" s="0" t="s">
        <v>147</v>
      </c>
      <c r="C328" s="0" t="s">
        <v>523</v>
      </c>
      <c r="D328" s="0">
        <v>2.3999999999999999</v>
      </c>
      <c r="E328" s="0"/>
      <c r="F328" s="0" t="s">
        <v>716</v>
      </c>
      <c r="G328" s="0"/>
      <c r="H328" s="0" t="s">
        <v>1605</v>
      </c>
      <c r="I328" s="0" t="s">
        <v>1791</v>
      </c>
      <c r="J328" s="0"/>
      <c r="K328" s="0" t="s">
        <v>2116</v>
      </c>
      <c r="L328" s="0" t="s">
        <v>2117</v>
      </c>
    </row>
    <row r="329">
      <c r="A329" s="0" t="s">
        <v>53</v>
      </c>
      <c r="B329" s="0" t="s">
        <v>147</v>
      </c>
      <c r="C329" s="0" t="s">
        <v>543</v>
      </c>
      <c r="D329" s="0">
        <v>0.0040000000000000001</v>
      </c>
      <c r="E329" s="0"/>
      <c r="F329" s="0" t="s">
        <v>1037</v>
      </c>
      <c r="G329" s="0"/>
      <c r="H329" s="0"/>
      <c r="I329" s="0" t="s">
        <v>1791</v>
      </c>
      <c r="J329" s="0"/>
      <c r="K329" s="0" t="s">
        <v>2116</v>
      </c>
      <c r="L329" s="0" t="s">
        <v>2117</v>
      </c>
    </row>
    <row r="330">
      <c r="A330" s="0" t="s">
        <v>53</v>
      </c>
      <c r="B330" s="0" t="s">
        <v>147</v>
      </c>
      <c r="C330" s="0" t="s">
        <v>525</v>
      </c>
      <c r="D330" s="0">
        <v>4.2000000000000002</v>
      </c>
      <c r="E330" s="0"/>
      <c r="F330" s="0" t="s">
        <v>806</v>
      </c>
      <c r="G330" s="0"/>
      <c r="H330" s="0"/>
      <c r="I330" s="0" t="s">
        <v>1791</v>
      </c>
      <c r="J330" s="0"/>
      <c r="K330" s="0" t="s">
        <v>2116</v>
      </c>
      <c r="L330" s="0" t="s">
        <v>2117</v>
      </c>
    </row>
    <row r="331">
      <c r="A331" s="0" t="s">
        <v>53</v>
      </c>
      <c r="B331" s="0" t="s">
        <v>147</v>
      </c>
      <c r="C331" s="0" t="s">
        <v>520</v>
      </c>
      <c r="D331" s="0">
        <v>5.9000000000000004</v>
      </c>
      <c r="E331" s="0"/>
      <c r="F331" s="0" t="s">
        <v>835</v>
      </c>
      <c r="G331" s="0"/>
      <c r="H331" s="0"/>
      <c r="I331" s="0" t="s">
        <v>1791</v>
      </c>
      <c r="J331" s="0"/>
      <c r="K331" s="0" t="s">
        <v>2116</v>
      </c>
      <c r="L331" s="0" t="s">
        <v>2117</v>
      </c>
    </row>
    <row r="332">
      <c r="A332" s="0" t="s">
        <v>53</v>
      </c>
      <c r="B332" s="0" t="s">
        <v>147</v>
      </c>
      <c r="C332" s="0" t="s">
        <v>518</v>
      </c>
      <c r="D332" s="0">
        <v>0.67000000000000004</v>
      </c>
      <c r="E332" s="0"/>
      <c r="F332" s="0" t="s">
        <v>739</v>
      </c>
      <c r="G332" s="0"/>
      <c r="H332" s="0"/>
      <c r="I332" s="0" t="s">
        <v>1791</v>
      </c>
      <c r="J332" s="0"/>
      <c r="K332" s="0" t="s">
        <v>2116</v>
      </c>
      <c r="L332" s="0" t="s">
        <v>2117</v>
      </c>
    </row>
    <row r="333">
      <c r="A333" s="0" t="s">
        <v>53</v>
      </c>
      <c r="B333" s="0" t="s">
        <v>147</v>
      </c>
      <c r="C333" s="0" t="s">
        <v>537</v>
      </c>
      <c r="D333" s="0">
        <v>0.84999999999999998</v>
      </c>
      <c r="E333" s="0"/>
      <c r="F333" s="0" t="s">
        <v>2011</v>
      </c>
      <c r="G333" s="0"/>
      <c r="H333" s="0"/>
      <c r="I333" s="0" t="s">
        <v>1791</v>
      </c>
      <c r="J333" s="0"/>
      <c r="K333" s="0" t="s">
        <v>2116</v>
      </c>
      <c r="L333" s="0" t="s">
        <v>2117</v>
      </c>
    </row>
    <row r="334">
      <c r="A334" s="0" t="s">
        <v>53</v>
      </c>
      <c r="B334" s="0" t="s">
        <v>147</v>
      </c>
      <c r="C334" s="0" t="s">
        <v>1815</v>
      </c>
      <c r="D334" s="0">
        <v>0.00040000000000000002</v>
      </c>
      <c r="E334" s="0"/>
      <c r="F334" s="0" t="s">
        <v>1125</v>
      </c>
      <c r="G334" s="0"/>
      <c r="H334" s="0"/>
      <c r="I334" s="0" t="s">
        <v>1791</v>
      </c>
      <c r="J334" s="0"/>
      <c r="K334" s="0" t="s">
        <v>2116</v>
      </c>
      <c r="L334" s="0" t="s">
        <v>2117</v>
      </c>
    </row>
    <row r="335">
      <c r="A335" s="0" t="s">
        <v>53</v>
      </c>
      <c r="B335" s="0" t="s">
        <v>147</v>
      </c>
      <c r="C335" s="0" t="s">
        <v>546</v>
      </c>
      <c r="D335" s="0">
        <v>0.23000000000000001</v>
      </c>
      <c r="E335" s="0"/>
      <c r="F335" s="0" t="s">
        <v>695</v>
      </c>
      <c r="G335" s="0"/>
      <c r="H335" s="0"/>
      <c r="I335" s="0" t="s">
        <v>1791</v>
      </c>
      <c r="J335" s="0"/>
      <c r="K335" s="0" t="s">
        <v>2116</v>
      </c>
      <c r="L335" s="0" t="s">
        <v>2117</v>
      </c>
    </row>
    <row r="336">
      <c r="A336" s="0" t="s">
        <v>53</v>
      </c>
      <c r="B336" s="0" t="s">
        <v>147</v>
      </c>
      <c r="C336" s="0" t="s">
        <v>540</v>
      </c>
      <c r="D336" s="0">
        <v>1.5700000000000001</v>
      </c>
      <c r="E336" s="0"/>
      <c r="F336" s="0" t="s">
        <v>2012</v>
      </c>
      <c r="G336" s="0"/>
      <c r="H336" s="0"/>
      <c r="I336" s="0" t="s">
        <v>1791</v>
      </c>
      <c r="J336" s="0"/>
      <c r="K336" s="0" t="s">
        <v>2116</v>
      </c>
      <c r="L336" s="0" t="s">
        <v>2117</v>
      </c>
    </row>
    <row r="337">
      <c r="A337" s="0" t="s">
        <v>53</v>
      </c>
      <c r="B337" s="0" t="s">
        <v>147</v>
      </c>
      <c r="C337" s="0" t="s">
        <v>524</v>
      </c>
      <c r="D337" s="0">
        <v>2.1400000000000001</v>
      </c>
      <c r="E337" s="0"/>
      <c r="F337" s="0" t="s">
        <v>2013</v>
      </c>
      <c r="G337" s="0"/>
      <c r="H337" s="0" t="s">
        <v>1607</v>
      </c>
      <c r="I337" s="0" t="s">
        <v>1791</v>
      </c>
      <c r="J337" s="0"/>
      <c r="K337" s="0" t="s">
        <v>2116</v>
      </c>
      <c r="L337" s="0" t="s">
        <v>2117</v>
      </c>
    </row>
    <row r="338">
      <c r="A338" s="0" t="s">
        <v>53</v>
      </c>
      <c r="B338" s="0" t="s">
        <v>147</v>
      </c>
      <c r="C338" s="0" t="s">
        <v>538</v>
      </c>
      <c r="D338" s="0">
        <v>3.44</v>
      </c>
      <c r="E338" s="0"/>
      <c r="F338" s="0" t="s">
        <v>2014</v>
      </c>
      <c r="G338" s="0"/>
      <c r="H338" s="0" t="s">
        <v>1613</v>
      </c>
      <c r="I338" s="0" t="s">
        <v>1791</v>
      </c>
      <c r="J338" s="0"/>
      <c r="K338" s="0" t="s">
        <v>2116</v>
      </c>
      <c r="L338" s="0" t="s">
        <v>2117</v>
      </c>
    </row>
    <row r="339">
      <c r="A339" s="0" t="s">
        <v>53</v>
      </c>
      <c r="B339" s="0" t="s">
        <v>147</v>
      </c>
      <c r="C339" s="0" t="s">
        <v>542</v>
      </c>
      <c r="D339" s="0">
        <v>3.1600000000000001</v>
      </c>
      <c r="E339" s="0"/>
      <c r="F339" s="0" t="s">
        <v>2015</v>
      </c>
      <c r="G339" s="0"/>
      <c r="H339" s="0"/>
      <c r="I339" s="0" t="s">
        <v>1791</v>
      </c>
      <c r="J339" s="0"/>
      <c r="K339" s="0" t="s">
        <v>2116</v>
      </c>
      <c r="L339" s="0" t="s">
        <v>2117</v>
      </c>
    </row>
    <row r="340">
      <c r="A340" s="0" t="s">
        <v>53</v>
      </c>
      <c r="B340" s="0" t="s">
        <v>147</v>
      </c>
      <c r="C340" s="0" t="s">
        <v>541</v>
      </c>
      <c r="D340" s="0">
        <v>2.4900000000000002</v>
      </c>
      <c r="E340" s="0"/>
      <c r="F340" s="0" t="s">
        <v>2016</v>
      </c>
      <c r="G340" s="0"/>
      <c r="H340" s="0" t="s">
        <v>1614</v>
      </c>
      <c r="I340" s="0" t="s">
        <v>1791</v>
      </c>
      <c r="J340" s="0"/>
      <c r="K340" s="0" t="s">
        <v>2116</v>
      </c>
      <c r="L340" s="0" t="s">
        <v>2117</v>
      </c>
    </row>
    <row r="341">
      <c r="A341" s="0" t="s">
        <v>53</v>
      </c>
      <c r="B341" s="0" t="s">
        <v>379</v>
      </c>
      <c r="C341" s="0" t="s">
        <v>508</v>
      </c>
      <c r="D341" s="0">
        <v>22.800000000000001</v>
      </c>
      <c r="E341" s="0"/>
      <c r="F341" s="0" t="s">
        <v>2017</v>
      </c>
      <c r="G341" s="0"/>
      <c r="H341" s="0"/>
      <c r="I341" s="0" t="s">
        <v>1795</v>
      </c>
      <c r="J341" s="0"/>
      <c r="K341" s="0" t="s">
        <v>2116</v>
      </c>
      <c r="L341" s="0" t="s">
        <v>2117</v>
      </c>
    </row>
    <row r="342">
      <c r="A342" s="0" t="s">
        <v>53</v>
      </c>
      <c r="B342" s="0" t="s">
        <v>379</v>
      </c>
      <c r="C342" s="0" t="s">
        <v>507</v>
      </c>
      <c r="D342" s="0">
        <v>24.5</v>
      </c>
      <c r="E342" s="0"/>
      <c r="F342" s="0" t="s">
        <v>2018</v>
      </c>
      <c r="G342" s="0"/>
      <c r="H342" s="0"/>
      <c r="I342" s="0" t="s">
        <v>1795</v>
      </c>
      <c r="J342" s="0"/>
      <c r="K342" s="0" t="s">
        <v>2116</v>
      </c>
      <c r="L342" s="0" t="s">
        <v>2117</v>
      </c>
    </row>
    <row r="343">
      <c r="A343" s="0" t="s">
        <v>53</v>
      </c>
      <c r="B343" s="0" t="s">
        <v>379</v>
      </c>
      <c r="C343" s="0" t="s">
        <v>513</v>
      </c>
      <c r="D343" s="0">
        <v>9.3800000000000008</v>
      </c>
      <c r="E343" s="0"/>
      <c r="F343" s="0" t="s">
        <v>2019</v>
      </c>
      <c r="G343" s="0"/>
      <c r="H343" s="0"/>
      <c r="I343" s="0" t="s">
        <v>1795</v>
      </c>
      <c r="J343" s="0"/>
      <c r="K343" s="0" t="s">
        <v>2116</v>
      </c>
      <c r="L343" s="0" t="s">
        <v>2117</v>
      </c>
    </row>
    <row r="344">
      <c r="A344" s="0" t="s">
        <v>53</v>
      </c>
      <c r="B344" s="0" t="s">
        <v>379</v>
      </c>
      <c r="C344" s="0" t="s">
        <v>514</v>
      </c>
      <c r="D344" s="0">
        <v>7.3099999999999996</v>
      </c>
      <c r="E344" s="0"/>
      <c r="F344" s="0" t="s">
        <v>2020</v>
      </c>
      <c r="G344" s="0"/>
      <c r="H344" s="0"/>
      <c r="I344" s="0" t="s">
        <v>1795</v>
      </c>
      <c r="J344" s="0"/>
      <c r="K344" s="0" t="s">
        <v>2116</v>
      </c>
      <c r="L344" s="0" t="s">
        <v>2117</v>
      </c>
    </row>
    <row r="345">
      <c r="A345" s="0" t="s">
        <v>55</v>
      </c>
      <c r="B345" s="0" t="s">
        <v>380</v>
      </c>
      <c r="C345" s="0" t="s">
        <v>556</v>
      </c>
      <c r="D345" s="0">
        <v>11.300000000000001</v>
      </c>
      <c r="E345" s="0"/>
      <c r="F345" s="0" t="s">
        <v>725</v>
      </c>
      <c r="G345" s="0"/>
      <c r="H345" s="0"/>
      <c r="I345" s="0" t="s">
        <v>789</v>
      </c>
      <c r="J345" s="0"/>
      <c r="K345" s="0" t="s">
        <v>2116</v>
      </c>
      <c r="L345" s="0" t="s">
        <v>2117</v>
      </c>
    </row>
    <row r="346">
      <c r="A346" s="0" t="s">
        <v>55</v>
      </c>
      <c r="B346" s="0" t="s">
        <v>380</v>
      </c>
      <c r="C346" s="0" t="s">
        <v>548</v>
      </c>
      <c r="D346" s="0">
        <v>17.899999999999999</v>
      </c>
      <c r="E346" s="0"/>
      <c r="F346" s="0" t="s">
        <v>830</v>
      </c>
      <c r="G346" s="0"/>
      <c r="H346" s="0"/>
      <c r="I346" s="0" t="s">
        <v>789</v>
      </c>
      <c r="J346" s="0"/>
      <c r="K346" s="0" t="s">
        <v>2116</v>
      </c>
      <c r="L346" s="0" t="s">
        <v>2117</v>
      </c>
    </row>
    <row r="347">
      <c r="A347" s="0" t="s">
        <v>55</v>
      </c>
      <c r="B347" s="0" t="s">
        <v>147</v>
      </c>
      <c r="C347" s="0" t="s">
        <v>143</v>
      </c>
      <c r="D347" s="0">
        <v>0.26000000000000001</v>
      </c>
      <c r="E347" s="0"/>
      <c r="F347" s="0" t="s">
        <v>1042</v>
      </c>
      <c r="G347" s="0"/>
      <c r="H347" s="0" t="s">
        <v>1625</v>
      </c>
      <c r="I347" s="0" t="s">
        <v>1772</v>
      </c>
      <c r="J347" s="0"/>
      <c r="K347" s="0" t="s">
        <v>2116</v>
      </c>
      <c r="L347" s="0" t="s">
        <v>2117</v>
      </c>
    </row>
    <row r="348">
      <c r="A348" s="0" t="s">
        <v>55</v>
      </c>
      <c r="B348" s="0" t="s">
        <v>147</v>
      </c>
      <c r="C348" s="0" t="s">
        <v>143</v>
      </c>
      <c r="D348" s="0">
        <v>0.012</v>
      </c>
      <c r="E348" s="0"/>
      <c r="F348" s="0" t="s">
        <v>2021</v>
      </c>
      <c r="G348" s="0"/>
      <c r="H348" s="0" t="s">
        <v>1623</v>
      </c>
      <c r="I348" s="0" t="s">
        <v>1772</v>
      </c>
      <c r="J348" s="0"/>
      <c r="K348" s="0" t="s">
        <v>2116</v>
      </c>
      <c r="L348" s="0" t="s">
        <v>2117</v>
      </c>
    </row>
    <row r="349">
      <c r="A349" s="0" t="s">
        <v>55</v>
      </c>
      <c r="B349" s="0" t="s">
        <v>147</v>
      </c>
      <c r="C349" s="0" t="s">
        <v>143</v>
      </c>
      <c r="D349" s="0">
        <v>0.012999999999999999</v>
      </c>
      <c r="E349" s="0"/>
      <c r="F349" s="0" t="s">
        <v>1029</v>
      </c>
      <c r="G349" s="0"/>
      <c r="H349" s="0" t="s">
        <v>1624</v>
      </c>
      <c r="I349" s="0" t="s">
        <v>1772</v>
      </c>
      <c r="J349" s="0"/>
      <c r="K349" s="0" t="s">
        <v>2116</v>
      </c>
      <c r="L349" s="0" t="s">
        <v>2117</v>
      </c>
    </row>
    <row r="350">
      <c r="A350" s="0" t="s">
        <v>55</v>
      </c>
      <c r="B350" s="0" t="s">
        <v>147</v>
      </c>
      <c r="C350" s="0" t="s">
        <v>548</v>
      </c>
      <c r="D350" s="0">
        <v>0.012999999999999999</v>
      </c>
      <c r="E350" s="0"/>
      <c r="F350" s="0" t="s">
        <v>1029</v>
      </c>
      <c r="G350" s="0"/>
      <c r="H350" s="0" t="s">
        <v>1622</v>
      </c>
      <c r="I350" s="0" t="s">
        <v>1772</v>
      </c>
      <c r="J350" s="0"/>
      <c r="K350" s="0" t="s">
        <v>2116</v>
      </c>
      <c r="L350" s="0" t="s">
        <v>2117</v>
      </c>
    </row>
    <row r="351">
      <c r="A351" s="0" t="s">
        <v>55</v>
      </c>
      <c r="B351" s="0" t="s">
        <v>147</v>
      </c>
      <c r="C351" s="0" t="s">
        <v>143</v>
      </c>
      <c r="D351" s="0">
        <v>3.8500000000000001</v>
      </c>
      <c r="E351" s="0"/>
      <c r="F351" s="0" t="s">
        <v>2022</v>
      </c>
      <c r="G351" s="0"/>
      <c r="H351" s="0" t="s">
        <v>1627</v>
      </c>
      <c r="I351" s="0" t="s">
        <v>1772</v>
      </c>
      <c r="J351" s="0"/>
      <c r="K351" s="0" t="s">
        <v>2116</v>
      </c>
      <c r="L351" s="0" t="s">
        <v>2117</v>
      </c>
    </row>
    <row r="352">
      <c r="A352" s="0" t="s">
        <v>55</v>
      </c>
      <c r="B352" s="0" t="s">
        <v>147</v>
      </c>
      <c r="C352" s="0" t="s">
        <v>548</v>
      </c>
      <c r="D352" s="0">
        <v>3.8500000000000001</v>
      </c>
      <c r="E352" s="0"/>
      <c r="F352" s="0" t="s">
        <v>2022</v>
      </c>
      <c r="G352" s="0"/>
      <c r="H352" s="0" t="s">
        <v>2100</v>
      </c>
      <c r="I352" s="0" t="s">
        <v>1772</v>
      </c>
      <c r="J352" s="0"/>
      <c r="K352" s="0" t="s">
        <v>2116</v>
      </c>
      <c r="L352" s="0" t="s">
        <v>2117</v>
      </c>
    </row>
    <row r="353">
      <c r="A353" s="0" t="s">
        <v>55</v>
      </c>
      <c r="B353" s="0" t="s">
        <v>386</v>
      </c>
      <c r="C353" s="0" t="s">
        <v>143</v>
      </c>
      <c r="D353" s="0">
        <v>2.7999999999999998</v>
      </c>
      <c r="E353" s="0"/>
      <c r="F353" s="0" t="s">
        <v>840</v>
      </c>
      <c r="G353" s="0"/>
      <c r="H353" s="0"/>
      <c r="I353" s="0" t="s">
        <v>1749</v>
      </c>
      <c r="J353" s="0"/>
      <c r="K353" s="0" t="s">
        <v>2116</v>
      </c>
      <c r="L353" s="0" t="s">
        <v>2117</v>
      </c>
    </row>
    <row r="354">
      <c r="A354" s="0" t="s">
        <v>55</v>
      </c>
      <c r="B354" s="0" t="s">
        <v>386</v>
      </c>
      <c r="C354" s="0" t="s">
        <v>548</v>
      </c>
      <c r="D354" s="0">
        <v>2.7999999999999998</v>
      </c>
      <c r="E354" s="0"/>
      <c r="F354" s="0" t="s">
        <v>840</v>
      </c>
      <c r="G354" s="0"/>
      <c r="H354" s="0"/>
      <c r="I354" s="0" t="s">
        <v>1749</v>
      </c>
      <c r="J354" s="0"/>
      <c r="K354" s="0" t="s">
        <v>2116</v>
      </c>
      <c r="L354" s="0" t="s">
        <v>2117</v>
      </c>
    </row>
    <row r="355">
      <c r="A355" s="0" t="s">
        <v>55</v>
      </c>
      <c r="B355" s="0" t="s">
        <v>386</v>
      </c>
      <c r="C355" s="0" t="s">
        <v>556</v>
      </c>
      <c r="D355" s="0">
        <v>0.0094999999999999998</v>
      </c>
      <c r="E355" s="0"/>
      <c r="F355" s="0" t="s">
        <v>2023</v>
      </c>
      <c r="G355" s="0"/>
      <c r="H355" s="0"/>
      <c r="I355" s="0" t="s">
        <v>1749</v>
      </c>
      <c r="J355" s="0"/>
      <c r="K355" s="0" t="s">
        <v>2116</v>
      </c>
      <c r="L355" s="0" t="s">
        <v>2117</v>
      </c>
    </row>
    <row r="356">
      <c r="A356" s="0" t="s">
        <v>55</v>
      </c>
      <c r="B356" s="0" t="s">
        <v>386</v>
      </c>
      <c r="C356" s="0" t="s">
        <v>557</v>
      </c>
      <c r="D356" s="0">
        <v>0.0094999999999999998</v>
      </c>
      <c r="E356" s="0"/>
      <c r="F356" s="0" t="s">
        <v>2023</v>
      </c>
      <c r="G356" s="0"/>
      <c r="H356" s="0"/>
      <c r="I356" s="0" t="s">
        <v>1749</v>
      </c>
      <c r="J356" s="0"/>
      <c r="K356" s="0" t="s">
        <v>2116</v>
      </c>
      <c r="L356" s="0" t="s">
        <v>2117</v>
      </c>
    </row>
    <row r="357">
      <c r="A357" s="0" t="s">
        <v>55</v>
      </c>
      <c r="B357" s="0" t="s">
        <v>307</v>
      </c>
      <c r="C357" s="0" t="s">
        <v>143</v>
      </c>
      <c r="D357" s="0">
        <v>9.3300000000000001</v>
      </c>
      <c r="E357" s="0"/>
      <c r="F357" s="0" t="s">
        <v>2024</v>
      </c>
      <c r="G357" s="0"/>
      <c r="H357" s="0" t="s">
        <v>2101</v>
      </c>
      <c r="I357" s="0" t="s">
        <v>734</v>
      </c>
      <c r="J357" s="0"/>
      <c r="K357" s="0" t="s">
        <v>2116</v>
      </c>
      <c r="L357" s="0" t="s">
        <v>2117</v>
      </c>
    </row>
    <row r="358">
      <c r="A358" s="0" t="s">
        <v>55</v>
      </c>
      <c r="B358" s="0" t="s">
        <v>279</v>
      </c>
      <c r="C358" s="0" t="s">
        <v>548</v>
      </c>
      <c r="D358" s="0">
        <v>5</v>
      </c>
      <c r="E358" s="0"/>
      <c r="F358" s="0" t="s">
        <v>607</v>
      </c>
      <c r="G358" s="0"/>
      <c r="H358" s="0" t="s">
        <v>2102</v>
      </c>
      <c r="I358" s="0" t="s">
        <v>871</v>
      </c>
      <c r="J358" s="0"/>
      <c r="K358" s="0" t="s">
        <v>2116</v>
      </c>
      <c r="L358" s="0" t="s">
        <v>2117</v>
      </c>
    </row>
    <row r="359">
      <c r="A359" s="0" t="s">
        <v>55</v>
      </c>
      <c r="B359" s="0" t="s">
        <v>279</v>
      </c>
      <c r="C359" s="0" t="s">
        <v>548</v>
      </c>
      <c r="D359" s="0">
        <v>7.2000000000000002</v>
      </c>
      <c r="E359" s="0"/>
      <c r="F359" s="0" t="s">
        <v>2025</v>
      </c>
      <c r="G359" s="0"/>
      <c r="H359" s="0" t="s">
        <v>1634</v>
      </c>
      <c r="I359" s="0" t="s">
        <v>871</v>
      </c>
      <c r="J359" s="0"/>
      <c r="K359" s="0" t="s">
        <v>2116</v>
      </c>
      <c r="L359" s="0" t="s">
        <v>2117</v>
      </c>
    </row>
    <row r="360">
      <c r="A360" s="0" t="s">
        <v>55</v>
      </c>
      <c r="B360" s="0" t="s">
        <v>279</v>
      </c>
      <c r="C360" s="0" t="s">
        <v>143</v>
      </c>
      <c r="D360" s="0">
        <v>5.4000000000000004</v>
      </c>
      <c r="E360" s="0"/>
      <c r="F360" s="0" t="s">
        <v>885</v>
      </c>
      <c r="G360" s="0"/>
      <c r="H360" s="0" t="s">
        <v>1633</v>
      </c>
      <c r="I360" s="0" t="s">
        <v>871</v>
      </c>
      <c r="J360" s="0"/>
      <c r="K360" s="0" t="s">
        <v>2116</v>
      </c>
      <c r="L360" s="0" t="s">
        <v>2117</v>
      </c>
    </row>
    <row r="361">
      <c r="A361" s="0" t="s">
        <v>55</v>
      </c>
      <c r="B361" s="0" t="s">
        <v>279</v>
      </c>
      <c r="C361" s="0" t="s">
        <v>143</v>
      </c>
      <c r="D361" s="0">
        <v>5.2999999999999998</v>
      </c>
      <c r="E361" s="0"/>
      <c r="F361" s="0" t="s">
        <v>2026</v>
      </c>
      <c r="G361" s="0"/>
      <c r="H361" s="0" t="s">
        <v>1637</v>
      </c>
      <c r="I361" s="0" t="s">
        <v>871</v>
      </c>
      <c r="J361" s="0"/>
      <c r="K361" s="0" t="s">
        <v>2116</v>
      </c>
      <c r="L361" s="0" t="s">
        <v>2117</v>
      </c>
    </row>
    <row r="362">
      <c r="A362" s="0" t="s">
        <v>55</v>
      </c>
      <c r="B362" s="0" t="s">
        <v>378</v>
      </c>
      <c r="C362" s="0" t="s">
        <v>548</v>
      </c>
      <c r="D362" s="0">
        <v>0.63</v>
      </c>
      <c r="E362" s="0"/>
      <c r="F362" s="0" t="s">
        <v>2027</v>
      </c>
      <c r="G362" s="0"/>
      <c r="H362" s="0" t="s">
        <v>1639</v>
      </c>
      <c r="I362" s="0" t="s">
        <v>1685</v>
      </c>
      <c r="J362" s="0"/>
      <c r="K362" s="0" t="s">
        <v>2116</v>
      </c>
      <c r="L362" s="0" t="s">
        <v>2117</v>
      </c>
    </row>
    <row r="363">
      <c r="A363" s="0" t="s">
        <v>55</v>
      </c>
      <c r="B363" s="0" t="s">
        <v>378</v>
      </c>
      <c r="C363" s="0" t="s">
        <v>143</v>
      </c>
      <c r="D363" s="0">
        <v>0.46999999999999997</v>
      </c>
      <c r="E363" s="0"/>
      <c r="F363" s="0" t="s">
        <v>686</v>
      </c>
      <c r="G363" s="0"/>
      <c r="H363" s="0" t="s">
        <v>1638</v>
      </c>
      <c r="I363" s="0" t="s">
        <v>1685</v>
      </c>
      <c r="J363" s="0"/>
      <c r="K363" s="0" t="s">
        <v>2116</v>
      </c>
      <c r="L363" s="0" t="s">
        <v>2117</v>
      </c>
    </row>
    <row r="364">
      <c r="A364" s="0" t="s">
        <v>55</v>
      </c>
      <c r="B364" s="0" t="s">
        <v>387</v>
      </c>
      <c r="C364" s="0" t="s">
        <v>143</v>
      </c>
      <c r="D364" s="0">
        <v>0.81999999999999995</v>
      </c>
      <c r="E364" s="0"/>
      <c r="F364" s="0" t="s">
        <v>678</v>
      </c>
      <c r="G364" s="0"/>
      <c r="H364" s="0" t="s">
        <v>1643</v>
      </c>
      <c r="I364" s="0" t="s">
        <v>1808</v>
      </c>
      <c r="J364" s="0"/>
      <c r="K364" s="0" t="s">
        <v>2116</v>
      </c>
      <c r="L364" s="0" t="s">
        <v>2117</v>
      </c>
    </row>
    <row r="365">
      <c r="A365" s="0" t="s">
        <v>55</v>
      </c>
      <c r="B365" s="0" t="s">
        <v>387</v>
      </c>
      <c r="C365" s="0" t="s">
        <v>548</v>
      </c>
      <c r="D365" s="0">
        <v>1.8</v>
      </c>
      <c r="E365" s="0"/>
      <c r="F365" s="0" t="s">
        <v>760</v>
      </c>
      <c r="G365" s="0"/>
      <c r="H365" s="0" t="s">
        <v>2103</v>
      </c>
      <c r="I365" s="0" t="s">
        <v>1808</v>
      </c>
      <c r="J365" s="0"/>
      <c r="K365" s="0" t="s">
        <v>2116</v>
      </c>
      <c r="L365" s="0" t="s">
        <v>2117</v>
      </c>
    </row>
    <row r="366">
      <c r="A366" s="0" t="s">
        <v>55</v>
      </c>
      <c r="B366" s="0" t="s">
        <v>387</v>
      </c>
      <c r="C366" s="0" t="s">
        <v>548</v>
      </c>
      <c r="D366" s="0">
        <v>1.74</v>
      </c>
      <c r="E366" s="0"/>
      <c r="F366" s="0" t="s">
        <v>2028</v>
      </c>
      <c r="G366" s="0"/>
      <c r="H366" s="0" t="s">
        <v>1642</v>
      </c>
      <c r="I366" s="0" t="s">
        <v>1774</v>
      </c>
      <c r="J366" s="0"/>
      <c r="K366" s="0" t="s">
        <v>2116</v>
      </c>
      <c r="L366" s="0" t="s">
        <v>2117</v>
      </c>
    </row>
    <row r="367">
      <c r="A367" s="0" t="s">
        <v>55</v>
      </c>
      <c r="B367" s="0" t="s">
        <v>241</v>
      </c>
      <c r="C367" s="0" t="s">
        <v>548</v>
      </c>
      <c r="D367" s="0">
        <v>0.29999999999999999</v>
      </c>
      <c r="E367" s="0"/>
      <c r="F367" s="0" t="s">
        <v>589</v>
      </c>
      <c r="G367" s="0"/>
      <c r="H367" s="0" t="s">
        <v>2104</v>
      </c>
      <c r="I367" s="0" t="s">
        <v>827</v>
      </c>
      <c r="J367" s="0"/>
      <c r="K367" s="0" t="s">
        <v>2116</v>
      </c>
      <c r="L367" s="0" t="s">
        <v>2117</v>
      </c>
    </row>
    <row r="368">
      <c r="A368" s="0" t="s">
        <v>55</v>
      </c>
      <c r="B368" s="0" t="s">
        <v>241</v>
      </c>
      <c r="C368" s="0" t="s">
        <v>548</v>
      </c>
      <c r="D368" s="0">
        <v>0.80000000000000004</v>
      </c>
      <c r="E368" s="0"/>
      <c r="F368" s="0" t="s">
        <v>774</v>
      </c>
      <c r="G368" s="0"/>
      <c r="H368" s="0" t="s">
        <v>2105</v>
      </c>
      <c r="I368" s="0" t="s">
        <v>827</v>
      </c>
      <c r="J368" s="0"/>
      <c r="K368" s="0" t="s">
        <v>2116</v>
      </c>
      <c r="L368" s="0" t="s">
        <v>2117</v>
      </c>
    </row>
    <row r="369">
      <c r="A369" s="0" t="s">
        <v>55</v>
      </c>
      <c r="B369" s="0" t="s">
        <v>241</v>
      </c>
      <c r="C369" s="0" t="s">
        <v>548</v>
      </c>
      <c r="D369" s="0">
        <v>0.69999999999999996</v>
      </c>
      <c r="E369" s="0"/>
      <c r="F369" s="0" t="s">
        <v>635</v>
      </c>
      <c r="G369" s="0"/>
      <c r="H369" s="0" t="s">
        <v>2106</v>
      </c>
      <c r="I369" s="0" t="s">
        <v>827</v>
      </c>
      <c r="J369" s="0"/>
      <c r="K369" s="0" t="s">
        <v>2116</v>
      </c>
      <c r="L369" s="0" t="s">
        <v>2117</v>
      </c>
    </row>
    <row r="370">
      <c r="A370" s="0" t="s">
        <v>55</v>
      </c>
      <c r="B370" s="0" t="s">
        <v>241</v>
      </c>
      <c r="C370" s="0" t="s">
        <v>548</v>
      </c>
      <c r="D370" s="0">
        <v>10</v>
      </c>
      <c r="E370" s="0"/>
      <c r="F370" s="0" t="s">
        <v>694</v>
      </c>
      <c r="G370" s="0"/>
      <c r="H370" s="0" t="s">
        <v>2107</v>
      </c>
      <c r="I370" s="0" t="s">
        <v>827</v>
      </c>
      <c r="J370" s="0"/>
      <c r="K370" s="0" t="s">
        <v>2116</v>
      </c>
      <c r="L370" s="0" t="s">
        <v>2117</v>
      </c>
    </row>
    <row r="371">
      <c r="A371" s="0" t="s">
        <v>55</v>
      </c>
      <c r="B371" s="0" t="s">
        <v>241</v>
      </c>
      <c r="C371" s="0" t="s">
        <v>548</v>
      </c>
      <c r="D371" s="0">
        <v>0.050000000000000003</v>
      </c>
      <c r="E371" s="0"/>
      <c r="F371" s="0" t="s">
        <v>580</v>
      </c>
      <c r="G371" s="0"/>
      <c r="H371" s="0" t="s">
        <v>2108</v>
      </c>
      <c r="I371" s="0" t="s">
        <v>827</v>
      </c>
      <c r="J371" s="0"/>
      <c r="K371" s="0" t="s">
        <v>2116</v>
      </c>
      <c r="L371" s="0" t="s">
        <v>2117</v>
      </c>
    </row>
    <row r="372">
      <c r="A372" s="0" t="s">
        <v>55</v>
      </c>
      <c r="B372" s="0" t="s">
        <v>241</v>
      </c>
      <c r="C372" s="0" t="s">
        <v>548</v>
      </c>
      <c r="D372" s="0">
        <v>30</v>
      </c>
      <c r="E372" s="0"/>
      <c r="F372" s="0" t="s">
        <v>1019</v>
      </c>
      <c r="G372" s="0"/>
      <c r="H372" s="0" t="s">
        <v>2109</v>
      </c>
      <c r="I372" s="0" t="s">
        <v>827</v>
      </c>
      <c r="J372" s="0"/>
      <c r="K372" s="0" t="s">
        <v>2116</v>
      </c>
      <c r="L372" s="0" t="s">
        <v>2117</v>
      </c>
    </row>
    <row r="373">
      <c r="A373" s="0" t="s">
        <v>55</v>
      </c>
      <c r="B373" s="0" t="s">
        <v>241</v>
      </c>
      <c r="C373" s="0" t="s">
        <v>548</v>
      </c>
      <c r="D373" s="0">
        <v>1000</v>
      </c>
      <c r="E373" s="0"/>
      <c r="F373" s="0" t="s">
        <v>2029</v>
      </c>
      <c r="G373" s="0"/>
      <c r="H373" s="0" t="s">
        <v>2110</v>
      </c>
      <c r="I373" s="0" t="s">
        <v>827</v>
      </c>
      <c r="J373" s="0"/>
      <c r="K373" s="0" t="s">
        <v>2116</v>
      </c>
      <c r="L373" s="0" t="s">
        <v>2117</v>
      </c>
    </row>
    <row r="374">
      <c r="A374" s="0" t="s">
        <v>55</v>
      </c>
      <c r="B374" s="0" t="s">
        <v>241</v>
      </c>
      <c r="C374" s="0" t="s">
        <v>548</v>
      </c>
      <c r="D374" s="0">
        <v>4</v>
      </c>
      <c r="E374" s="0"/>
      <c r="F374" s="0" t="s">
        <v>734</v>
      </c>
      <c r="G374" s="0"/>
      <c r="H374" s="0" t="s">
        <v>2111</v>
      </c>
      <c r="I374" s="0" t="s">
        <v>827</v>
      </c>
      <c r="J374" s="0"/>
      <c r="K374" s="0" t="s">
        <v>2116</v>
      </c>
      <c r="L374" s="0" t="s">
        <v>2117</v>
      </c>
    </row>
    <row r="375">
      <c r="A375" s="0" t="s">
        <v>55</v>
      </c>
      <c r="B375" s="0" t="s">
        <v>241</v>
      </c>
      <c r="C375" s="0" t="s">
        <v>548</v>
      </c>
      <c r="D375" s="0">
        <v>40</v>
      </c>
      <c r="E375" s="0"/>
      <c r="F375" s="0" t="s">
        <v>1768</v>
      </c>
      <c r="G375" s="0"/>
      <c r="H375" s="0" t="s">
        <v>2112</v>
      </c>
      <c r="I375" s="0" t="s">
        <v>827</v>
      </c>
      <c r="J375" s="0"/>
      <c r="K375" s="0" t="s">
        <v>2116</v>
      </c>
      <c r="L375" s="0" t="s">
        <v>2117</v>
      </c>
    </row>
    <row r="376">
      <c r="A376" s="0" t="s">
        <v>55</v>
      </c>
      <c r="B376" s="0" t="s">
        <v>241</v>
      </c>
      <c r="C376" s="0" t="s">
        <v>548</v>
      </c>
      <c r="D376" s="0">
        <v>0.0001</v>
      </c>
      <c r="E376" s="0"/>
      <c r="F376" s="0" t="s">
        <v>2030</v>
      </c>
      <c r="G376" s="0"/>
      <c r="H376" s="0" t="s">
        <v>2113</v>
      </c>
      <c r="I376" s="0" t="s">
        <v>827</v>
      </c>
      <c r="J376" s="0"/>
      <c r="K376" s="0" t="s">
        <v>2116</v>
      </c>
      <c r="L376" s="0" t="s">
        <v>2117</v>
      </c>
    </row>
    <row r="377">
      <c r="A377" s="0" t="s">
        <v>55</v>
      </c>
      <c r="B377" s="0" t="s">
        <v>241</v>
      </c>
      <c r="C377" s="0" t="s">
        <v>548</v>
      </c>
      <c r="D377" s="0">
        <v>0.0030000000000000001</v>
      </c>
      <c r="E377" s="0"/>
      <c r="F377" s="0" t="s">
        <v>1073</v>
      </c>
      <c r="G377" s="0"/>
      <c r="H377" s="0" t="s">
        <v>2114</v>
      </c>
      <c r="I377" s="0" t="s">
        <v>827</v>
      </c>
      <c r="J377" s="0"/>
      <c r="K377" s="0" t="s">
        <v>2116</v>
      </c>
      <c r="L377" s="0" t="s">
        <v>2117</v>
      </c>
    </row>
  </sheetData>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L480"/>
  <sheetViews>
    <sheetView workbookViewId="0"/>
  </sheetViews>
  <sheetFormatPr defaultRowHeight="15"/>
  <cols>
    <col min="1" max="1" width="8.54296875" customWidth="true"/>
    <col min="2" max="2" width="49.7265625" customWidth="true"/>
    <col min="3" max="3" width="8.7265625" customWidth="true"/>
    <col min="4" max="4" width="7.453125" customWidth="true"/>
    <col min="5" max="5" width="13.81640625" customWidth="true"/>
    <col min="6" max="6" width="8.7265625" customWidth="true"/>
    <col min="7" max="7" width="17.1796875" customWidth="true"/>
    <col min="8" max="8" width="580.26953125" customWidth="true"/>
    <col min="9" max="9" width="8.6328125" customWidth="true"/>
    <col min="10" max="10" width="15.1796875" customWidth="true"/>
    <col min="11" max="11" width="9.7265625" customWidth="true"/>
    <col min="12" max="12" width="12.54296875" customWidth="true"/>
  </cols>
  <sheetData>
    <row r="1">
      <c r="A1" s="0" t="s">
        <v>239</v>
      </c>
      <c r="B1" s="0" t="s">
        <v>240</v>
      </c>
      <c r="C1" s="0" t="s">
        <v>388</v>
      </c>
      <c r="D1" s="0" t="s">
        <v>566</v>
      </c>
      <c r="E1" s="0" t="s">
        <v>567</v>
      </c>
      <c r="F1" s="0" t="s">
        <v>568</v>
      </c>
      <c r="G1" s="0" t="s">
        <v>1135</v>
      </c>
      <c r="H1" s="0" t="s">
        <v>1136</v>
      </c>
      <c r="I1" s="0" t="s">
        <v>1650</v>
      </c>
      <c r="J1" s="0" t="s">
        <v>1809</v>
      </c>
      <c r="K1" s="0" t="s">
        <v>1810</v>
      </c>
      <c r="L1" s="0" t="s">
        <v>1812</v>
      </c>
    </row>
    <row r="2">
      <c r="A2" s="0" t="s">
        <v>43</v>
      </c>
      <c r="B2" s="0" t="s">
        <v>2118</v>
      </c>
      <c r="C2" s="0"/>
      <c r="D2" s="0">
        <v>-999</v>
      </c>
      <c r="E2" s="0"/>
      <c r="F2" s="0" t="s">
        <v>673</v>
      </c>
      <c r="G2" s="0"/>
      <c r="H2" s="0" t="s">
        <v>2496</v>
      </c>
      <c r="I2" s="0" t="s">
        <v>805</v>
      </c>
      <c r="J2" s="0"/>
      <c r="K2" s="0" t="s">
        <v>2991</v>
      </c>
      <c r="L2" s="0" t="s">
        <v>2992</v>
      </c>
    </row>
    <row r="3">
      <c r="A3" s="0" t="s">
        <v>44</v>
      </c>
      <c r="B3" s="0" t="s">
        <v>2119</v>
      </c>
      <c r="C3" s="0"/>
      <c r="D3" s="0">
        <v>5300</v>
      </c>
      <c r="E3" s="0"/>
      <c r="F3" s="0" t="s">
        <v>2179</v>
      </c>
      <c r="G3" s="0"/>
      <c r="H3" s="0" t="s">
        <v>2497</v>
      </c>
      <c r="I3" s="0" t="s">
        <v>2930</v>
      </c>
      <c r="J3" s="0"/>
      <c r="K3" s="0" t="s">
        <v>2991</v>
      </c>
      <c r="L3" s="0" t="s">
        <v>2992</v>
      </c>
    </row>
    <row r="4">
      <c r="A4" s="0" t="s">
        <v>44</v>
      </c>
      <c r="B4" s="0" t="s">
        <v>2119</v>
      </c>
      <c r="C4" s="0"/>
      <c r="D4" s="0">
        <v>399</v>
      </c>
      <c r="E4" s="0"/>
      <c r="F4" s="0" t="s">
        <v>2180</v>
      </c>
      <c r="G4" s="0"/>
      <c r="H4" s="0" t="s">
        <v>2498</v>
      </c>
      <c r="I4" s="0" t="s">
        <v>2930</v>
      </c>
      <c r="J4" s="0"/>
      <c r="K4" s="0" t="s">
        <v>2991</v>
      </c>
      <c r="L4" s="0" t="s">
        <v>2992</v>
      </c>
    </row>
    <row r="5">
      <c r="A5" s="0" t="s">
        <v>44</v>
      </c>
      <c r="B5" s="0" t="s">
        <v>2119</v>
      </c>
      <c r="C5" s="0"/>
      <c r="D5" s="0">
        <v>9500</v>
      </c>
      <c r="E5" s="0"/>
      <c r="F5" s="0" t="s">
        <v>2181</v>
      </c>
      <c r="G5" s="0"/>
      <c r="H5" s="0" t="s">
        <v>2499</v>
      </c>
      <c r="I5" s="0" t="s">
        <v>2930</v>
      </c>
      <c r="J5" s="0"/>
      <c r="K5" s="0" t="s">
        <v>2991</v>
      </c>
      <c r="L5" s="0" t="s">
        <v>2992</v>
      </c>
    </row>
    <row r="6">
      <c r="A6" s="0" t="s">
        <v>44</v>
      </c>
      <c r="B6" s="0" t="s">
        <v>241</v>
      </c>
      <c r="C6" s="0"/>
      <c r="D6" s="0">
        <v>12.300000000000001</v>
      </c>
      <c r="E6" s="0"/>
      <c r="F6" s="0" t="s">
        <v>2182</v>
      </c>
      <c r="G6" s="0"/>
      <c r="H6" s="0" t="s">
        <v>2500</v>
      </c>
      <c r="I6" s="0" t="s">
        <v>1724</v>
      </c>
      <c r="J6" s="0"/>
      <c r="K6" s="0" t="s">
        <v>2991</v>
      </c>
      <c r="L6" s="0" t="s">
        <v>2992</v>
      </c>
    </row>
    <row r="7">
      <c r="A7" s="0" t="s">
        <v>44</v>
      </c>
      <c r="B7" s="0" t="s">
        <v>241</v>
      </c>
      <c r="C7" s="0"/>
      <c r="D7" s="0">
        <v>0.070999999999999994</v>
      </c>
      <c r="E7" s="0"/>
      <c r="F7" s="0" t="s">
        <v>2183</v>
      </c>
      <c r="G7" s="0"/>
      <c r="H7" s="0" t="s">
        <v>2501</v>
      </c>
      <c r="I7" s="0" t="s">
        <v>1724</v>
      </c>
      <c r="J7" s="0"/>
      <c r="K7" s="0" t="s">
        <v>2991</v>
      </c>
      <c r="L7" s="0" t="s">
        <v>2992</v>
      </c>
    </row>
    <row r="8">
      <c r="A8" s="0" t="s">
        <v>44</v>
      </c>
      <c r="B8" s="0" t="s">
        <v>242</v>
      </c>
      <c r="C8" s="0"/>
      <c r="D8" s="0">
        <v>4100</v>
      </c>
      <c r="E8" s="0"/>
      <c r="F8" s="0" t="s">
        <v>2184</v>
      </c>
      <c r="G8" s="0"/>
      <c r="H8" s="0" t="s">
        <v>2502</v>
      </c>
      <c r="I8" s="0" t="s">
        <v>2931</v>
      </c>
      <c r="J8" s="0"/>
      <c r="K8" s="0" t="s">
        <v>2991</v>
      </c>
      <c r="L8" s="0" t="s">
        <v>2992</v>
      </c>
    </row>
    <row r="9">
      <c r="A9" s="0" t="s">
        <v>44</v>
      </c>
      <c r="B9" s="0" t="s">
        <v>242</v>
      </c>
      <c r="C9" s="0"/>
      <c r="D9" s="0">
        <v>6300</v>
      </c>
      <c r="E9" s="0"/>
      <c r="F9" s="0" t="s">
        <v>2185</v>
      </c>
      <c r="G9" s="0"/>
      <c r="H9" s="0" t="s">
        <v>2503</v>
      </c>
      <c r="I9" s="0" t="s">
        <v>2931</v>
      </c>
      <c r="J9" s="0"/>
      <c r="K9" s="0" t="s">
        <v>2991</v>
      </c>
      <c r="L9" s="0" t="s">
        <v>2992</v>
      </c>
    </row>
    <row r="10">
      <c r="A10" s="0" t="s">
        <v>44</v>
      </c>
      <c r="B10" s="0" t="s">
        <v>242</v>
      </c>
      <c r="C10" s="0"/>
      <c r="D10" s="0">
        <v>2850</v>
      </c>
      <c r="E10" s="0"/>
      <c r="F10" s="0" t="s">
        <v>2186</v>
      </c>
      <c r="G10" s="0"/>
      <c r="H10" s="0" t="s">
        <v>2504</v>
      </c>
      <c r="I10" s="0" t="s">
        <v>2931</v>
      </c>
      <c r="J10" s="0"/>
      <c r="K10" s="0" t="s">
        <v>2991</v>
      </c>
      <c r="L10" s="0" t="s">
        <v>2992</v>
      </c>
    </row>
    <row r="11">
      <c r="A11" s="0" t="s">
        <v>44</v>
      </c>
      <c r="B11" s="0" t="s">
        <v>242</v>
      </c>
      <c r="C11" s="0"/>
      <c r="D11" s="0">
        <v>850</v>
      </c>
      <c r="E11" s="0"/>
      <c r="F11" s="0" t="s">
        <v>2187</v>
      </c>
      <c r="G11" s="0"/>
      <c r="H11" s="0" t="s">
        <v>2505</v>
      </c>
      <c r="I11" s="0" t="s">
        <v>1652</v>
      </c>
      <c r="J11" s="0"/>
      <c r="K11" s="0" t="s">
        <v>2991</v>
      </c>
      <c r="L11" s="0" t="s">
        <v>2992</v>
      </c>
    </row>
    <row r="12">
      <c r="A12" s="0" t="s">
        <v>44</v>
      </c>
      <c r="B12" s="0" t="s">
        <v>2120</v>
      </c>
      <c r="C12" s="0"/>
      <c r="D12" s="0">
        <v>23000</v>
      </c>
      <c r="E12" s="0"/>
      <c r="F12" s="0" t="s">
        <v>2188</v>
      </c>
      <c r="G12" s="0"/>
      <c r="H12" s="0" t="s">
        <v>2506</v>
      </c>
      <c r="I12" s="0" t="s">
        <v>1866</v>
      </c>
      <c r="J12" s="0"/>
      <c r="K12" s="0" t="s">
        <v>2991</v>
      </c>
      <c r="L12" s="0" t="s">
        <v>2992</v>
      </c>
    </row>
    <row r="13">
      <c r="A13" s="0" t="s">
        <v>44</v>
      </c>
      <c r="B13" s="0" t="s">
        <v>2121</v>
      </c>
      <c r="C13" s="0"/>
      <c r="D13" s="0">
        <v>500</v>
      </c>
      <c r="E13" s="0"/>
      <c r="F13" s="0" t="s">
        <v>1827</v>
      </c>
      <c r="G13" s="0"/>
      <c r="H13" s="0" t="s">
        <v>2507</v>
      </c>
      <c r="I13" s="0" t="s">
        <v>2402</v>
      </c>
      <c r="J13" s="0"/>
      <c r="K13" s="0" t="s">
        <v>2991</v>
      </c>
      <c r="L13" s="0" t="s">
        <v>2992</v>
      </c>
    </row>
    <row r="14">
      <c r="A14" s="0" t="s">
        <v>44</v>
      </c>
      <c r="B14" s="0" t="s">
        <v>2122</v>
      </c>
      <c r="C14" s="0"/>
      <c r="D14" s="0">
        <v>115</v>
      </c>
      <c r="E14" s="0"/>
      <c r="F14" s="0" t="s">
        <v>2189</v>
      </c>
      <c r="G14" s="0"/>
      <c r="H14" s="0" t="s">
        <v>2508</v>
      </c>
      <c r="I14" s="0" t="s">
        <v>1793</v>
      </c>
      <c r="J14" s="0"/>
      <c r="K14" s="0" t="s">
        <v>2991</v>
      </c>
      <c r="L14" s="0" t="s">
        <v>2992</v>
      </c>
    </row>
    <row r="15">
      <c r="A15" s="0" t="s">
        <v>44</v>
      </c>
      <c r="B15" s="0" t="s">
        <v>2122</v>
      </c>
      <c r="C15" s="0"/>
      <c r="D15" s="0">
        <v>14.4</v>
      </c>
      <c r="E15" s="0"/>
      <c r="F15" s="0" t="s">
        <v>2190</v>
      </c>
      <c r="G15" s="0"/>
      <c r="H15" s="0" t="s">
        <v>2509</v>
      </c>
      <c r="I15" s="0" t="s">
        <v>1793</v>
      </c>
      <c r="J15" s="0"/>
      <c r="K15" s="0" t="s">
        <v>2991</v>
      </c>
      <c r="L15" s="0" t="s">
        <v>2992</v>
      </c>
    </row>
    <row r="16">
      <c r="A16" s="0" t="s">
        <v>44</v>
      </c>
      <c r="B16" s="0" t="s">
        <v>2122</v>
      </c>
      <c r="C16" s="0"/>
      <c r="D16" s="0">
        <v>25</v>
      </c>
      <c r="E16" s="0"/>
      <c r="F16" s="0" t="s">
        <v>1765</v>
      </c>
      <c r="G16" s="0"/>
      <c r="H16" s="0" t="s">
        <v>2510</v>
      </c>
      <c r="I16" s="0" t="s">
        <v>1793</v>
      </c>
      <c r="J16" s="0"/>
      <c r="K16" s="0" t="s">
        <v>2991</v>
      </c>
      <c r="L16" s="0" t="s">
        <v>2992</v>
      </c>
    </row>
    <row r="17">
      <c r="A17" s="0" t="s">
        <v>44</v>
      </c>
      <c r="B17" s="0" t="s">
        <v>2122</v>
      </c>
      <c r="C17" s="0"/>
      <c r="D17" s="0">
        <v>123</v>
      </c>
      <c r="E17" s="0"/>
      <c r="F17" s="0" t="s">
        <v>2191</v>
      </c>
      <c r="G17" s="0"/>
      <c r="H17" s="0" t="s">
        <v>2511</v>
      </c>
      <c r="I17" s="0" t="s">
        <v>1793</v>
      </c>
      <c r="J17" s="0"/>
      <c r="K17" s="0" t="s">
        <v>2991</v>
      </c>
      <c r="L17" s="0" t="s">
        <v>2992</v>
      </c>
    </row>
    <row r="18">
      <c r="A18" s="0" t="s">
        <v>44</v>
      </c>
      <c r="B18" s="0" t="s">
        <v>2123</v>
      </c>
      <c r="C18" s="0"/>
      <c r="D18" s="0">
        <v>0.0050000000000000001</v>
      </c>
      <c r="E18" s="0"/>
      <c r="F18" s="0" t="s">
        <v>794</v>
      </c>
      <c r="G18" s="0"/>
      <c r="H18" s="0" t="s">
        <v>2512</v>
      </c>
      <c r="I18" s="0" t="s">
        <v>1786</v>
      </c>
      <c r="J18" s="0"/>
      <c r="K18" s="0" t="s">
        <v>2991</v>
      </c>
      <c r="L18" s="0" t="s">
        <v>2992</v>
      </c>
    </row>
    <row r="19">
      <c r="A19" s="0" t="s">
        <v>44</v>
      </c>
      <c r="B19" s="0" t="s">
        <v>2124</v>
      </c>
      <c r="C19" s="0"/>
      <c r="D19" s="0">
        <v>74</v>
      </c>
      <c r="E19" s="0"/>
      <c r="F19" s="0" t="s">
        <v>1755</v>
      </c>
      <c r="G19" s="0"/>
      <c r="H19" s="0" t="s">
        <v>2513</v>
      </c>
      <c r="I19" s="0" t="s">
        <v>1781</v>
      </c>
      <c r="J19" s="0"/>
      <c r="K19" s="0" t="s">
        <v>2991</v>
      </c>
      <c r="L19" s="0" t="s">
        <v>2992</v>
      </c>
    </row>
    <row r="20">
      <c r="A20" s="0" t="s">
        <v>44</v>
      </c>
      <c r="B20" s="0" t="s">
        <v>2124</v>
      </c>
      <c r="C20" s="0"/>
      <c r="D20" s="0">
        <v>94</v>
      </c>
      <c r="E20" s="0"/>
      <c r="F20" s="0" t="s">
        <v>1722</v>
      </c>
      <c r="G20" s="0"/>
      <c r="H20" s="0" t="s">
        <v>2514</v>
      </c>
      <c r="I20" s="0" t="s">
        <v>1781</v>
      </c>
      <c r="J20" s="0"/>
      <c r="K20" s="0" t="s">
        <v>2991</v>
      </c>
      <c r="L20" s="0" t="s">
        <v>2992</v>
      </c>
    </row>
    <row r="21">
      <c r="A21" s="0" t="s">
        <v>44</v>
      </c>
      <c r="B21" s="0" t="s">
        <v>2124</v>
      </c>
      <c r="C21" s="0"/>
      <c r="D21" s="0">
        <v>88</v>
      </c>
      <c r="E21" s="0"/>
      <c r="F21" s="0" t="s">
        <v>1723</v>
      </c>
      <c r="G21" s="0"/>
      <c r="H21" s="0" t="s">
        <v>2515</v>
      </c>
      <c r="I21" s="0" t="s">
        <v>1781</v>
      </c>
      <c r="J21" s="0"/>
      <c r="K21" s="0" t="s">
        <v>2991</v>
      </c>
      <c r="L21" s="0" t="s">
        <v>2992</v>
      </c>
    </row>
    <row r="22">
      <c r="A22" s="0" t="s">
        <v>44</v>
      </c>
      <c r="B22" s="0" t="s">
        <v>2124</v>
      </c>
      <c r="C22" s="0"/>
      <c r="D22" s="0">
        <v>47</v>
      </c>
      <c r="E22" s="0"/>
      <c r="F22" s="0" t="s">
        <v>1792</v>
      </c>
      <c r="G22" s="0"/>
      <c r="H22" s="0" t="s">
        <v>2516</v>
      </c>
      <c r="I22" s="0" t="s">
        <v>1781</v>
      </c>
      <c r="J22" s="0"/>
      <c r="K22" s="0" t="s">
        <v>2991</v>
      </c>
      <c r="L22" s="0" t="s">
        <v>2992</v>
      </c>
    </row>
    <row r="23">
      <c r="A23" s="0" t="s">
        <v>44</v>
      </c>
      <c r="B23" s="0" t="s">
        <v>2124</v>
      </c>
      <c r="C23" s="0"/>
      <c r="D23" s="0">
        <v>18</v>
      </c>
      <c r="E23" s="0"/>
      <c r="F23" s="0" t="s">
        <v>803</v>
      </c>
      <c r="G23" s="0"/>
      <c r="H23" s="0" t="s">
        <v>2517</v>
      </c>
      <c r="I23" s="0" t="s">
        <v>1781</v>
      </c>
      <c r="J23" s="0"/>
      <c r="K23" s="0" t="s">
        <v>2991</v>
      </c>
      <c r="L23" s="0" t="s">
        <v>2992</v>
      </c>
    </row>
    <row r="24">
      <c r="A24" s="0" t="s">
        <v>44</v>
      </c>
      <c r="B24" s="0" t="s">
        <v>243</v>
      </c>
      <c r="C24" s="0"/>
      <c r="D24" s="0">
        <v>68</v>
      </c>
      <c r="E24" s="0"/>
      <c r="F24" s="0" t="s">
        <v>2192</v>
      </c>
      <c r="G24" s="0"/>
      <c r="H24" s="0"/>
      <c r="I24" s="0" t="s">
        <v>637</v>
      </c>
      <c r="J24" s="0"/>
      <c r="K24" s="0" t="s">
        <v>2991</v>
      </c>
      <c r="L24" s="0" t="s">
        <v>2992</v>
      </c>
    </row>
    <row r="25">
      <c r="A25" s="0" t="s">
        <v>44</v>
      </c>
      <c r="B25" s="0" t="s">
        <v>2125</v>
      </c>
      <c r="C25" s="0"/>
      <c r="D25" s="0">
        <v>0.063</v>
      </c>
      <c r="E25" s="0"/>
      <c r="F25" s="0" t="s">
        <v>587</v>
      </c>
      <c r="G25" s="0"/>
      <c r="H25" s="0" t="s">
        <v>2518</v>
      </c>
      <c r="I25" s="0" t="s">
        <v>1762</v>
      </c>
      <c r="J25" s="0"/>
      <c r="K25" s="0" t="s">
        <v>2991</v>
      </c>
      <c r="L25" s="0" t="s">
        <v>2992</v>
      </c>
    </row>
    <row r="26">
      <c r="A26" s="0" t="s">
        <v>44</v>
      </c>
      <c r="B26" s="0" t="s">
        <v>244</v>
      </c>
      <c r="C26" s="0"/>
      <c r="D26" s="0">
        <v>61.420000000000002</v>
      </c>
      <c r="E26" s="0"/>
      <c r="F26" s="0" t="s">
        <v>2193</v>
      </c>
      <c r="G26" s="0"/>
      <c r="H26" s="0" t="s">
        <v>2519</v>
      </c>
      <c r="I26" s="0" t="s">
        <v>1655</v>
      </c>
      <c r="J26" s="0"/>
      <c r="K26" s="0" t="s">
        <v>2991</v>
      </c>
      <c r="L26" s="0" t="s">
        <v>2992</v>
      </c>
    </row>
    <row r="27">
      <c r="A27" s="0" t="s">
        <v>44</v>
      </c>
      <c r="B27" s="0" t="s">
        <v>244</v>
      </c>
      <c r="C27" s="0"/>
      <c r="D27" s="0">
        <v>3294</v>
      </c>
      <c r="E27" s="0"/>
      <c r="F27" s="0" t="s">
        <v>2194</v>
      </c>
      <c r="G27" s="0"/>
      <c r="H27" s="0" t="s">
        <v>2520</v>
      </c>
      <c r="I27" s="0" t="s">
        <v>1655</v>
      </c>
      <c r="J27" s="0"/>
      <c r="K27" s="0" t="s">
        <v>2991</v>
      </c>
      <c r="L27" s="0" t="s">
        <v>2992</v>
      </c>
    </row>
    <row r="28">
      <c r="A28" s="0" t="s">
        <v>44</v>
      </c>
      <c r="B28" s="0" t="s">
        <v>245</v>
      </c>
      <c r="C28" s="0"/>
      <c r="D28" s="0">
        <v>292</v>
      </c>
      <c r="E28" s="0"/>
      <c r="F28" s="0" t="s">
        <v>1683</v>
      </c>
      <c r="G28" s="0"/>
      <c r="H28" s="0" t="s">
        <v>2521</v>
      </c>
      <c r="I28" s="0" t="s">
        <v>1657</v>
      </c>
      <c r="J28" s="0"/>
      <c r="K28" s="0" t="s">
        <v>2991</v>
      </c>
      <c r="L28" s="0" t="s">
        <v>2992</v>
      </c>
    </row>
    <row r="29">
      <c r="A29" s="0" t="s">
        <v>44</v>
      </c>
      <c r="B29" s="0" t="s">
        <v>245</v>
      </c>
      <c r="C29" s="0"/>
      <c r="D29" s="0">
        <v>3586</v>
      </c>
      <c r="E29" s="0"/>
      <c r="F29" s="0" t="s">
        <v>2195</v>
      </c>
      <c r="G29" s="0"/>
      <c r="H29" s="0" t="s">
        <v>2522</v>
      </c>
      <c r="I29" s="0" t="s">
        <v>1656</v>
      </c>
      <c r="J29" s="0"/>
      <c r="K29" s="0" t="s">
        <v>2991</v>
      </c>
      <c r="L29" s="0" t="s">
        <v>2992</v>
      </c>
    </row>
    <row r="30">
      <c r="A30" s="0" t="s">
        <v>44</v>
      </c>
      <c r="B30" s="0" t="s">
        <v>2126</v>
      </c>
      <c r="C30" s="0"/>
      <c r="D30" s="0">
        <v>13.26</v>
      </c>
      <c r="E30" s="0"/>
      <c r="F30" s="0" t="s">
        <v>2196</v>
      </c>
      <c r="G30" s="0"/>
      <c r="H30" s="0" t="s">
        <v>2523</v>
      </c>
      <c r="I30" s="0" t="s">
        <v>1738</v>
      </c>
      <c r="J30" s="0"/>
      <c r="K30" s="0" t="s">
        <v>2991</v>
      </c>
      <c r="L30" s="0" t="s">
        <v>2992</v>
      </c>
    </row>
    <row r="31">
      <c r="A31" s="0" t="s">
        <v>44</v>
      </c>
      <c r="B31" s="0" t="s">
        <v>2127</v>
      </c>
      <c r="C31" s="0"/>
      <c r="D31" s="0">
        <v>400</v>
      </c>
      <c r="E31" s="0"/>
      <c r="F31" s="0" t="s">
        <v>2197</v>
      </c>
      <c r="G31" s="0"/>
      <c r="H31" s="0" t="s">
        <v>2524</v>
      </c>
      <c r="I31" s="0" t="s">
        <v>1773</v>
      </c>
      <c r="J31" s="0"/>
      <c r="K31" s="0" t="s">
        <v>2991</v>
      </c>
      <c r="L31" s="0" t="s">
        <v>2992</v>
      </c>
    </row>
    <row r="32">
      <c r="A32" s="0" t="s">
        <v>44</v>
      </c>
      <c r="B32" s="0" t="s">
        <v>2127</v>
      </c>
      <c r="C32" s="0"/>
      <c r="D32" s="0">
        <v>6</v>
      </c>
      <c r="E32" s="0"/>
      <c r="F32" s="0" t="s">
        <v>1756</v>
      </c>
      <c r="G32" s="0"/>
      <c r="H32" s="0" t="s">
        <v>2525</v>
      </c>
      <c r="I32" s="0" t="s">
        <v>1773</v>
      </c>
      <c r="J32" s="0"/>
      <c r="K32" s="0" t="s">
        <v>2991</v>
      </c>
      <c r="L32" s="0" t="s">
        <v>2992</v>
      </c>
    </row>
    <row r="33">
      <c r="A33" s="0" t="s">
        <v>44</v>
      </c>
      <c r="B33" s="0" t="s">
        <v>2127</v>
      </c>
      <c r="C33" s="0"/>
      <c r="D33" s="0">
        <v>11</v>
      </c>
      <c r="E33" s="0"/>
      <c r="F33" s="0" t="s">
        <v>595</v>
      </c>
      <c r="G33" s="0"/>
      <c r="H33" s="0" t="s">
        <v>2526</v>
      </c>
      <c r="I33" s="0" t="s">
        <v>1773</v>
      </c>
      <c r="J33" s="0"/>
      <c r="K33" s="0" t="s">
        <v>2991</v>
      </c>
      <c r="L33" s="0" t="s">
        <v>2992</v>
      </c>
    </row>
    <row r="34">
      <c r="A34" s="0" t="s">
        <v>44</v>
      </c>
      <c r="B34" s="0" t="s">
        <v>2127</v>
      </c>
      <c r="C34" s="0"/>
      <c r="D34" s="0">
        <v>64</v>
      </c>
      <c r="E34" s="0"/>
      <c r="F34" s="0" t="s">
        <v>2198</v>
      </c>
      <c r="G34" s="0"/>
      <c r="H34" s="0" t="s">
        <v>2527</v>
      </c>
      <c r="I34" s="0" t="s">
        <v>1773</v>
      </c>
      <c r="J34" s="0"/>
      <c r="K34" s="0" t="s">
        <v>2991</v>
      </c>
      <c r="L34" s="0" t="s">
        <v>2992</v>
      </c>
    </row>
    <row r="35">
      <c r="A35" s="0" t="s">
        <v>44</v>
      </c>
      <c r="B35" s="0" t="s">
        <v>2127</v>
      </c>
      <c r="C35" s="0"/>
      <c r="D35" s="0">
        <v>110</v>
      </c>
      <c r="E35" s="0"/>
      <c r="F35" s="0" t="s">
        <v>1771</v>
      </c>
      <c r="G35" s="0"/>
      <c r="H35" s="0" t="s">
        <v>2528</v>
      </c>
      <c r="I35" s="0" t="s">
        <v>1773</v>
      </c>
      <c r="J35" s="0"/>
      <c r="K35" s="0" t="s">
        <v>2991</v>
      </c>
      <c r="L35" s="0" t="s">
        <v>2992</v>
      </c>
    </row>
    <row r="36">
      <c r="A36" s="0" t="s">
        <v>44</v>
      </c>
      <c r="B36" s="0" t="s">
        <v>2127</v>
      </c>
      <c r="C36" s="0"/>
      <c r="D36" s="0">
        <v>72</v>
      </c>
      <c r="E36" s="0"/>
      <c r="F36" s="0" t="s">
        <v>1657</v>
      </c>
      <c r="G36" s="0"/>
      <c r="H36" s="0" t="s">
        <v>2529</v>
      </c>
      <c r="I36" s="0" t="s">
        <v>1773</v>
      </c>
      <c r="J36" s="0"/>
      <c r="K36" s="0" t="s">
        <v>2991</v>
      </c>
      <c r="L36" s="0" t="s">
        <v>2992</v>
      </c>
    </row>
    <row r="37">
      <c r="A37" s="0" t="s">
        <v>44</v>
      </c>
      <c r="B37" s="0" t="s">
        <v>2127</v>
      </c>
      <c r="C37" s="0"/>
      <c r="D37" s="0">
        <v>3600</v>
      </c>
      <c r="E37" s="0"/>
      <c r="F37" s="0" t="s">
        <v>2199</v>
      </c>
      <c r="G37" s="0"/>
      <c r="H37" s="0" t="s">
        <v>2530</v>
      </c>
      <c r="I37" s="0" t="s">
        <v>1773</v>
      </c>
      <c r="J37" s="0"/>
      <c r="K37" s="0" t="s">
        <v>2991</v>
      </c>
      <c r="L37" s="0" t="s">
        <v>2992</v>
      </c>
    </row>
    <row r="38">
      <c r="A38" s="0" t="s">
        <v>44</v>
      </c>
      <c r="B38" s="0" t="s">
        <v>2127</v>
      </c>
      <c r="C38" s="0"/>
      <c r="D38" s="0">
        <v>2600</v>
      </c>
      <c r="E38" s="0"/>
      <c r="F38" s="0" t="s">
        <v>2200</v>
      </c>
      <c r="G38" s="0"/>
      <c r="H38" s="0" t="s">
        <v>2531</v>
      </c>
      <c r="I38" s="0" t="s">
        <v>1773</v>
      </c>
      <c r="J38" s="0"/>
      <c r="K38" s="0" t="s">
        <v>2991</v>
      </c>
      <c r="L38" s="0" t="s">
        <v>2992</v>
      </c>
    </row>
    <row r="39">
      <c r="A39" s="0" t="s">
        <v>44</v>
      </c>
      <c r="B39" s="0" t="s">
        <v>365</v>
      </c>
      <c r="C39" s="0"/>
      <c r="D39" s="0">
        <v>0.62</v>
      </c>
      <c r="E39" s="0"/>
      <c r="F39" s="0" t="s">
        <v>1863</v>
      </c>
      <c r="G39" s="0"/>
      <c r="H39" s="0" t="s">
        <v>2532</v>
      </c>
      <c r="I39" s="0" t="s">
        <v>2438</v>
      </c>
      <c r="J39" s="0"/>
      <c r="K39" s="0" t="s">
        <v>2991</v>
      </c>
      <c r="L39" s="0" t="s">
        <v>2992</v>
      </c>
    </row>
    <row r="40">
      <c r="A40" s="0" t="s">
        <v>44</v>
      </c>
      <c r="B40" s="0" t="s">
        <v>2128</v>
      </c>
      <c r="C40" s="0"/>
      <c r="D40" s="0">
        <v>1100</v>
      </c>
      <c r="E40" s="0"/>
      <c r="F40" s="0" t="s">
        <v>2201</v>
      </c>
      <c r="G40" s="0"/>
      <c r="H40" s="0" t="s">
        <v>2533</v>
      </c>
      <c r="I40" s="0" t="s">
        <v>1785</v>
      </c>
      <c r="J40" s="0"/>
      <c r="K40" s="0" t="s">
        <v>2991</v>
      </c>
      <c r="L40" s="0" t="s">
        <v>2992</v>
      </c>
    </row>
    <row r="41">
      <c r="A41" s="0" t="s">
        <v>44</v>
      </c>
      <c r="B41" s="0" t="s">
        <v>330</v>
      </c>
      <c r="C41" s="0"/>
      <c r="D41" s="0">
        <v>811</v>
      </c>
      <c r="E41" s="0"/>
      <c r="F41" s="0" t="s">
        <v>2202</v>
      </c>
      <c r="G41" s="0"/>
      <c r="H41" s="0" t="s">
        <v>2534</v>
      </c>
      <c r="I41" s="0" t="s">
        <v>2932</v>
      </c>
      <c r="J41" s="0"/>
      <c r="K41" s="0" t="s">
        <v>2991</v>
      </c>
      <c r="L41" s="0" t="s">
        <v>2992</v>
      </c>
    </row>
    <row r="42">
      <c r="A42" s="0" t="s">
        <v>44</v>
      </c>
      <c r="B42" s="0" t="s">
        <v>2129</v>
      </c>
      <c r="C42" s="0"/>
      <c r="D42" s="0">
        <v>13900</v>
      </c>
      <c r="E42" s="0"/>
      <c r="F42" s="0" t="s">
        <v>2203</v>
      </c>
      <c r="G42" s="0"/>
      <c r="H42" s="0" t="s">
        <v>2535</v>
      </c>
      <c r="I42" s="0" t="s">
        <v>1723</v>
      </c>
      <c r="J42" s="0"/>
      <c r="K42" s="0" t="s">
        <v>2991</v>
      </c>
      <c r="L42" s="0" t="s">
        <v>2992</v>
      </c>
    </row>
    <row r="43">
      <c r="A43" s="0" t="s">
        <v>44</v>
      </c>
      <c r="B43" s="0" t="s">
        <v>2130</v>
      </c>
      <c r="C43" s="0"/>
      <c r="D43" s="0">
        <v>80</v>
      </c>
      <c r="E43" s="0"/>
      <c r="F43" s="0" t="s">
        <v>2204</v>
      </c>
      <c r="G43" s="0"/>
      <c r="H43" s="0" t="s">
        <v>2536</v>
      </c>
      <c r="I43" s="0" t="s">
        <v>1734</v>
      </c>
      <c r="J43" s="0"/>
      <c r="K43" s="0" t="s">
        <v>2991</v>
      </c>
      <c r="L43" s="0" t="s">
        <v>2992</v>
      </c>
    </row>
    <row r="44">
      <c r="A44" s="0" t="s">
        <v>44</v>
      </c>
      <c r="B44" s="0" t="s">
        <v>2127</v>
      </c>
      <c r="C44" s="0"/>
      <c r="D44" s="0">
        <v>36.299999999999997</v>
      </c>
      <c r="E44" s="0"/>
      <c r="F44" s="0" t="s">
        <v>910</v>
      </c>
      <c r="G44" s="0"/>
      <c r="H44" s="0" t="s">
        <v>2537</v>
      </c>
      <c r="I44" s="0" t="s">
        <v>1775</v>
      </c>
      <c r="J44" s="0"/>
      <c r="K44" s="0" t="s">
        <v>2991</v>
      </c>
      <c r="L44" s="0" t="s">
        <v>2992</v>
      </c>
    </row>
    <row r="45">
      <c r="A45" s="0" t="s">
        <v>44</v>
      </c>
      <c r="B45" s="0" t="s">
        <v>2131</v>
      </c>
      <c r="C45" s="0"/>
      <c r="D45" s="0">
        <v>10000</v>
      </c>
      <c r="E45" s="0"/>
      <c r="F45" s="0" t="s">
        <v>2205</v>
      </c>
      <c r="G45" s="0"/>
      <c r="H45" s="0" t="s">
        <v>2538</v>
      </c>
      <c r="I45" s="0" t="s">
        <v>2933</v>
      </c>
      <c r="J45" s="0"/>
      <c r="K45" s="0" t="s">
        <v>2991</v>
      </c>
      <c r="L45" s="0" t="s">
        <v>2992</v>
      </c>
    </row>
    <row r="46">
      <c r="A46" s="0" t="s">
        <v>44</v>
      </c>
      <c r="B46" s="0" t="s">
        <v>2131</v>
      </c>
      <c r="C46" s="0"/>
      <c r="D46" s="0">
        <v>160</v>
      </c>
      <c r="E46" s="0"/>
      <c r="F46" s="0" t="s">
        <v>2206</v>
      </c>
      <c r="G46" s="0"/>
      <c r="H46" s="0" t="s">
        <v>2539</v>
      </c>
      <c r="I46" s="0" t="s">
        <v>2933</v>
      </c>
      <c r="J46" s="0"/>
      <c r="K46" s="0" t="s">
        <v>2991</v>
      </c>
      <c r="L46" s="0" t="s">
        <v>2992</v>
      </c>
    </row>
    <row r="47">
      <c r="A47" s="0" t="s">
        <v>44</v>
      </c>
      <c r="B47" s="0" t="s">
        <v>2132</v>
      </c>
      <c r="C47" s="0"/>
      <c r="D47" s="0">
        <v>155.1</v>
      </c>
      <c r="E47" s="0"/>
      <c r="F47" s="0" t="s">
        <v>2207</v>
      </c>
      <c r="G47" s="0"/>
      <c r="H47" s="0" t="s">
        <v>2540</v>
      </c>
      <c r="I47" s="0" t="s">
        <v>2934</v>
      </c>
      <c r="J47" s="0"/>
      <c r="K47" s="0" t="s">
        <v>2991</v>
      </c>
      <c r="L47" s="0" t="s">
        <v>2992</v>
      </c>
    </row>
    <row r="48">
      <c r="A48" s="0" t="s">
        <v>44</v>
      </c>
      <c r="B48" s="0" t="s">
        <v>2132</v>
      </c>
      <c r="C48" s="0"/>
      <c r="D48" s="0">
        <v>2259</v>
      </c>
      <c r="E48" s="0"/>
      <c r="F48" s="0" t="s">
        <v>2208</v>
      </c>
      <c r="G48" s="0"/>
      <c r="H48" s="0" t="s">
        <v>2541</v>
      </c>
      <c r="I48" s="0" t="s">
        <v>2934</v>
      </c>
      <c r="J48" s="0"/>
      <c r="K48" s="0" t="s">
        <v>2991</v>
      </c>
      <c r="L48" s="0" t="s">
        <v>2992</v>
      </c>
    </row>
    <row r="49">
      <c r="A49" s="0" t="s">
        <v>44</v>
      </c>
      <c r="B49" s="0" t="s">
        <v>246</v>
      </c>
      <c r="C49" s="0"/>
      <c r="D49" s="0">
        <v>216</v>
      </c>
      <c r="E49" s="0"/>
      <c r="F49" s="0" t="s">
        <v>2209</v>
      </c>
      <c r="G49" s="0"/>
      <c r="H49" s="0"/>
      <c r="I49" s="0" t="s">
        <v>643</v>
      </c>
      <c r="J49" s="0"/>
      <c r="K49" s="0" t="s">
        <v>2991</v>
      </c>
      <c r="L49" s="0" t="s">
        <v>2992</v>
      </c>
    </row>
    <row r="50">
      <c r="A50" s="0" t="s">
        <v>44</v>
      </c>
      <c r="B50" s="0" t="s">
        <v>246</v>
      </c>
      <c r="C50" s="0"/>
      <c r="D50" s="0">
        <v>1150</v>
      </c>
      <c r="E50" s="0"/>
      <c r="F50" s="0" t="s">
        <v>1864</v>
      </c>
      <c r="G50" s="0"/>
      <c r="H50" s="0"/>
      <c r="I50" s="0" t="s">
        <v>803</v>
      </c>
      <c r="J50" s="0"/>
      <c r="K50" s="0" t="s">
        <v>2991</v>
      </c>
      <c r="L50" s="0" t="s">
        <v>2992</v>
      </c>
    </row>
    <row r="51">
      <c r="A51" s="0" t="s">
        <v>44</v>
      </c>
      <c r="B51" s="0" t="s">
        <v>2133</v>
      </c>
      <c r="C51" s="0"/>
      <c r="D51" s="0">
        <v>0.0054000000000000003</v>
      </c>
      <c r="E51" s="0"/>
      <c r="F51" s="0" t="s">
        <v>1051</v>
      </c>
      <c r="G51" s="0"/>
      <c r="H51" s="0" t="s">
        <v>2542</v>
      </c>
      <c r="I51" s="0" t="s">
        <v>2426</v>
      </c>
      <c r="J51" s="0"/>
      <c r="K51" s="0" t="s">
        <v>2991</v>
      </c>
      <c r="L51" s="0" t="s">
        <v>2992</v>
      </c>
    </row>
    <row r="52">
      <c r="A52" s="0" t="s">
        <v>44</v>
      </c>
      <c r="B52" s="0" t="s">
        <v>2133</v>
      </c>
      <c r="C52" s="0"/>
      <c r="D52" s="0">
        <v>0.0073000000000000001</v>
      </c>
      <c r="E52" s="0"/>
      <c r="F52" s="0" t="s">
        <v>1946</v>
      </c>
      <c r="G52" s="0"/>
      <c r="H52" s="0" t="s">
        <v>2543</v>
      </c>
      <c r="I52" s="0" t="s">
        <v>2426</v>
      </c>
      <c r="J52" s="0"/>
      <c r="K52" s="0" t="s">
        <v>2991</v>
      </c>
      <c r="L52" s="0" t="s">
        <v>2992</v>
      </c>
    </row>
    <row r="53">
      <c r="A53" s="0" t="s">
        <v>44</v>
      </c>
      <c r="B53" s="0" t="s">
        <v>2133</v>
      </c>
      <c r="C53" s="0"/>
      <c r="D53" s="0">
        <v>0.0057999999999999996</v>
      </c>
      <c r="E53" s="0"/>
      <c r="F53" s="0" t="s">
        <v>2210</v>
      </c>
      <c r="G53" s="0"/>
      <c r="H53" s="0" t="s">
        <v>2544</v>
      </c>
      <c r="I53" s="0" t="s">
        <v>2426</v>
      </c>
      <c r="J53" s="0"/>
      <c r="K53" s="0" t="s">
        <v>2991</v>
      </c>
      <c r="L53" s="0" t="s">
        <v>2992</v>
      </c>
    </row>
    <row r="54">
      <c r="A54" s="0" t="s">
        <v>44</v>
      </c>
      <c r="B54" s="0" t="s">
        <v>2133</v>
      </c>
      <c r="C54" s="0"/>
      <c r="D54" s="0">
        <v>0.0033999999999999998</v>
      </c>
      <c r="E54" s="0"/>
      <c r="F54" s="0" t="s">
        <v>1040</v>
      </c>
      <c r="G54" s="0"/>
      <c r="H54" s="0" t="s">
        <v>2545</v>
      </c>
      <c r="I54" s="0" t="s">
        <v>2426</v>
      </c>
      <c r="J54" s="0"/>
      <c r="K54" s="0" t="s">
        <v>2991</v>
      </c>
      <c r="L54" s="0" t="s">
        <v>2992</v>
      </c>
    </row>
    <row r="55">
      <c r="A55" s="0" t="s">
        <v>44</v>
      </c>
      <c r="B55" s="0" t="s">
        <v>2133</v>
      </c>
      <c r="C55" s="0"/>
      <c r="D55" s="0">
        <v>0.0088999999999999999</v>
      </c>
      <c r="E55" s="0"/>
      <c r="F55" s="0" t="s">
        <v>1113</v>
      </c>
      <c r="G55" s="0"/>
      <c r="H55" s="0" t="s">
        <v>2546</v>
      </c>
      <c r="I55" s="0" t="s">
        <v>2426</v>
      </c>
      <c r="J55" s="0"/>
      <c r="K55" s="0" t="s">
        <v>2991</v>
      </c>
      <c r="L55" s="0" t="s">
        <v>2992</v>
      </c>
    </row>
    <row r="56">
      <c r="A56" s="0" t="s">
        <v>44</v>
      </c>
      <c r="B56" s="0" t="s">
        <v>2133</v>
      </c>
      <c r="C56" s="0"/>
      <c r="D56" s="0">
        <v>0.024199999999999999</v>
      </c>
      <c r="E56" s="0"/>
      <c r="F56" s="0" t="s">
        <v>2211</v>
      </c>
      <c r="G56" s="0"/>
      <c r="H56" s="0" t="s">
        <v>2547</v>
      </c>
      <c r="I56" s="0" t="s">
        <v>2426</v>
      </c>
      <c r="J56" s="0"/>
      <c r="K56" s="0" t="s">
        <v>2991</v>
      </c>
      <c r="L56" s="0" t="s">
        <v>2992</v>
      </c>
    </row>
    <row r="57">
      <c r="A57" s="0" t="s">
        <v>44</v>
      </c>
      <c r="B57" s="0" t="s">
        <v>2133</v>
      </c>
      <c r="C57" s="0"/>
      <c r="D57" s="0">
        <v>0.021399999999999999</v>
      </c>
      <c r="E57" s="0"/>
      <c r="F57" s="0" t="s">
        <v>2212</v>
      </c>
      <c r="G57" s="0"/>
      <c r="H57" s="0" t="s">
        <v>2548</v>
      </c>
      <c r="I57" s="0" t="s">
        <v>2426</v>
      </c>
      <c r="J57" s="0"/>
      <c r="K57" s="0" t="s">
        <v>2991</v>
      </c>
      <c r="L57" s="0" t="s">
        <v>2992</v>
      </c>
    </row>
    <row r="58">
      <c r="A58" s="0" t="s">
        <v>44</v>
      </c>
      <c r="B58" s="0" t="s">
        <v>247</v>
      </c>
      <c r="C58" s="0"/>
      <c r="D58" s="0">
        <v>773</v>
      </c>
      <c r="E58" s="0"/>
      <c r="F58" s="0" t="s">
        <v>2213</v>
      </c>
      <c r="G58" s="0"/>
      <c r="H58" s="0" t="s">
        <v>2549</v>
      </c>
      <c r="I58" s="0" t="s">
        <v>1658</v>
      </c>
      <c r="J58" s="0"/>
      <c r="K58" s="0" t="s">
        <v>2991</v>
      </c>
      <c r="L58" s="0" t="s">
        <v>2992</v>
      </c>
    </row>
    <row r="59">
      <c r="A59" s="0" t="s">
        <v>44</v>
      </c>
      <c r="B59" s="0" t="s">
        <v>248</v>
      </c>
      <c r="C59" s="0"/>
      <c r="D59" s="0">
        <v>5023</v>
      </c>
      <c r="E59" s="0"/>
      <c r="F59" s="0" t="s">
        <v>2214</v>
      </c>
      <c r="G59" s="0"/>
      <c r="H59" s="0" t="s">
        <v>2550</v>
      </c>
      <c r="I59" s="0" t="s">
        <v>1659</v>
      </c>
      <c r="J59" s="0"/>
      <c r="K59" s="0" t="s">
        <v>2991</v>
      </c>
      <c r="L59" s="0" t="s">
        <v>2992</v>
      </c>
    </row>
    <row r="60">
      <c r="A60" s="0" t="s">
        <v>44</v>
      </c>
      <c r="B60" s="0" t="s">
        <v>249</v>
      </c>
      <c r="C60" s="0"/>
      <c r="D60" s="0">
        <v>11.9</v>
      </c>
      <c r="E60" s="0"/>
      <c r="F60" s="0" t="s">
        <v>2215</v>
      </c>
      <c r="G60" s="0"/>
      <c r="H60" s="0" t="s">
        <v>2551</v>
      </c>
      <c r="I60" s="0" t="s">
        <v>1660</v>
      </c>
      <c r="J60" s="0"/>
      <c r="K60" s="0" t="s">
        <v>2991</v>
      </c>
      <c r="L60" s="0" t="s">
        <v>2992</v>
      </c>
    </row>
    <row r="61">
      <c r="A61" s="0" t="s">
        <v>44</v>
      </c>
      <c r="B61" s="0" t="s">
        <v>249</v>
      </c>
      <c r="C61" s="0"/>
      <c r="D61" s="0">
        <v>385</v>
      </c>
      <c r="E61" s="0"/>
      <c r="F61" s="0" t="s">
        <v>2216</v>
      </c>
      <c r="G61" s="0"/>
      <c r="H61" s="0" t="s">
        <v>2552</v>
      </c>
      <c r="I61" s="0" t="s">
        <v>2935</v>
      </c>
      <c r="J61" s="0"/>
      <c r="K61" s="0" t="s">
        <v>2991</v>
      </c>
      <c r="L61" s="0" t="s">
        <v>2992</v>
      </c>
    </row>
    <row r="62">
      <c r="A62" s="0" t="s">
        <v>44</v>
      </c>
      <c r="B62" s="0" t="s">
        <v>249</v>
      </c>
      <c r="C62" s="0"/>
      <c r="D62" s="0">
        <v>1690</v>
      </c>
      <c r="E62" s="0"/>
      <c r="F62" s="0" t="s">
        <v>2217</v>
      </c>
      <c r="G62" s="0"/>
      <c r="H62" s="0" t="s">
        <v>2553</v>
      </c>
      <c r="I62" s="0" t="s">
        <v>1740</v>
      </c>
      <c r="J62" s="0"/>
      <c r="K62" s="0" t="s">
        <v>2991</v>
      </c>
      <c r="L62" s="0" t="s">
        <v>2992</v>
      </c>
    </row>
    <row r="63">
      <c r="A63" s="0" t="s">
        <v>44</v>
      </c>
      <c r="B63" s="0" t="s">
        <v>249</v>
      </c>
      <c r="C63" s="0"/>
      <c r="D63" s="0">
        <v>4788</v>
      </c>
      <c r="E63" s="0"/>
      <c r="F63" s="0" t="s">
        <v>2218</v>
      </c>
      <c r="G63" s="0"/>
      <c r="H63" s="0" t="s">
        <v>2554</v>
      </c>
      <c r="I63" s="0" t="s">
        <v>2935</v>
      </c>
      <c r="J63" s="0"/>
      <c r="K63" s="0" t="s">
        <v>2991</v>
      </c>
      <c r="L63" s="0" t="s">
        <v>2992</v>
      </c>
    </row>
    <row r="64">
      <c r="A64" s="0" t="s">
        <v>44</v>
      </c>
      <c r="B64" s="0" t="s">
        <v>306</v>
      </c>
      <c r="C64" s="0"/>
      <c r="D64" s="0">
        <v>45</v>
      </c>
      <c r="E64" s="0"/>
      <c r="F64" s="0" t="s">
        <v>1741</v>
      </c>
      <c r="G64" s="0"/>
      <c r="H64" s="0" t="s">
        <v>2555</v>
      </c>
      <c r="I64" s="0" t="s">
        <v>2936</v>
      </c>
      <c r="J64" s="0"/>
      <c r="K64" s="0" t="s">
        <v>2991</v>
      </c>
      <c r="L64" s="0" t="s">
        <v>2992</v>
      </c>
    </row>
    <row r="65">
      <c r="A65" s="0" t="s">
        <v>44</v>
      </c>
      <c r="B65" s="0" t="s">
        <v>2134</v>
      </c>
      <c r="C65" s="0"/>
      <c r="D65" s="0">
        <v>68.400000000000006</v>
      </c>
      <c r="E65" s="0"/>
      <c r="F65" s="0" t="s">
        <v>2219</v>
      </c>
      <c r="G65" s="0"/>
      <c r="H65" s="0" t="s">
        <v>2556</v>
      </c>
      <c r="I65" s="0" t="s">
        <v>1778</v>
      </c>
      <c r="J65" s="0"/>
      <c r="K65" s="0" t="s">
        <v>2991</v>
      </c>
      <c r="L65" s="0" t="s">
        <v>2992</v>
      </c>
    </row>
    <row r="66">
      <c r="A66" s="0" t="s">
        <v>44</v>
      </c>
      <c r="B66" s="0" t="s">
        <v>2135</v>
      </c>
      <c r="C66" s="0"/>
      <c r="D66" s="0">
        <v>0.057000000000000002</v>
      </c>
      <c r="E66" s="0"/>
      <c r="F66" s="0" t="s">
        <v>2220</v>
      </c>
      <c r="G66" s="0"/>
      <c r="H66" s="0" t="s">
        <v>2557</v>
      </c>
      <c r="I66" s="0" t="s">
        <v>1786</v>
      </c>
      <c r="J66" s="0"/>
      <c r="K66" s="0" t="s">
        <v>2991</v>
      </c>
      <c r="L66" s="0" t="s">
        <v>2992</v>
      </c>
    </row>
    <row r="67">
      <c r="A67" s="0" t="s">
        <v>44</v>
      </c>
      <c r="B67" s="0" t="s">
        <v>281</v>
      </c>
      <c r="C67" s="0"/>
      <c r="D67" s="0">
        <v>6.4000000000000004</v>
      </c>
      <c r="E67" s="0"/>
      <c r="F67" s="0" t="s">
        <v>1978</v>
      </c>
      <c r="G67" s="0"/>
      <c r="H67" s="0" t="s">
        <v>2558</v>
      </c>
      <c r="I67" s="0" t="s">
        <v>1788</v>
      </c>
      <c r="J67" s="0"/>
      <c r="K67" s="0" t="s">
        <v>2991</v>
      </c>
      <c r="L67" s="0" t="s">
        <v>2992</v>
      </c>
    </row>
    <row r="68">
      <c r="A68" s="0" t="s">
        <v>44</v>
      </c>
      <c r="B68" s="0" t="s">
        <v>281</v>
      </c>
      <c r="C68" s="0"/>
      <c r="D68" s="0">
        <v>7200</v>
      </c>
      <c r="E68" s="0"/>
      <c r="F68" s="0" t="s">
        <v>2221</v>
      </c>
      <c r="G68" s="0"/>
      <c r="H68" s="0" t="s">
        <v>2559</v>
      </c>
      <c r="I68" s="0" t="s">
        <v>1788</v>
      </c>
      <c r="J68" s="0"/>
      <c r="K68" s="0" t="s">
        <v>2991</v>
      </c>
      <c r="L68" s="0" t="s">
        <v>2992</v>
      </c>
    </row>
    <row r="69">
      <c r="A69" s="0" t="s">
        <v>44</v>
      </c>
      <c r="B69" s="0" t="s">
        <v>2136</v>
      </c>
      <c r="C69" s="0"/>
      <c r="D69" s="0">
        <v>5.6200000000000001</v>
      </c>
      <c r="E69" s="0"/>
      <c r="F69" s="0" t="s">
        <v>2222</v>
      </c>
      <c r="G69" s="0"/>
      <c r="H69" s="0" t="s">
        <v>2560</v>
      </c>
      <c r="I69" s="0" t="s">
        <v>2357</v>
      </c>
      <c r="J69" s="0"/>
      <c r="K69" s="0" t="s">
        <v>2991</v>
      </c>
      <c r="L69" s="0" t="s">
        <v>2992</v>
      </c>
    </row>
    <row r="70">
      <c r="A70" s="0" t="s">
        <v>44</v>
      </c>
      <c r="B70" s="0" t="s">
        <v>252</v>
      </c>
      <c r="C70" s="0"/>
      <c r="D70" s="0">
        <v>355.69999999999999</v>
      </c>
      <c r="E70" s="0"/>
      <c r="F70" s="0" t="s">
        <v>2223</v>
      </c>
      <c r="G70" s="0"/>
      <c r="H70" s="0" t="s">
        <v>2561</v>
      </c>
      <c r="I70" s="0" t="s">
        <v>1663</v>
      </c>
      <c r="J70" s="0"/>
      <c r="K70" s="0" t="s">
        <v>2991</v>
      </c>
      <c r="L70" s="0" t="s">
        <v>2992</v>
      </c>
    </row>
    <row r="71">
      <c r="A71" s="0" t="s">
        <v>44</v>
      </c>
      <c r="B71" s="0" t="s">
        <v>2137</v>
      </c>
      <c r="C71" s="0"/>
      <c r="D71" s="0">
        <v>85.939999999999998</v>
      </c>
      <c r="E71" s="0"/>
      <c r="F71" s="0" t="s">
        <v>2224</v>
      </c>
      <c r="G71" s="0"/>
      <c r="H71" s="0" t="s">
        <v>2562</v>
      </c>
      <c r="I71" s="0" t="s">
        <v>2937</v>
      </c>
      <c r="J71" s="0"/>
      <c r="K71" s="0" t="s">
        <v>2991</v>
      </c>
      <c r="L71" s="0" t="s">
        <v>2992</v>
      </c>
    </row>
    <row r="72">
      <c r="A72" s="0" t="s">
        <v>44</v>
      </c>
      <c r="B72" s="0" t="s">
        <v>2138</v>
      </c>
      <c r="C72" s="0"/>
      <c r="D72" s="0">
        <v>14</v>
      </c>
      <c r="E72" s="0"/>
      <c r="F72" s="0" t="s">
        <v>681</v>
      </c>
      <c r="G72" s="0"/>
      <c r="H72" s="0" t="s">
        <v>2563</v>
      </c>
      <c r="I72" s="0" t="s">
        <v>2938</v>
      </c>
      <c r="J72" s="0"/>
      <c r="K72" s="0" t="s">
        <v>2991</v>
      </c>
      <c r="L72" s="0" t="s">
        <v>2992</v>
      </c>
    </row>
    <row r="73">
      <c r="A73" s="0" t="s">
        <v>44</v>
      </c>
      <c r="B73" s="0" t="s">
        <v>2138</v>
      </c>
      <c r="C73" s="0"/>
      <c r="D73" s="0">
        <v>13.4</v>
      </c>
      <c r="E73" s="0"/>
      <c r="F73" s="0" t="s">
        <v>2225</v>
      </c>
      <c r="G73" s="0"/>
      <c r="H73" s="0" t="s">
        <v>2564</v>
      </c>
      <c r="I73" s="0" t="s">
        <v>2938</v>
      </c>
      <c r="J73" s="0"/>
      <c r="K73" s="0" t="s">
        <v>2991</v>
      </c>
      <c r="L73" s="0" t="s">
        <v>2992</v>
      </c>
    </row>
    <row r="74">
      <c r="A74" s="0" t="s">
        <v>44</v>
      </c>
      <c r="B74" s="0" t="s">
        <v>345</v>
      </c>
      <c r="C74" s="0"/>
      <c r="D74" s="0">
        <v>9000</v>
      </c>
      <c r="E74" s="0"/>
      <c r="F74" s="0" t="s">
        <v>2226</v>
      </c>
      <c r="G74" s="0"/>
      <c r="H74" s="0" t="s">
        <v>2565</v>
      </c>
      <c r="I74" s="0" t="s">
        <v>2430</v>
      </c>
      <c r="J74" s="0"/>
      <c r="K74" s="0" t="s">
        <v>2991</v>
      </c>
      <c r="L74" s="0" t="s">
        <v>2992</v>
      </c>
    </row>
    <row r="75">
      <c r="A75" s="0" t="s">
        <v>44</v>
      </c>
      <c r="B75" s="0" t="s">
        <v>2139</v>
      </c>
      <c r="C75" s="0"/>
      <c r="D75" s="0">
        <v>3500</v>
      </c>
      <c r="E75" s="0"/>
      <c r="F75" s="0" t="s">
        <v>2227</v>
      </c>
      <c r="G75" s="0"/>
      <c r="H75" s="0" t="s">
        <v>2566</v>
      </c>
      <c r="I75" s="0" t="s">
        <v>2939</v>
      </c>
      <c r="J75" s="0"/>
      <c r="K75" s="0" t="s">
        <v>2991</v>
      </c>
      <c r="L75" s="0" t="s">
        <v>2992</v>
      </c>
    </row>
    <row r="76">
      <c r="A76" s="0" t="s">
        <v>44</v>
      </c>
      <c r="B76" s="0" t="s">
        <v>281</v>
      </c>
      <c r="C76" s="0"/>
      <c r="D76" s="0">
        <v>82.599999999999994</v>
      </c>
      <c r="E76" s="0"/>
      <c r="F76" s="0" t="s">
        <v>2228</v>
      </c>
      <c r="G76" s="0"/>
      <c r="H76" s="0" t="s">
        <v>2567</v>
      </c>
      <c r="I76" s="0" t="s">
        <v>822</v>
      </c>
      <c r="J76" s="0"/>
      <c r="K76" s="0" t="s">
        <v>2991</v>
      </c>
      <c r="L76" s="0" t="s">
        <v>2992</v>
      </c>
    </row>
    <row r="77">
      <c r="A77" s="0" t="s">
        <v>44</v>
      </c>
      <c r="B77" s="0" t="s">
        <v>281</v>
      </c>
      <c r="C77" s="0"/>
      <c r="D77" s="0">
        <v>67.5</v>
      </c>
      <c r="E77" s="0"/>
      <c r="F77" s="0" t="s">
        <v>2229</v>
      </c>
      <c r="G77" s="0"/>
      <c r="H77" s="0" t="s">
        <v>2568</v>
      </c>
      <c r="I77" s="0" t="s">
        <v>822</v>
      </c>
      <c r="J77" s="0"/>
      <c r="K77" s="0" t="s">
        <v>2991</v>
      </c>
      <c r="L77" s="0" t="s">
        <v>2992</v>
      </c>
    </row>
    <row r="78">
      <c r="A78" s="0" t="s">
        <v>44</v>
      </c>
      <c r="B78" s="0" t="s">
        <v>268</v>
      </c>
      <c r="C78" s="0"/>
      <c r="D78" s="0">
        <v>58.399999999999999</v>
      </c>
      <c r="E78" s="0"/>
      <c r="F78" s="0" t="s">
        <v>2230</v>
      </c>
      <c r="G78" s="0"/>
      <c r="H78" s="0" t="s">
        <v>2569</v>
      </c>
      <c r="I78" s="0" t="s">
        <v>2940</v>
      </c>
      <c r="J78" s="0"/>
      <c r="K78" s="0" t="s">
        <v>2991</v>
      </c>
      <c r="L78" s="0" t="s">
        <v>2992</v>
      </c>
    </row>
    <row r="79">
      <c r="A79" s="0" t="s">
        <v>44</v>
      </c>
      <c r="B79" s="0" t="s">
        <v>2140</v>
      </c>
      <c r="C79" s="0"/>
      <c r="D79" s="0">
        <v>1084</v>
      </c>
      <c r="E79" s="0"/>
      <c r="F79" s="0" t="s">
        <v>2231</v>
      </c>
      <c r="G79" s="0"/>
      <c r="H79" s="0" t="s">
        <v>2570</v>
      </c>
      <c r="I79" s="0" t="s">
        <v>1737</v>
      </c>
      <c r="J79" s="0"/>
      <c r="K79" s="0" t="s">
        <v>2991</v>
      </c>
      <c r="L79" s="0" t="s">
        <v>2992</v>
      </c>
    </row>
    <row r="80">
      <c r="A80" s="0" t="s">
        <v>44</v>
      </c>
      <c r="B80" s="0" t="s">
        <v>2141</v>
      </c>
      <c r="C80" s="0"/>
      <c r="D80" s="0">
        <v>10700</v>
      </c>
      <c r="E80" s="0"/>
      <c r="F80" s="0" t="s">
        <v>2232</v>
      </c>
      <c r="G80" s="0"/>
      <c r="H80" s="0" t="s">
        <v>2571</v>
      </c>
      <c r="I80" s="0" t="s">
        <v>1718</v>
      </c>
      <c r="J80" s="0"/>
      <c r="K80" s="0" t="s">
        <v>2991</v>
      </c>
      <c r="L80" s="0" t="s">
        <v>2992</v>
      </c>
    </row>
    <row r="81">
      <c r="A81" s="0" t="s">
        <v>44</v>
      </c>
      <c r="B81" s="0" t="s">
        <v>2141</v>
      </c>
      <c r="C81" s="0"/>
      <c r="D81" s="0">
        <v>8600</v>
      </c>
      <c r="E81" s="0"/>
      <c r="F81" s="0" t="s">
        <v>2233</v>
      </c>
      <c r="G81" s="0"/>
      <c r="H81" s="0" t="s">
        <v>2572</v>
      </c>
      <c r="I81" s="0" t="s">
        <v>1718</v>
      </c>
      <c r="J81" s="0"/>
      <c r="K81" s="0" t="s">
        <v>2991</v>
      </c>
      <c r="L81" s="0" t="s">
        <v>2992</v>
      </c>
    </row>
    <row r="82">
      <c r="A82" s="0" t="s">
        <v>44</v>
      </c>
      <c r="B82" s="0" t="s">
        <v>2142</v>
      </c>
      <c r="C82" s="0"/>
      <c r="D82" s="0">
        <v>2200</v>
      </c>
      <c r="E82" s="0"/>
      <c r="F82" s="0" t="s">
        <v>2234</v>
      </c>
      <c r="G82" s="0"/>
      <c r="H82" s="0" t="s">
        <v>2573</v>
      </c>
      <c r="I82" s="0" t="s">
        <v>2941</v>
      </c>
      <c r="J82" s="0"/>
      <c r="K82" s="0" t="s">
        <v>2991</v>
      </c>
      <c r="L82" s="0" t="s">
        <v>2992</v>
      </c>
    </row>
    <row r="83">
      <c r="A83" s="0" t="s">
        <v>44</v>
      </c>
      <c r="B83" s="0" t="s">
        <v>2142</v>
      </c>
      <c r="C83" s="0"/>
      <c r="D83" s="0">
        <v>21300</v>
      </c>
      <c r="E83" s="0"/>
      <c r="F83" s="0" t="s">
        <v>2235</v>
      </c>
      <c r="G83" s="0"/>
      <c r="H83" s="0" t="s">
        <v>2574</v>
      </c>
      <c r="I83" s="0" t="s">
        <v>1731</v>
      </c>
      <c r="J83" s="0"/>
      <c r="K83" s="0" t="s">
        <v>2991</v>
      </c>
      <c r="L83" s="0" t="s">
        <v>2992</v>
      </c>
    </row>
    <row r="84">
      <c r="A84" s="0" t="s">
        <v>44</v>
      </c>
      <c r="B84" s="0" t="s">
        <v>2142</v>
      </c>
      <c r="C84" s="0"/>
      <c r="D84" s="0">
        <v>22900</v>
      </c>
      <c r="E84" s="0"/>
      <c r="F84" s="0" t="s">
        <v>2236</v>
      </c>
      <c r="G84" s="0"/>
      <c r="H84" s="0" t="s">
        <v>2575</v>
      </c>
      <c r="I84" s="0" t="s">
        <v>1731</v>
      </c>
      <c r="J84" s="0"/>
      <c r="K84" s="0" t="s">
        <v>2991</v>
      </c>
      <c r="L84" s="0" t="s">
        <v>2992</v>
      </c>
    </row>
    <row r="85">
      <c r="A85" s="0" t="s">
        <v>44</v>
      </c>
      <c r="B85" s="0" t="s">
        <v>2142</v>
      </c>
      <c r="C85" s="0"/>
      <c r="D85" s="0">
        <v>10760</v>
      </c>
      <c r="E85" s="0"/>
      <c r="F85" s="0" t="s">
        <v>2237</v>
      </c>
      <c r="G85" s="0"/>
      <c r="H85" s="0" t="s">
        <v>2576</v>
      </c>
      <c r="I85" s="0" t="s">
        <v>2941</v>
      </c>
      <c r="J85" s="0"/>
      <c r="K85" s="0" t="s">
        <v>2991</v>
      </c>
      <c r="L85" s="0" t="s">
        <v>2992</v>
      </c>
    </row>
    <row r="86">
      <c r="A86" s="0" t="s">
        <v>44</v>
      </c>
      <c r="B86" s="0" t="s">
        <v>2142</v>
      </c>
      <c r="C86" s="0"/>
      <c r="D86" s="0">
        <v>16920</v>
      </c>
      <c r="E86" s="0"/>
      <c r="F86" s="0" t="s">
        <v>2238</v>
      </c>
      <c r="G86" s="0"/>
      <c r="H86" s="0" t="s">
        <v>2577</v>
      </c>
      <c r="I86" s="0" t="s">
        <v>2941</v>
      </c>
      <c r="J86" s="0"/>
      <c r="K86" s="0" t="s">
        <v>2991</v>
      </c>
      <c r="L86" s="0" t="s">
        <v>2992</v>
      </c>
    </row>
    <row r="87">
      <c r="A87" s="0" t="s">
        <v>44</v>
      </c>
      <c r="B87" s="0" t="s">
        <v>2142</v>
      </c>
      <c r="C87" s="0"/>
      <c r="D87" s="0">
        <v>12260</v>
      </c>
      <c r="E87" s="0"/>
      <c r="F87" s="0" t="s">
        <v>2239</v>
      </c>
      <c r="G87" s="0"/>
      <c r="H87" s="0" t="s">
        <v>2578</v>
      </c>
      <c r="I87" s="0" t="s">
        <v>2941</v>
      </c>
      <c r="J87" s="0"/>
      <c r="K87" s="0" t="s">
        <v>2991</v>
      </c>
      <c r="L87" s="0" t="s">
        <v>2992</v>
      </c>
    </row>
    <row r="88">
      <c r="A88" s="0" t="s">
        <v>44</v>
      </c>
      <c r="B88" s="0" t="s">
        <v>2142</v>
      </c>
      <c r="C88" s="0"/>
      <c r="D88" s="0">
        <v>62.600000000000001</v>
      </c>
      <c r="E88" s="0"/>
      <c r="F88" s="0" t="s">
        <v>2240</v>
      </c>
      <c r="G88" s="0"/>
      <c r="H88" s="0" t="s">
        <v>2579</v>
      </c>
      <c r="I88" s="0" t="s">
        <v>1746</v>
      </c>
      <c r="J88" s="0"/>
      <c r="K88" s="0" t="s">
        <v>2991</v>
      </c>
      <c r="L88" s="0" t="s">
        <v>2992</v>
      </c>
    </row>
    <row r="89">
      <c r="A89" s="0" t="s">
        <v>44</v>
      </c>
      <c r="B89" s="0" t="s">
        <v>2142</v>
      </c>
      <c r="C89" s="0"/>
      <c r="D89" s="0">
        <v>57.799999999999997</v>
      </c>
      <c r="E89" s="0"/>
      <c r="F89" s="0" t="s">
        <v>2241</v>
      </c>
      <c r="G89" s="0"/>
      <c r="H89" s="0" t="s">
        <v>2580</v>
      </c>
      <c r="I89" s="0" t="s">
        <v>1746</v>
      </c>
      <c r="J89" s="0"/>
      <c r="K89" s="0" t="s">
        <v>2991</v>
      </c>
      <c r="L89" s="0" t="s">
        <v>2992</v>
      </c>
    </row>
    <row r="90">
      <c r="A90" s="0" t="s">
        <v>44</v>
      </c>
      <c r="B90" s="0" t="s">
        <v>2143</v>
      </c>
      <c r="C90" s="0"/>
      <c r="D90" s="0">
        <v>729</v>
      </c>
      <c r="E90" s="0"/>
      <c r="F90" s="0" t="s">
        <v>2242</v>
      </c>
      <c r="G90" s="0"/>
      <c r="H90" s="0" t="s">
        <v>2581</v>
      </c>
      <c r="I90" s="0" t="s">
        <v>1755</v>
      </c>
      <c r="J90" s="0"/>
      <c r="K90" s="0" t="s">
        <v>2991</v>
      </c>
      <c r="L90" s="0" t="s">
        <v>2992</v>
      </c>
    </row>
    <row r="91">
      <c r="A91" s="0" t="s">
        <v>44</v>
      </c>
      <c r="B91" s="0" t="s">
        <v>2143</v>
      </c>
      <c r="C91" s="0"/>
      <c r="D91" s="0">
        <v>208.19999999999999</v>
      </c>
      <c r="E91" s="0"/>
      <c r="F91" s="0" t="s">
        <v>2243</v>
      </c>
      <c r="G91" s="0"/>
      <c r="H91" s="0" t="s">
        <v>2582</v>
      </c>
      <c r="I91" s="0" t="s">
        <v>2942</v>
      </c>
      <c r="J91" s="0"/>
      <c r="K91" s="0" t="s">
        <v>2991</v>
      </c>
      <c r="L91" s="0" t="s">
        <v>2992</v>
      </c>
    </row>
    <row r="92">
      <c r="A92" s="0" t="s">
        <v>44</v>
      </c>
      <c r="B92" s="0" t="s">
        <v>256</v>
      </c>
      <c r="C92" s="0"/>
      <c r="D92" s="0">
        <v>230</v>
      </c>
      <c r="E92" s="0"/>
      <c r="F92" s="0" t="s">
        <v>2244</v>
      </c>
      <c r="G92" s="0"/>
      <c r="H92" s="0" t="s">
        <v>2583</v>
      </c>
      <c r="I92" s="0" t="s">
        <v>1667</v>
      </c>
      <c r="J92" s="0"/>
      <c r="K92" s="0" t="s">
        <v>2991</v>
      </c>
      <c r="L92" s="0" t="s">
        <v>2992</v>
      </c>
    </row>
    <row r="93">
      <c r="A93" s="0" t="s">
        <v>44</v>
      </c>
      <c r="B93" s="0" t="s">
        <v>256</v>
      </c>
      <c r="C93" s="0"/>
      <c r="D93" s="0">
        <v>8830</v>
      </c>
      <c r="E93" s="0"/>
      <c r="F93" s="0" t="s">
        <v>2245</v>
      </c>
      <c r="G93" s="0"/>
      <c r="H93" s="0" t="s">
        <v>2584</v>
      </c>
      <c r="I93" s="0" t="s">
        <v>1667</v>
      </c>
      <c r="J93" s="0"/>
      <c r="K93" s="0" t="s">
        <v>2991</v>
      </c>
      <c r="L93" s="0" t="s">
        <v>2992</v>
      </c>
    </row>
    <row r="94">
      <c r="A94" s="0" t="s">
        <v>44</v>
      </c>
      <c r="B94" s="0" t="s">
        <v>288</v>
      </c>
      <c r="C94" s="0"/>
      <c r="D94" s="0">
        <v>9.7899999999999991</v>
      </c>
      <c r="E94" s="0"/>
      <c r="F94" s="0" t="s">
        <v>2246</v>
      </c>
      <c r="G94" s="0"/>
      <c r="H94" s="0" t="s">
        <v>2585</v>
      </c>
      <c r="I94" s="0" t="s">
        <v>2943</v>
      </c>
      <c r="J94" s="0"/>
      <c r="K94" s="0" t="s">
        <v>2991</v>
      </c>
      <c r="L94" s="0" t="s">
        <v>2992</v>
      </c>
    </row>
    <row r="95">
      <c r="A95" s="0" t="s">
        <v>44</v>
      </c>
      <c r="B95" s="0" t="s">
        <v>288</v>
      </c>
      <c r="C95" s="0"/>
      <c r="D95" s="0">
        <v>4.25</v>
      </c>
      <c r="E95" s="0"/>
      <c r="F95" s="0" t="s">
        <v>891</v>
      </c>
      <c r="G95" s="0"/>
      <c r="H95" s="0" t="s">
        <v>2586</v>
      </c>
      <c r="I95" s="0" t="s">
        <v>2943</v>
      </c>
      <c r="J95" s="0"/>
      <c r="K95" s="0" t="s">
        <v>2991</v>
      </c>
      <c r="L95" s="0" t="s">
        <v>2992</v>
      </c>
    </row>
    <row r="96">
      <c r="A96" s="0" t="s">
        <v>44</v>
      </c>
      <c r="B96" s="0" t="s">
        <v>288</v>
      </c>
      <c r="C96" s="0"/>
      <c r="D96" s="0">
        <v>13.68</v>
      </c>
      <c r="E96" s="0"/>
      <c r="F96" s="0" t="s">
        <v>2247</v>
      </c>
      <c r="G96" s="0"/>
      <c r="H96" s="0" t="s">
        <v>2587</v>
      </c>
      <c r="I96" s="0" t="s">
        <v>2943</v>
      </c>
      <c r="J96" s="0"/>
      <c r="K96" s="0" t="s">
        <v>2991</v>
      </c>
      <c r="L96" s="0" t="s">
        <v>2992</v>
      </c>
    </row>
    <row r="97">
      <c r="A97" s="0" t="s">
        <v>44</v>
      </c>
      <c r="B97" s="0" t="s">
        <v>288</v>
      </c>
      <c r="C97" s="0"/>
      <c r="D97" s="0">
        <v>7.3399999999999999</v>
      </c>
      <c r="E97" s="0"/>
      <c r="F97" s="0" t="s">
        <v>2248</v>
      </c>
      <c r="G97" s="0"/>
      <c r="H97" s="0" t="s">
        <v>2588</v>
      </c>
      <c r="I97" s="0" t="s">
        <v>2943</v>
      </c>
      <c r="J97" s="0"/>
      <c r="K97" s="0" t="s">
        <v>2991</v>
      </c>
      <c r="L97" s="0" t="s">
        <v>2992</v>
      </c>
    </row>
    <row r="98">
      <c r="A98" s="0" t="s">
        <v>44</v>
      </c>
      <c r="B98" s="0" t="s">
        <v>2144</v>
      </c>
      <c r="C98" s="0"/>
      <c r="D98" s="0">
        <v>0.94999999999999996</v>
      </c>
      <c r="E98" s="0"/>
      <c r="F98" s="0" t="s">
        <v>2249</v>
      </c>
      <c r="G98" s="0"/>
      <c r="H98" s="0" t="s">
        <v>2589</v>
      </c>
      <c r="I98" s="0" t="s">
        <v>2944</v>
      </c>
      <c r="J98" s="0"/>
      <c r="K98" s="0" t="s">
        <v>2991</v>
      </c>
      <c r="L98" s="0" t="s">
        <v>2992</v>
      </c>
    </row>
    <row r="99">
      <c r="A99" s="0" t="s">
        <v>44</v>
      </c>
      <c r="B99" s="0" t="s">
        <v>2144</v>
      </c>
      <c r="C99" s="0"/>
      <c r="D99" s="0">
        <v>0.079000000000000001</v>
      </c>
      <c r="E99" s="0"/>
      <c r="F99" s="0" t="s">
        <v>971</v>
      </c>
      <c r="G99" s="0"/>
      <c r="H99" s="0" t="s">
        <v>2590</v>
      </c>
      <c r="I99" s="0" t="s">
        <v>2944</v>
      </c>
      <c r="J99" s="0"/>
      <c r="K99" s="0" t="s">
        <v>2991</v>
      </c>
      <c r="L99" s="0" t="s">
        <v>2992</v>
      </c>
    </row>
    <row r="100">
      <c r="A100" s="0" t="s">
        <v>44</v>
      </c>
      <c r="B100" s="0" t="s">
        <v>2145</v>
      </c>
      <c r="C100" s="0"/>
      <c r="D100" s="0">
        <v>8.4000000000000004</v>
      </c>
      <c r="E100" s="0"/>
      <c r="F100" s="0" t="s">
        <v>1979</v>
      </c>
      <c r="G100" s="0"/>
      <c r="H100" s="0" t="s">
        <v>2591</v>
      </c>
      <c r="I100" s="0" t="s">
        <v>2945</v>
      </c>
      <c r="J100" s="0"/>
      <c r="K100" s="0" t="s">
        <v>2991</v>
      </c>
      <c r="L100" s="0" t="s">
        <v>2992</v>
      </c>
    </row>
    <row r="101">
      <c r="A101" s="0" t="s">
        <v>44</v>
      </c>
      <c r="B101" s="0" t="s">
        <v>2145</v>
      </c>
      <c r="C101" s="0"/>
      <c r="D101" s="0">
        <v>32.5</v>
      </c>
      <c r="E101" s="0"/>
      <c r="F101" s="0" t="s">
        <v>1915</v>
      </c>
      <c r="G101" s="0"/>
      <c r="H101" s="0" t="s">
        <v>2592</v>
      </c>
      <c r="I101" s="0" t="s">
        <v>2945</v>
      </c>
      <c r="J101" s="0"/>
      <c r="K101" s="0" t="s">
        <v>2991</v>
      </c>
      <c r="L101" s="0" t="s">
        <v>2992</v>
      </c>
    </row>
    <row r="102">
      <c r="A102" s="0" t="s">
        <v>44</v>
      </c>
      <c r="B102" s="0" t="s">
        <v>258</v>
      </c>
      <c r="C102" s="0"/>
      <c r="D102" s="0">
        <v>295.79000000000002</v>
      </c>
      <c r="E102" s="0"/>
      <c r="F102" s="0" t="s">
        <v>2250</v>
      </c>
      <c r="G102" s="0"/>
      <c r="H102" s="0" t="s">
        <v>2593</v>
      </c>
      <c r="I102" s="0" t="s">
        <v>1669</v>
      </c>
      <c r="J102" s="0"/>
      <c r="K102" s="0" t="s">
        <v>2991</v>
      </c>
      <c r="L102" s="0" t="s">
        <v>2992</v>
      </c>
    </row>
    <row r="103">
      <c r="A103" s="0" t="s">
        <v>44</v>
      </c>
      <c r="B103" s="0" t="s">
        <v>258</v>
      </c>
      <c r="C103" s="0"/>
      <c r="D103" s="0">
        <v>21264.299999999999</v>
      </c>
      <c r="E103" s="0"/>
      <c r="F103" s="0" t="s">
        <v>2251</v>
      </c>
      <c r="G103" s="0"/>
      <c r="H103" s="0" t="s">
        <v>2594</v>
      </c>
      <c r="I103" s="0" t="s">
        <v>1669</v>
      </c>
      <c r="J103" s="0"/>
      <c r="K103" s="0" t="s">
        <v>2991</v>
      </c>
      <c r="L103" s="0" t="s">
        <v>2992</v>
      </c>
    </row>
    <row r="104">
      <c r="A104" s="0" t="s">
        <v>44</v>
      </c>
      <c r="B104" s="0" t="s">
        <v>2146</v>
      </c>
      <c r="C104" s="0"/>
      <c r="D104" s="0">
        <v>128.40000000000001</v>
      </c>
      <c r="E104" s="0"/>
      <c r="F104" s="0" t="s">
        <v>2252</v>
      </c>
      <c r="G104" s="0"/>
      <c r="H104" s="0" t="s">
        <v>2595</v>
      </c>
      <c r="I104" s="0" t="s">
        <v>2946</v>
      </c>
      <c r="J104" s="0"/>
      <c r="K104" s="0" t="s">
        <v>2991</v>
      </c>
      <c r="L104" s="0" t="s">
        <v>2992</v>
      </c>
    </row>
    <row r="105">
      <c r="A105" s="0" t="s">
        <v>44</v>
      </c>
      <c r="B105" s="0" t="s">
        <v>2146</v>
      </c>
      <c r="C105" s="0"/>
      <c r="D105" s="0">
        <v>1181.3</v>
      </c>
      <c r="E105" s="0"/>
      <c r="F105" s="0" t="s">
        <v>2253</v>
      </c>
      <c r="G105" s="0"/>
      <c r="H105" s="0" t="s">
        <v>2596</v>
      </c>
      <c r="I105" s="0" t="s">
        <v>2946</v>
      </c>
      <c r="J105" s="0"/>
      <c r="K105" s="0" t="s">
        <v>2991</v>
      </c>
      <c r="L105" s="0" t="s">
        <v>2992</v>
      </c>
    </row>
    <row r="106">
      <c r="A106" s="0" t="s">
        <v>44</v>
      </c>
      <c r="B106" s="0" t="s">
        <v>253</v>
      </c>
      <c r="C106" s="0"/>
      <c r="D106" s="0">
        <v>33</v>
      </c>
      <c r="E106" s="0"/>
      <c r="F106" s="0" t="s">
        <v>1767</v>
      </c>
      <c r="G106" s="0"/>
      <c r="H106" s="0" t="s">
        <v>2597</v>
      </c>
      <c r="I106" s="0" t="s">
        <v>1670</v>
      </c>
      <c r="J106" s="0"/>
      <c r="K106" s="0" t="s">
        <v>2991</v>
      </c>
      <c r="L106" s="0" t="s">
        <v>2992</v>
      </c>
    </row>
    <row r="107">
      <c r="A107" s="0" t="s">
        <v>44</v>
      </c>
      <c r="B107" s="0" t="s">
        <v>253</v>
      </c>
      <c r="C107" s="0"/>
      <c r="D107" s="0">
        <v>2022</v>
      </c>
      <c r="E107" s="0"/>
      <c r="F107" s="0" t="s">
        <v>2254</v>
      </c>
      <c r="G107" s="0"/>
      <c r="H107" s="0" t="s">
        <v>2598</v>
      </c>
      <c r="I107" s="0" t="s">
        <v>1670</v>
      </c>
      <c r="J107" s="0"/>
      <c r="K107" s="0" t="s">
        <v>2991</v>
      </c>
      <c r="L107" s="0" t="s">
        <v>2992</v>
      </c>
    </row>
    <row r="108">
      <c r="A108" s="0" t="s">
        <v>44</v>
      </c>
      <c r="B108" s="0" t="s">
        <v>242</v>
      </c>
      <c r="C108" s="0"/>
      <c r="D108" s="0">
        <v>60</v>
      </c>
      <c r="E108" s="0"/>
      <c r="F108" s="0" t="s">
        <v>1773</v>
      </c>
      <c r="G108" s="0"/>
      <c r="H108" s="0" t="s">
        <v>2599</v>
      </c>
      <c r="I108" s="0" t="s">
        <v>1671</v>
      </c>
      <c r="J108" s="0"/>
      <c r="K108" s="0" t="s">
        <v>2991</v>
      </c>
      <c r="L108" s="0" t="s">
        <v>2992</v>
      </c>
    </row>
    <row r="109">
      <c r="A109" s="0" t="s">
        <v>44</v>
      </c>
      <c r="B109" s="0" t="s">
        <v>242</v>
      </c>
      <c r="C109" s="0"/>
      <c r="D109" s="0">
        <v>135.5</v>
      </c>
      <c r="E109" s="0"/>
      <c r="F109" s="0" t="s">
        <v>2255</v>
      </c>
      <c r="G109" s="0"/>
      <c r="H109" s="0" t="s">
        <v>2600</v>
      </c>
      <c r="I109" s="0" t="s">
        <v>1671</v>
      </c>
      <c r="J109" s="0"/>
      <c r="K109" s="0" t="s">
        <v>2991</v>
      </c>
      <c r="L109" s="0" t="s">
        <v>2992</v>
      </c>
    </row>
    <row r="110">
      <c r="A110" s="0" t="s">
        <v>44</v>
      </c>
      <c r="B110" s="0" t="s">
        <v>242</v>
      </c>
      <c r="C110" s="0"/>
      <c r="D110" s="0">
        <v>160.40000000000001</v>
      </c>
      <c r="E110" s="0"/>
      <c r="F110" s="0" t="s">
        <v>2256</v>
      </c>
      <c r="G110" s="0"/>
      <c r="H110" s="0" t="s">
        <v>2601</v>
      </c>
      <c r="I110" s="0" t="s">
        <v>1671</v>
      </c>
      <c r="J110" s="0"/>
      <c r="K110" s="0" t="s">
        <v>2991</v>
      </c>
      <c r="L110" s="0" t="s">
        <v>2992</v>
      </c>
    </row>
    <row r="111">
      <c r="A111" s="0" t="s">
        <v>44</v>
      </c>
      <c r="B111" s="0" t="s">
        <v>260</v>
      </c>
      <c r="C111" s="0"/>
      <c r="D111" s="0">
        <v>1.51</v>
      </c>
      <c r="E111" s="0"/>
      <c r="F111" s="0" t="s">
        <v>2257</v>
      </c>
      <c r="G111" s="0"/>
      <c r="H111" s="0" t="s">
        <v>2602</v>
      </c>
      <c r="I111" s="0" t="s">
        <v>1673</v>
      </c>
      <c r="J111" s="0"/>
      <c r="K111" s="0" t="s">
        <v>2991</v>
      </c>
      <c r="L111" s="0" t="s">
        <v>2992</v>
      </c>
    </row>
    <row r="112">
      <c r="A112" s="0" t="s">
        <v>44</v>
      </c>
      <c r="B112" s="0" t="s">
        <v>260</v>
      </c>
      <c r="C112" s="0"/>
      <c r="D112" s="0">
        <v>502.75999999999999</v>
      </c>
      <c r="E112" s="0"/>
      <c r="F112" s="0" t="s">
        <v>2258</v>
      </c>
      <c r="G112" s="0"/>
      <c r="H112" s="0" t="s">
        <v>2603</v>
      </c>
      <c r="I112" s="0" t="s">
        <v>1673</v>
      </c>
      <c r="J112" s="0"/>
      <c r="K112" s="0" t="s">
        <v>2991</v>
      </c>
      <c r="L112" s="0" t="s">
        <v>2992</v>
      </c>
    </row>
    <row r="113">
      <c r="A113" s="0" t="s">
        <v>44</v>
      </c>
      <c r="B113" s="0" t="s">
        <v>319</v>
      </c>
      <c r="C113" s="0"/>
      <c r="D113" s="0">
        <v>-999</v>
      </c>
      <c r="E113" s="0"/>
      <c r="F113" s="0" t="s">
        <v>673</v>
      </c>
      <c r="G113" s="0"/>
      <c r="H113" s="0" t="s">
        <v>2604</v>
      </c>
      <c r="I113" s="0" t="s">
        <v>1663</v>
      </c>
      <c r="J113" s="0"/>
      <c r="K113" s="0" t="s">
        <v>2991</v>
      </c>
      <c r="L113" s="0" t="s">
        <v>2992</v>
      </c>
    </row>
    <row r="114">
      <c r="A114" s="0" t="s">
        <v>44</v>
      </c>
      <c r="B114" s="0" t="s">
        <v>2147</v>
      </c>
      <c r="C114" s="0"/>
      <c r="D114" s="0">
        <v>414</v>
      </c>
      <c r="E114" s="0"/>
      <c r="F114" s="0" t="s">
        <v>2259</v>
      </c>
      <c r="G114" s="0"/>
      <c r="H114" s="0" t="s">
        <v>2605</v>
      </c>
      <c r="I114" s="0" t="s">
        <v>2947</v>
      </c>
      <c r="J114" s="0"/>
      <c r="K114" s="0" t="s">
        <v>2991</v>
      </c>
      <c r="L114" s="0" t="s">
        <v>2992</v>
      </c>
    </row>
    <row r="115">
      <c r="A115" s="0" t="s">
        <v>44</v>
      </c>
      <c r="B115" s="0" t="s">
        <v>2148</v>
      </c>
      <c r="C115" s="0"/>
      <c r="D115" s="0">
        <v>367</v>
      </c>
      <c r="E115" s="0"/>
      <c r="F115" s="0" t="s">
        <v>1661</v>
      </c>
      <c r="G115" s="0"/>
      <c r="H115" s="0" t="s">
        <v>2606</v>
      </c>
      <c r="I115" s="0" t="s">
        <v>2948</v>
      </c>
      <c r="J115" s="0"/>
      <c r="K115" s="0" t="s">
        <v>2991</v>
      </c>
      <c r="L115" s="0" t="s">
        <v>2992</v>
      </c>
    </row>
    <row r="116">
      <c r="A116" s="0" t="s">
        <v>44</v>
      </c>
      <c r="B116" s="0" t="s">
        <v>242</v>
      </c>
      <c r="C116" s="0"/>
      <c r="D116" s="0">
        <v>1.5</v>
      </c>
      <c r="E116" s="0"/>
      <c r="F116" s="0" t="s">
        <v>570</v>
      </c>
      <c r="G116" s="0"/>
      <c r="H116" s="0" t="s">
        <v>2607</v>
      </c>
      <c r="I116" s="0" t="s">
        <v>1653</v>
      </c>
      <c r="J116" s="0"/>
      <c r="K116" s="0" t="s">
        <v>2991</v>
      </c>
      <c r="L116" s="0" t="s">
        <v>2992</v>
      </c>
    </row>
    <row r="117">
      <c r="A117" s="0" t="s">
        <v>44</v>
      </c>
      <c r="B117" s="0" t="s">
        <v>242</v>
      </c>
      <c r="C117" s="0"/>
      <c r="D117" s="0">
        <v>100</v>
      </c>
      <c r="E117" s="0"/>
      <c r="F117" s="0" t="s">
        <v>605</v>
      </c>
      <c r="G117" s="0"/>
      <c r="H117" s="0" t="s">
        <v>2608</v>
      </c>
      <c r="I117" s="0" t="s">
        <v>1653</v>
      </c>
      <c r="J117" s="0"/>
      <c r="K117" s="0" t="s">
        <v>2991</v>
      </c>
      <c r="L117" s="0" t="s">
        <v>2992</v>
      </c>
    </row>
    <row r="118">
      <c r="A118" s="0" t="s">
        <v>44</v>
      </c>
      <c r="B118" s="0" t="s">
        <v>242</v>
      </c>
      <c r="C118" s="0"/>
      <c r="D118" s="0">
        <v>280</v>
      </c>
      <c r="E118" s="0"/>
      <c r="F118" s="0" t="s">
        <v>2260</v>
      </c>
      <c r="G118" s="0"/>
      <c r="H118" s="0" t="s">
        <v>2609</v>
      </c>
      <c r="I118" s="0" t="s">
        <v>1653</v>
      </c>
      <c r="J118" s="0"/>
      <c r="K118" s="0" t="s">
        <v>2991</v>
      </c>
      <c r="L118" s="0" t="s">
        <v>2992</v>
      </c>
    </row>
    <row r="119">
      <c r="A119" s="0" t="s">
        <v>44</v>
      </c>
      <c r="B119" s="0" t="s">
        <v>242</v>
      </c>
      <c r="C119" s="0"/>
      <c r="D119" s="0">
        <v>220</v>
      </c>
      <c r="E119" s="0"/>
      <c r="F119" s="0" t="s">
        <v>1710</v>
      </c>
      <c r="G119" s="0"/>
      <c r="H119" s="0" t="s">
        <v>2610</v>
      </c>
      <c r="I119" s="0" t="s">
        <v>1653</v>
      </c>
      <c r="J119" s="0"/>
      <c r="K119" s="0" t="s">
        <v>2991</v>
      </c>
      <c r="L119" s="0" t="s">
        <v>2992</v>
      </c>
    </row>
    <row r="120">
      <c r="A120" s="0" t="s">
        <v>44</v>
      </c>
      <c r="B120" s="0" t="s">
        <v>261</v>
      </c>
      <c r="C120" s="0"/>
      <c r="D120" s="0">
        <v>0.041000000000000002</v>
      </c>
      <c r="E120" s="0"/>
      <c r="F120" s="0" t="s">
        <v>945</v>
      </c>
      <c r="G120" s="0"/>
      <c r="H120" s="0" t="s">
        <v>2611</v>
      </c>
      <c r="I120" s="0" t="s">
        <v>872</v>
      </c>
      <c r="J120" s="0"/>
      <c r="K120" s="0" t="s">
        <v>2991</v>
      </c>
      <c r="L120" s="0" t="s">
        <v>2992</v>
      </c>
    </row>
    <row r="121">
      <c r="A121" s="0" t="s">
        <v>44</v>
      </c>
      <c r="B121" s="0" t="s">
        <v>261</v>
      </c>
      <c r="C121" s="0"/>
      <c r="D121" s="0">
        <v>2.0000000000000002e-05</v>
      </c>
      <c r="E121" s="0"/>
      <c r="F121" s="0" t="s">
        <v>2261</v>
      </c>
      <c r="G121" s="0"/>
      <c r="H121" s="0" t="s">
        <v>2612</v>
      </c>
      <c r="I121" s="0" t="s">
        <v>872</v>
      </c>
      <c r="J121" s="0"/>
      <c r="K121" s="0" t="s">
        <v>2991</v>
      </c>
      <c r="L121" s="0" t="s">
        <v>2992</v>
      </c>
    </row>
    <row r="122">
      <c r="A122" s="0" t="s">
        <v>44</v>
      </c>
      <c r="B122" s="0" t="s">
        <v>2149</v>
      </c>
      <c r="C122" s="0"/>
      <c r="D122" s="0">
        <v>3.2599999999999998</v>
      </c>
      <c r="E122" s="0"/>
      <c r="F122" s="0" t="s">
        <v>2262</v>
      </c>
      <c r="G122" s="0"/>
      <c r="H122" s="0" t="s">
        <v>2613</v>
      </c>
      <c r="I122" s="0" t="s">
        <v>2949</v>
      </c>
      <c r="J122" s="0"/>
      <c r="K122" s="0" t="s">
        <v>2991</v>
      </c>
      <c r="L122" s="0" t="s">
        <v>2992</v>
      </c>
    </row>
    <row r="123">
      <c r="A123" s="0" t="s">
        <v>44</v>
      </c>
      <c r="B123" s="0" t="s">
        <v>2149</v>
      </c>
      <c r="C123" s="0"/>
      <c r="D123" s="0">
        <v>13.710000000000001</v>
      </c>
      <c r="E123" s="0"/>
      <c r="F123" s="0" t="s">
        <v>2263</v>
      </c>
      <c r="G123" s="0"/>
      <c r="H123" s="0" t="s">
        <v>2614</v>
      </c>
      <c r="I123" s="0" t="s">
        <v>2949</v>
      </c>
      <c r="J123" s="0"/>
      <c r="K123" s="0" t="s">
        <v>2991</v>
      </c>
      <c r="L123" s="0" t="s">
        <v>2992</v>
      </c>
    </row>
    <row r="124">
      <c r="A124" s="0" t="s">
        <v>44</v>
      </c>
      <c r="B124" s="0" t="s">
        <v>2150</v>
      </c>
      <c r="C124" s="0"/>
      <c r="D124" s="0">
        <v>2100</v>
      </c>
      <c r="E124" s="0"/>
      <c r="F124" s="0" t="s">
        <v>2264</v>
      </c>
      <c r="G124" s="0"/>
      <c r="H124" s="0" t="s">
        <v>2615</v>
      </c>
      <c r="I124" s="0" t="s">
        <v>2950</v>
      </c>
      <c r="J124" s="0"/>
      <c r="K124" s="0" t="s">
        <v>2991</v>
      </c>
      <c r="L124" s="0" t="s">
        <v>2992</v>
      </c>
    </row>
    <row r="125">
      <c r="A125" s="0" t="s">
        <v>44</v>
      </c>
      <c r="B125" s="0" t="s">
        <v>2150</v>
      </c>
      <c r="C125" s="0"/>
      <c r="D125" s="0">
        <v>12000</v>
      </c>
      <c r="E125" s="0"/>
      <c r="F125" s="0" t="s">
        <v>2265</v>
      </c>
      <c r="G125" s="0"/>
      <c r="H125" s="0" t="s">
        <v>2616</v>
      </c>
      <c r="I125" s="0" t="s">
        <v>2950</v>
      </c>
      <c r="J125" s="0"/>
      <c r="K125" s="0" t="s">
        <v>2991</v>
      </c>
      <c r="L125" s="0" t="s">
        <v>2992</v>
      </c>
    </row>
    <row r="126">
      <c r="A126" s="0" t="s">
        <v>44</v>
      </c>
      <c r="B126" s="0" t="s">
        <v>2150</v>
      </c>
      <c r="C126" s="0"/>
      <c r="D126" s="0">
        <v>9608</v>
      </c>
      <c r="E126" s="0"/>
      <c r="F126" s="0" t="s">
        <v>2266</v>
      </c>
      <c r="G126" s="0"/>
      <c r="H126" s="0" t="s">
        <v>2617</v>
      </c>
      <c r="I126" s="0" t="s">
        <v>2950</v>
      </c>
      <c r="J126" s="0"/>
      <c r="K126" s="0" t="s">
        <v>2991</v>
      </c>
      <c r="L126" s="0" t="s">
        <v>2992</v>
      </c>
    </row>
    <row r="127">
      <c r="A127" s="0" t="s">
        <v>44</v>
      </c>
      <c r="B127" s="0" t="s">
        <v>2150</v>
      </c>
      <c r="C127" s="0"/>
      <c r="D127" s="0">
        <v>4642</v>
      </c>
      <c r="E127" s="0"/>
      <c r="F127" s="0" t="s">
        <v>2267</v>
      </c>
      <c r="G127" s="0"/>
      <c r="H127" s="0" t="s">
        <v>2618</v>
      </c>
      <c r="I127" s="0" t="s">
        <v>2950</v>
      </c>
      <c r="J127" s="0"/>
      <c r="K127" s="0" t="s">
        <v>2991</v>
      </c>
      <c r="L127" s="0" t="s">
        <v>2992</v>
      </c>
    </row>
    <row r="128">
      <c r="A128" s="0" t="s">
        <v>44</v>
      </c>
      <c r="B128" s="0" t="s">
        <v>2150</v>
      </c>
      <c r="C128" s="0"/>
      <c r="D128" s="0">
        <v>4250</v>
      </c>
      <c r="E128" s="0"/>
      <c r="F128" s="0" t="s">
        <v>2268</v>
      </c>
      <c r="G128" s="0"/>
      <c r="H128" s="0" t="s">
        <v>2619</v>
      </c>
      <c r="I128" s="0" t="s">
        <v>2951</v>
      </c>
      <c r="J128" s="0"/>
      <c r="K128" s="0" t="s">
        <v>2991</v>
      </c>
      <c r="L128" s="0" t="s">
        <v>2992</v>
      </c>
    </row>
    <row r="129">
      <c r="A129" s="0" t="s">
        <v>44</v>
      </c>
      <c r="B129" s="0" t="s">
        <v>2150</v>
      </c>
      <c r="C129" s="0"/>
      <c r="D129" s="0">
        <v>7300</v>
      </c>
      <c r="E129" s="0"/>
      <c r="F129" s="0" t="s">
        <v>2269</v>
      </c>
      <c r="G129" s="0"/>
      <c r="H129" s="0" t="s">
        <v>2620</v>
      </c>
      <c r="I129" s="0" t="s">
        <v>2951</v>
      </c>
      <c r="J129" s="0"/>
      <c r="K129" s="0" t="s">
        <v>2991</v>
      </c>
      <c r="L129" s="0" t="s">
        <v>2992</v>
      </c>
    </row>
    <row r="130">
      <c r="A130" s="0" t="s">
        <v>44</v>
      </c>
      <c r="B130" s="0" t="s">
        <v>2150</v>
      </c>
      <c r="C130" s="0"/>
      <c r="D130" s="0">
        <v>24110</v>
      </c>
      <c r="E130" s="0"/>
      <c r="F130" s="0" t="s">
        <v>2270</v>
      </c>
      <c r="G130" s="0"/>
      <c r="H130" s="0" t="s">
        <v>2621</v>
      </c>
      <c r="I130" s="0" t="s">
        <v>2951</v>
      </c>
      <c r="J130" s="0"/>
      <c r="K130" s="0" t="s">
        <v>2991</v>
      </c>
      <c r="L130" s="0" t="s">
        <v>2992</v>
      </c>
    </row>
    <row r="131">
      <c r="A131" s="0" t="s">
        <v>44</v>
      </c>
      <c r="B131" s="0" t="s">
        <v>2150</v>
      </c>
      <c r="C131" s="0"/>
      <c r="D131" s="0">
        <v>9808</v>
      </c>
      <c r="E131" s="0"/>
      <c r="F131" s="0" t="s">
        <v>2271</v>
      </c>
      <c r="G131" s="0"/>
      <c r="H131" s="0" t="s">
        <v>2622</v>
      </c>
      <c r="I131" s="0" t="s">
        <v>2951</v>
      </c>
      <c r="J131" s="0"/>
      <c r="K131" s="0" t="s">
        <v>2991</v>
      </c>
      <c r="L131" s="0" t="s">
        <v>2992</v>
      </c>
    </row>
    <row r="132">
      <c r="A132" s="0" t="s">
        <v>44</v>
      </c>
      <c r="B132" s="0" t="s">
        <v>341</v>
      </c>
      <c r="C132" s="0"/>
      <c r="D132" s="0">
        <v>1.78</v>
      </c>
      <c r="E132" s="0"/>
      <c r="F132" s="0" t="s">
        <v>2272</v>
      </c>
      <c r="G132" s="0"/>
      <c r="H132" s="0" t="s">
        <v>2623</v>
      </c>
      <c r="I132" s="0" t="s">
        <v>2952</v>
      </c>
      <c r="J132" s="0"/>
      <c r="K132" s="0" t="s">
        <v>2991</v>
      </c>
      <c r="L132" s="0" t="s">
        <v>2992</v>
      </c>
    </row>
    <row r="133">
      <c r="A133" s="0" t="s">
        <v>44</v>
      </c>
      <c r="B133" s="0" t="s">
        <v>341</v>
      </c>
      <c r="C133" s="0"/>
      <c r="D133" s="0">
        <v>9854</v>
      </c>
      <c r="E133" s="0"/>
      <c r="F133" s="0" t="s">
        <v>2273</v>
      </c>
      <c r="G133" s="0"/>
      <c r="H133" s="0" t="s">
        <v>2624</v>
      </c>
      <c r="I133" s="0" t="s">
        <v>1739</v>
      </c>
      <c r="J133" s="0"/>
      <c r="K133" s="0" t="s">
        <v>2991</v>
      </c>
      <c r="L133" s="0" t="s">
        <v>2992</v>
      </c>
    </row>
    <row r="134">
      <c r="A134" s="0" t="s">
        <v>44</v>
      </c>
      <c r="B134" s="0" t="s">
        <v>341</v>
      </c>
      <c r="C134" s="0"/>
      <c r="D134" s="0">
        <v>9264</v>
      </c>
      <c r="E134" s="0"/>
      <c r="F134" s="0" t="s">
        <v>2274</v>
      </c>
      <c r="G134" s="0"/>
      <c r="H134" s="0" t="s">
        <v>2625</v>
      </c>
      <c r="I134" s="0" t="s">
        <v>2389</v>
      </c>
      <c r="J134" s="0"/>
      <c r="K134" s="0" t="s">
        <v>2991</v>
      </c>
      <c r="L134" s="0" t="s">
        <v>2992</v>
      </c>
    </row>
    <row r="135">
      <c r="A135" s="0" t="s">
        <v>44</v>
      </c>
      <c r="B135" s="0" t="s">
        <v>341</v>
      </c>
      <c r="C135" s="0"/>
      <c r="D135" s="0">
        <v>78.170000000000002</v>
      </c>
      <c r="E135" s="0"/>
      <c r="F135" s="0" t="s">
        <v>2275</v>
      </c>
      <c r="G135" s="0"/>
      <c r="H135" s="0" t="s">
        <v>2626</v>
      </c>
      <c r="I135" s="0" t="s">
        <v>2952</v>
      </c>
      <c r="J135" s="0"/>
      <c r="K135" s="0" t="s">
        <v>2991</v>
      </c>
      <c r="L135" s="0" t="s">
        <v>2992</v>
      </c>
    </row>
    <row r="136">
      <c r="A136" s="0" t="s">
        <v>44</v>
      </c>
      <c r="B136" s="0" t="s">
        <v>2151</v>
      </c>
      <c r="C136" s="0"/>
      <c r="D136" s="0">
        <v>87.099999999999994</v>
      </c>
      <c r="E136" s="0"/>
      <c r="F136" s="0" t="s">
        <v>2276</v>
      </c>
      <c r="G136" s="0"/>
      <c r="H136" s="0" t="s">
        <v>2627</v>
      </c>
      <c r="I136" s="0" t="s">
        <v>2284</v>
      </c>
      <c r="J136" s="0"/>
      <c r="K136" s="0" t="s">
        <v>2991</v>
      </c>
      <c r="L136" s="0" t="s">
        <v>2992</v>
      </c>
    </row>
    <row r="137">
      <c r="A137" s="0" t="s">
        <v>44</v>
      </c>
      <c r="B137" s="0" t="s">
        <v>2151</v>
      </c>
      <c r="C137" s="0"/>
      <c r="D137" s="0">
        <v>347.80000000000001</v>
      </c>
      <c r="E137" s="0"/>
      <c r="F137" s="0" t="s">
        <v>2277</v>
      </c>
      <c r="G137" s="0"/>
      <c r="H137" s="0" t="s">
        <v>2628</v>
      </c>
      <c r="I137" s="0" t="s">
        <v>2284</v>
      </c>
      <c r="J137" s="0"/>
      <c r="K137" s="0" t="s">
        <v>2991</v>
      </c>
      <c r="L137" s="0" t="s">
        <v>2992</v>
      </c>
    </row>
    <row r="138">
      <c r="A138" s="0" t="s">
        <v>44</v>
      </c>
      <c r="B138" s="0" t="s">
        <v>365</v>
      </c>
      <c r="C138" s="0"/>
      <c r="D138" s="0">
        <v>0.62250000000000005</v>
      </c>
      <c r="E138" s="0"/>
      <c r="F138" s="0" t="s">
        <v>2278</v>
      </c>
      <c r="G138" s="0"/>
      <c r="H138" s="0" t="s">
        <v>2629</v>
      </c>
      <c r="I138" s="0" t="s">
        <v>2953</v>
      </c>
      <c r="J138" s="0"/>
      <c r="K138" s="0" t="s">
        <v>2991</v>
      </c>
      <c r="L138" s="0" t="s">
        <v>2992</v>
      </c>
    </row>
    <row r="139">
      <c r="A139" s="0" t="s">
        <v>44</v>
      </c>
      <c r="B139" s="0" t="s">
        <v>2152</v>
      </c>
      <c r="C139" s="0"/>
      <c r="D139" s="0">
        <v>1</v>
      </c>
      <c r="E139" s="0"/>
      <c r="F139" s="0" t="s">
        <v>776</v>
      </c>
      <c r="G139" s="0"/>
      <c r="H139" s="0" t="s">
        <v>2630</v>
      </c>
      <c r="I139" s="0" t="s">
        <v>2954</v>
      </c>
      <c r="J139" s="0"/>
      <c r="K139" s="0" t="s">
        <v>2991</v>
      </c>
      <c r="L139" s="0" t="s">
        <v>2992</v>
      </c>
    </row>
    <row r="140">
      <c r="A140" s="0" t="s">
        <v>44</v>
      </c>
      <c r="B140" s="0" t="s">
        <v>2152</v>
      </c>
      <c r="C140" s="0"/>
      <c r="D140" s="0">
        <v>135</v>
      </c>
      <c r="E140" s="0"/>
      <c r="F140" s="0" t="s">
        <v>2279</v>
      </c>
      <c r="G140" s="0"/>
      <c r="H140" s="0" t="s">
        <v>2631</v>
      </c>
      <c r="I140" s="0" t="s">
        <v>2954</v>
      </c>
      <c r="J140" s="0"/>
      <c r="K140" s="0" t="s">
        <v>2991</v>
      </c>
      <c r="L140" s="0" t="s">
        <v>2992</v>
      </c>
    </row>
    <row r="141">
      <c r="A141" s="0" t="s">
        <v>44</v>
      </c>
      <c r="B141" s="0" t="s">
        <v>264</v>
      </c>
      <c r="C141" s="0"/>
      <c r="D141" s="0">
        <v>1.45</v>
      </c>
      <c r="E141" s="0"/>
      <c r="F141" s="0" t="s">
        <v>904</v>
      </c>
      <c r="G141" s="0"/>
      <c r="H141" s="0" t="s">
        <v>2632</v>
      </c>
      <c r="I141" s="0" t="s">
        <v>2955</v>
      </c>
      <c r="J141" s="0"/>
      <c r="K141" s="0" t="s">
        <v>2991</v>
      </c>
      <c r="L141" s="0" t="s">
        <v>2992</v>
      </c>
    </row>
    <row r="142">
      <c r="A142" s="0" t="s">
        <v>44</v>
      </c>
      <c r="B142" s="0" t="s">
        <v>264</v>
      </c>
      <c r="C142" s="0"/>
      <c r="D142" s="0">
        <v>0.23100000000000001</v>
      </c>
      <c r="E142" s="0"/>
      <c r="F142" s="0" t="s">
        <v>2280</v>
      </c>
      <c r="G142" s="0"/>
      <c r="H142" s="0" t="s">
        <v>2633</v>
      </c>
      <c r="I142" s="0" t="s">
        <v>2399</v>
      </c>
      <c r="J142" s="0"/>
      <c r="K142" s="0" t="s">
        <v>2991</v>
      </c>
      <c r="L142" s="0" t="s">
        <v>2992</v>
      </c>
    </row>
    <row r="143">
      <c r="A143" s="0" t="s">
        <v>44</v>
      </c>
      <c r="B143" s="0" t="s">
        <v>264</v>
      </c>
      <c r="C143" s="0"/>
      <c r="D143" s="0">
        <v>16.600000000000001</v>
      </c>
      <c r="E143" s="0"/>
      <c r="F143" s="0" t="s">
        <v>596</v>
      </c>
      <c r="G143" s="0"/>
      <c r="H143" s="0" t="s">
        <v>2634</v>
      </c>
      <c r="I143" s="0" t="s">
        <v>1678</v>
      </c>
      <c r="J143" s="0"/>
      <c r="K143" s="0" t="s">
        <v>2991</v>
      </c>
      <c r="L143" s="0" t="s">
        <v>2992</v>
      </c>
    </row>
    <row r="144">
      <c r="A144" s="0" t="s">
        <v>44</v>
      </c>
      <c r="B144" s="0" t="s">
        <v>264</v>
      </c>
      <c r="C144" s="0"/>
      <c r="D144" s="0">
        <v>0.0051999999999999998</v>
      </c>
      <c r="E144" s="0"/>
      <c r="F144" s="0" t="s">
        <v>1083</v>
      </c>
      <c r="G144" s="0"/>
      <c r="H144" s="0" t="s">
        <v>2635</v>
      </c>
      <c r="I144" s="0" t="s">
        <v>2399</v>
      </c>
      <c r="J144" s="0"/>
      <c r="K144" s="0" t="s">
        <v>2991</v>
      </c>
      <c r="L144" s="0" t="s">
        <v>2992</v>
      </c>
    </row>
    <row r="145">
      <c r="A145" s="0" t="s">
        <v>44</v>
      </c>
      <c r="B145" s="0" t="s">
        <v>264</v>
      </c>
      <c r="C145" s="0"/>
      <c r="D145" s="0">
        <v>6.0000000000000002e-05</v>
      </c>
      <c r="E145" s="0"/>
      <c r="F145" s="0" t="s">
        <v>2281</v>
      </c>
      <c r="G145" s="0"/>
      <c r="H145" s="0" t="s">
        <v>2636</v>
      </c>
      <c r="I145" s="0" t="s">
        <v>2399</v>
      </c>
      <c r="J145" s="0"/>
      <c r="K145" s="0" t="s">
        <v>2991</v>
      </c>
      <c r="L145" s="0" t="s">
        <v>2992</v>
      </c>
    </row>
    <row r="146">
      <c r="A146" s="0" t="s">
        <v>44</v>
      </c>
      <c r="B146" s="0" t="s">
        <v>264</v>
      </c>
      <c r="C146" s="0"/>
      <c r="D146" s="0">
        <v>0.00012999999999999999</v>
      </c>
      <c r="E146" s="0"/>
      <c r="F146" s="0" t="s">
        <v>2282</v>
      </c>
      <c r="G146" s="0"/>
      <c r="H146" s="0" t="s">
        <v>2637</v>
      </c>
      <c r="I146" s="0" t="s">
        <v>2399</v>
      </c>
      <c r="J146" s="0"/>
      <c r="K146" s="0" t="s">
        <v>2991</v>
      </c>
      <c r="L146" s="0" t="s">
        <v>2992</v>
      </c>
    </row>
    <row r="147">
      <c r="A147" s="0" t="s">
        <v>44</v>
      </c>
      <c r="B147" s="0" t="s">
        <v>264</v>
      </c>
      <c r="C147" s="0"/>
      <c r="D147" s="0">
        <v>16.66</v>
      </c>
      <c r="E147" s="0"/>
      <c r="F147" s="0" t="s">
        <v>2283</v>
      </c>
      <c r="G147" s="0"/>
      <c r="H147" s="0" t="s">
        <v>2638</v>
      </c>
      <c r="I147" s="0" t="s">
        <v>2955</v>
      </c>
      <c r="J147" s="0"/>
      <c r="K147" s="0" t="s">
        <v>2991</v>
      </c>
      <c r="L147" s="0" t="s">
        <v>2992</v>
      </c>
    </row>
    <row r="148">
      <c r="A148" s="0" t="s">
        <v>44</v>
      </c>
      <c r="B148" s="0" t="s">
        <v>264</v>
      </c>
      <c r="C148" s="0"/>
      <c r="D148" s="0">
        <v>384</v>
      </c>
      <c r="E148" s="0"/>
      <c r="F148" s="0" t="s">
        <v>2284</v>
      </c>
      <c r="G148" s="0"/>
      <c r="H148" s="0" t="s">
        <v>2639</v>
      </c>
      <c r="I148" s="0" t="s">
        <v>1736</v>
      </c>
      <c r="J148" s="0"/>
      <c r="K148" s="0" t="s">
        <v>2991</v>
      </c>
      <c r="L148" s="0" t="s">
        <v>2992</v>
      </c>
    </row>
    <row r="149">
      <c r="A149" s="0" t="s">
        <v>44</v>
      </c>
      <c r="B149" s="0" t="s">
        <v>264</v>
      </c>
      <c r="C149" s="0"/>
      <c r="D149" s="0">
        <v>22.219999999999999</v>
      </c>
      <c r="E149" s="0"/>
      <c r="F149" s="0" t="s">
        <v>2285</v>
      </c>
      <c r="G149" s="0"/>
      <c r="H149" s="0" t="s">
        <v>2640</v>
      </c>
      <c r="I149" s="0" t="s">
        <v>1721</v>
      </c>
      <c r="J149" s="0"/>
      <c r="K149" s="0" t="s">
        <v>2991</v>
      </c>
      <c r="L149" s="0" t="s">
        <v>2992</v>
      </c>
    </row>
    <row r="150">
      <c r="A150" s="0" t="s">
        <v>44</v>
      </c>
      <c r="B150" s="0" t="s">
        <v>264</v>
      </c>
      <c r="C150" s="0"/>
      <c r="D150" s="0">
        <v>473</v>
      </c>
      <c r="E150" s="0"/>
      <c r="F150" s="0" t="s">
        <v>2286</v>
      </c>
      <c r="G150" s="0"/>
      <c r="H150" s="0" t="s">
        <v>2641</v>
      </c>
      <c r="I150" s="0" t="s">
        <v>2399</v>
      </c>
      <c r="J150" s="0"/>
      <c r="K150" s="0" t="s">
        <v>2991</v>
      </c>
      <c r="L150" s="0" t="s">
        <v>2992</v>
      </c>
    </row>
    <row r="151">
      <c r="A151" s="0" t="s">
        <v>44</v>
      </c>
      <c r="B151" s="0" t="s">
        <v>264</v>
      </c>
      <c r="C151" s="0"/>
      <c r="D151" s="0">
        <v>19280</v>
      </c>
      <c r="E151" s="0"/>
      <c r="F151" s="0" t="s">
        <v>2287</v>
      </c>
      <c r="G151" s="0"/>
      <c r="H151" s="0" t="s">
        <v>2642</v>
      </c>
      <c r="I151" s="0" t="s">
        <v>1677</v>
      </c>
      <c r="J151" s="0"/>
      <c r="K151" s="0" t="s">
        <v>2991</v>
      </c>
      <c r="L151" s="0" t="s">
        <v>2992</v>
      </c>
    </row>
    <row r="152">
      <c r="A152" s="0" t="s">
        <v>44</v>
      </c>
      <c r="B152" s="0" t="s">
        <v>264</v>
      </c>
      <c r="C152" s="0"/>
      <c r="D152" s="0">
        <v>165.5</v>
      </c>
      <c r="E152" s="0"/>
      <c r="F152" s="0" t="s">
        <v>2288</v>
      </c>
      <c r="G152" s="0"/>
      <c r="H152" s="0" t="s">
        <v>2643</v>
      </c>
      <c r="I152" s="0" t="s">
        <v>1736</v>
      </c>
      <c r="J152" s="0"/>
      <c r="K152" s="0" t="s">
        <v>2991</v>
      </c>
      <c r="L152" s="0" t="s">
        <v>2992</v>
      </c>
    </row>
    <row r="153">
      <c r="A153" s="0" t="s">
        <v>44</v>
      </c>
      <c r="B153" s="0" t="s">
        <v>264</v>
      </c>
      <c r="C153" s="0"/>
      <c r="D153" s="0">
        <v>143.30000000000001</v>
      </c>
      <c r="E153" s="0"/>
      <c r="F153" s="0" t="s">
        <v>2289</v>
      </c>
      <c r="G153" s="0"/>
      <c r="H153" s="0" t="s">
        <v>2644</v>
      </c>
      <c r="I153" s="0" t="s">
        <v>1678</v>
      </c>
      <c r="J153" s="0"/>
      <c r="K153" s="0" t="s">
        <v>2991</v>
      </c>
      <c r="L153" s="0" t="s">
        <v>2992</v>
      </c>
    </row>
    <row r="154">
      <c r="A154" s="0" t="s">
        <v>44</v>
      </c>
      <c r="B154" s="0" t="s">
        <v>264</v>
      </c>
      <c r="C154" s="0"/>
      <c r="D154" s="0">
        <v>0.00012</v>
      </c>
      <c r="E154" s="0"/>
      <c r="F154" s="0" t="s">
        <v>2290</v>
      </c>
      <c r="G154" s="0"/>
      <c r="H154" s="0" t="s">
        <v>2645</v>
      </c>
      <c r="I154" s="0" t="s">
        <v>1697</v>
      </c>
      <c r="J154" s="0"/>
      <c r="K154" s="0" t="s">
        <v>2991</v>
      </c>
      <c r="L154" s="0" t="s">
        <v>2992</v>
      </c>
    </row>
    <row r="155">
      <c r="A155" s="0" t="s">
        <v>44</v>
      </c>
      <c r="B155" s="0" t="s">
        <v>265</v>
      </c>
      <c r="C155" s="0"/>
      <c r="D155" s="0">
        <v>61.5</v>
      </c>
      <c r="E155" s="0"/>
      <c r="F155" s="0" t="s">
        <v>2291</v>
      </c>
      <c r="G155" s="0"/>
      <c r="H155" s="0" t="s">
        <v>2646</v>
      </c>
      <c r="I155" s="0" t="s">
        <v>1680</v>
      </c>
      <c r="J155" s="0"/>
      <c r="K155" s="0" t="s">
        <v>2991</v>
      </c>
      <c r="L155" s="0" t="s">
        <v>2992</v>
      </c>
    </row>
    <row r="156">
      <c r="A156" s="0" t="s">
        <v>44</v>
      </c>
      <c r="B156" s="0" t="s">
        <v>265</v>
      </c>
      <c r="C156" s="0"/>
      <c r="D156" s="0">
        <v>2116</v>
      </c>
      <c r="E156" s="0"/>
      <c r="F156" s="0" t="s">
        <v>2292</v>
      </c>
      <c r="G156" s="0"/>
      <c r="H156" s="0" t="s">
        <v>2647</v>
      </c>
      <c r="I156" s="0" t="s">
        <v>1680</v>
      </c>
      <c r="J156" s="0"/>
      <c r="K156" s="0" t="s">
        <v>2991</v>
      </c>
      <c r="L156" s="0" t="s">
        <v>2992</v>
      </c>
    </row>
    <row r="157">
      <c r="A157" s="0" t="s">
        <v>44</v>
      </c>
      <c r="B157" s="0" t="s">
        <v>2153</v>
      </c>
      <c r="C157" s="0"/>
      <c r="D157" s="0">
        <v>53</v>
      </c>
      <c r="E157" s="0"/>
      <c r="F157" s="0" t="s">
        <v>1797</v>
      </c>
      <c r="G157" s="0"/>
      <c r="H157" s="0" t="s">
        <v>2648</v>
      </c>
      <c r="I157" s="0" t="s">
        <v>2956</v>
      </c>
      <c r="J157" s="0"/>
      <c r="K157" s="0" t="s">
        <v>2991</v>
      </c>
      <c r="L157" s="0" t="s">
        <v>2992</v>
      </c>
    </row>
    <row r="158">
      <c r="A158" s="0" t="s">
        <v>44</v>
      </c>
      <c r="B158" s="0" t="s">
        <v>266</v>
      </c>
      <c r="C158" s="0"/>
      <c r="D158" s="0">
        <v>3530</v>
      </c>
      <c r="E158" s="0"/>
      <c r="F158" s="0" t="s">
        <v>2293</v>
      </c>
      <c r="G158" s="0"/>
      <c r="H158" s="0" t="s">
        <v>2649</v>
      </c>
      <c r="I158" s="0" t="s">
        <v>1681</v>
      </c>
      <c r="J158" s="0"/>
      <c r="K158" s="0" t="s">
        <v>2991</v>
      </c>
      <c r="L158" s="0" t="s">
        <v>2992</v>
      </c>
    </row>
    <row r="159">
      <c r="A159" s="0" t="s">
        <v>44</v>
      </c>
      <c r="B159" s="0" t="s">
        <v>266</v>
      </c>
      <c r="C159" s="0"/>
      <c r="D159" s="0">
        <v>2597</v>
      </c>
      <c r="E159" s="0"/>
      <c r="F159" s="0" t="s">
        <v>2294</v>
      </c>
      <c r="G159" s="0"/>
      <c r="H159" s="0" t="s">
        <v>2650</v>
      </c>
      <c r="I159" s="0" t="s">
        <v>1681</v>
      </c>
      <c r="J159" s="0"/>
      <c r="K159" s="0" t="s">
        <v>2991</v>
      </c>
      <c r="L159" s="0" t="s">
        <v>2992</v>
      </c>
    </row>
    <row r="160">
      <c r="A160" s="0" t="s">
        <v>44</v>
      </c>
      <c r="B160" s="0" t="s">
        <v>2127</v>
      </c>
      <c r="C160" s="0"/>
      <c r="D160" s="0">
        <v>10</v>
      </c>
      <c r="E160" s="0"/>
      <c r="F160" s="0" t="s">
        <v>694</v>
      </c>
      <c r="G160" s="0"/>
      <c r="H160" s="0" t="s">
        <v>2651</v>
      </c>
      <c r="I160" s="0" t="s">
        <v>2957</v>
      </c>
      <c r="J160" s="0"/>
      <c r="K160" s="0" t="s">
        <v>2991</v>
      </c>
      <c r="L160" s="0" t="s">
        <v>2992</v>
      </c>
    </row>
    <row r="161">
      <c r="A161" s="0" t="s">
        <v>44</v>
      </c>
      <c r="B161" s="0" t="s">
        <v>2127</v>
      </c>
      <c r="C161" s="0"/>
      <c r="D161" s="0">
        <v>167</v>
      </c>
      <c r="E161" s="0"/>
      <c r="F161" s="0" t="s">
        <v>821</v>
      </c>
      <c r="G161" s="0"/>
      <c r="H161" s="0" t="s">
        <v>2652</v>
      </c>
      <c r="I161" s="0" t="s">
        <v>2192</v>
      </c>
      <c r="J161" s="0"/>
      <c r="K161" s="0" t="s">
        <v>2991</v>
      </c>
      <c r="L161" s="0" t="s">
        <v>2992</v>
      </c>
    </row>
    <row r="162">
      <c r="A162" s="0" t="s">
        <v>44</v>
      </c>
      <c r="B162" s="0" t="s">
        <v>2127</v>
      </c>
      <c r="C162" s="0"/>
      <c r="D162" s="0">
        <v>710</v>
      </c>
      <c r="E162" s="0"/>
      <c r="F162" s="0" t="s">
        <v>2295</v>
      </c>
      <c r="G162" s="0"/>
      <c r="H162" s="0" t="s">
        <v>2653</v>
      </c>
      <c r="I162" s="0" t="s">
        <v>2957</v>
      </c>
      <c r="J162" s="0"/>
      <c r="K162" s="0" t="s">
        <v>2991</v>
      </c>
      <c r="L162" s="0" t="s">
        <v>2992</v>
      </c>
    </row>
    <row r="163">
      <c r="A163" s="0" t="s">
        <v>44</v>
      </c>
      <c r="B163" s="0" t="s">
        <v>2127</v>
      </c>
      <c r="C163" s="0"/>
      <c r="D163" s="0">
        <v>2800</v>
      </c>
      <c r="E163" s="0"/>
      <c r="F163" s="0" t="s">
        <v>2296</v>
      </c>
      <c r="G163" s="0"/>
      <c r="H163" s="0" t="s">
        <v>2654</v>
      </c>
      <c r="I163" s="0" t="s">
        <v>1773</v>
      </c>
      <c r="J163" s="0"/>
      <c r="K163" s="0" t="s">
        <v>2991</v>
      </c>
      <c r="L163" s="0" t="s">
        <v>2992</v>
      </c>
    </row>
    <row r="164">
      <c r="A164" s="0" t="s">
        <v>44</v>
      </c>
      <c r="B164" s="0" t="s">
        <v>2127</v>
      </c>
      <c r="C164" s="0"/>
      <c r="D164" s="0">
        <v>2500</v>
      </c>
      <c r="E164" s="0"/>
      <c r="F164" s="0" t="s">
        <v>2297</v>
      </c>
      <c r="G164" s="0"/>
      <c r="H164" s="0" t="s">
        <v>2655</v>
      </c>
      <c r="I164" s="0" t="s">
        <v>2958</v>
      </c>
      <c r="J164" s="0"/>
      <c r="K164" s="0" t="s">
        <v>2991</v>
      </c>
      <c r="L164" s="0" t="s">
        <v>2992</v>
      </c>
    </row>
    <row r="165">
      <c r="A165" s="0" t="s">
        <v>44</v>
      </c>
      <c r="B165" s="0" t="s">
        <v>2142</v>
      </c>
      <c r="C165" s="0"/>
      <c r="D165" s="0">
        <v>19880</v>
      </c>
      <c r="E165" s="0"/>
      <c r="F165" s="0" t="s">
        <v>2298</v>
      </c>
      <c r="G165" s="0"/>
      <c r="H165" s="0" t="s">
        <v>2656</v>
      </c>
      <c r="I165" s="0" t="s">
        <v>1715</v>
      </c>
      <c r="J165" s="0"/>
      <c r="K165" s="0" t="s">
        <v>2991</v>
      </c>
      <c r="L165" s="0" t="s">
        <v>2992</v>
      </c>
    </row>
    <row r="166">
      <c r="A166" s="0" t="s">
        <v>44</v>
      </c>
      <c r="B166" s="0" t="s">
        <v>268</v>
      </c>
      <c r="C166" s="0"/>
      <c r="D166" s="0">
        <v>2.3999999999999999</v>
      </c>
      <c r="E166" s="0"/>
      <c r="F166" s="0" t="s">
        <v>716</v>
      </c>
      <c r="G166" s="0"/>
      <c r="H166" s="0" t="s">
        <v>2657</v>
      </c>
      <c r="I166" s="0" t="s">
        <v>1683</v>
      </c>
      <c r="J166" s="0"/>
      <c r="K166" s="0" t="s">
        <v>2991</v>
      </c>
      <c r="L166" s="0" t="s">
        <v>2992</v>
      </c>
    </row>
    <row r="167">
      <c r="A167" s="0" t="s">
        <v>44</v>
      </c>
      <c r="B167" s="0" t="s">
        <v>268</v>
      </c>
      <c r="C167" s="0"/>
      <c r="D167" s="0">
        <v>90</v>
      </c>
      <c r="E167" s="0"/>
      <c r="F167" s="0" t="s">
        <v>1697</v>
      </c>
      <c r="G167" s="0"/>
      <c r="H167" s="0" t="s">
        <v>2658</v>
      </c>
      <c r="I167" s="0" t="s">
        <v>2959</v>
      </c>
      <c r="J167" s="0"/>
      <c r="K167" s="0" t="s">
        <v>2991</v>
      </c>
      <c r="L167" s="0" t="s">
        <v>2992</v>
      </c>
    </row>
    <row r="168">
      <c r="A168" s="0" t="s">
        <v>44</v>
      </c>
      <c r="B168" s="0" t="s">
        <v>268</v>
      </c>
      <c r="C168" s="0"/>
      <c r="D168" s="0">
        <v>5.7000000000000002</v>
      </c>
      <c r="E168" s="0"/>
      <c r="F168" s="0" t="s">
        <v>2299</v>
      </c>
      <c r="G168" s="0"/>
      <c r="H168" s="0" t="s">
        <v>2659</v>
      </c>
      <c r="I168" s="0" t="s">
        <v>1683</v>
      </c>
      <c r="J168" s="0"/>
      <c r="K168" s="0" t="s">
        <v>2991</v>
      </c>
      <c r="L168" s="0" t="s">
        <v>2992</v>
      </c>
    </row>
    <row r="169">
      <c r="A169" s="0" t="s">
        <v>44</v>
      </c>
      <c r="B169" s="0" t="s">
        <v>268</v>
      </c>
      <c r="C169" s="0"/>
      <c r="D169" s="0">
        <v>497</v>
      </c>
      <c r="E169" s="0"/>
      <c r="F169" s="0" t="s">
        <v>2300</v>
      </c>
      <c r="G169" s="0"/>
      <c r="H169" s="0" t="s">
        <v>2660</v>
      </c>
      <c r="I169" s="0" t="s">
        <v>2959</v>
      </c>
      <c r="J169" s="0"/>
      <c r="K169" s="0" t="s">
        <v>2991</v>
      </c>
      <c r="L169" s="0" t="s">
        <v>2992</v>
      </c>
    </row>
    <row r="170">
      <c r="A170" s="0" t="s">
        <v>44</v>
      </c>
      <c r="B170" s="0" t="s">
        <v>268</v>
      </c>
      <c r="C170" s="0"/>
      <c r="D170" s="0">
        <v>118</v>
      </c>
      <c r="E170" s="0"/>
      <c r="F170" s="0" t="s">
        <v>1743</v>
      </c>
      <c r="G170" s="0"/>
      <c r="H170" s="0" t="s">
        <v>2661</v>
      </c>
      <c r="I170" s="0" t="s">
        <v>2960</v>
      </c>
      <c r="J170" s="0"/>
      <c r="K170" s="0" t="s">
        <v>2991</v>
      </c>
      <c r="L170" s="0" t="s">
        <v>2992</v>
      </c>
    </row>
    <row r="171">
      <c r="A171" s="0" t="s">
        <v>44</v>
      </c>
      <c r="B171" s="0" t="s">
        <v>269</v>
      </c>
      <c r="C171" s="0"/>
      <c r="D171" s="0">
        <v>1.44</v>
      </c>
      <c r="E171" s="0"/>
      <c r="F171" s="0" t="s">
        <v>2301</v>
      </c>
      <c r="G171" s="0"/>
      <c r="H171" s="0" t="s">
        <v>2662</v>
      </c>
      <c r="I171" s="0" t="s">
        <v>1684</v>
      </c>
      <c r="J171" s="0"/>
      <c r="K171" s="0" t="s">
        <v>2991</v>
      </c>
      <c r="L171" s="0" t="s">
        <v>2992</v>
      </c>
    </row>
    <row r="172">
      <c r="A172" s="0" t="s">
        <v>44</v>
      </c>
      <c r="B172" s="0" t="s">
        <v>269</v>
      </c>
      <c r="C172" s="0"/>
      <c r="D172" s="0">
        <v>218.5</v>
      </c>
      <c r="E172" s="0"/>
      <c r="F172" s="0" t="s">
        <v>2302</v>
      </c>
      <c r="G172" s="0"/>
      <c r="H172" s="0" t="s">
        <v>2663</v>
      </c>
      <c r="I172" s="0" t="s">
        <v>2961</v>
      </c>
      <c r="J172" s="0"/>
      <c r="K172" s="0" t="s">
        <v>2991</v>
      </c>
      <c r="L172" s="0" t="s">
        <v>2992</v>
      </c>
    </row>
    <row r="173">
      <c r="A173" s="0" t="s">
        <v>44</v>
      </c>
      <c r="B173" s="0" t="s">
        <v>269</v>
      </c>
      <c r="C173" s="0"/>
      <c r="D173" s="0">
        <v>632</v>
      </c>
      <c r="E173" s="0"/>
      <c r="F173" s="0" t="s">
        <v>1886</v>
      </c>
      <c r="G173" s="0"/>
      <c r="H173" s="0" t="s">
        <v>2664</v>
      </c>
      <c r="I173" s="0" t="s">
        <v>1684</v>
      </c>
      <c r="J173" s="0"/>
      <c r="K173" s="0" t="s">
        <v>2991</v>
      </c>
      <c r="L173" s="0" t="s">
        <v>2992</v>
      </c>
    </row>
    <row r="174">
      <c r="A174" s="0" t="s">
        <v>44</v>
      </c>
      <c r="B174" s="0" t="s">
        <v>271</v>
      </c>
      <c r="C174" s="0"/>
      <c r="D174" s="0">
        <v>1.98</v>
      </c>
      <c r="E174" s="0"/>
      <c r="F174" s="0" t="s">
        <v>2303</v>
      </c>
      <c r="G174" s="0"/>
      <c r="H174" s="0" t="s">
        <v>2665</v>
      </c>
      <c r="I174" s="0" t="s">
        <v>1686</v>
      </c>
      <c r="J174" s="0"/>
      <c r="K174" s="0" t="s">
        <v>2991</v>
      </c>
      <c r="L174" s="0" t="s">
        <v>2992</v>
      </c>
    </row>
    <row r="175">
      <c r="A175" s="0" t="s">
        <v>44</v>
      </c>
      <c r="B175" s="0" t="s">
        <v>271</v>
      </c>
      <c r="C175" s="0"/>
      <c r="D175" s="0">
        <v>4.7999999999999998</v>
      </c>
      <c r="E175" s="0"/>
      <c r="F175" s="0" t="s">
        <v>823</v>
      </c>
      <c r="G175" s="0"/>
      <c r="H175" s="0" t="s">
        <v>2666</v>
      </c>
      <c r="I175" s="0" t="s">
        <v>2962</v>
      </c>
      <c r="J175" s="0"/>
      <c r="K175" s="0" t="s">
        <v>2991</v>
      </c>
      <c r="L175" s="0" t="s">
        <v>2992</v>
      </c>
    </row>
    <row r="176">
      <c r="A176" s="0" t="s">
        <v>44</v>
      </c>
      <c r="B176" s="0" t="s">
        <v>2139</v>
      </c>
      <c r="C176" s="0"/>
      <c r="D176" s="0">
        <v>2050</v>
      </c>
      <c r="E176" s="0"/>
      <c r="F176" s="0" t="s">
        <v>2304</v>
      </c>
      <c r="G176" s="0"/>
      <c r="H176" s="0" t="s">
        <v>2667</v>
      </c>
      <c r="I176" s="0" t="s">
        <v>2958</v>
      </c>
      <c r="J176" s="0"/>
      <c r="K176" s="0" t="s">
        <v>2991</v>
      </c>
      <c r="L176" s="0" t="s">
        <v>2992</v>
      </c>
    </row>
    <row r="177">
      <c r="A177" s="0" t="s">
        <v>44</v>
      </c>
      <c r="B177" s="0" t="s">
        <v>272</v>
      </c>
      <c r="C177" s="0"/>
      <c r="D177" s="0">
        <v>428.10000000000002</v>
      </c>
      <c r="E177" s="0"/>
      <c r="F177" s="0" t="s">
        <v>2305</v>
      </c>
      <c r="G177" s="0"/>
      <c r="H177" s="0" t="s">
        <v>2668</v>
      </c>
      <c r="I177" s="0" t="s">
        <v>1687</v>
      </c>
      <c r="J177" s="0"/>
      <c r="K177" s="0" t="s">
        <v>2991</v>
      </c>
      <c r="L177" s="0" t="s">
        <v>2992</v>
      </c>
    </row>
    <row r="178">
      <c r="A178" s="0" t="s">
        <v>44</v>
      </c>
      <c r="B178" s="0" t="s">
        <v>272</v>
      </c>
      <c r="C178" s="0"/>
      <c r="D178" s="0">
        <v>1046</v>
      </c>
      <c r="E178" s="0"/>
      <c r="F178" s="0" t="s">
        <v>2306</v>
      </c>
      <c r="G178" s="0"/>
      <c r="H178" s="0" t="s">
        <v>2669</v>
      </c>
      <c r="I178" s="0" t="s">
        <v>1688</v>
      </c>
      <c r="J178" s="0"/>
      <c r="K178" s="0" t="s">
        <v>2991</v>
      </c>
      <c r="L178" s="0" t="s">
        <v>2992</v>
      </c>
    </row>
    <row r="179">
      <c r="A179" s="0" t="s">
        <v>44</v>
      </c>
      <c r="B179" s="0" t="s">
        <v>272</v>
      </c>
      <c r="C179" s="0"/>
      <c r="D179" s="0">
        <v>3170</v>
      </c>
      <c r="E179" s="0"/>
      <c r="F179" s="0" t="s">
        <v>2307</v>
      </c>
      <c r="G179" s="0"/>
      <c r="H179" s="0" t="s">
        <v>2670</v>
      </c>
      <c r="I179" s="0" t="s">
        <v>2963</v>
      </c>
      <c r="J179" s="0"/>
      <c r="K179" s="0" t="s">
        <v>2991</v>
      </c>
      <c r="L179" s="0" t="s">
        <v>2992</v>
      </c>
    </row>
    <row r="180">
      <c r="A180" s="0" t="s">
        <v>44</v>
      </c>
      <c r="B180" s="0" t="s">
        <v>272</v>
      </c>
      <c r="C180" s="0"/>
      <c r="D180" s="0">
        <v>5834</v>
      </c>
      <c r="E180" s="0"/>
      <c r="F180" s="0" t="s">
        <v>2308</v>
      </c>
      <c r="G180" s="0"/>
      <c r="H180" s="0" t="s">
        <v>2671</v>
      </c>
      <c r="I180" s="0" t="s">
        <v>2963</v>
      </c>
      <c r="J180" s="0"/>
      <c r="K180" s="0" t="s">
        <v>2991</v>
      </c>
      <c r="L180" s="0" t="s">
        <v>2992</v>
      </c>
    </row>
    <row r="181">
      <c r="A181" s="0" t="s">
        <v>44</v>
      </c>
      <c r="B181" s="0" t="s">
        <v>263</v>
      </c>
      <c r="C181" s="0"/>
      <c r="D181" s="0">
        <v>0.73999999999999999</v>
      </c>
      <c r="E181" s="0"/>
      <c r="F181" s="0" t="s">
        <v>693</v>
      </c>
      <c r="G181" s="0"/>
      <c r="H181" s="0" t="s">
        <v>2672</v>
      </c>
      <c r="I181" s="0" t="s">
        <v>2964</v>
      </c>
      <c r="J181" s="0"/>
      <c r="K181" s="0" t="s">
        <v>2991</v>
      </c>
      <c r="L181" s="0" t="s">
        <v>2992</v>
      </c>
    </row>
    <row r="182">
      <c r="A182" s="0" t="s">
        <v>44</v>
      </c>
      <c r="B182" s="0" t="s">
        <v>263</v>
      </c>
      <c r="C182" s="0"/>
      <c r="D182" s="0">
        <v>192.97999999999999</v>
      </c>
      <c r="E182" s="0"/>
      <c r="F182" s="0" t="s">
        <v>2309</v>
      </c>
      <c r="G182" s="0"/>
      <c r="H182" s="0" t="s">
        <v>2673</v>
      </c>
      <c r="I182" s="0" t="s">
        <v>2964</v>
      </c>
      <c r="J182" s="0"/>
      <c r="K182" s="0" t="s">
        <v>2991</v>
      </c>
      <c r="L182" s="0" t="s">
        <v>2992</v>
      </c>
    </row>
    <row r="183">
      <c r="A183" s="0" t="s">
        <v>44</v>
      </c>
      <c r="B183" s="0" t="s">
        <v>273</v>
      </c>
      <c r="C183" s="0"/>
      <c r="D183" s="0">
        <v>1.96</v>
      </c>
      <c r="E183" s="0"/>
      <c r="F183" s="0" t="s">
        <v>2310</v>
      </c>
      <c r="G183" s="0"/>
      <c r="H183" s="0" t="s">
        <v>2674</v>
      </c>
      <c r="I183" s="0" t="s">
        <v>1690</v>
      </c>
      <c r="J183" s="0"/>
      <c r="K183" s="0" t="s">
        <v>2991</v>
      </c>
      <c r="L183" s="0" t="s">
        <v>2992</v>
      </c>
    </row>
    <row r="184">
      <c r="A184" s="0" t="s">
        <v>44</v>
      </c>
      <c r="B184" s="0" t="s">
        <v>273</v>
      </c>
      <c r="C184" s="0"/>
      <c r="D184" s="0">
        <v>781.60000000000002</v>
      </c>
      <c r="E184" s="0"/>
      <c r="F184" s="0" t="s">
        <v>2311</v>
      </c>
      <c r="G184" s="0"/>
      <c r="H184" s="0" t="s">
        <v>2675</v>
      </c>
      <c r="I184" s="0" t="s">
        <v>1690</v>
      </c>
      <c r="J184" s="0"/>
      <c r="K184" s="0" t="s">
        <v>2991</v>
      </c>
      <c r="L184" s="0" t="s">
        <v>2992</v>
      </c>
    </row>
    <row r="185">
      <c r="A185" s="0" t="s">
        <v>44</v>
      </c>
      <c r="B185" s="0" t="s">
        <v>2154</v>
      </c>
      <c r="C185" s="0"/>
      <c r="D185" s="0">
        <v>0.28000000000000003</v>
      </c>
      <c r="E185" s="0"/>
      <c r="F185" s="0" t="s">
        <v>2009</v>
      </c>
      <c r="G185" s="0"/>
      <c r="H185" s="0" t="s">
        <v>2676</v>
      </c>
      <c r="I185" s="0" t="s">
        <v>2198</v>
      </c>
      <c r="J185" s="0"/>
      <c r="K185" s="0" t="s">
        <v>2991</v>
      </c>
      <c r="L185" s="0" t="s">
        <v>2992</v>
      </c>
    </row>
    <row r="186">
      <c r="A186" s="0" t="s">
        <v>44</v>
      </c>
      <c r="B186" s="0" t="s">
        <v>276</v>
      </c>
      <c r="C186" s="0"/>
      <c r="D186" s="0">
        <v>138</v>
      </c>
      <c r="E186" s="0"/>
      <c r="F186" s="0" t="s">
        <v>2312</v>
      </c>
      <c r="G186" s="0"/>
      <c r="H186" s="0" t="s">
        <v>2677</v>
      </c>
      <c r="I186" s="0" t="s">
        <v>2965</v>
      </c>
      <c r="J186" s="0"/>
      <c r="K186" s="0" t="s">
        <v>2991</v>
      </c>
      <c r="L186" s="0" t="s">
        <v>2992</v>
      </c>
    </row>
    <row r="187">
      <c r="A187" s="0" t="s">
        <v>44</v>
      </c>
      <c r="B187" s="0" t="s">
        <v>2155</v>
      </c>
      <c r="C187" s="0"/>
      <c r="D187" s="0">
        <v>5.9000000000000004</v>
      </c>
      <c r="E187" s="0"/>
      <c r="F187" s="0" t="s">
        <v>835</v>
      </c>
      <c r="G187" s="0"/>
      <c r="H187" s="0" t="s">
        <v>2678</v>
      </c>
      <c r="I187" s="0" t="s">
        <v>1747</v>
      </c>
      <c r="J187" s="0"/>
      <c r="K187" s="0" t="s">
        <v>2991</v>
      </c>
      <c r="L187" s="0" t="s">
        <v>2992</v>
      </c>
    </row>
    <row r="188">
      <c r="A188" s="0" t="s">
        <v>44</v>
      </c>
      <c r="B188" s="0" t="s">
        <v>2155</v>
      </c>
      <c r="C188" s="0"/>
      <c r="D188" s="0">
        <v>412</v>
      </c>
      <c r="E188" s="0"/>
      <c r="F188" s="0" t="s">
        <v>1668</v>
      </c>
      <c r="G188" s="0"/>
      <c r="H188" s="0" t="s">
        <v>2679</v>
      </c>
      <c r="I188" s="0" t="s">
        <v>2966</v>
      </c>
      <c r="J188" s="0"/>
      <c r="K188" s="0" t="s">
        <v>2991</v>
      </c>
      <c r="L188" s="0" t="s">
        <v>2992</v>
      </c>
    </row>
    <row r="189">
      <c r="A189" s="0" t="s">
        <v>44</v>
      </c>
      <c r="B189" s="0" t="s">
        <v>2155</v>
      </c>
      <c r="C189" s="0"/>
      <c r="D189" s="0">
        <v>88.799999999999997</v>
      </c>
      <c r="E189" s="0"/>
      <c r="F189" s="0" t="s">
        <v>2313</v>
      </c>
      <c r="G189" s="0"/>
      <c r="H189" s="0" t="s">
        <v>2680</v>
      </c>
      <c r="I189" s="0" t="s">
        <v>1747</v>
      </c>
      <c r="J189" s="0"/>
      <c r="K189" s="0" t="s">
        <v>2991</v>
      </c>
      <c r="L189" s="0" t="s">
        <v>2992</v>
      </c>
    </row>
    <row r="190">
      <c r="A190" s="0" t="s">
        <v>44</v>
      </c>
      <c r="B190" s="0" t="s">
        <v>299</v>
      </c>
      <c r="C190" s="0"/>
      <c r="D190" s="0">
        <v>3000</v>
      </c>
      <c r="E190" s="0"/>
      <c r="F190" s="0" t="s">
        <v>1838</v>
      </c>
      <c r="G190" s="0"/>
      <c r="H190" s="0" t="s">
        <v>2681</v>
      </c>
      <c r="I190" s="0" t="s">
        <v>2967</v>
      </c>
      <c r="J190" s="0"/>
      <c r="K190" s="0" t="s">
        <v>2991</v>
      </c>
      <c r="L190" s="0" t="s">
        <v>2992</v>
      </c>
    </row>
    <row r="191">
      <c r="A191" s="0" t="s">
        <v>44</v>
      </c>
      <c r="B191" s="0" t="s">
        <v>299</v>
      </c>
      <c r="C191" s="0"/>
      <c r="D191" s="0">
        <v>650</v>
      </c>
      <c r="E191" s="0"/>
      <c r="F191" s="0" t="s">
        <v>2314</v>
      </c>
      <c r="G191" s="0"/>
      <c r="H191" s="0" t="s">
        <v>2682</v>
      </c>
      <c r="I191" s="0" t="s">
        <v>2967</v>
      </c>
      <c r="J191" s="0"/>
      <c r="K191" s="0" t="s">
        <v>2991</v>
      </c>
      <c r="L191" s="0" t="s">
        <v>2992</v>
      </c>
    </row>
    <row r="192">
      <c r="A192" s="0" t="s">
        <v>44</v>
      </c>
      <c r="B192" s="0" t="s">
        <v>299</v>
      </c>
      <c r="C192" s="0"/>
      <c r="D192" s="0">
        <v>560</v>
      </c>
      <c r="E192" s="0"/>
      <c r="F192" s="0" t="s">
        <v>2315</v>
      </c>
      <c r="G192" s="0"/>
      <c r="H192" s="0" t="s">
        <v>2683</v>
      </c>
      <c r="I192" s="0" t="s">
        <v>2967</v>
      </c>
      <c r="J192" s="0"/>
      <c r="K192" s="0" t="s">
        <v>2991</v>
      </c>
      <c r="L192" s="0" t="s">
        <v>2992</v>
      </c>
    </row>
    <row r="193">
      <c r="A193" s="0" t="s">
        <v>44</v>
      </c>
      <c r="B193" s="0" t="s">
        <v>299</v>
      </c>
      <c r="C193" s="0"/>
      <c r="D193" s="0">
        <v>6000</v>
      </c>
      <c r="E193" s="0"/>
      <c r="F193" s="0" t="s">
        <v>2316</v>
      </c>
      <c r="G193" s="0"/>
      <c r="H193" s="0" t="s">
        <v>2684</v>
      </c>
      <c r="I193" s="0" t="s">
        <v>820</v>
      </c>
      <c r="J193" s="0"/>
      <c r="K193" s="0" t="s">
        <v>2991</v>
      </c>
      <c r="L193" s="0" t="s">
        <v>2992</v>
      </c>
    </row>
    <row r="194">
      <c r="A194" s="0" t="s">
        <v>44</v>
      </c>
      <c r="B194" s="0" t="s">
        <v>256</v>
      </c>
      <c r="C194" s="0"/>
      <c r="D194" s="0">
        <v>2960</v>
      </c>
      <c r="E194" s="0"/>
      <c r="F194" s="0" t="s">
        <v>2317</v>
      </c>
      <c r="G194" s="0"/>
      <c r="H194" s="0" t="s">
        <v>2685</v>
      </c>
      <c r="I194" s="0" t="s">
        <v>1696</v>
      </c>
      <c r="J194" s="0"/>
      <c r="K194" s="0" t="s">
        <v>2991</v>
      </c>
      <c r="L194" s="0" t="s">
        <v>2992</v>
      </c>
    </row>
    <row r="195">
      <c r="A195" s="0" t="s">
        <v>44</v>
      </c>
      <c r="B195" s="0" t="s">
        <v>2156</v>
      </c>
      <c r="C195" s="0"/>
      <c r="D195" s="0">
        <v>97.11</v>
      </c>
      <c r="E195" s="0"/>
      <c r="F195" s="0" t="s">
        <v>2318</v>
      </c>
      <c r="G195" s="0"/>
      <c r="H195" s="0" t="s">
        <v>2686</v>
      </c>
      <c r="I195" s="0" t="s">
        <v>2180</v>
      </c>
      <c r="J195" s="0"/>
      <c r="K195" s="0" t="s">
        <v>2991</v>
      </c>
      <c r="L195" s="0" t="s">
        <v>2992</v>
      </c>
    </row>
    <row r="196">
      <c r="A196" s="0" t="s">
        <v>44</v>
      </c>
      <c r="B196" s="0" t="s">
        <v>2156</v>
      </c>
      <c r="C196" s="0"/>
      <c r="D196" s="0">
        <v>443.89999999999998</v>
      </c>
      <c r="E196" s="0"/>
      <c r="F196" s="0" t="s">
        <v>2319</v>
      </c>
      <c r="G196" s="0"/>
      <c r="H196" s="0" t="s">
        <v>2687</v>
      </c>
      <c r="I196" s="0" t="s">
        <v>2180</v>
      </c>
      <c r="J196" s="0"/>
      <c r="K196" s="0" t="s">
        <v>2991</v>
      </c>
      <c r="L196" s="0" t="s">
        <v>2992</v>
      </c>
    </row>
    <row r="197">
      <c r="A197" s="0" t="s">
        <v>44</v>
      </c>
      <c r="B197" s="0" t="s">
        <v>278</v>
      </c>
      <c r="C197" s="0"/>
      <c r="D197" s="0">
        <v>0.38</v>
      </c>
      <c r="E197" s="0"/>
      <c r="F197" s="0" t="s">
        <v>894</v>
      </c>
      <c r="G197" s="0"/>
      <c r="H197" s="0" t="s">
        <v>2688</v>
      </c>
      <c r="I197" s="0" t="s">
        <v>1697</v>
      </c>
      <c r="J197" s="0"/>
      <c r="K197" s="0" t="s">
        <v>2991</v>
      </c>
      <c r="L197" s="0" t="s">
        <v>2992</v>
      </c>
    </row>
    <row r="198">
      <c r="A198" s="0" t="s">
        <v>44</v>
      </c>
      <c r="B198" s="0" t="s">
        <v>278</v>
      </c>
      <c r="C198" s="0"/>
      <c r="D198" s="0">
        <v>998</v>
      </c>
      <c r="E198" s="0"/>
      <c r="F198" s="0" t="s">
        <v>2320</v>
      </c>
      <c r="G198" s="0"/>
      <c r="H198" s="0" t="s">
        <v>2689</v>
      </c>
      <c r="I198" s="0" t="s">
        <v>1698</v>
      </c>
      <c r="J198" s="0"/>
      <c r="K198" s="0" t="s">
        <v>2991</v>
      </c>
      <c r="L198" s="0" t="s">
        <v>2992</v>
      </c>
    </row>
    <row r="199">
      <c r="A199" s="0" t="s">
        <v>44</v>
      </c>
      <c r="B199" s="0" t="s">
        <v>278</v>
      </c>
      <c r="C199" s="0"/>
      <c r="D199" s="0">
        <v>292.39999999999998</v>
      </c>
      <c r="E199" s="0"/>
      <c r="F199" s="0" t="s">
        <v>2321</v>
      </c>
      <c r="G199" s="0"/>
      <c r="H199" s="0" t="s">
        <v>2689</v>
      </c>
      <c r="I199" s="0" t="s">
        <v>1698</v>
      </c>
      <c r="J199" s="0"/>
      <c r="K199" s="0" t="s">
        <v>2991</v>
      </c>
      <c r="L199" s="0" t="s">
        <v>2992</v>
      </c>
    </row>
    <row r="200">
      <c r="A200" s="0" t="s">
        <v>44</v>
      </c>
      <c r="B200" s="0" t="s">
        <v>279</v>
      </c>
      <c r="C200" s="0"/>
      <c r="D200" s="0">
        <v>2108</v>
      </c>
      <c r="E200" s="0"/>
      <c r="F200" s="0" t="s">
        <v>2322</v>
      </c>
      <c r="G200" s="0"/>
      <c r="H200" s="0" t="s">
        <v>1211</v>
      </c>
      <c r="I200" s="0" t="s">
        <v>1699</v>
      </c>
      <c r="J200" s="0"/>
      <c r="K200" s="0" t="s">
        <v>2991</v>
      </c>
      <c r="L200" s="0" t="s">
        <v>2992</v>
      </c>
    </row>
    <row r="201">
      <c r="A201" s="0" t="s">
        <v>44</v>
      </c>
      <c r="B201" s="0" t="s">
        <v>2157</v>
      </c>
      <c r="C201" s="0"/>
      <c r="D201" s="0">
        <v>900</v>
      </c>
      <c r="E201" s="0"/>
      <c r="F201" s="0" t="s">
        <v>2323</v>
      </c>
      <c r="G201" s="0"/>
      <c r="H201" s="0" t="s">
        <v>2690</v>
      </c>
      <c r="I201" s="0" t="s">
        <v>2968</v>
      </c>
      <c r="J201" s="0"/>
      <c r="K201" s="0" t="s">
        <v>2991</v>
      </c>
      <c r="L201" s="0" t="s">
        <v>2992</v>
      </c>
    </row>
    <row r="202">
      <c r="A202" s="0" t="s">
        <v>44</v>
      </c>
      <c r="B202" s="0" t="s">
        <v>349</v>
      </c>
      <c r="C202" s="0"/>
      <c r="D202" s="0">
        <v>0.075999999999999998</v>
      </c>
      <c r="E202" s="0"/>
      <c r="F202" s="0" t="s">
        <v>1124</v>
      </c>
      <c r="G202" s="0"/>
      <c r="H202" s="0" t="s">
        <v>2691</v>
      </c>
      <c r="I202" s="0" t="s">
        <v>2312</v>
      </c>
      <c r="J202" s="0"/>
      <c r="K202" s="0" t="s">
        <v>2991</v>
      </c>
      <c r="L202" s="0" t="s">
        <v>2992</v>
      </c>
    </row>
    <row r="203">
      <c r="A203" s="0" t="s">
        <v>44</v>
      </c>
      <c r="B203" s="0" t="s">
        <v>280</v>
      </c>
      <c r="C203" s="0"/>
      <c r="D203" s="0">
        <v>239.5</v>
      </c>
      <c r="E203" s="0"/>
      <c r="F203" s="0" t="s">
        <v>2324</v>
      </c>
      <c r="G203" s="0"/>
      <c r="H203" s="0" t="s">
        <v>2692</v>
      </c>
      <c r="I203" s="0" t="s">
        <v>1700</v>
      </c>
      <c r="J203" s="0"/>
      <c r="K203" s="0" t="s">
        <v>2991</v>
      </c>
      <c r="L203" s="0" t="s">
        <v>2992</v>
      </c>
    </row>
    <row r="204">
      <c r="A204" s="0" t="s">
        <v>44</v>
      </c>
      <c r="B204" s="0" t="s">
        <v>2158</v>
      </c>
      <c r="C204" s="0"/>
      <c r="D204" s="0">
        <v>12.4</v>
      </c>
      <c r="E204" s="0"/>
      <c r="F204" s="0" t="s">
        <v>769</v>
      </c>
      <c r="G204" s="0"/>
      <c r="H204" s="0" t="s">
        <v>2693</v>
      </c>
      <c r="I204" s="0" t="s">
        <v>1771</v>
      </c>
      <c r="J204" s="0"/>
      <c r="K204" s="0" t="s">
        <v>2991</v>
      </c>
      <c r="L204" s="0" t="s">
        <v>2992</v>
      </c>
    </row>
    <row r="205">
      <c r="A205" s="0" t="s">
        <v>44</v>
      </c>
      <c r="B205" s="0" t="s">
        <v>2158</v>
      </c>
      <c r="C205" s="0"/>
      <c r="D205" s="0">
        <v>3.2000000000000002</v>
      </c>
      <c r="E205" s="0"/>
      <c r="F205" s="0" t="s">
        <v>2325</v>
      </c>
      <c r="G205" s="0"/>
      <c r="H205" s="0" t="s">
        <v>2694</v>
      </c>
      <c r="I205" s="0" t="s">
        <v>1781</v>
      </c>
      <c r="J205" s="0"/>
      <c r="K205" s="0" t="s">
        <v>2991</v>
      </c>
      <c r="L205" s="0" t="s">
        <v>2992</v>
      </c>
    </row>
    <row r="206">
      <c r="A206" s="0" t="s">
        <v>44</v>
      </c>
      <c r="B206" s="0" t="s">
        <v>281</v>
      </c>
      <c r="C206" s="0"/>
      <c r="D206" s="0">
        <v>13.75</v>
      </c>
      <c r="E206" s="0"/>
      <c r="F206" s="0" t="s">
        <v>2326</v>
      </c>
      <c r="G206" s="0"/>
      <c r="H206" s="0" t="s">
        <v>2695</v>
      </c>
      <c r="I206" s="0" t="s">
        <v>2969</v>
      </c>
      <c r="J206" s="0"/>
      <c r="K206" s="0" t="s">
        <v>2991</v>
      </c>
      <c r="L206" s="0" t="s">
        <v>2992</v>
      </c>
    </row>
    <row r="207">
      <c r="A207" s="0" t="s">
        <v>44</v>
      </c>
      <c r="B207" s="0" t="s">
        <v>281</v>
      </c>
      <c r="C207" s="0"/>
      <c r="D207" s="0">
        <v>910</v>
      </c>
      <c r="E207" s="0"/>
      <c r="F207" s="0" t="s">
        <v>2327</v>
      </c>
      <c r="G207" s="0"/>
      <c r="H207" s="0" t="s">
        <v>2696</v>
      </c>
      <c r="I207" s="0" t="s">
        <v>2970</v>
      </c>
      <c r="J207" s="0"/>
      <c r="K207" s="0" t="s">
        <v>2991</v>
      </c>
      <c r="L207" s="0" t="s">
        <v>2992</v>
      </c>
    </row>
    <row r="208">
      <c r="A208" s="0" t="s">
        <v>44</v>
      </c>
      <c r="B208" s="0" t="s">
        <v>281</v>
      </c>
      <c r="C208" s="0"/>
      <c r="D208" s="0">
        <v>1030</v>
      </c>
      <c r="E208" s="0"/>
      <c r="F208" s="0" t="s">
        <v>2328</v>
      </c>
      <c r="G208" s="0"/>
      <c r="H208" s="0" t="s">
        <v>2697</v>
      </c>
      <c r="I208" s="0" t="s">
        <v>2970</v>
      </c>
      <c r="J208" s="0"/>
      <c r="K208" s="0" t="s">
        <v>2991</v>
      </c>
      <c r="L208" s="0" t="s">
        <v>2992</v>
      </c>
    </row>
    <row r="209">
      <c r="A209" s="0" t="s">
        <v>44</v>
      </c>
      <c r="B209" s="0" t="s">
        <v>281</v>
      </c>
      <c r="C209" s="0"/>
      <c r="D209" s="0">
        <v>4.3200000000000003</v>
      </c>
      <c r="E209" s="0"/>
      <c r="F209" s="0" t="s">
        <v>2329</v>
      </c>
      <c r="G209" s="0"/>
      <c r="H209" s="0" t="s">
        <v>2698</v>
      </c>
      <c r="I209" s="0" t="s">
        <v>2969</v>
      </c>
      <c r="J209" s="0"/>
      <c r="K209" s="0" t="s">
        <v>2991</v>
      </c>
      <c r="L209" s="0" t="s">
        <v>2992</v>
      </c>
    </row>
    <row r="210">
      <c r="A210" s="0" t="s">
        <v>44</v>
      </c>
      <c r="B210" s="0" t="s">
        <v>281</v>
      </c>
      <c r="C210" s="0"/>
      <c r="D210" s="0">
        <v>974</v>
      </c>
      <c r="E210" s="0"/>
      <c r="F210" s="0" t="s">
        <v>2330</v>
      </c>
      <c r="G210" s="0"/>
      <c r="H210" s="0" t="s">
        <v>2699</v>
      </c>
      <c r="I210" s="0" t="s">
        <v>1701</v>
      </c>
      <c r="J210" s="0"/>
      <c r="K210" s="0" t="s">
        <v>2991</v>
      </c>
      <c r="L210" s="0" t="s">
        <v>2992</v>
      </c>
    </row>
    <row r="211">
      <c r="A211" s="0" t="s">
        <v>44</v>
      </c>
      <c r="B211" s="0" t="s">
        <v>281</v>
      </c>
      <c r="C211" s="0"/>
      <c r="D211" s="0">
        <v>22.84</v>
      </c>
      <c r="E211" s="0"/>
      <c r="F211" s="0" t="s">
        <v>2331</v>
      </c>
      <c r="G211" s="0"/>
      <c r="H211" s="0" t="s">
        <v>2700</v>
      </c>
      <c r="I211" s="0" t="s">
        <v>2969</v>
      </c>
      <c r="J211" s="0"/>
      <c r="K211" s="0" t="s">
        <v>2991</v>
      </c>
      <c r="L211" s="0" t="s">
        <v>2992</v>
      </c>
    </row>
    <row r="212">
      <c r="A212" s="0" t="s">
        <v>44</v>
      </c>
      <c r="B212" s="0" t="s">
        <v>281</v>
      </c>
      <c r="C212" s="0"/>
      <c r="D212" s="0">
        <v>5.79</v>
      </c>
      <c r="E212" s="0"/>
      <c r="F212" s="0" t="s">
        <v>2332</v>
      </c>
      <c r="G212" s="0"/>
      <c r="H212" s="0" t="s">
        <v>2701</v>
      </c>
      <c r="I212" s="0" t="s">
        <v>2969</v>
      </c>
      <c r="J212" s="0"/>
      <c r="K212" s="0" t="s">
        <v>2991</v>
      </c>
      <c r="L212" s="0" t="s">
        <v>2992</v>
      </c>
    </row>
    <row r="213">
      <c r="A213" s="0" t="s">
        <v>44</v>
      </c>
      <c r="B213" s="0" t="s">
        <v>281</v>
      </c>
      <c r="C213" s="0"/>
      <c r="D213" s="0">
        <v>1500</v>
      </c>
      <c r="E213" s="0"/>
      <c r="F213" s="0" t="s">
        <v>1818</v>
      </c>
      <c r="G213" s="0"/>
      <c r="H213" s="0" t="s">
        <v>2702</v>
      </c>
      <c r="I213" s="0" t="s">
        <v>2970</v>
      </c>
      <c r="J213" s="0"/>
      <c r="K213" s="0" t="s">
        <v>2991</v>
      </c>
      <c r="L213" s="0" t="s">
        <v>2992</v>
      </c>
    </row>
    <row r="214">
      <c r="A214" s="0" t="s">
        <v>44</v>
      </c>
      <c r="B214" s="0" t="s">
        <v>2159</v>
      </c>
      <c r="C214" s="0"/>
      <c r="D214" s="0">
        <v>11.5</v>
      </c>
      <c r="E214" s="0"/>
      <c r="F214" s="0" t="s">
        <v>584</v>
      </c>
      <c r="G214" s="0"/>
      <c r="H214" s="0" t="s">
        <v>2703</v>
      </c>
      <c r="I214" s="0" t="s">
        <v>1751</v>
      </c>
      <c r="J214" s="0"/>
      <c r="K214" s="0" t="s">
        <v>2991</v>
      </c>
      <c r="L214" s="0" t="s">
        <v>2992</v>
      </c>
    </row>
    <row r="215">
      <c r="A215" s="0" t="s">
        <v>44</v>
      </c>
      <c r="B215" s="0" t="s">
        <v>2159</v>
      </c>
      <c r="C215" s="0"/>
      <c r="D215" s="0">
        <v>48.799999999999997</v>
      </c>
      <c r="E215" s="0"/>
      <c r="F215" s="0" t="s">
        <v>2333</v>
      </c>
      <c r="G215" s="0"/>
      <c r="H215" s="0" t="s">
        <v>2704</v>
      </c>
      <c r="I215" s="0" t="s">
        <v>1751</v>
      </c>
      <c r="J215" s="0"/>
      <c r="K215" s="0" t="s">
        <v>2991</v>
      </c>
      <c r="L215" s="0" t="s">
        <v>2992</v>
      </c>
    </row>
    <row r="216">
      <c r="A216" s="0" t="s">
        <v>44</v>
      </c>
      <c r="B216" s="0" t="s">
        <v>2159</v>
      </c>
      <c r="C216" s="0"/>
      <c r="D216" s="0">
        <v>305</v>
      </c>
      <c r="E216" s="0"/>
      <c r="F216" s="0" t="s">
        <v>1702</v>
      </c>
      <c r="G216" s="0"/>
      <c r="H216" s="0" t="s">
        <v>2705</v>
      </c>
      <c r="I216" s="0" t="s">
        <v>1751</v>
      </c>
      <c r="J216" s="0"/>
      <c r="K216" s="0" t="s">
        <v>2991</v>
      </c>
      <c r="L216" s="0" t="s">
        <v>2992</v>
      </c>
    </row>
    <row r="217">
      <c r="A217" s="0" t="s">
        <v>44</v>
      </c>
      <c r="B217" s="0" t="s">
        <v>282</v>
      </c>
      <c r="C217" s="0"/>
      <c r="D217" s="0">
        <v>0.080000000000000002</v>
      </c>
      <c r="E217" s="0"/>
      <c r="F217" s="0" t="s">
        <v>666</v>
      </c>
      <c r="G217" s="0"/>
      <c r="H217" s="0" t="s">
        <v>2706</v>
      </c>
      <c r="I217" s="0" t="s">
        <v>1719</v>
      </c>
      <c r="J217" s="0"/>
      <c r="K217" s="0" t="s">
        <v>2991</v>
      </c>
      <c r="L217" s="0" t="s">
        <v>2992</v>
      </c>
    </row>
    <row r="218">
      <c r="A218" s="0" t="s">
        <v>44</v>
      </c>
      <c r="B218" s="0" t="s">
        <v>282</v>
      </c>
      <c r="C218" s="0"/>
      <c r="D218" s="0">
        <v>34</v>
      </c>
      <c r="E218" s="0"/>
      <c r="F218" s="0" t="s">
        <v>642</v>
      </c>
      <c r="G218" s="0"/>
      <c r="H218" s="0" t="s">
        <v>2707</v>
      </c>
      <c r="I218" s="0" t="s">
        <v>2204</v>
      </c>
      <c r="J218" s="0"/>
      <c r="K218" s="0" t="s">
        <v>2991</v>
      </c>
      <c r="L218" s="0" t="s">
        <v>2992</v>
      </c>
    </row>
    <row r="219">
      <c r="A219" s="0" t="s">
        <v>44</v>
      </c>
      <c r="B219" s="0" t="s">
        <v>282</v>
      </c>
      <c r="C219" s="0"/>
      <c r="D219" s="0">
        <v>0.5</v>
      </c>
      <c r="E219" s="0"/>
      <c r="F219" s="0" t="s">
        <v>632</v>
      </c>
      <c r="G219" s="0"/>
      <c r="H219" s="0" t="s">
        <v>2708</v>
      </c>
      <c r="I219" s="0" t="s">
        <v>1719</v>
      </c>
      <c r="J219" s="0"/>
      <c r="K219" s="0" t="s">
        <v>2991</v>
      </c>
      <c r="L219" s="0" t="s">
        <v>2992</v>
      </c>
    </row>
    <row r="220">
      <c r="A220" s="0" t="s">
        <v>44</v>
      </c>
      <c r="B220" s="0" t="s">
        <v>282</v>
      </c>
      <c r="C220" s="0"/>
      <c r="D220" s="0">
        <v>15</v>
      </c>
      <c r="E220" s="0"/>
      <c r="F220" s="0" t="s">
        <v>641</v>
      </c>
      <c r="G220" s="0"/>
      <c r="H220" s="0" t="s">
        <v>2709</v>
      </c>
      <c r="I220" s="0" t="s">
        <v>2204</v>
      </c>
      <c r="J220" s="0"/>
      <c r="K220" s="0" t="s">
        <v>2991</v>
      </c>
      <c r="L220" s="0" t="s">
        <v>2992</v>
      </c>
    </row>
    <row r="221">
      <c r="A221" s="0" t="s">
        <v>44</v>
      </c>
      <c r="B221" s="0" t="s">
        <v>282</v>
      </c>
      <c r="C221" s="0"/>
      <c r="D221" s="0">
        <v>43</v>
      </c>
      <c r="E221" s="0"/>
      <c r="F221" s="0" t="s">
        <v>824</v>
      </c>
      <c r="G221" s="0"/>
      <c r="H221" s="0" t="s">
        <v>2710</v>
      </c>
      <c r="I221" s="0" t="s">
        <v>2204</v>
      </c>
      <c r="J221" s="0"/>
      <c r="K221" s="0" t="s">
        <v>2991</v>
      </c>
      <c r="L221" s="0" t="s">
        <v>2992</v>
      </c>
    </row>
    <row r="222">
      <c r="A222" s="0" t="s">
        <v>44</v>
      </c>
      <c r="B222" s="0" t="s">
        <v>282</v>
      </c>
      <c r="C222" s="0"/>
      <c r="D222" s="0">
        <v>1300</v>
      </c>
      <c r="E222" s="0"/>
      <c r="F222" s="0" t="s">
        <v>2334</v>
      </c>
      <c r="G222" s="0"/>
      <c r="H222" s="0" t="s">
        <v>2711</v>
      </c>
      <c r="I222" s="0" t="s">
        <v>2204</v>
      </c>
      <c r="J222" s="0"/>
      <c r="K222" s="0" t="s">
        <v>2991</v>
      </c>
      <c r="L222" s="0" t="s">
        <v>2992</v>
      </c>
    </row>
    <row r="223">
      <c r="A223" s="0" t="s">
        <v>44</v>
      </c>
      <c r="B223" s="0" t="s">
        <v>282</v>
      </c>
      <c r="C223" s="0"/>
      <c r="D223" s="0">
        <v>51.100000000000001</v>
      </c>
      <c r="E223" s="0"/>
      <c r="F223" s="0" t="s">
        <v>2335</v>
      </c>
      <c r="G223" s="0"/>
      <c r="H223" s="0"/>
      <c r="I223" s="0" t="s">
        <v>1795</v>
      </c>
      <c r="J223" s="0"/>
      <c r="K223" s="0" t="s">
        <v>2991</v>
      </c>
      <c r="L223" s="0" t="s">
        <v>2992</v>
      </c>
    </row>
    <row r="224">
      <c r="A224" s="0" t="s">
        <v>44</v>
      </c>
      <c r="B224" s="0" t="s">
        <v>282</v>
      </c>
      <c r="C224" s="0"/>
      <c r="D224" s="0">
        <v>7895</v>
      </c>
      <c r="E224" s="0"/>
      <c r="F224" s="0" t="s">
        <v>2336</v>
      </c>
      <c r="G224" s="0"/>
      <c r="H224" s="0"/>
      <c r="I224" s="0" t="s">
        <v>1741</v>
      </c>
      <c r="J224" s="0"/>
      <c r="K224" s="0" t="s">
        <v>2991</v>
      </c>
      <c r="L224" s="0" t="s">
        <v>2992</v>
      </c>
    </row>
    <row r="225">
      <c r="A225" s="0" t="s">
        <v>44</v>
      </c>
      <c r="B225" s="0" t="s">
        <v>282</v>
      </c>
      <c r="C225" s="0"/>
      <c r="D225" s="0">
        <v>550</v>
      </c>
      <c r="E225" s="0"/>
      <c r="F225" s="0" t="s">
        <v>2337</v>
      </c>
      <c r="G225" s="0"/>
      <c r="H225" s="0" t="s">
        <v>2712</v>
      </c>
      <c r="I225" s="0" t="s">
        <v>2971</v>
      </c>
      <c r="J225" s="0"/>
      <c r="K225" s="0" t="s">
        <v>2991</v>
      </c>
      <c r="L225" s="0" t="s">
        <v>2992</v>
      </c>
    </row>
    <row r="226">
      <c r="A226" s="0" t="s">
        <v>44</v>
      </c>
      <c r="B226" s="0" t="s">
        <v>282</v>
      </c>
      <c r="C226" s="0"/>
      <c r="D226" s="0">
        <v>3900</v>
      </c>
      <c r="E226" s="0"/>
      <c r="F226" s="0" t="s">
        <v>2338</v>
      </c>
      <c r="G226" s="0"/>
      <c r="H226" s="0" t="s">
        <v>2713</v>
      </c>
      <c r="I226" s="0" t="s">
        <v>2972</v>
      </c>
      <c r="J226" s="0"/>
      <c r="K226" s="0" t="s">
        <v>2991</v>
      </c>
      <c r="L226" s="0" t="s">
        <v>2992</v>
      </c>
    </row>
    <row r="227">
      <c r="A227" s="0" t="s">
        <v>44</v>
      </c>
      <c r="B227" s="0" t="s">
        <v>282</v>
      </c>
      <c r="C227" s="0"/>
      <c r="D227" s="0">
        <v>30</v>
      </c>
      <c r="E227" s="0"/>
      <c r="F227" s="0" t="s">
        <v>1019</v>
      </c>
      <c r="G227" s="0"/>
      <c r="H227" s="0" t="s">
        <v>2714</v>
      </c>
      <c r="I227" s="0" t="s">
        <v>1773</v>
      </c>
      <c r="J227" s="0"/>
      <c r="K227" s="0" t="s">
        <v>2991</v>
      </c>
      <c r="L227" s="0" t="s">
        <v>2992</v>
      </c>
    </row>
    <row r="228">
      <c r="A228" s="0" t="s">
        <v>44</v>
      </c>
      <c r="B228" s="0" t="s">
        <v>282</v>
      </c>
      <c r="C228" s="0"/>
      <c r="D228" s="0">
        <v>32</v>
      </c>
      <c r="E228" s="0"/>
      <c r="F228" s="0" t="s">
        <v>705</v>
      </c>
      <c r="G228" s="0"/>
      <c r="H228" s="0" t="s">
        <v>2715</v>
      </c>
      <c r="I228" s="0" t="s">
        <v>2204</v>
      </c>
      <c r="J228" s="0"/>
      <c r="K228" s="0" t="s">
        <v>2991</v>
      </c>
      <c r="L228" s="0" t="s">
        <v>2992</v>
      </c>
    </row>
    <row r="229">
      <c r="A229" s="0" t="s">
        <v>44</v>
      </c>
      <c r="B229" s="0" t="s">
        <v>282</v>
      </c>
      <c r="C229" s="0"/>
      <c r="D229" s="0">
        <v>8000</v>
      </c>
      <c r="E229" s="0"/>
      <c r="F229" s="0" t="s">
        <v>2339</v>
      </c>
      <c r="G229" s="0"/>
      <c r="H229" s="0" t="s">
        <v>2716</v>
      </c>
      <c r="I229" s="0" t="s">
        <v>2204</v>
      </c>
      <c r="J229" s="0"/>
      <c r="K229" s="0" t="s">
        <v>2991</v>
      </c>
      <c r="L229" s="0" t="s">
        <v>2992</v>
      </c>
    </row>
    <row r="230">
      <c r="A230" s="0" t="s">
        <v>44</v>
      </c>
      <c r="B230" s="0" t="s">
        <v>2160</v>
      </c>
      <c r="C230" s="0"/>
      <c r="D230" s="0">
        <v>203</v>
      </c>
      <c r="E230" s="0"/>
      <c r="F230" s="0" t="s">
        <v>1746</v>
      </c>
      <c r="G230" s="0"/>
      <c r="H230" s="0" t="s">
        <v>2717</v>
      </c>
      <c r="I230" s="0" t="s">
        <v>1800</v>
      </c>
      <c r="J230" s="0"/>
      <c r="K230" s="0" t="s">
        <v>2991</v>
      </c>
      <c r="L230" s="0" t="s">
        <v>2992</v>
      </c>
    </row>
    <row r="231">
      <c r="A231" s="0" t="s">
        <v>44</v>
      </c>
      <c r="B231" s="0" t="s">
        <v>2160</v>
      </c>
      <c r="C231" s="0"/>
      <c r="D231" s="0">
        <v>170</v>
      </c>
      <c r="E231" s="0"/>
      <c r="F231" s="0" t="s">
        <v>2340</v>
      </c>
      <c r="G231" s="0"/>
      <c r="H231" s="0" t="s">
        <v>2718</v>
      </c>
      <c r="I231" s="0" t="s">
        <v>1800</v>
      </c>
      <c r="J231" s="0"/>
      <c r="K231" s="0" t="s">
        <v>2991</v>
      </c>
      <c r="L231" s="0" t="s">
        <v>2992</v>
      </c>
    </row>
    <row r="232">
      <c r="A232" s="0" t="s">
        <v>44</v>
      </c>
      <c r="B232" s="0" t="s">
        <v>2161</v>
      </c>
      <c r="C232" s="0"/>
      <c r="D232" s="0">
        <v>0.11</v>
      </c>
      <c r="E232" s="0"/>
      <c r="F232" s="0" t="s">
        <v>654</v>
      </c>
      <c r="G232" s="0"/>
      <c r="H232" s="0" t="s">
        <v>2719</v>
      </c>
      <c r="I232" s="0" t="s">
        <v>1787</v>
      </c>
      <c r="J232" s="0"/>
      <c r="K232" s="0" t="s">
        <v>2991</v>
      </c>
      <c r="L232" s="0" t="s">
        <v>2992</v>
      </c>
    </row>
    <row r="233">
      <c r="A233" s="0" t="s">
        <v>44</v>
      </c>
      <c r="B233" s="0" t="s">
        <v>2161</v>
      </c>
      <c r="C233" s="0"/>
      <c r="D233" s="0">
        <v>0.72999999999999998</v>
      </c>
      <c r="E233" s="0"/>
      <c r="F233" s="0" t="s">
        <v>1134</v>
      </c>
      <c r="G233" s="0"/>
      <c r="H233" s="0" t="s">
        <v>2720</v>
      </c>
      <c r="I233" s="0" t="s">
        <v>1787</v>
      </c>
      <c r="J233" s="0"/>
      <c r="K233" s="0" t="s">
        <v>2991</v>
      </c>
      <c r="L233" s="0" t="s">
        <v>2992</v>
      </c>
    </row>
    <row r="234">
      <c r="A234" s="0" t="s">
        <v>44</v>
      </c>
      <c r="B234" s="0" t="s">
        <v>2161</v>
      </c>
      <c r="C234" s="0"/>
      <c r="D234" s="0">
        <v>0.85999999999999999</v>
      </c>
      <c r="E234" s="0"/>
      <c r="F234" s="0" t="s">
        <v>687</v>
      </c>
      <c r="G234" s="0"/>
      <c r="H234" s="0" t="s">
        <v>2721</v>
      </c>
      <c r="I234" s="0" t="s">
        <v>1787</v>
      </c>
      <c r="J234" s="0"/>
      <c r="K234" s="0" t="s">
        <v>2991</v>
      </c>
      <c r="L234" s="0" t="s">
        <v>2992</v>
      </c>
    </row>
    <row r="235">
      <c r="A235" s="0" t="s">
        <v>44</v>
      </c>
      <c r="B235" s="0" t="s">
        <v>2161</v>
      </c>
      <c r="C235" s="0"/>
      <c r="D235" s="0">
        <v>0.35999999999999999</v>
      </c>
      <c r="E235" s="0"/>
      <c r="F235" s="0" t="s">
        <v>649</v>
      </c>
      <c r="G235" s="0"/>
      <c r="H235" s="0" t="s">
        <v>2722</v>
      </c>
      <c r="I235" s="0" t="s">
        <v>1787</v>
      </c>
      <c r="J235" s="0"/>
      <c r="K235" s="0" t="s">
        <v>2991</v>
      </c>
      <c r="L235" s="0" t="s">
        <v>2992</v>
      </c>
    </row>
    <row r="236">
      <c r="A236" s="0" t="s">
        <v>44</v>
      </c>
      <c r="B236" s="0" t="s">
        <v>2162</v>
      </c>
      <c r="C236" s="0"/>
      <c r="D236" s="0">
        <v>9.0999999999999997</v>
      </c>
      <c r="E236" s="0"/>
      <c r="F236" s="0" t="s">
        <v>2341</v>
      </c>
      <c r="G236" s="0"/>
      <c r="H236" s="0" t="s">
        <v>2723</v>
      </c>
      <c r="I236" s="0" t="s">
        <v>2973</v>
      </c>
      <c r="J236" s="0"/>
      <c r="K236" s="0" t="s">
        <v>2991</v>
      </c>
      <c r="L236" s="0" t="s">
        <v>2992</v>
      </c>
    </row>
    <row r="237">
      <c r="A237" s="0" t="s">
        <v>44</v>
      </c>
      <c r="B237" s="0" t="s">
        <v>2162</v>
      </c>
      <c r="C237" s="0"/>
      <c r="D237" s="0">
        <v>26.699999999999999</v>
      </c>
      <c r="E237" s="0"/>
      <c r="F237" s="0" t="s">
        <v>2342</v>
      </c>
      <c r="G237" s="0"/>
      <c r="H237" s="0" t="s">
        <v>2724</v>
      </c>
      <c r="I237" s="0" t="s">
        <v>2973</v>
      </c>
      <c r="J237" s="0"/>
      <c r="K237" s="0" t="s">
        <v>2991</v>
      </c>
      <c r="L237" s="0" t="s">
        <v>2992</v>
      </c>
    </row>
    <row r="238">
      <c r="A238" s="0" t="s">
        <v>44</v>
      </c>
      <c r="B238" s="0" t="s">
        <v>2162</v>
      </c>
      <c r="C238" s="0"/>
      <c r="D238" s="0">
        <v>40.899999999999999</v>
      </c>
      <c r="E238" s="0"/>
      <c r="F238" s="0" t="s">
        <v>2343</v>
      </c>
      <c r="G238" s="0"/>
      <c r="H238" s="0" t="s">
        <v>2725</v>
      </c>
      <c r="I238" s="0" t="s">
        <v>2973</v>
      </c>
      <c r="J238" s="0"/>
      <c r="K238" s="0" t="s">
        <v>2991</v>
      </c>
      <c r="L238" s="0" t="s">
        <v>2992</v>
      </c>
    </row>
    <row r="239">
      <c r="A239" s="0" t="s">
        <v>44</v>
      </c>
      <c r="B239" s="0" t="s">
        <v>2162</v>
      </c>
      <c r="C239" s="0"/>
      <c r="D239" s="0">
        <v>0.37230000000000002</v>
      </c>
      <c r="E239" s="0"/>
      <c r="F239" s="0" t="s">
        <v>2344</v>
      </c>
      <c r="G239" s="0"/>
      <c r="H239" s="0" t="s">
        <v>2726</v>
      </c>
      <c r="I239" s="0" t="s">
        <v>1753</v>
      </c>
      <c r="J239" s="0"/>
      <c r="K239" s="0" t="s">
        <v>2991</v>
      </c>
      <c r="L239" s="0" t="s">
        <v>2992</v>
      </c>
    </row>
    <row r="240">
      <c r="A240" s="0" t="s">
        <v>44</v>
      </c>
      <c r="B240" s="0" t="s">
        <v>2162</v>
      </c>
      <c r="C240" s="0"/>
      <c r="D240" s="0">
        <v>0.096589999999999995</v>
      </c>
      <c r="E240" s="0"/>
      <c r="F240" s="0" t="s">
        <v>2345</v>
      </c>
      <c r="G240" s="0"/>
      <c r="H240" s="0" t="s">
        <v>2727</v>
      </c>
      <c r="I240" s="0" t="s">
        <v>1753</v>
      </c>
      <c r="J240" s="0"/>
      <c r="K240" s="0" t="s">
        <v>2991</v>
      </c>
      <c r="L240" s="0" t="s">
        <v>2992</v>
      </c>
    </row>
    <row r="241">
      <c r="A241" s="0" t="s">
        <v>44</v>
      </c>
      <c r="B241" s="0" t="s">
        <v>2162</v>
      </c>
      <c r="C241" s="0"/>
      <c r="D241" s="0">
        <v>0.1253</v>
      </c>
      <c r="E241" s="0"/>
      <c r="F241" s="0" t="s">
        <v>2346</v>
      </c>
      <c r="G241" s="0"/>
      <c r="H241" s="0" t="s">
        <v>2728</v>
      </c>
      <c r="I241" s="0" t="s">
        <v>1753</v>
      </c>
      <c r="J241" s="0"/>
      <c r="K241" s="0" t="s">
        <v>2991</v>
      </c>
      <c r="L241" s="0" t="s">
        <v>2992</v>
      </c>
    </row>
    <row r="242">
      <c r="A242" s="0" t="s">
        <v>44</v>
      </c>
      <c r="B242" s="0" t="s">
        <v>2162</v>
      </c>
      <c r="C242" s="0"/>
      <c r="D242" s="0">
        <v>12</v>
      </c>
      <c r="E242" s="0"/>
      <c r="F242" s="0" t="s">
        <v>640</v>
      </c>
      <c r="G242" s="0"/>
      <c r="H242" s="0" t="s">
        <v>2729</v>
      </c>
      <c r="I242" s="0" t="s">
        <v>1657</v>
      </c>
      <c r="J242" s="0"/>
      <c r="K242" s="0" t="s">
        <v>2991</v>
      </c>
      <c r="L242" s="0" t="s">
        <v>2992</v>
      </c>
    </row>
    <row r="243">
      <c r="A243" s="0" t="s">
        <v>44</v>
      </c>
      <c r="B243" s="0" t="s">
        <v>287</v>
      </c>
      <c r="C243" s="0"/>
      <c r="D243" s="0">
        <v>1000</v>
      </c>
      <c r="E243" s="0"/>
      <c r="F243" s="0" t="s">
        <v>2029</v>
      </c>
      <c r="G243" s="0"/>
      <c r="H243" s="0" t="s">
        <v>2730</v>
      </c>
      <c r="I243" s="0" t="s">
        <v>1652</v>
      </c>
      <c r="J243" s="0"/>
      <c r="K243" s="0" t="s">
        <v>2991</v>
      </c>
      <c r="L243" s="0" t="s">
        <v>2992</v>
      </c>
    </row>
    <row r="244">
      <c r="A244" s="0" t="s">
        <v>44</v>
      </c>
      <c r="B244" s="0" t="s">
        <v>262</v>
      </c>
      <c r="C244" s="0"/>
      <c r="D244" s="0">
        <v>0.14099999999999999</v>
      </c>
      <c r="E244" s="0"/>
      <c r="F244" s="0" t="s">
        <v>2347</v>
      </c>
      <c r="G244" s="0"/>
      <c r="H244" s="0" t="s">
        <v>2731</v>
      </c>
      <c r="I244" s="0" t="s">
        <v>2974</v>
      </c>
      <c r="J244" s="0"/>
      <c r="K244" s="0" t="s">
        <v>2991</v>
      </c>
      <c r="L244" s="0" t="s">
        <v>2992</v>
      </c>
    </row>
    <row r="245">
      <c r="A245" s="0" t="s">
        <v>44</v>
      </c>
      <c r="B245" s="0" t="s">
        <v>288</v>
      </c>
      <c r="C245" s="0"/>
      <c r="D245" s="0">
        <v>26</v>
      </c>
      <c r="E245" s="0"/>
      <c r="F245" s="0" t="s">
        <v>1729</v>
      </c>
      <c r="G245" s="0"/>
      <c r="H245" s="0" t="s">
        <v>2732</v>
      </c>
      <c r="I245" s="0" t="s">
        <v>1710</v>
      </c>
      <c r="J245" s="0"/>
      <c r="K245" s="0" t="s">
        <v>2991</v>
      </c>
      <c r="L245" s="0" t="s">
        <v>2992</v>
      </c>
    </row>
    <row r="246">
      <c r="A246" s="0" t="s">
        <v>44</v>
      </c>
      <c r="B246" s="0" t="s">
        <v>288</v>
      </c>
      <c r="C246" s="0"/>
      <c r="D246" s="0">
        <v>88.599999999999994</v>
      </c>
      <c r="E246" s="0"/>
      <c r="F246" s="0" t="s">
        <v>2348</v>
      </c>
      <c r="G246" s="0"/>
      <c r="H246" s="0" t="s">
        <v>2733</v>
      </c>
      <c r="I246" s="0" t="s">
        <v>1710</v>
      </c>
      <c r="J246" s="0"/>
      <c r="K246" s="0" t="s">
        <v>2991</v>
      </c>
      <c r="L246" s="0" t="s">
        <v>2992</v>
      </c>
    </row>
    <row r="247">
      <c r="A247" s="0" t="s">
        <v>44</v>
      </c>
      <c r="B247" s="0" t="s">
        <v>289</v>
      </c>
      <c r="C247" s="0"/>
      <c r="D247" s="0">
        <v>215</v>
      </c>
      <c r="E247" s="0"/>
      <c r="F247" s="0" t="s">
        <v>2349</v>
      </c>
      <c r="G247" s="0"/>
      <c r="H247" s="0" t="s">
        <v>2734</v>
      </c>
      <c r="I247" s="0" t="s">
        <v>1711</v>
      </c>
      <c r="J247" s="0"/>
      <c r="K247" s="0" t="s">
        <v>2991</v>
      </c>
      <c r="L247" s="0" t="s">
        <v>2992</v>
      </c>
    </row>
    <row r="248">
      <c r="A248" s="0" t="s">
        <v>44</v>
      </c>
      <c r="B248" s="0" t="s">
        <v>289</v>
      </c>
      <c r="C248" s="0"/>
      <c r="D248" s="0">
        <v>85.099999999999994</v>
      </c>
      <c r="E248" s="0"/>
      <c r="F248" s="0" t="s">
        <v>2350</v>
      </c>
      <c r="G248" s="0"/>
      <c r="H248" s="0" t="s">
        <v>2735</v>
      </c>
      <c r="I248" s="0" t="s">
        <v>1711</v>
      </c>
      <c r="J248" s="0"/>
      <c r="K248" s="0" t="s">
        <v>2991</v>
      </c>
      <c r="L248" s="0" t="s">
        <v>2992</v>
      </c>
    </row>
    <row r="249">
      <c r="A249" s="0" t="s">
        <v>44</v>
      </c>
      <c r="B249" s="0" t="s">
        <v>289</v>
      </c>
      <c r="C249" s="0"/>
      <c r="D249" s="0">
        <v>27.199999999999999</v>
      </c>
      <c r="E249" s="0"/>
      <c r="F249" s="0" t="s">
        <v>2351</v>
      </c>
      <c r="G249" s="0"/>
      <c r="H249" s="0" t="s">
        <v>2736</v>
      </c>
      <c r="I249" s="0" t="s">
        <v>1711</v>
      </c>
      <c r="J249" s="0"/>
      <c r="K249" s="0" t="s">
        <v>2991</v>
      </c>
      <c r="L249" s="0" t="s">
        <v>2992</v>
      </c>
    </row>
    <row r="250">
      <c r="A250" s="0" t="s">
        <v>44</v>
      </c>
      <c r="B250" s="0" t="s">
        <v>289</v>
      </c>
      <c r="C250" s="0"/>
      <c r="D250" s="0">
        <v>71.5</v>
      </c>
      <c r="E250" s="0"/>
      <c r="F250" s="0" t="s">
        <v>2352</v>
      </c>
      <c r="G250" s="0"/>
      <c r="H250" s="0" t="s">
        <v>2737</v>
      </c>
      <c r="I250" s="0" t="s">
        <v>1711</v>
      </c>
      <c r="J250" s="0"/>
      <c r="K250" s="0" t="s">
        <v>2991</v>
      </c>
      <c r="L250" s="0" t="s">
        <v>2992</v>
      </c>
    </row>
    <row r="251">
      <c r="A251" s="0" t="s">
        <v>44</v>
      </c>
      <c r="B251" s="0" t="s">
        <v>289</v>
      </c>
      <c r="C251" s="0"/>
      <c r="D251" s="0">
        <v>15.83</v>
      </c>
      <c r="E251" s="0"/>
      <c r="F251" s="0" t="s">
        <v>2353</v>
      </c>
      <c r="G251" s="0"/>
      <c r="H251" s="0" t="s">
        <v>2738</v>
      </c>
      <c r="I251" s="0" t="s">
        <v>1711</v>
      </c>
      <c r="J251" s="0"/>
      <c r="K251" s="0" t="s">
        <v>2991</v>
      </c>
      <c r="L251" s="0" t="s">
        <v>2992</v>
      </c>
    </row>
    <row r="252">
      <c r="A252" s="0" t="s">
        <v>44</v>
      </c>
      <c r="B252" s="0" t="s">
        <v>289</v>
      </c>
      <c r="C252" s="0"/>
      <c r="D252" s="0">
        <v>922.20000000000005</v>
      </c>
      <c r="E252" s="0"/>
      <c r="F252" s="0" t="s">
        <v>2354</v>
      </c>
      <c r="G252" s="0"/>
      <c r="H252" s="0" t="s">
        <v>2739</v>
      </c>
      <c r="I252" s="0" t="s">
        <v>1711</v>
      </c>
      <c r="J252" s="0"/>
      <c r="K252" s="0" t="s">
        <v>2991</v>
      </c>
      <c r="L252" s="0" t="s">
        <v>2992</v>
      </c>
    </row>
    <row r="253">
      <c r="A253" s="0" t="s">
        <v>44</v>
      </c>
      <c r="B253" s="0" t="s">
        <v>289</v>
      </c>
      <c r="C253" s="0"/>
      <c r="D253" s="0">
        <v>213.6</v>
      </c>
      <c r="E253" s="0"/>
      <c r="F253" s="0" t="s">
        <v>2355</v>
      </c>
      <c r="G253" s="0"/>
      <c r="H253" s="0" t="s">
        <v>2740</v>
      </c>
      <c r="I253" s="0" t="s">
        <v>1711</v>
      </c>
      <c r="J253" s="0"/>
      <c r="K253" s="0" t="s">
        <v>2991</v>
      </c>
      <c r="L253" s="0" t="s">
        <v>2992</v>
      </c>
    </row>
    <row r="254">
      <c r="A254" s="0" t="s">
        <v>44</v>
      </c>
      <c r="B254" s="0" t="s">
        <v>289</v>
      </c>
      <c r="C254" s="0"/>
      <c r="D254" s="0">
        <v>416.5</v>
      </c>
      <c r="E254" s="0"/>
      <c r="F254" s="0" t="s">
        <v>2356</v>
      </c>
      <c r="G254" s="0"/>
      <c r="H254" s="0" t="s">
        <v>2741</v>
      </c>
      <c r="I254" s="0" t="s">
        <v>1711</v>
      </c>
      <c r="J254" s="0"/>
      <c r="K254" s="0" t="s">
        <v>2991</v>
      </c>
      <c r="L254" s="0" t="s">
        <v>2992</v>
      </c>
    </row>
    <row r="255">
      <c r="A255" s="0" t="s">
        <v>44</v>
      </c>
      <c r="B255" s="0" t="s">
        <v>254</v>
      </c>
      <c r="C255" s="0"/>
      <c r="D255" s="0">
        <v>70</v>
      </c>
      <c r="E255" s="0"/>
      <c r="F255" s="0" t="s">
        <v>1808</v>
      </c>
      <c r="G255" s="0"/>
      <c r="H255" s="0" t="s">
        <v>2742</v>
      </c>
      <c r="I255" s="0" t="s">
        <v>2975</v>
      </c>
      <c r="J255" s="0"/>
      <c r="K255" s="0" t="s">
        <v>2991</v>
      </c>
      <c r="L255" s="0" t="s">
        <v>2992</v>
      </c>
    </row>
    <row r="256">
      <c r="A256" s="0" t="s">
        <v>44</v>
      </c>
      <c r="B256" s="0" t="s">
        <v>254</v>
      </c>
      <c r="C256" s="0"/>
      <c r="D256" s="0">
        <v>290</v>
      </c>
      <c r="E256" s="0"/>
      <c r="F256" s="0" t="s">
        <v>2357</v>
      </c>
      <c r="G256" s="0"/>
      <c r="H256" s="0"/>
      <c r="I256" s="0" t="s">
        <v>871</v>
      </c>
      <c r="J256" s="0"/>
      <c r="K256" s="0" t="s">
        <v>2991</v>
      </c>
      <c r="L256" s="0" t="s">
        <v>2992</v>
      </c>
    </row>
    <row r="257">
      <c r="A257" s="0" t="s">
        <v>44</v>
      </c>
      <c r="B257" s="0" t="s">
        <v>254</v>
      </c>
      <c r="C257" s="0"/>
      <c r="D257" s="0">
        <v>5120</v>
      </c>
      <c r="E257" s="0"/>
      <c r="F257" s="0" t="s">
        <v>2358</v>
      </c>
      <c r="G257" s="0"/>
      <c r="H257" s="0"/>
      <c r="I257" s="0" t="s">
        <v>884</v>
      </c>
      <c r="J257" s="0"/>
      <c r="K257" s="0" t="s">
        <v>2991</v>
      </c>
      <c r="L257" s="0" t="s">
        <v>2992</v>
      </c>
    </row>
    <row r="258">
      <c r="A258" s="0" t="s">
        <v>44</v>
      </c>
      <c r="B258" s="0" t="s">
        <v>254</v>
      </c>
      <c r="C258" s="0"/>
      <c r="D258" s="0">
        <v>0.157</v>
      </c>
      <c r="E258" s="0"/>
      <c r="F258" s="0" t="s">
        <v>2359</v>
      </c>
      <c r="G258" s="0"/>
      <c r="H258" s="0" t="s">
        <v>2743</v>
      </c>
      <c r="I258" s="0" t="s">
        <v>2974</v>
      </c>
      <c r="J258" s="0"/>
      <c r="K258" s="0" t="s">
        <v>2991</v>
      </c>
      <c r="L258" s="0" t="s">
        <v>2992</v>
      </c>
    </row>
    <row r="259">
      <c r="A259" s="0" t="s">
        <v>44</v>
      </c>
      <c r="B259" s="0" t="s">
        <v>254</v>
      </c>
      <c r="C259" s="0"/>
      <c r="D259" s="0">
        <v>3</v>
      </c>
      <c r="E259" s="0"/>
      <c r="F259" s="0" t="s">
        <v>828</v>
      </c>
      <c r="G259" s="0"/>
      <c r="H259" s="0" t="s">
        <v>2744</v>
      </c>
      <c r="I259" s="0" t="s">
        <v>1773</v>
      </c>
      <c r="J259" s="0"/>
      <c r="K259" s="0" t="s">
        <v>2991</v>
      </c>
      <c r="L259" s="0" t="s">
        <v>2992</v>
      </c>
    </row>
    <row r="260">
      <c r="A260" s="0" t="s">
        <v>44</v>
      </c>
      <c r="B260" s="0" t="s">
        <v>2163</v>
      </c>
      <c r="C260" s="0"/>
      <c r="D260" s="0">
        <v>502</v>
      </c>
      <c r="E260" s="0"/>
      <c r="F260" s="0" t="s">
        <v>2360</v>
      </c>
      <c r="G260" s="0"/>
      <c r="H260" s="0" t="s">
        <v>2745</v>
      </c>
      <c r="I260" s="0" t="s">
        <v>1735</v>
      </c>
      <c r="J260" s="0"/>
      <c r="K260" s="0" t="s">
        <v>2991</v>
      </c>
      <c r="L260" s="0" t="s">
        <v>2992</v>
      </c>
    </row>
    <row r="261">
      <c r="A261" s="0" t="s">
        <v>44</v>
      </c>
      <c r="B261" s="0" t="s">
        <v>2164</v>
      </c>
      <c r="C261" s="0"/>
      <c r="D261" s="0">
        <v>0.035000000000000003</v>
      </c>
      <c r="E261" s="0"/>
      <c r="F261" s="0" t="s">
        <v>749</v>
      </c>
      <c r="G261" s="0"/>
      <c r="H261" s="0" t="s">
        <v>2746</v>
      </c>
      <c r="I261" s="0" t="s">
        <v>1786</v>
      </c>
      <c r="J261" s="0"/>
      <c r="K261" s="0" t="s">
        <v>2991</v>
      </c>
      <c r="L261" s="0" t="s">
        <v>2992</v>
      </c>
    </row>
    <row r="262">
      <c r="A262" s="0" t="s">
        <v>44</v>
      </c>
      <c r="B262" s="0" t="s">
        <v>2165</v>
      </c>
      <c r="C262" s="0"/>
      <c r="D262" s="0">
        <v>2033</v>
      </c>
      <c r="E262" s="0"/>
      <c r="F262" s="0" t="s">
        <v>2361</v>
      </c>
      <c r="G262" s="0"/>
      <c r="H262" s="0" t="s">
        <v>2747</v>
      </c>
      <c r="I262" s="0" t="s">
        <v>2976</v>
      </c>
      <c r="J262" s="0"/>
      <c r="K262" s="0" t="s">
        <v>2991</v>
      </c>
      <c r="L262" s="0" t="s">
        <v>2992</v>
      </c>
    </row>
    <row r="263">
      <c r="A263" s="0" t="s">
        <v>45</v>
      </c>
      <c r="B263" s="0" t="s">
        <v>291</v>
      </c>
      <c r="C263" s="0"/>
      <c r="D263" s="0">
        <v>3.1000000000000001</v>
      </c>
      <c r="E263" s="0"/>
      <c r="F263" s="0" t="s">
        <v>2362</v>
      </c>
      <c r="G263" s="0"/>
      <c r="H263" s="0" t="s">
        <v>2748</v>
      </c>
      <c r="I263" s="0" t="s">
        <v>2438</v>
      </c>
      <c r="J263" s="0"/>
      <c r="K263" s="0" t="s">
        <v>2991</v>
      </c>
      <c r="L263" s="0" t="s">
        <v>2992</v>
      </c>
    </row>
    <row r="264">
      <c r="A264" s="0" t="s">
        <v>45</v>
      </c>
      <c r="B264" s="0" t="s">
        <v>251</v>
      </c>
      <c r="C264" s="0"/>
      <c r="D264" s="0">
        <v>407</v>
      </c>
      <c r="E264" s="0"/>
      <c r="F264" s="0" t="s">
        <v>2363</v>
      </c>
      <c r="G264" s="0"/>
      <c r="H264" s="0" t="s">
        <v>2749</v>
      </c>
      <c r="I264" s="0" t="s">
        <v>827</v>
      </c>
      <c r="J264" s="0"/>
      <c r="K264" s="0" t="s">
        <v>2991</v>
      </c>
      <c r="L264" s="0" t="s">
        <v>2992</v>
      </c>
    </row>
    <row r="265">
      <c r="A265" s="0" t="s">
        <v>45</v>
      </c>
      <c r="B265" s="0" t="s">
        <v>251</v>
      </c>
      <c r="C265" s="0"/>
      <c r="D265" s="0">
        <v>956</v>
      </c>
      <c r="E265" s="0"/>
      <c r="F265" s="0" t="s">
        <v>2364</v>
      </c>
      <c r="G265" s="0"/>
      <c r="H265" s="0" t="s">
        <v>2750</v>
      </c>
      <c r="I265" s="0" t="s">
        <v>637</v>
      </c>
      <c r="J265" s="0"/>
      <c r="K265" s="0" t="s">
        <v>2991</v>
      </c>
      <c r="L265" s="0" t="s">
        <v>2992</v>
      </c>
    </row>
    <row r="266">
      <c r="A266" s="0" t="s">
        <v>45</v>
      </c>
      <c r="B266" s="0" t="s">
        <v>292</v>
      </c>
      <c r="C266" s="0"/>
      <c r="D266" s="0">
        <v>510</v>
      </c>
      <c r="E266" s="0"/>
      <c r="F266" s="0" t="s">
        <v>2365</v>
      </c>
      <c r="G266" s="0"/>
      <c r="H266" s="0" t="s">
        <v>2751</v>
      </c>
      <c r="I266" s="0" t="s">
        <v>1019</v>
      </c>
      <c r="J266" s="0"/>
      <c r="K266" s="0" t="s">
        <v>2991</v>
      </c>
      <c r="L266" s="0" t="s">
        <v>2992</v>
      </c>
    </row>
    <row r="267">
      <c r="A267" s="0" t="s">
        <v>45</v>
      </c>
      <c r="B267" s="0" t="s">
        <v>294</v>
      </c>
      <c r="C267" s="0"/>
      <c r="D267" s="0">
        <v>1009</v>
      </c>
      <c r="E267" s="0"/>
      <c r="F267" s="0" t="s">
        <v>2366</v>
      </c>
      <c r="G267" s="0"/>
      <c r="H267" s="0" t="s">
        <v>2752</v>
      </c>
      <c r="I267" s="0" t="s">
        <v>1685</v>
      </c>
      <c r="J267" s="0"/>
      <c r="K267" s="0" t="s">
        <v>2991</v>
      </c>
      <c r="L267" s="0" t="s">
        <v>2992</v>
      </c>
    </row>
    <row r="268">
      <c r="A268" s="0" t="s">
        <v>45</v>
      </c>
      <c r="B268" s="0" t="s">
        <v>263</v>
      </c>
      <c r="C268" s="0"/>
      <c r="D268" s="0">
        <v>0.80000000000000004</v>
      </c>
      <c r="E268" s="0"/>
      <c r="F268" s="0" t="s">
        <v>774</v>
      </c>
      <c r="G268" s="0"/>
      <c r="H268" s="0" t="s">
        <v>2753</v>
      </c>
      <c r="I268" s="0" t="s">
        <v>2399</v>
      </c>
      <c r="J268" s="0"/>
      <c r="K268" s="0" t="s">
        <v>2991</v>
      </c>
      <c r="L268" s="0" t="s">
        <v>2992</v>
      </c>
    </row>
    <row r="269">
      <c r="A269" s="0" t="s">
        <v>45</v>
      </c>
      <c r="B269" s="0" t="s">
        <v>263</v>
      </c>
      <c r="C269" s="0"/>
      <c r="D269" s="0">
        <v>0.20000000000000001</v>
      </c>
      <c r="E269" s="0"/>
      <c r="F269" s="0" t="s">
        <v>583</v>
      </c>
      <c r="G269" s="0"/>
      <c r="H269" s="0" t="s">
        <v>2754</v>
      </c>
      <c r="I269" s="0" t="s">
        <v>2399</v>
      </c>
      <c r="J269" s="0"/>
      <c r="K269" s="0" t="s">
        <v>2991</v>
      </c>
      <c r="L269" s="0" t="s">
        <v>2992</v>
      </c>
    </row>
    <row r="270">
      <c r="A270" s="0" t="s">
        <v>45</v>
      </c>
      <c r="B270" s="0" t="s">
        <v>263</v>
      </c>
      <c r="C270" s="0"/>
      <c r="D270" s="0">
        <v>1.25</v>
      </c>
      <c r="E270" s="0"/>
      <c r="F270" s="0" t="s">
        <v>697</v>
      </c>
      <c r="G270" s="0"/>
      <c r="H270" s="0" t="s">
        <v>2755</v>
      </c>
      <c r="I270" s="0" t="s">
        <v>1717</v>
      </c>
      <c r="J270" s="0"/>
      <c r="K270" s="0" t="s">
        <v>2991</v>
      </c>
      <c r="L270" s="0" t="s">
        <v>2992</v>
      </c>
    </row>
    <row r="271">
      <c r="A271" s="0" t="s">
        <v>45</v>
      </c>
      <c r="B271" s="0" t="s">
        <v>263</v>
      </c>
      <c r="C271" s="0"/>
      <c r="D271" s="0">
        <v>12.699999999999999</v>
      </c>
      <c r="E271" s="0"/>
      <c r="F271" s="0" t="s">
        <v>2367</v>
      </c>
      <c r="G271" s="0"/>
      <c r="H271" s="0" t="s">
        <v>2756</v>
      </c>
      <c r="I271" s="0" t="s">
        <v>1717</v>
      </c>
      <c r="J271" s="0"/>
      <c r="K271" s="0" t="s">
        <v>2991</v>
      </c>
      <c r="L271" s="0" t="s">
        <v>2992</v>
      </c>
    </row>
    <row r="272">
      <c r="A272" s="0" t="s">
        <v>45</v>
      </c>
      <c r="B272" s="0" t="s">
        <v>263</v>
      </c>
      <c r="C272" s="0"/>
      <c r="D272" s="0">
        <v>83.700000000000003</v>
      </c>
      <c r="E272" s="0"/>
      <c r="F272" s="0" t="s">
        <v>2368</v>
      </c>
      <c r="G272" s="0"/>
      <c r="H272" s="0" t="s">
        <v>2757</v>
      </c>
      <c r="I272" s="0" t="s">
        <v>1717</v>
      </c>
      <c r="J272" s="0"/>
      <c r="K272" s="0" t="s">
        <v>2991</v>
      </c>
      <c r="L272" s="0" t="s">
        <v>2992</v>
      </c>
    </row>
    <row r="273">
      <c r="A273" s="0" t="s">
        <v>45</v>
      </c>
      <c r="B273" s="0" t="s">
        <v>263</v>
      </c>
      <c r="C273" s="0"/>
      <c r="D273" s="0">
        <v>51.899999999999999</v>
      </c>
      <c r="E273" s="0"/>
      <c r="F273" s="0" t="s">
        <v>2369</v>
      </c>
      <c r="G273" s="0"/>
      <c r="H273" s="0" t="s">
        <v>2758</v>
      </c>
      <c r="I273" s="0" t="s">
        <v>2399</v>
      </c>
      <c r="J273" s="0"/>
      <c r="K273" s="0" t="s">
        <v>2991</v>
      </c>
      <c r="L273" s="0" t="s">
        <v>2992</v>
      </c>
    </row>
    <row r="274">
      <c r="A274" s="0" t="s">
        <v>45</v>
      </c>
      <c r="B274" s="0" t="s">
        <v>295</v>
      </c>
      <c r="C274" s="0"/>
      <c r="D274" s="0">
        <v>8.1750000000000007</v>
      </c>
      <c r="E274" s="0"/>
      <c r="F274" s="0" t="s">
        <v>2370</v>
      </c>
      <c r="G274" s="0"/>
      <c r="H274" s="0" t="s">
        <v>2759</v>
      </c>
      <c r="I274" s="0" t="s">
        <v>1719</v>
      </c>
      <c r="J274" s="0"/>
      <c r="K274" s="0" t="s">
        <v>2991</v>
      </c>
      <c r="L274" s="0" t="s">
        <v>2992</v>
      </c>
    </row>
    <row r="275">
      <c r="A275" s="0" t="s">
        <v>45</v>
      </c>
      <c r="B275" s="0" t="s">
        <v>295</v>
      </c>
      <c r="C275" s="0"/>
      <c r="D275" s="0">
        <v>13.41</v>
      </c>
      <c r="E275" s="0"/>
      <c r="F275" s="0" t="s">
        <v>2371</v>
      </c>
      <c r="G275" s="0"/>
      <c r="H275" s="0" t="s">
        <v>2760</v>
      </c>
      <c r="I275" s="0" t="s">
        <v>1719</v>
      </c>
      <c r="J275" s="0"/>
      <c r="K275" s="0" t="s">
        <v>2991</v>
      </c>
      <c r="L275" s="0" t="s">
        <v>2992</v>
      </c>
    </row>
    <row r="276">
      <c r="A276" s="0" t="s">
        <v>45</v>
      </c>
      <c r="B276" s="0" t="s">
        <v>295</v>
      </c>
      <c r="C276" s="0"/>
      <c r="D276" s="0">
        <v>17.370000000000001</v>
      </c>
      <c r="E276" s="0"/>
      <c r="F276" s="0" t="s">
        <v>2372</v>
      </c>
      <c r="G276" s="0"/>
      <c r="H276" s="0" t="s">
        <v>2761</v>
      </c>
      <c r="I276" s="0" t="s">
        <v>1719</v>
      </c>
      <c r="J276" s="0"/>
      <c r="K276" s="0" t="s">
        <v>2991</v>
      </c>
      <c r="L276" s="0" t="s">
        <v>2992</v>
      </c>
    </row>
    <row r="277">
      <c r="A277" s="0" t="s">
        <v>45</v>
      </c>
      <c r="B277" s="0" t="s">
        <v>295</v>
      </c>
      <c r="C277" s="0"/>
      <c r="D277" s="0">
        <v>24.030000000000001</v>
      </c>
      <c r="E277" s="0"/>
      <c r="F277" s="0" t="s">
        <v>2373</v>
      </c>
      <c r="G277" s="0"/>
      <c r="H277" s="0" t="s">
        <v>2762</v>
      </c>
      <c r="I277" s="0" t="s">
        <v>1719</v>
      </c>
      <c r="J277" s="0"/>
      <c r="K277" s="0" t="s">
        <v>2991</v>
      </c>
      <c r="L277" s="0" t="s">
        <v>2992</v>
      </c>
    </row>
    <row r="278">
      <c r="A278" s="0" t="s">
        <v>45</v>
      </c>
      <c r="B278" s="0" t="s">
        <v>296</v>
      </c>
      <c r="C278" s="0"/>
      <c r="D278" s="0">
        <v>55</v>
      </c>
      <c r="E278" s="0"/>
      <c r="F278" s="0" t="s">
        <v>1766</v>
      </c>
      <c r="G278" s="0"/>
      <c r="H278" s="0" t="s">
        <v>2763</v>
      </c>
      <c r="I278" s="0" t="s">
        <v>1667</v>
      </c>
      <c r="J278" s="0"/>
      <c r="K278" s="0" t="s">
        <v>2991</v>
      </c>
      <c r="L278" s="0" t="s">
        <v>2992</v>
      </c>
    </row>
    <row r="279">
      <c r="A279" s="0" t="s">
        <v>45</v>
      </c>
      <c r="B279" s="0" t="s">
        <v>297</v>
      </c>
      <c r="C279" s="0"/>
      <c r="D279" s="0">
        <v>3.5899999999999999</v>
      </c>
      <c r="E279" s="0"/>
      <c r="F279" s="0" t="s">
        <v>2374</v>
      </c>
      <c r="G279" s="0"/>
      <c r="H279" s="0" t="s">
        <v>2764</v>
      </c>
      <c r="I279" s="0" t="s">
        <v>1720</v>
      </c>
      <c r="J279" s="0"/>
      <c r="K279" s="0" t="s">
        <v>2991</v>
      </c>
      <c r="L279" s="0" t="s">
        <v>2992</v>
      </c>
    </row>
    <row r="280">
      <c r="A280" s="0" t="s">
        <v>45</v>
      </c>
      <c r="B280" s="0" t="s">
        <v>298</v>
      </c>
      <c r="C280" s="0"/>
      <c r="D280" s="0">
        <v>1.48</v>
      </c>
      <c r="E280" s="0"/>
      <c r="F280" s="0" t="s">
        <v>2375</v>
      </c>
      <c r="G280" s="0"/>
      <c r="H280" s="0" t="s">
        <v>2765</v>
      </c>
      <c r="I280" s="0" t="s">
        <v>1722</v>
      </c>
      <c r="J280" s="0"/>
      <c r="K280" s="0" t="s">
        <v>2991</v>
      </c>
      <c r="L280" s="0" t="s">
        <v>2992</v>
      </c>
    </row>
    <row r="281">
      <c r="A281" s="0" t="s">
        <v>45</v>
      </c>
      <c r="B281" s="0" t="s">
        <v>298</v>
      </c>
      <c r="C281" s="0"/>
      <c r="D281" s="0">
        <v>1.73</v>
      </c>
      <c r="E281" s="0"/>
      <c r="F281" s="0" t="s">
        <v>2376</v>
      </c>
      <c r="G281" s="0"/>
      <c r="H281" s="0" t="s">
        <v>2766</v>
      </c>
      <c r="I281" s="0" t="s">
        <v>1722</v>
      </c>
      <c r="J281" s="0"/>
      <c r="K281" s="0" t="s">
        <v>2991</v>
      </c>
      <c r="L281" s="0" t="s">
        <v>2992</v>
      </c>
    </row>
    <row r="282">
      <c r="A282" s="0" t="s">
        <v>45</v>
      </c>
      <c r="B282" s="0" t="s">
        <v>298</v>
      </c>
      <c r="C282" s="0"/>
      <c r="D282" s="0">
        <v>0.58999999999999997</v>
      </c>
      <c r="E282" s="0"/>
      <c r="F282" s="0" t="s">
        <v>2377</v>
      </c>
      <c r="G282" s="0"/>
      <c r="H282" s="0" t="s">
        <v>2767</v>
      </c>
      <c r="I282" s="0" t="s">
        <v>1722</v>
      </c>
      <c r="J282" s="0"/>
      <c r="K282" s="0" t="s">
        <v>2991</v>
      </c>
      <c r="L282" s="0" t="s">
        <v>2992</v>
      </c>
    </row>
    <row r="283">
      <c r="A283" s="0" t="s">
        <v>45</v>
      </c>
      <c r="B283" s="0" t="s">
        <v>300</v>
      </c>
      <c r="C283" s="0"/>
      <c r="D283" s="0">
        <v>11.289999999999999</v>
      </c>
      <c r="E283" s="0"/>
      <c r="F283" s="0" t="s">
        <v>2378</v>
      </c>
      <c r="G283" s="0"/>
      <c r="H283" s="0" t="s">
        <v>2768</v>
      </c>
      <c r="I283" s="0" t="s">
        <v>1723</v>
      </c>
      <c r="J283" s="0"/>
      <c r="K283" s="0" t="s">
        <v>2991</v>
      </c>
      <c r="L283" s="0" t="s">
        <v>2992</v>
      </c>
    </row>
    <row r="284">
      <c r="A284" s="0" t="s">
        <v>45</v>
      </c>
      <c r="B284" s="0" t="s">
        <v>301</v>
      </c>
      <c r="C284" s="0"/>
      <c r="D284" s="0">
        <v>100</v>
      </c>
      <c r="E284" s="0"/>
      <c r="F284" s="0" t="s">
        <v>605</v>
      </c>
      <c r="G284" s="0"/>
      <c r="H284" s="0" t="s">
        <v>2769</v>
      </c>
      <c r="I284" s="0" t="s">
        <v>1663</v>
      </c>
      <c r="J284" s="0"/>
      <c r="K284" s="0" t="s">
        <v>2991</v>
      </c>
      <c r="L284" s="0" t="s">
        <v>2992</v>
      </c>
    </row>
    <row r="285">
      <c r="A285" s="0" t="s">
        <v>45</v>
      </c>
      <c r="B285" s="0" t="s">
        <v>301</v>
      </c>
      <c r="C285" s="0"/>
      <c r="D285" s="0">
        <v>62.899999999999999</v>
      </c>
      <c r="E285" s="0"/>
      <c r="F285" s="0" t="s">
        <v>2379</v>
      </c>
      <c r="G285" s="0"/>
      <c r="H285" s="0" t="s">
        <v>2770</v>
      </c>
      <c r="I285" s="0" t="s">
        <v>1792</v>
      </c>
      <c r="J285" s="0"/>
      <c r="K285" s="0" t="s">
        <v>2991</v>
      </c>
      <c r="L285" s="0" t="s">
        <v>2992</v>
      </c>
    </row>
    <row r="286">
      <c r="A286" s="0" t="s">
        <v>45</v>
      </c>
      <c r="B286" s="0" t="s">
        <v>301</v>
      </c>
      <c r="C286" s="0"/>
      <c r="D286" s="0">
        <v>81.5</v>
      </c>
      <c r="E286" s="0"/>
      <c r="F286" s="0" t="s">
        <v>2380</v>
      </c>
      <c r="G286" s="0"/>
      <c r="H286" s="0" t="s">
        <v>2770</v>
      </c>
      <c r="I286" s="0" t="s">
        <v>1792</v>
      </c>
      <c r="J286" s="0"/>
      <c r="K286" s="0" t="s">
        <v>2991</v>
      </c>
      <c r="L286" s="0" t="s">
        <v>2992</v>
      </c>
    </row>
    <row r="287">
      <c r="A287" s="0" t="s">
        <v>45</v>
      </c>
      <c r="B287" s="0" t="s">
        <v>301</v>
      </c>
      <c r="C287" s="0"/>
      <c r="D287" s="0">
        <v>7.4900000000000002</v>
      </c>
      <c r="E287" s="0"/>
      <c r="F287" s="0" t="s">
        <v>620</v>
      </c>
      <c r="G287" s="0"/>
      <c r="H287" s="0" t="s">
        <v>2771</v>
      </c>
      <c r="I287" s="0" t="s">
        <v>1663</v>
      </c>
      <c r="J287" s="0"/>
      <c r="K287" s="0" t="s">
        <v>2991</v>
      </c>
      <c r="L287" s="0" t="s">
        <v>2992</v>
      </c>
    </row>
    <row r="288">
      <c r="A288" s="0" t="s">
        <v>45</v>
      </c>
      <c r="B288" s="0" t="s">
        <v>301</v>
      </c>
      <c r="C288" s="0"/>
      <c r="D288" s="0">
        <v>73.36</v>
      </c>
      <c r="E288" s="0"/>
      <c r="F288" s="0" t="s">
        <v>2381</v>
      </c>
      <c r="G288" s="0"/>
      <c r="H288" s="0"/>
      <c r="I288" s="0" t="s">
        <v>2977</v>
      </c>
      <c r="J288" s="0"/>
      <c r="K288" s="0" t="s">
        <v>2991</v>
      </c>
      <c r="L288" s="0" t="s">
        <v>2992</v>
      </c>
    </row>
    <row r="289">
      <c r="A289" s="0" t="s">
        <v>45</v>
      </c>
      <c r="B289" s="0" t="s">
        <v>301</v>
      </c>
      <c r="C289" s="0"/>
      <c r="D289" s="0">
        <v>43.100000000000001</v>
      </c>
      <c r="E289" s="0"/>
      <c r="F289" s="0" t="s">
        <v>2382</v>
      </c>
      <c r="G289" s="0"/>
      <c r="H289" s="0" t="s">
        <v>2772</v>
      </c>
      <c r="I289" s="0" t="s">
        <v>1725</v>
      </c>
      <c r="J289" s="0"/>
      <c r="K289" s="0" t="s">
        <v>2991</v>
      </c>
      <c r="L289" s="0" t="s">
        <v>2992</v>
      </c>
    </row>
    <row r="290">
      <c r="A290" s="0" t="s">
        <v>45</v>
      </c>
      <c r="B290" s="0" t="s">
        <v>301</v>
      </c>
      <c r="C290" s="0"/>
      <c r="D290" s="0">
        <v>-999</v>
      </c>
      <c r="E290" s="0"/>
      <c r="F290" s="0" t="s">
        <v>673</v>
      </c>
      <c r="G290" s="0"/>
      <c r="H290" s="0" t="s">
        <v>2773</v>
      </c>
      <c r="I290" s="0" t="s">
        <v>2978</v>
      </c>
      <c r="J290" s="0"/>
      <c r="K290" s="0" t="s">
        <v>2991</v>
      </c>
      <c r="L290" s="0" t="s">
        <v>2992</v>
      </c>
    </row>
    <row r="291">
      <c r="A291" s="0" t="s">
        <v>45</v>
      </c>
      <c r="B291" s="0" t="s">
        <v>303</v>
      </c>
      <c r="C291" s="0"/>
      <c r="D291" s="0">
        <v>8.9000000000000004</v>
      </c>
      <c r="E291" s="0"/>
      <c r="F291" s="0" t="s">
        <v>2383</v>
      </c>
      <c r="G291" s="0"/>
      <c r="H291" s="0" t="s">
        <v>2774</v>
      </c>
      <c r="I291" s="0" t="s">
        <v>1727</v>
      </c>
      <c r="J291" s="0"/>
      <c r="K291" s="0" t="s">
        <v>2991</v>
      </c>
      <c r="L291" s="0" t="s">
        <v>2992</v>
      </c>
    </row>
    <row r="292">
      <c r="A292" s="0" t="s">
        <v>45</v>
      </c>
      <c r="B292" s="0" t="s">
        <v>2166</v>
      </c>
      <c r="C292" s="0"/>
      <c r="D292" s="0">
        <v>158.40000000000001</v>
      </c>
      <c r="E292" s="0"/>
      <c r="F292" s="0" t="s">
        <v>2384</v>
      </c>
      <c r="G292" s="0"/>
      <c r="H292" s="0" t="s">
        <v>2775</v>
      </c>
      <c r="I292" s="0" t="s">
        <v>1657</v>
      </c>
      <c r="J292" s="0"/>
      <c r="K292" s="0" t="s">
        <v>2991</v>
      </c>
      <c r="L292" s="0" t="s">
        <v>2992</v>
      </c>
    </row>
    <row r="293">
      <c r="A293" s="0" t="s">
        <v>45</v>
      </c>
      <c r="B293" s="0" t="s">
        <v>305</v>
      </c>
      <c r="C293" s="0"/>
      <c r="D293" s="0">
        <v>21.199999999999999</v>
      </c>
      <c r="E293" s="0"/>
      <c r="F293" s="0" t="s">
        <v>2385</v>
      </c>
      <c r="G293" s="0"/>
      <c r="H293" s="0" t="s">
        <v>2776</v>
      </c>
      <c r="I293" s="0" t="s">
        <v>1729</v>
      </c>
      <c r="J293" s="0"/>
      <c r="K293" s="0" t="s">
        <v>2991</v>
      </c>
      <c r="L293" s="0" t="s">
        <v>2992</v>
      </c>
    </row>
    <row r="294">
      <c r="A294" s="0" t="s">
        <v>45</v>
      </c>
      <c r="B294" s="0" t="s">
        <v>2167</v>
      </c>
      <c r="C294" s="0"/>
      <c r="D294" s="0">
        <v>6</v>
      </c>
      <c r="E294" s="0"/>
      <c r="F294" s="0" t="s">
        <v>1756</v>
      </c>
      <c r="G294" s="0"/>
      <c r="H294" s="0" t="s">
        <v>2777</v>
      </c>
      <c r="I294" s="0" t="s">
        <v>1729</v>
      </c>
      <c r="J294" s="0"/>
      <c r="K294" s="0" t="s">
        <v>2991</v>
      </c>
      <c r="L294" s="0" t="s">
        <v>2992</v>
      </c>
    </row>
    <row r="295">
      <c r="A295" s="0" t="s">
        <v>45</v>
      </c>
      <c r="B295" s="0" t="s">
        <v>2168</v>
      </c>
      <c r="C295" s="0"/>
      <c r="D295" s="0">
        <v>2213</v>
      </c>
      <c r="E295" s="0"/>
      <c r="F295" s="0" t="s">
        <v>2386</v>
      </c>
      <c r="G295" s="0"/>
      <c r="H295" s="0" t="s">
        <v>2778</v>
      </c>
      <c r="I295" s="0" t="s">
        <v>1785</v>
      </c>
      <c r="J295" s="0"/>
      <c r="K295" s="0" t="s">
        <v>2991</v>
      </c>
      <c r="L295" s="0" t="s">
        <v>2992</v>
      </c>
    </row>
    <row r="296">
      <c r="A296" s="0" t="s">
        <v>45</v>
      </c>
      <c r="B296" s="0" t="s">
        <v>307</v>
      </c>
      <c r="C296" s="0"/>
      <c r="D296" s="0">
        <v>1.3999999999999999</v>
      </c>
      <c r="E296" s="0"/>
      <c r="F296" s="0" t="s">
        <v>759</v>
      </c>
      <c r="G296" s="0"/>
      <c r="H296" s="0" t="s">
        <v>2779</v>
      </c>
      <c r="I296" s="0" t="s">
        <v>736</v>
      </c>
      <c r="J296" s="0"/>
      <c r="K296" s="0" t="s">
        <v>2991</v>
      </c>
      <c r="L296" s="0" t="s">
        <v>2992</v>
      </c>
    </row>
    <row r="297">
      <c r="A297" s="0" t="s">
        <v>45</v>
      </c>
      <c r="B297" s="0" t="s">
        <v>307</v>
      </c>
      <c r="C297" s="0"/>
      <c r="D297" s="0">
        <v>4.25</v>
      </c>
      <c r="E297" s="0"/>
      <c r="F297" s="0" t="s">
        <v>891</v>
      </c>
      <c r="G297" s="0"/>
      <c r="H297" s="0"/>
      <c r="I297" s="0" t="s">
        <v>2979</v>
      </c>
      <c r="J297" s="0"/>
      <c r="K297" s="0" t="s">
        <v>2991</v>
      </c>
      <c r="L297" s="0" t="s">
        <v>2992</v>
      </c>
    </row>
    <row r="298">
      <c r="A298" s="0" t="s">
        <v>45</v>
      </c>
      <c r="B298" s="0" t="s">
        <v>263</v>
      </c>
      <c r="C298" s="0"/>
      <c r="D298" s="0">
        <v>10.4</v>
      </c>
      <c r="E298" s="0"/>
      <c r="F298" s="0" t="s">
        <v>726</v>
      </c>
      <c r="G298" s="0"/>
      <c r="H298" s="0" t="s">
        <v>2780</v>
      </c>
      <c r="I298" s="0" t="s">
        <v>2980</v>
      </c>
      <c r="J298" s="0"/>
      <c r="K298" s="0" t="s">
        <v>2991</v>
      </c>
      <c r="L298" s="0" t="s">
        <v>2992</v>
      </c>
    </row>
    <row r="299">
      <c r="A299" s="0" t="s">
        <v>45</v>
      </c>
      <c r="B299" s="0" t="s">
        <v>352</v>
      </c>
      <c r="C299" s="0"/>
      <c r="D299" s="0">
        <v>25</v>
      </c>
      <c r="E299" s="0"/>
      <c r="F299" s="0" t="s">
        <v>1765</v>
      </c>
      <c r="G299" s="0"/>
      <c r="H299" s="0" t="s">
        <v>2781</v>
      </c>
      <c r="I299" s="0" t="s">
        <v>831</v>
      </c>
      <c r="J299" s="0"/>
      <c r="K299" s="0" t="s">
        <v>2991</v>
      </c>
      <c r="L299" s="0" t="s">
        <v>2992</v>
      </c>
    </row>
    <row r="300">
      <c r="A300" s="0" t="s">
        <v>45</v>
      </c>
      <c r="B300" s="0" t="s">
        <v>352</v>
      </c>
      <c r="C300" s="0"/>
      <c r="D300" s="0">
        <v>20</v>
      </c>
      <c r="E300" s="0"/>
      <c r="F300" s="0" t="s">
        <v>789</v>
      </c>
      <c r="G300" s="0"/>
      <c r="H300" s="0" t="s">
        <v>2782</v>
      </c>
      <c r="I300" s="0" t="s">
        <v>831</v>
      </c>
      <c r="J300" s="0"/>
      <c r="K300" s="0" t="s">
        <v>2991</v>
      </c>
      <c r="L300" s="0" t="s">
        <v>2992</v>
      </c>
    </row>
    <row r="301">
      <c r="A301" s="0" t="s">
        <v>45</v>
      </c>
      <c r="B301" s="0" t="s">
        <v>352</v>
      </c>
      <c r="C301" s="0"/>
      <c r="D301" s="0">
        <v>80</v>
      </c>
      <c r="E301" s="0"/>
      <c r="F301" s="0" t="s">
        <v>2204</v>
      </c>
      <c r="G301" s="0"/>
      <c r="H301" s="0" t="s">
        <v>2783</v>
      </c>
      <c r="I301" s="0" t="s">
        <v>831</v>
      </c>
      <c r="J301" s="0"/>
      <c r="K301" s="0" t="s">
        <v>2991</v>
      </c>
      <c r="L301" s="0" t="s">
        <v>2992</v>
      </c>
    </row>
    <row r="302">
      <c r="A302" s="0" t="s">
        <v>45</v>
      </c>
      <c r="B302" s="0" t="s">
        <v>352</v>
      </c>
      <c r="C302" s="0"/>
      <c r="D302" s="0">
        <v>45</v>
      </c>
      <c r="E302" s="0"/>
      <c r="F302" s="0" t="s">
        <v>1741</v>
      </c>
      <c r="G302" s="0"/>
      <c r="H302" s="0" t="s">
        <v>2784</v>
      </c>
      <c r="I302" s="0" t="s">
        <v>831</v>
      </c>
      <c r="J302" s="0"/>
      <c r="K302" s="0" t="s">
        <v>2991</v>
      </c>
      <c r="L302" s="0" t="s">
        <v>2992</v>
      </c>
    </row>
    <row r="303">
      <c r="A303" s="0" t="s">
        <v>45</v>
      </c>
      <c r="B303" s="0" t="s">
        <v>352</v>
      </c>
      <c r="C303" s="0"/>
      <c r="D303" s="0">
        <v>18</v>
      </c>
      <c r="E303" s="0"/>
      <c r="F303" s="0" t="s">
        <v>803</v>
      </c>
      <c r="G303" s="0"/>
      <c r="H303" s="0" t="s">
        <v>2785</v>
      </c>
      <c r="I303" s="0" t="s">
        <v>831</v>
      </c>
      <c r="J303" s="0"/>
      <c r="K303" s="0" t="s">
        <v>2991</v>
      </c>
      <c r="L303" s="0" t="s">
        <v>2992</v>
      </c>
    </row>
    <row r="304">
      <c r="A304" s="0" t="s">
        <v>45</v>
      </c>
      <c r="B304" s="0" t="s">
        <v>352</v>
      </c>
      <c r="C304" s="0"/>
      <c r="D304" s="0">
        <v>15</v>
      </c>
      <c r="E304" s="0"/>
      <c r="F304" s="0" t="s">
        <v>641</v>
      </c>
      <c r="G304" s="0"/>
      <c r="H304" s="0" t="s">
        <v>2786</v>
      </c>
      <c r="I304" s="0" t="s">
        <v>831</v>
      </c>
      <c r="J304" s="0"/>
      <c r="K304" s="0" t="s">
        <v>2991</v>
      </c>
      <c r="L304" s="0" t="s">
        <v>2992</v>
      </c>
    </row>
    <row r="305">
      <c r="A305" s="0" t="s">
        <v>45</v>
      </c>
      <c r="B305" s="0" t="s">
        <v>307</v>
      </c>
      <c r="C305" s="0"/>
      <c r="D305" s="0">
        <v>4.7999999999999998</v>
      </c>
      <c r="E305" s="0"/>
      <c r="F305" s="0" t="s">
        <v>823</v>
      </c>
      <c r="G305" s="0"/>
      <c r="H305" s="0" t="s">
        <v>2787</v>
      </c>
      <c r="I305" s="0" t="s">
        <v>2940</v>
      </c>
      <c r="J305" s="0"/>
      <c r="K305" s="0" t="s">
        <v>2991</v>
      </c>
      <c r="L305" s="0" t="s">
        <v>2992</v>
      </c>
    </row>
    <row r="306">
      <c r="A306" s="0" t="s">
        <v>45</v>
      </c>
      <c r="B306" s="0" t="s">
        <v>307</v>
      </c>
      <c r="C306" s="0"/>
      <c r="D306" s="0">
        <v>5.2999999999999998</v>
      </c>
      <c r="E306" s="0"/>
      <c r="F306" s="0" t="s">
        <v>2026</v>
      </c>
      <c r="G306" s="0"/>
      <c r="H306" s="0" t="s">
        <v>2788</v>
      </c>
      <c r="I306" s="0" t="s">
        <v>2940</v>
      </c>
      <c r="J306" s="0"/>
      <c r="K306" s="0" t="s">
        <v>2991</v>
      </c>
      <c r="L306" s="0" t="s">
        <v>2992</v>
      </c>
    </row>
    <row r="307">
      <c r="A307" s="0" t="s">
        <v>45</v>
      </c>
      <c r="B307" s="0" t="s">
        <v>307</v>
      </c>
      <c r="C307" s="0"/>
      <c r="D307" s="0">
        <v>4.0999999999999996</v>
      </c>
      <c r="E307" s="0"/>
      <c r="F307" s="0" t="s">
        <v>808</v>
      </c>
      <c r="G307" s="0"/>
      <c r="H307" s="0" t="s">
        <v>2789</v>
      </c>
      <c r="I307" s="0" t="s">
        <v>1737</v>
      </c>
      <c r="J307" s="0"/>
      <c r="K307" s="0" t="s">
        <v>2991</v>
      </c>
      <c r="L307" s="0" t="s">
        <v>2992</v>
      </c>
    </row>
    <row r="308">
      <c r="A308" s="0" t="s">
        <v>45</v>
      </c>
      <c r="B308" s="0" t="s">
        <v>307</v>
      </c>
      <c r="C308" s="0"/>
      <c r="D308" s="0">
        <v>6.7999999999999998</v>
      </c>
      <c r="E308" s="0"/>
      <c r="F308" s="0" t="s">
        <v>813</v>
      </c>
      <c r="G308" s="0"/>
      <c r="H308" s="0" t="s">
        <v>2790</v>
      </c>
      <c r="I308" s="0" t="s">
        <v>1737</v>
      </c>
      <c r="J308" s="0"/>
      <c r="K308" s="0" t="s">
        <v>2991</v>
      </c>
      <c r="L308" s="0" t="s">
        <v>2992</v>
      </c>
    </row>
    <row r="309">
      <c r="A309" s="0" t="s">
        <v>45</v>
      </c>
      <c r="B309" s="0" t="s">
        <v>307</v>
      </c>
      <c r="C309" s="0"/>
      <c r="D309" s="0">
        <v>4.9000000000000004</v>
      </c>
      <c r="E309" s="0"/>
      <c r="F309" s="0" t="s">
        <v>688</v>
      </c>
      <c r="G309" s="0"/>
      <c r="H309" s="0" t="s">
        <v>2791</v>
      </c>
      <c r="I309" s="0" t="s">
        <v>2940</v>
      </c>
      <c r="J309" s="0"/>
      <c r="K309" s="0" t="s">
        <v>2991</v>
      </c>
      <c r="L309" s="0" t="s">
        <v>2992</v>
      </c>
    </row>
    <row r="310">
      <c r="A310" s="0" t="s">
        <v>45</v>
      </c>
      <c r="B310" s="0" t="s">
        <v>147</v>
      </c>
      <c r="C310" s="0"/>
      <c r="D310" s="0">
        <v>440</v>
      </c>
      <c r="E310" s="0"/>
      <c r="F310" s="0" t="s">
        <v>2387</v>
      </c>
      <c r="G310" s="0"/>
      <c r="H310" s="0" t="s">
        <v>2792</v>
      </c>
      <c r="I310" s="0" t="s">
        <v>2981</v>
      </c>
      <c r="J310" s="0"/>
      <c r="K310" s="0" t="s">
        <v>2991</v>
      </c>
      <c r="L310" s="0" t="s">
        <v>2992</v>
      </c>
    </row>
    <row r="311">
      <c r="A311" s="0" t="s">
        <v>45</v>
      </c>
      <c r="B311" s="0" t="s">
        <v>147</v>
      </c>
      <c r="C311" s="0"/>
      <c r="D311" s="0">
        <v>800</v>
      </c>
      <c r="E311" s="0"/>
      <c r="F311" s="0" t="s">
        <v>2388</v>
      </c>
      <c r="G311" s="0"/>
      <c r="H311" s="0" t="s">
        <v>2793</v>
      </c>
      <c r="I311" s="0" t="s">
        <v>1707</v>
      </c>
      <c r="J311" s="0"/>
      <c r="K311" s="0" t="s">
        <v>2991</v>
      </c>
      <c r="L311" s="0" t="s">
        <v>2992</v>
      </c>
    </row>
    <row r="312">
      <c r="A312" s="0" t="s">
        <v>45</v>
      </c>
      <c r="B312" s="0" t="s">
        <v>147</v>
      </c>
      <c r="C312" s="0"/>
      <c r="D312" s="0">
        <v>150</v>
      </c>
      <c r="E312" s="0"/>
      <c r="F312" s="0" t="s">
        <v>2389</v>
      </c>
      <c r="G312" s="0"/>
      <c r="H312" s="0" t="s">
        <v>2794</v>
      </c>
      <c r="I312" s="0" t="s">
        <v>1738</v>
      </c>
      <c r="J312" s="0"/>
      <c r="K312" s="0" t="s">
        <v>2991</v>
      </c>
      <c r="L312" s="0" t="s">
        <v>2992</v>
      </c>
    </row>
    <row r="313">
      <c r="A313" s="0" t="s">
        <v>45</v>
      </c>
      <c r="B313" s="0" t="s">
        <v>147</v>
      </c>
      <c r="C313" s="0"/>
      <c r="D313" s="0">
        <v>250</v>
      </c>
      <c r="E313" s="0"/>
      <c r="F313" s="0" t="s">
        <v>1828</v>
      </c>
      <c r="G313" s="0"/>
      <c r="H313" s="0" t="s">
        <v>2795</v>
      </c>
      <c r="I313" s="0" t="s">
        <v>824</v>
      </c>
      <c r="J313" s="0"/>
      <c r="K313" s="0" t="s">
        <v>2991</v>
      </c>
      <c r="L313" s="0" t="s">
        <v>2992</v>
      </c>
    </row>
    <row r="314">
      <c r="A314" s="0" t="s">
        <v>45</v>
      </c>
      <c r="B314" s="0" t="s">
        <v>147</v>
      </c>
      <c r="C314" s="0"/>
      <c r="D314" s="0">
        <v>450</v>
      </c>
      <c r="E314" s="0"/>
      <c r="F314" s="0" t="s">
        <v>2390</v>
      </c>
      <c r="G314" s="0"/>
      <c r="H314" s="0" t="s">
        <v>2796</v>
      </c>
      <c r="I314" s="0" t="s">
        <v>1740</v>
      </c>
      <c r="J314" s="0"/>
      <c r="K314" s="0" t="s">
        <v>2991</v>
      </c>
      <c r="L314" s="0" t="s">
        <v>2992</v>
      </c>
    </row>
    <row r="315">
      <c r="A315" s="0" t="s">
        <v>45</v>
      </c>
      <c r="B315" s="0" t="s">
        <v>147</v>
      </c>
      <c r="C315" s="0"/>
      <c r="D315" s="0">
        <v>75.700000000000003</v>
      </c>
      <c r="E315" s="0"/>
      <c r="F315" s="0" t="s">
        <v>2391</v>
      </c>
      <c r="G315" s="0"/>
      <c r="H315" s="0" t="s">
        <v>2797</v>
      </c>
      <c r="I315" s="0" t="s">
        <v>1769</v>
      </c>
      <c r="J315" s="0"/>
      <c r="K315" s="0" t="s">
        <v>2991</v>
      </c>
      <c r="L315" s="0" t="s">
        <v>2992</v>
      </c>
    </row>
    <row r="316">
      <c r="A316" s="0" t="s">
        <v>45</v>
      </c>
      <c r="B316" s="0" t="s">
        <v>147</v>
      </c>
      <c r="C316" s="0"/>
      <c r="D316" s="0">
        <v>47</v>
      </c>
      <c r="E316" s="0"/>
      <c r="F316" s="0" t="s">
        <v>1792</v>
      </c>
      <c r="G316" s="0"/>
      <c r="H316" s="0" t="s">
        <v>2798</v>
      </c>
      <c r="I316" s="0" t="s">
        <v>1738</v>
      </c>
      <c r="J316" s="0"/>
      <c r="K316" s="0" t="s">
        <v>2991</v>
      </c>
      <c r="L316" s="0" t="s">
        <v>2992</v>
      </c>
    </row>
    <row r="317">
      <c r="A317" s="0" t="s">
        <v>45</v>
      </c>
      <c r="B317" s="0" t="s">
        <v>147</v>
      </c>
      <c r="C317" s="0"/>
      <c r="D317" s="0">
        <v>81</v>
      </c>
      <c r="E317" s="0"/>
      <c r="F317" s="0" t="s">
        <v>1700</v>
      </c>
      <c r="G317" s="0"/>
      <c r="H317" s="0" t="s">
        <v>2799</v>
      </c>
      <c r="I317" s="0" t="s">
        <v>1654</v>
      </c>
      <c r="J317" s="0"/>
      <c r="K317" s="0" t="s">
        <v>2991</v>
      </c>
      <c r="L317" s="0" t="s">
        <v>2992</v>
      </c>
    </row>
    <row r="318">
      <c r="A318" s="0" t="s">
        <v>45</v>
      </c>
      <c r="B318" s="0" t="s">
        <v>147</v>
      </c>
      <c r="C318" s="0"/>
      <c r="D318" s="0">
        <v>25.600000000000001</v>
      </c>
      <c r="E318" s="0"/>
      <c r="F318" s="0" t="s">
        <v>2392</v>
      </c>
      <c r="G318" s="0"/>
      <c r="H318" s="0" t="s">
        <v>2800</v>
      </c>
      <c r="I318" s="0" t="s">
        <v>1773</v>
      </c>
      <c r="J318" s="0"/>
      <c r="K318" s="0" t="s">
        <v>2991</v>
      </c>
      <c r="L318" s="0" t="s">
        <v>2992</v>
      </c>
    </row>
    <row r="319">
      <c r="A319" s="0" t="s">
        <v>45</v>
      </c>
      <c r="B319" s="0" t="s">
        <v>147</v>
      </c>
      <c r="C319" s="0"/>
      <c r="D319" s="0">
        <v>423</v>
      </c>
      <c r="E319" s="0"/>
      <c r="F319" s="0" t="s">
        <v>2393</v>
      </c>
      <c r="G319" s="0"/>
      <c r="H319" s="0" t="s">
        <v>2801</v>
      </c>
      <c r="I319" s="0" t="s">
        <v>1741</v>
      </c>
      <c r="J319" s="0"/>
      <c r="K319" s="0" t="s">
        <v>2991</v>
      </c>
      <c r="L319" s="0" t="s">
        <v>2992</v>
      </c>
    </row>
    <row r="320">
      <c r="A320" s="0" t="s">
        <v>45</v>
      </c>
      <c r="B320" s="0" t="s">
        <v>147</v>
      </c>
      <c r="C320" s="0"/>
      <c r="D320" s="0">
        <v>102.8</v>
      </c>
      <c r="E320" s="0"/>
      <c r="F320" s="0" t="s">
        <v>2394</v>
      </c>
      <c r="G320" s="0"/>
      <c r="H320" s="0" t="s">
        <v>2802</v>
      </c>
      <c r="I320" s="0" t="s">
        <v>1773</v>
      </c>
      <c r="J320" s="0"/>
      <c r="K320" s="0" t="s">
        <v>2991</v>
      </c>
      <c r="L320" s="0" t="s">
        <v>2992</v>
      </c>
    </row>
    <row r="321">
      <c r="A321" s="0" t="s">
        <v>45</v>
      </c>
      <c r="B321" s="0" t="s">
        <v>147</v>
      </c>
      <c r="C321" s="0"/>
      <c r="D321" s="0">
        <v>200.40000000000001</v>
      </c>
      <c r="E321" s="0"/>
      <c r="F321" s="0" t="s">
        <v>2395</v>
      </c>
      <c r="G321" s="0"/>
      <c r="H321" s="0" t="s">
        <v>2803</v>
      </c>
      <c r="I321" s="0" t="s">
        <v>1759</v>
      </c>
      <c r="J321" s="0"/>
      <c r="K321" s="0" t="s">
        <v>2991</v>
      </c>
      <c r="L321" s="0" t="s">
        <v>2992</v>
      </c>
    </row>
    <row r="322">
      <c r="A322" s="0" t="s">
        <v>45</v>
      </c>
      <c r="B322" s="0" t="s">
        <v>147</v>
      </c>
      <c r="C322" s="0"/>
      <c r="D322" s="0">
        <v>16</v>
      </c>
      <c r="E322" s="0"/>
      <c r="F322" s="0" t="s">
        <v>1794</v>
      </c>
      <c r="G322" s="0"/>
      <c r="H322" s="0" t="s">
        <v>2804</v>
      </c>
      <c r="I322" s="0" t="s">
        <v>2982</v>
      </c>
      <c r="J322" s="0"/>
      <c r="K322" s="0" t="s">
        <v>2991</v>
      </c>
      <c r="L322" s="0" t="s">
        <v>2992</v>
      </c>
    </row>
    <row r="323">
      <c r="A323" s="0" t="s">
        <v>45</v>
      </c>
      <c r="B323" s="0" t="s">
        <v>147</v>
      </c>
      <c r="C323" s="0"/>
      <c r="D323" s="0">
        <v>12</v>
      </c>
      <c r="E323" s="0"/>
      <c r="F323" s="0" t="s">
        <v>640</v>
      </c>
      <c r="G323" s="0"/>
      <c r="H323" s="0" t="s">
        <v>2805</v>
      </c>
      <c r="I323" s="0" t="s">
        <v>1738</v>
      </c>
      <c r="J323" s="0"/>
      <c r="K323" s="0" t="s">
        <v>2991</v>
      </c>
      <c r="L323" s="0" t="s">
        <v>2992</v>
      </c>
    </row>
    <row r="324">
      <c r="A324" s="0" t="s">
        <v>45</v>
      </c>
      <c r="B324" s="0" t="s">
        <v>147</v>
      </c>
      <c r="C324" s="0"/>
      <c r="D324" s="0">
        <v>120</v>
      </c>
      <c r="E324" s="0"/>
      <c r="F324" s="0" t="s">
        <v>2396</v>
      </c>
      <c r="G324" s="0"/>
      <c r="H324" s="0" t="s">
        <v>2806</v>
      </c>
      <c r="I324" s="0" t="s">
        <v>824</v>
      </c>
      <c r="J324" s="0"/>
      <c r="K324" s="0" t="s">
        <v>2991</v>
      </c>
      <c r="L324" s="0" t="s">
        <v>2992</v>
      </c>
    </row>
    <row r="325">
      <c r="A325" s="0" t="s">
        <v>45</v>
      </c>
      <c r="B325" s="0" t="s">
        <v>274</v>
      </c>
      <c r="C325" s="0"/>
      <c r="D325" s="0">
        <v>12.9</v>
      </c>
      <c r="E325" s="0"/>
      <c r="F325" s="0" t="s">
        <v>1952</v>
      </c>
      <c r="G325" s="0"/>
      <c r="H325" s="0" t="s">
        <v>2807</v>
      </c>
      <c r="I325" s="0" t="s">
        <v>2980</v>
      </c>
      <c r="J325" s="0"/>
      <c r="K325" s="0" t="s">
        <v>2991</v>
      </c>
      <c r="L325" s="0" t="s">
        <v>2992</v>
      </c>
    </row>
    <row r="326">
      <c r="A326" s="0" t="s">
        <v>45</v>
      </c>
      <c r="B326" s="0" t="s">
        <v>263</v>
      </c>
      <c r="C326" s="0"/>
      <c r="D326" s="0">
        <v>250.09</v>
      </c>
      <c r="E326" s="0"/>
      <c r="F326" s="0" t="s">
        <v>2397</v>
      </c>
      <c r="G326" s="0"/>
      <c r="H326" s="0" t="s">
        <v>2808</v>
      </c>
      <c r="I326" s="0" t="s">
        <v>2983</v>
      </c>
      <c r="J326" s="0"/>
      <c r="K326" s="0" t="s">
        <v>2991</v>
      </c>
      <c r="L326" s="0" t="s">
        <v>2992</v>
      </c>
    </row>
    <row r="327">
      <c r="A327" s="0" t="s">
        <v>45</v>
      </c>
      <c r="B327" s="0" t="s">
        <v>286</v>
      </c>
      <c r="C327" s="0"/>
      <c r="D327" s="0">
        <v>218</v>
      </c>
      <c r="E327" s="0"/>
      <c r="F327" s="0" t="s">
        <v>2398</v>
      </c>
      <c r="G327" s="0"/>
      <c r="H327" s="0" t="s">
        <v>2809</v>
      </c>
      <c r="I327" s="0" t="s">
        <v>1748</v>
      </c>
      <c r="J327" s="0"/>
      <c r="K327" s="0" t="s">
        <v>2991</v>
      </c>
      <c r="L327" s="0" t="s">
        <v>2992</v>
      </c>
    </row>
    <row r="328">
      <c r="A328" s="0" t="s">
        <v>45</v>
      </c>
      <c r="B328" s="0" t="s">
        <v>286</v>
      </c>
      <c r="C328" s="0"/>
      <c r="D328" s="0">
        <v>181</v>
      </c>
      <c r="E328" s="0"/>
      <c r="F328" s="0" t="s">
        <v>2399</v>
      </c>
      <c r="G328" s="0"/>
      <c r="H328" s="0" t="s">
        <v>2810</v>
      </c>
      <c r="I328" s="0" t="s">
        <v>585</v>
      </c>
      <c r="J328" s="0"/>
      <c r="K328" s="0" t="s">
        <v>2991</v>
      </c>
      <c r="L328" s="0" t="s">
        <v>2992</v>
      </c>
    </row>
    <row r="329">
      <c r="A329" s="0" t="s">
        <v>45</v>
      </c>
      <c r="B329" s="0" t="s">
        <v>286</v>
      </c>
      <c r="C329" s="0"/>
      <c r="D329" s="0">
        <v>398</v>
      </c>
      <c r="E329" s="0"/>
      <c r="F329" s="0" t="s">
        <v>1673</v>
      </c>
      <c r="G329" s="0"/>
      <c r="H329" s="0" t="s">
        <v>2811</v>
      </c>
      <c r="I329" s="0" t="s">
        <v>1748</v>
      </c>
      <c r="J329" s="0"/>
      <c r="K329" s="0" t="s">
        <v>2991</v>
      </c>
      <c r="L329" s="0" t="s">
        <v>2992</v>
      </c>
    </row>
    <row r="330">
      <c r="A330" s="0" t="s">
        <v>45</v>
      </c>
      <c r="B330" s="0" t="s">
        <v>286</v>
      </c>
      <c r="C330" s="0"/>
      <c r="D330" s="0">
        <v>1320</v>
      </c>
      <c r="E330" s="0"/>
      <c r="F330" s="0" t="s">
        <v>2400</v>
      </c>
      <c r="G330" s="0"/>
      <c r="H330" s="0" t="s">
        <v>2812</v>
      </c>
      <c r="I330" s="0" t="s">
        <v>803</v>
      </c>
      <c r="J330" s="0"/>
      <c r="K330" s="0" t="s">
        <v>2991</v>
      </c>
      <c r="L330" s="0" t="s">
        <v>2992</v>
      </c>
    </row>
    <row r="331">
      <c r="A331" s="0" t="s">
        <v>45</v>
      </c>
      <c r="B331" s="0" t="s">
        <v>286</v>
      </c>
      <c r="C331" s="0"/>
      <c r="D331" s="0">
        <v>630</v>
      </c>
      <c r="E331" s="0"/>
      <c r="F331" s="0" t="s">
        <v>2401</v>
      </c>
      <c r="G331" s="0"/>
      <c r="H331" s="0" t="s">
        <v>2813</v>
      </c>
      <c r="I331" s="0" t="s">
        <v>1749</v>
      </c>
      <c r="J331" s="0"/>
      <c r="K331" s="0" t="s">
        <v>2991</v>
      </c>
      <c r="L331" s="0" t="s">
        <v>2992</v>
      </c>
    </row>
    <row r="332">
      <c r="A332" s="0" t="s">
        <v>45</v>
      </c>
      <c r="B332" s="0" t="s">
        <v>286</v>
      </c>
      <c r="C332" s="0"/>
      <c r="D332" s="0">
        <v>165</v>
      </c>
      <c r="E332" s="0"/>
      <c r="F332" s="0" t="s">
        <v>2402</v>
      </c>
      <c r="G332" s="0"/>
      <c r="H332" s="0" t="s">
        <v>2814</v>
      </c>
      <c r="I332" s="0" t="s">
        <v>1768</v>
      </c>
      <c r="J332" s="0"/>
      <c r="K332" s="0" t="s">
        <v>2991</v>
      </c>
      <c r="L332" s="0" t="s">
        <v>2992</v>
      </c>
    </row>
    <row r="333">
      <c r="A333" s="0" t="s">
        <v>45</v>
      </c>
      <c r="B333" s="0" t="s">
        <v>286</v>
      </c>
      <c r="C333" s="0"/>
      <c r="D333" s="0">
        <v>810</v>
      </c>
      <c r="E333" s="0"/>
      <c r="F333" s="0" t="s">
        <v>2403</v>
      </c>
      <c r="G333" s="0"/>
      <c r="H333" s="0" t="s">
        <v>2815</v>
      </c>
      <c r="I333" s="0" t="s">
        <v>1803</v>
      </c>
      <c r="J333" s="0"/>
      <c r="K333" s="0" t="s">
        <v>2991</v>
      </c>
      <c r="L333" s="0" t="s">
        <v>2992</v>
      </c>
    </row>
    <row r="334">
      <c r="A334" s="0" t="s">
        <v>45</v>
      </c>
      <c r="B334" s="0" t="s">
        <v>286</v>
      </c>
      <c r="C334" s="0"/>
      <c r="D334" s="0">
        <v>738</v>
      </c>
      <c r="E334" s="0"/>
      <c r="F334" s="0" t="s">
        <v>2404</v>
      </c>
      <c r="G334" s="0"/>
      <c r="H334" s="0" t="s">
        <v>2816</v>
      </c>
      <c r="I334" s="0" t="s">
        <v>1803</v>
      </c>
      <c r="J334" s="0"/>
      <c r="K334" s="0" t="s">
        <v>2991</v>
      </c>
      <c r="L334" s="0" t="s">
        <v>2992</v>
      </c>
    </row>
    <row r="335">
      <c r="A335" s="0" t="s">
        <v>45</v>
      </c>
      <c r="B335" s="0" t="s">
        <v>286</v>
      </c>
      <c r="C335" s="0"/>
      <c r="D335" s="0">
        <v>540</v>
      </c>
      <c r="E335" s="0"/>
      <c r="F335" s="0" t="s">
        <v>2405</v>
      </c>
      <c r="G335" s="0"/>
      <c r="H335" s="0" t="s">
        <v>2817</v>
      </c>
      <c r="I335" s="0" t="s">
        <v>828</v>
      </c>
      <c r="J335" s="0"/>
      <c r="K335" s="0" t="s">
        <v>2991</v>
      </c>
      <c r="L335" s="0" t="s">
        <v>2992</v>
      </c>
    </row>
    <row r="336">
      <c r="A336" s="0" t="s">
        <v>45</v>
      </c>
      <c r="B336" s="0" t="s">
        <v>286</v>
      </c>
      <c r="C336" s="0"/>
      <c r="D336" s="0">
        <v>792</v>
      </c>
      <c r="E336" s="0"/>
      <c r="F336" s="0" t="s">
        <v>2406</v>
      </c>
      <c r="G336" s="0"/>
      <c r="H336" s="0" t="s">
        <v>2818</v>
      </c>
      <c r="I336" s="0" t="s">
        <v>1767</v>
      </c>
      <c r="J336" s="0"/>
      <c r="K336" s="0" t="s">
        <v>2991</v>
      </c>
      <c r="L336" s="0" t="s">
        <v>2992</v>
      </c>
    </row>
    <row r="337">
      <c r="A337" s="0" t="s">
        <v>45</v>
      </c>
      <c r="B337" s="0" t="s">
        <v>286</v>
      </c>
      <c r="C337" s="0"/>
      <c r="D337" s="0">
        <v>104.5</v>
      </c>
      <c r="E337" s="0"/>
      <c r="F337" s="0" t="s">
        <v>2407</v>
      </c>
      <c r="G337" s="0"/>
      <c r="H337" s="0" t="s">
        <v>2819</v>
      </c>
      <c r="I337" s="0" t="s">
        <v>819</v>
      </c>
      <c r="J337" s="0"/>
      <c r="K337" s="0" t="s">
        <v>2991</v>
      </c>
      <c r="L337" s="0" t="s">
        <v>2992</v>
      </c>
    </row>
    <row r="338">
      <c r="A338" s="0" t="s">
        <v>45</v>
      </c>
      <c r="B338" s="0" t="s">
        <v>286</v>
      </c>
      <c r="C338" s="0"/>
      <c r="D338" s="0">
        <v>1.3</v>
      </c>
      <c r="E338" s="0"/>
      <c r="F338" s="0" t="s">
        <v>692</v>
      </c>
      <c r="G338" s="0"/>
      <c r="H338" s="0" t="s">
        <v>2820</v>
      </c>
      <c r="I338" s="0" t="s">
        <v>803</v>
      </c>
      <c r="J338" s="0"/>
      <c r="K338" s="0" t="s">
        <v>2991</v>
      </c>
      <c r="L338" s="0" t="s">
        <v>2992</v>
      </c>
    </row>
    <row r="339">
      <c r="A339" s="0" t="s">
        <v>45</v>
      </c>
      <c r="B339" s="0" t="s">
        <v>263</v>
      </c>
      <c r="C339" s="0"/>
      <c r="D339" s="0">
        <v>0.55000000000000005</v>
      </c>
      <c r="E339" s="0"/>
      <c r="F339" s="0" t="s">
        <v>2408</v>
      </c>
      <c r="G339" s="0"/>
      <c r="H339" s="0" t="s">
        <v>2821</v>
      </c>
      <c r="I339" s="0" t="s">
        <v>2984</v>
      </c>
      <c r="J339" s="0"/>
      <c r="K339" s="0" t="s">
        <v>2991</v>
      </c>
      <c r="L339" s="0" t="s">
        <v>2992</v>
      </c>
    </row>
    <row r="340">
      <c r="A340" s="0" t="s">
        <v>45</v>
      </c>
      <c r="B340" s="0" t="s">
        <v>263</v>
      </c>
      <c r="C340" s="0"/>
      <c r="D340" s="0">
        <v>11.42</v>
      </c>
      <c r="E340" s="0"/>
      <c r="F340" s="0" t="s">
        <v>2409</v>
      </c>
      <c r="G340" s="0"/>
      <c r="H340" s="0" t="s">
        <v>2822</v>
      </c>
      <c r="I340" s="0" t="s">
        <v>2984</v>
      </c>
      <c r="J340" s="0"/>
      <c r="K340" s="0" t="s">
        <v>2991</v>
      </c>
      <c r="L340" s="0" t="s">
        <v>2992</v>
      </c>
    </row>
    <row r="341">
      <c r="A341" s="0" t="s">
        <v>45</v>
      </c>
      <c r="B341" s="0" t="s">
        <v>263</v>
      </c>
      <c r="C341" s="0"/>
      <c r="D341" s="0">
        <v>7.9699999999999998</v>
      </c>
      <c r="E341" s="0"/>
      <c r="F341" s="0" t="s">
        <v>2410</v>
      </c>
      <c r="G341" s="0"/>
      <c r="H341" s="0" t="s">
        <v>2823</v>
      </c>
      <c r="I341" s="0" t="s">
        <v>2984</v>
      </c>
      <c r="J341" s="0"/>
      <c r="K341" s="0" t="s">
        <v>2991</v>
      </c>
      <c r="L341" s="0" t="s">
        <v>2992</v>
      </c>
    </row>
    <row r="342">
      <c r="A342" s="0" t="s">
        <v>45</v>
      </c>
      <c r="B342" s="0" t="s">
        <v>263</v>
      </c>
      <c r="C342" s="0"/>
      <c r="D342" s="0">
        <v>1.52</v>
      </c>
      <c r="E342" s="0"/>
      <c r="F342" s="0" t="s">
        <v>2411</v>
      </c>
      <c r="G342" s="0"/>
      <c r="H342" s="0" t="s">
        <v>2824</v>
      </c>
      <c r="I342" s="0" t="s">
        <v>2984</v>
      </c>
      <c r="J342" s="0"/>
      <c r="K342" s="0" t="s">
        <v>2991</v>
      </c>
      <c r="L342" s="0" t="s">
        <v>2992</v>
      </c>
    </row>
    <row r="343">
      <c r="A343" s="0" t="s">
        <v>45</v>
      </c>
      <c r="B343" s="0" t="s">
        <v>263</v>
      </c>
      <c r="C343" s="0"/>
      <c r="D343" s="0">
        <v>9.0299999999999994</v>
      </c>
      <c r="E343" s="0"/>
      <c r="F343" s="0" t="s">
        <v>2412</v>
      </c>
      <c r="G343" s="0"/>
      <c r="H343" s="0" t="s">
        <v>2825</v>
      </c>
      <c r="I343" s="0" t="s">
        <v>2984</v>
      </c>
      <c r="J343" s="0"/>
      <c r="K343" s="0" t="s">
        <v>2991</v>
      </c>
      <c r="L343" s="0" t="s">
        <v>2992</v>
      </c>
    </row>
    <row r="344">
      <c r="A344" s="0" t="s">
        <v>45</v>
      </c>
      <c r="B344" s="0" t="s">
        <v>296</v>
      </c>
      <c r="C344" s="0"/>
      <c r="D344" s="0">
        <v>17.800000000000001</v>
      </c>
      <c r="E344" s="0"/>
      <c r="F344" s="0" t="s">
        <v>2413</v>
      </c>
      <c r="G344" s="0"/>
      <c r="H344" s="0" t="s">
        <v>2826</v>
      </c>
      <c r="I344" s="0" t="s">
        <v>2980</v>
      </c>
      <c r="J344" s="0"/>
      <c r="K344" s="0" t="s">
        <v>2991</v>
      </c>
      <c r="L344" s="0" t="s">
        <v>2992</v>
      </c>
    </row>
    <row r="345">
      <c r="A345" s="0" t="s">
        <v>45</v>
      </c>
      <c r="B345" s="0" t="s">
        <v>2169</v>
      </c>
      <c r="C345" s="0"/>
      <c r="D345" s="0">
        <v>16.100000000000001</v>
      </c>
      <c r="E345" s="0"/>
      <c r="F345" s="0" t="s">
        <v>2414</v>
      </c>
      <c r="G345" s="0"/>
      <c r="H345" s="0" t="s">
        <v>2827</v>
      </c>
      <c r="I345" s="0" t="s">
        <v>2980</v>
      </c>
      <c r="J345" s="0"/>
      <c r="K345" s="0" t="s">
        <v>2991</v>
      </c>
      <c r="L345" s="0" t="s">
        <v>2992</v>
      </c>
    </row>
    <row r="346">
      <c r="A346" s="0" t="s">
        <v>45</v>
      </c>
      <c r="B346" s="0" t="s">
        <v>2170</v>
      </c>
      <c r="C346" s="0"/>
      <c r="D346" s="0">
        <v>7.0999999999999997</v>
      </c>
      <c r="E346" s="0"/>
      <c r="F346" s="0" t="s">
        <v>2415</v>
      </c>
      <c r="G346" s="0"/>
      <c r="H346" s="0" t="s">
        <v>2828</v>
      </c>
      <c r="I346" s="0" t="s">
        <v>1710</v>
      </c>
      <c r="J346" s="0"/>
      <c r="K346" s="0" t="s">
        <v>2991</v>
      </c>
      <c r="L346" s="0" t="s">
        <v>2992</v>
      </c>
    </row>
    <row r="347">
      <c r="A347" s="0" t="s">
        <v>45</v>
      </c>
      <c r="B347" s="0" t="s">
        <v>2170</v>
      </c>
      <c r="C347" s="0"/>
      <c r="D347" s="0">
        <v>17</v>
      </c>
      <c r="E347" s="0"/>
      <c r="F347" s="0" t="s">
        <v>585</v>
      </c>
      <c r="G347" s="0"/>
      <c r="H347" s="0" t="s">
        <v>2829</v>
      </c>
      <c r="I347" s="0" t="s">
        <v>1710</v>
      </c>
      <c r="J347" s="0"/>
      <c r="K347" s="0" t="s">
        <v>2991</v>
      </c>
      <c r="L347" s="0" t="s">
        <v>2992</v>
      </c>
    </row>
    <row r="348">
      <c r="A348" s="0" t="s">
        <v>45</v>
      </c>
      <c r="B348" s="0" t="s">
        <v>310</v>
      </c>
      <c r="C348" s="0"/>
      <c r="D348" s="0">
        <v>8.9199999999999999</v>
      </c>
      <c r="E348" s="0"/>
      <c r="F348" s="0" t="s">
        <v>2416</v>
      </c>
      <c r="G348" s="0"/>
      <c r="H348" s="0" t="s">
        <v>2830</v>
      </c>
      <c r="I348" s="0" t="s">
        <v>1754</v>
      </c>
      <c r="J348" s="0"/>
      <c r="K348" s="0" t="s">
        <v>2991</v>
      </c>
      <c r="L348" s="0" t="s">
        <v>2992</v>
      </c>
    </row>
    <row r="349">
      <c r="A349" s="0" t="s">
        <v>46</v>
      </c>
      <c r="B349" s="0" t="s">
        <v>311</v>
      </c>
      <c r="C349" s="0"/>
      <c r="D349" s="0">
        <v>22</v>
      </c>
      <c r="E349" s="0"/>
      <c r="F349" s="0" t="s">
        <v>644</v>
      </c>
      <c r="G349" s="0"/>
      <c r="H349" s="0"/>
      <c r="I349" s="0" t="s">
        <v>1043</v>
      </c>
      <c r="J349" s="0"/>
      <c r="K349" s="0" t="s">
        <v>2991</v>
      </c>
      <c r="L349" s="0" t="s">
        <v>2992</v>
      </c>
    </row>
    <row r="350">
      <c r="A350" s="0" t="s">
        <v>46</v>
      </c>
      <c r="B350" s="0" t="s">
        <v>311</v>
      </c>
      <c r="C350" s="0"/>
      <c r="D350" s="0">
        <v>910</v>
      </c>
      <c r="E350" s="0"/>
      <c r="F350" s="0" t="s">
        <v>2327</v>
      </c>
      <c r="G350" s="0"/>
      <c r="H350" s="0"/>
      <c r="I350" s="0" t="s">
        <v>1756</v>
      </c>
      <c r="J350" s="0"/>
      <c r="K350" s="0" t="s">
        <v>2991</v>
      </c>
      <c r="L350" s="0" t="s">
        <v>2992</v>
      </c>
    </row>
    <row r="351">
      <c r="A351" s="0" t="s">
        <v>46</v>
      </c>
      <c r="B351" s="0" t="s">
        <v>312</v>
      </c>
      <c r="C351" s="0"/>
      <c r="D351" s="0">
        <v>11.5</v>
      </c>
      <c r="E351" s="0"/>
      <c r="F351" s="0" t="s">
        <v>584</v>
      </c>
      <c r="G351" s="0"/>
      <c r="H351" s="0" t="s">
        <v>2831</v>
      </c>
      <c r="I351" s="0" t="s">
        <v>1761</v>
      </c>
      <c r="J351" s="0"/>
      <c r="K351" s="0" t="s">
        <v>2991</v>
      </c>
      <c r="L351" s="0" t="s">
        <v>2992</v>
      </c>
    </row>
    <row r="352">
      <c r="A352" s="0" t="s">
        <v>46</v>
      </c>
      <c r="B352" s="0" t="s">
        <v>312</v>
      </c>
      <c r="C352" s="0"/>
      <c r="D352" s="0">
        <v>16.5</v>
      </c>
      <c r="E352" s="0"/>
      <c r="F352" s="0" t="s">
        <v>836</v>
      </c>
      <c r="G352" s="0"/>
      <c r="H352" s="0" t="s">
        <v>2832</v>
      </c>
      <c r="I352" s="0" t="s">
        <v>1761</v>
      </c>
      <c r="J352" s="0"/>
      <c r="K352" s="0" t="s">
        <v>2991</v>
      </c>
      <c r="L352" s="0" t="s">
        <v>2992</v>
      </c>
    </row>
    <row r="353">
      <c r="A353" s="0" t="s">
        <v>46</v>
      </c>
      <c r="B353" s="0" t="s">
        <v>312</v>
      </c>
      <c r="C353" s="0"/>
      <c r="D353" s="0">
        <v>42.600000000000001</v>
      </c>
      <c r="E353" s="0"/>
      <c r="F353" s="0" t="s">
        <v>2417</v>
      </c>
      <c r="G353" s="0"/>
      <c r="H353" s="0" t="s">
        <v>2833</v>
      </c>
      <c r="I353" s="0" t="s">
        <v>1761</v>
      </c>
      <c r="J353" s="0"/>
      <c r="K353" s="0" t="s">
        <v>2991</v>
      </c>
      <c r="L353" s="0" t="s">
        <v>2992</v>
      </c>
    </row>
    <row r="354">
      <c r="A354" s="0" t="s">
        <v>46</v>
      </c>
      <c r="B354" s="0" t="s">
        <v>313</v>
      </c>
      <c r="C354" s="0"/>
      <c r="D354" s="0">
        <v>2920</v>
      </c>
      <c r="E354" s="0"/>
      <c r="F354" s="0" t="s">
        <v>2418</v>
      </c>
      <c r="G354" s="0"/>
      <c r="H354" s="0"/>
      <c r="I354" s="0" t="s">
        <v>884</v>
      </c>
      <c r="J354" s="0"/>
      <c r="K354" s="0" t="s">
        <v>2991</v>
      </c>
      <c r="L354" s="0" t="s">
        <v>2992</v>
      </c>
    </row>
    <row r="355">
      <c r="A355" s="0" t="s">
        <v>46</v>
      </c>
      <c r="B355" s="0" t="s">
        <v>316</v>
      </c>
      <c r="C355" s="0"/>
      <c r="D355" s="0">
        <v>567</v>
      </c>
      <c r="E355" s="0"/>
      <c r="F355" s="0" t="s">
        <v>2419</v>
      </c>
      <c r="G355" s="0"/>
      <c r="H355" s="0"/>
      <c r="I355" s="0" t="s">
        <v>1729</v>
      </c>
      <c r="J355" s="0"/>
      <c r="K355" s="0" t="s">
        <v>2991</v>
      </c>
      <c r="L355" s="0" t="s">
        <v>2992</v>
      </c>
    </row>
    <row r="356">
      <c r="A356" s="0" t="s">
        <v>46</v>
      </c>
      <c r="B356" s="0" t="s">
        <v>316</v>
      </c>
      <c r="C356" s="0"/>
      <c r="D356" s="0">
        <v>2807</v>
      </c>
      <c r="E356" s="0"/>
      <c r="F356" s="0" t="s">
        <v>2420</v>
      </c>
      <c r="G356" s="0"/>
      <c r="H356" s="0"/>
      <c r="I356" s="0" t="s">
        <v>1726</v>
      </c>
      <c r="J356" s="0"/>
      <c r="K356" s="0" t="s">
        <v>2991</v>
      </c>
      <c r="L356" s="0" t="s">
        <v>2992</v>
      </c>
    </row>
    <row r="357">
      <c r="A357" s="0" t="s">
        <v>46</v>
      </c>
      <c r="B357" s="0" t="s">
        <v>317</v>
      </c>
      <c r="C357" s="0"/>
      <c r="D357" s="0">
        <v>143</v>
      </c>
      <c r="E357" s="0"/>
      <c r="F357" s="0" t="s">
        <v>2421</v>
      </c>
      <c r="G357" s="0"/>
      <c r="H357" s="0"/>
      <c r="I357" s="0" t="s">
        <v>827</v>
      </c>
      <c r="J357" s="0"/>
      <c r="K357" s="0" t="s">
        <v>2991</v>
      </c>
      <c r="L357" s="0" t="s">
        <v>2992</v>
      </c>
    </row>
    <row r="358">
      <c r="A358" s="0" t="s">
        <v>46</v>
      </c>
      <c r="B358" s="0" t="s">
        <v>321</v>
      </c>
      <c r="C358" s="0"/>
      <c r="D358" s="0">
        <v>295</v>
      </c>
      <c r="E358" s="0"/>
      <c r="F358" s="0" t="s">
        <v>1672</v>
      </c>
      <c r="G358" s="0"/>
      <c r="H358" s="0" t="s">
        <v>2834</v>
      </c>
      <c r="I358" s="0" t="s">
        <v>1697</v>
      </c>
      <c r="J358" s="0"/>
      <c r="K358" s="0" t="s">
        <v>2991</v>
      </c>
      <c r="L358" s="0" t="s">
        <v>2992</v>
      </c>
    </row>
    <row r="359">
      <c r="A359" s="0" t="s">
        <v>46</v>
      </c>
      <c r="B359" s="0" t="s">
        <v>2171</v>
      </c>
      <c r="C359" s="0"/>
      <c r="D359" s="0">
        <v>3.7999999999999998</v>
      </c>
      <c r="E359" s="0"/>
      <c r="F359" s="0" t="s">
        <v>833</v>
      </c>
      <c r="G359" s="0"/>
      <c r="H359" s="0" t="s">
        <v>2835</v>
      </c>
      <c r="I359" s="0" t="s">
        <v>1740</v>
      </c>
      <c r="J359" s="0"/>
      <c r="K359" s="0" t="s">
        <v>2991</v>
      </c>
      <c r="L359" s="0" t="s">
        <v>2992</v>
      </c>
    </row>
    <row r="360">
      <c r="A360" s="0" t="s">
        <v>46</v>
      </c>
      <c r="B360" s="0" t="s">
        <v>323</v>
      </c>
      <c r="C360" s="0"/>
      <c r="D360" s="0">
        <v>209</v>
      </c>
      <c r="E360" s="0"/>
      <c r="F360" s="0" t="s">
        <v>2422</v>
      </c>
      <c r="G360" s="0"/>
      <c r="H360" s="0" t="s">
        <v>2836</v>
      </c>
      <c r="I360" s="0" t="s">
        <v>1767</v>
      </c>
      <c r="J360" s="0"/>
      <c r="K360" s="0" t="s">
        <v>2991</v>
      </c>
      <c r="L360" s="0" t="s">
        <v>2992</v>
      </c>
    </row>
    <row r="361">
      <c r="A361" s="0" t="s">
        <v>46</v>
      </c>
      <c r="B361" s="0" t="s">
        <v>324</v>
      </c>
      <c r="C361" s="0"/>
      <c r="D361" s="0">
        <v>650</v>
      </c>
      <c r="E361" s="0"/>
      <c r="F361" s="0" t="s">
        <v>2314</v>
      </c>
      <c r="G361" s="0"/>
      <c r="H361" s="0" t="s">
        <v>2837</v>
      </c>
      <c r="I361" s="0" t="s">
        <v>705</v>
      </c>
      <c r="J361" s="0"/>
      <c r="K361" s="0" t="s">
        <v>2991</v>
      </c>
      <c r="L361" s="0" t="s">
        <v>2992</v>
      </c>
    </row>
    <row r="362">
      <c r="A362" s="0" t="s">
        <v>46</v>
      </c>
      <c r="B362" s="0" t="s">
        <v>325</v>
      </c>
      <c r="C362" s="0"/>
      <c r="D362" s="0">
        <v>2044</v>
      </c>
      <c r="E362" s="0"/>
      <c r="F362" s="0" t="s">
        <v>2423</v>
      </c>
      <c r="G362" s="0"/>
      <c r="H362" s="0"/>
      <c r="I362" s="0" t="s">
        <v>1768</v>
      </c>
      <c r="J362" s="0"/>
      <c r="K362" s="0" t="s">
        <v>2991</v>
      </c>
      <c r="L362" s="0" t="s">
        <v>2992</v>
      </c>
    </row>
    <row r="363">
      <c r="A363" s="0" t="s">
        <v>46</v>
      </c>
      <c r="B363" s="0" t="s">
        <v>327</v>
      </c>
      <c r="C363" s="0"/>
      <c r="D363" s="0">
        <v>191</v>
      </c>
      <c r="E363" s="0"/>
      <c r="F363" s="0" t="s">
        <v>2424</v>
      </c>
      <c r="G363" s="0"/>
      <c r="H363" s="0"/>
      <c r="I363" s="0" t="s">
        <v>1770</v>
      </c>
      <c r="J363" s="0"/>
      <c r="K363" s="0" t="s">
        <v>2991</v>
      </c>
      <c r="L363" s="0" t="s">
        <v>2992</v>
      </c>
    </row>
    <row r="364">
      <c r="A364" s="0" t="s">
        <v>46</v>
      </c>
      <c r="B364" s="0" t="s">
        <v>297</v>
      </c>
      <c r="C364" s="0"/>
      <c r="D364" s="0">
        <v>61.799999999999997</v>
      </c>
      <c r="E364" s="0"/>
      <c r="F364" s="0" t="s">
        <v>2425</v>
      </c>
      <c r="G364" s="0"/>
      <c r="H364" s="0" t="s">
        <v>2838</v>
      </c>
      <c r="I364" s="0" t="s">
        <v>1730</v>
      </c>
      <c r="J364" s="0"/>
      <c r="K364" s="0" t="s">
        <v>2991</v>
      </c>
      <c r="L364" s="0" t="s">
        <v>2992</v>
      </c>
    </row>
    <row r="365">
      <c r="A365" s="0" t="s">
        <v>46</v>
      </c>
      <c r="B365" s="0" t="s">
        <v>307</v>
      </c>
      <c r="C365" s="0"/>
      <c r="D365" s="0">
        <v>133</v>
      </c>
      <c r="E365" s="0"/>
      <c r="F365" s="0" t="s">
        <v>2426</v>
      </c>
      <c r="G365" s="0"/>
      <c r="H365" s="0"/>
      <c r="I365" s="0" t="s">
        <v>637</v>
      </c>
      <c r="J365" s="0"/>
      <c r="K365" s="0" t="s">
        <v>2991</v>
      </c>
      <c r="L365" s="0" t="s">
        <v>2992</v>
      </c>
    </row>
    <row r="366">
      <c r="A366" s="0" t="s">
        <v>46</v>
      </c>
      <c r="B366" s="0" t="s">
        <v>307</v>
      </c>
      <c r="C366" s="0"/>
      <c r="D366" s="0">
        <v>-999</v>
      </c>
      <c r="E366" s="0"/>
      <c r="F366" s="0" t="s">
        <v>673</v>
      </c>
      <c r="G366" s="0"/>
      <c r="H366" s="0" t="s">
        <v>2839</v>
      </c>
      <c r="I366" s="0" t="s">
        <v>1766</v>
      </c>
      <c r="J366" s="0"/>
      <c r="K366" s="0" t="s">
        <v>2991</v>
      </c>
      <c r="L366" s="0" t="s">
        <v>2992</v>
      </c>
    </row>
    <row r="367">
      <c r="A367" s="0" t="s">
        <v>46</v>
      </c>
      <c r="B367" s="0" t="s">
        <v>331</v>
      </c>
      <c r="C367" s="0"/>
      <c r="D367" s="0">
        <v>10500</v>
      </c>
      <c r="E367" s="0"/>
      <c r="F367" s="0" t="s">
        <v>2427</v>
      </c>
      <c r="G367" s="0"/>
      <c r="H367" s="0" t="s">
        <v>2840</v>
      </c>
      <c r="I367" s="0" t="s">
        <v>1735</v>
      </c>
      <c r="J367" s="0"/>
      <c r="K367" s="0" t="s">
        <v>2991</v>
      </c>
      <c r="L367" s="0" t="s">
        <v>2992</v>
      </c>
    </row>
    <row r="368">
      <c r="A368" s="0" t="s">
        <v>46</v>
      </c>
      <c r="B368" s="0" t="s">
        <v>331</v>
      </c>
      <c r="C368" s="0"/>
      <c r="D368" s="0">
        <v>3708</v>
      </c>
      <c r="E368" s="0"/>
      <c r="F368" s="0" t="s">
        <v>2428</v>
      </c>
      <c r="G368" s="0"/>
      <c r="H368" s="0" t="s">
        <v>2841</v>
      </c>
      <c r="I368" s="0" t="s">
        <v>1735</v>
      </c>
      <c r="J368" s="0"/>
      <c r="K368" s="0" t="s">
        <v>2991</v>
      </c>
      <c r="L368" s="0" t="s">
        <v>2992</v>
      </c>
    </row>
    <row r="369">
      <c r="A369" s="0" t="s">
        <v>46</v>
      </c>
      <c r="B369" s="0" t="s">
        <v>332</v>
      </c>
      <c r="C369" s="0"/>
      <c r="D369" s="0">
        <v>1414</v>
      </c>
      <c r="E369" s="0"/>
      <c r="F369" s="0" t="s">
        <v>2429</v>
      </c>
      <c r="G369" s="0"/>
      <c r="H369" s="0" t="s">
        <v>2842</v>
      </c>
      <c r="I369" s="0" t="s">
        <v>1777</v>
      </c>
      <c r="J369" s="0"/>
      <c r="K369" s="0" t="s">
        <v>2991</v>
      </c>
      <c r="L369" s="0" t="s">
        <v>2992</v>
      </c>
    </row>
    <row r="370">
      <c r="A370" s="0" t="s">
        <v>46</v>
      </c>
      <c r="B370" s="0" t="s">
        <v>2172</v>
      </c>
      <c r="C370" s="0"/>
      <c r="D370" s="0">
        <v>161</v>
      </c>
      <c r="E370" s="0"/>
      <c r="F370" s="0" t="s">
        <v>2430</v>
      </c>
      <c r="G370" s="0"/>
      <c r="H370" s="0" t="s">
        <v>2843</v>
      </c>
      <c r="I370" s="0" t="s">
        <v>2985</v>
      </c>
      <c r="J370" s="0"/>
      <c r="K370" s="0" t="s">
        <v>2991</v>
      </c>
      <c r="L370" s="0" t="s">
        <v>2992</v>
      </c>
    </row>
    <row r="371">
      <c r="A371" s="0" t="s">
        <v>46</v>
      </c>
      <c r="B371" s="0" t="s">
        <v>2172</v>
      </c>
      <c r="C371" s="0"/>
      <c r="D371" s="0">
        <v>438</v>
      </c>
      <c r="E371" s="0"/>
      <c r="F371" s="0" t="s">
        <v>2431</v>
      </c>
      <c r="G371" s="0"/>
      <c r="H371" s="0" t="s">
        <v>2844</v>
      </c>
      <c r="I371" s="0" t="s">
        <v>2985</v>
      </c>
      <c r="J371" s="0"/>
      <c r="K371" s="0" t="s">
        <v>2991</v>
      </c>
      <c r="L371" s="0" t="s">
        <v>2992</v>
      </c>
    </row>
    <row r="372">
      <c r="A372" s="0" t="s">
        <v>46</v>
      </c>
      <c r="B372" s="0" t="s">
        <v>2173</v>
      </c>
      <c r="C372" s="0"/>
      <c r="D372" s="0">
        <v>66</v>
      </c>
      <c r="E372" s="0"/>
      <c r="F372" s="0" t="s">
        <v>1685</v>
      </c>
      <c r="G372" s="0"/>
      <c r="H372" s="0" t="s">
        <v>2845</v>
      </c>
      <c r="I372" s="0" t="s">
        <v>2986</v>
      </c>
      <c r="J372" s="0"/>
      <c r="K372" s="0" t="s">
        <v>2991</v>
      </c>
      <c r="L372" s="0" t="s">
        <v>2992</v>
      </c>
    </row>
    <row r="373">
      <c r="A373" s="0" t="s">
        <v>46</v>
      </c>
      <c r="B373" s="0" t="s">
        <v>2173</v>
      </c>
      <c r="C373" s="0"/>
      <c r="D373" s="0">
        <v>104</v>
      </c>
      <c r="E373" s="0"/>
      <c r="F373" s="0" t="s">
        <v>2432</v>
      </c>
      <c r="G373" s="0"/>
      <c r="H373" s="0" t="s">
        <v>2846</v>
      </c>
      <c r="I373" s="0" t="s">
        <v>2986</v>
      </c>
      <c r="J373" s="0"/>
      <c r="K373" s="0" t="s">
        <v>2991</v>
      </c>
      <c r="L373" s="0" t="s">
        <v>2992</v>
      </c>
    </row>
    <row r="374">
      <c r="A374" s="0" t="s">
        <v>46</v>
      </c>
      <c r="B374" s="0" t="s">
        <v>339</v>
      </c>
      <c r="C374" s="0"/>
      <c r="D374" s="0">
        <v>28.199999999999999</v>
      </c>
      <c r="E374" s="0"/>
      <c r="F374" s="0" t="s">
        <v>2433</v>
      </c>
      <c r="G374" s="0"/>
      <c r="H374" s="0" t="s">
        <v>2847</v>
      </c>
      <c r="I374" s="0" t="s">
        <v>1783</v>
      </c>
      <c r="J374" s="0"/>
      <c r="K374" s="0" t="s">
        <v>2991</v>
      </c>
      <c r="L374" s="0" t="s">
        <v>2992</v>
      </c>
    </row>
    <row r="375">
      <c r="A375" s="0" t="s">
        <v>46</v>
      </c>
      <c r="B375" s="0" t="s">
        <v>339</v>
      </c>
      <c r="C375" s="0"/>
      <c r="D375" s="0">
        <v>49.5</v>
      </c>
      <c r="E375" s="0"/>
      <c r="F375" s="0" t="s">
        <v>2434</v>
      </c>
      <c r="G375" s="0"/>
      <c r="H375" s="0" t="s">
        <v>2848</v>
      </c>
      <c r="I375" s="0" t="s">
        <v>1783</v>
      </c>
      <c r="J375" s="0"/>
      <c r="K375" s="0" t="s">
        <v>2991</v>
      </c>
      <c r="L375" s="0" t="s">
        <v>2992</v>
      </c>
    </row>
    <row r="376">
      <c r="A376" s="0" t="s">
        <v>46</v>
      </c>
      <c r="B376" s="0" t="s">
        <v>341</v>
      </c>
      <c r="C376" s="0"/>
      <c r="D376" s="0">
        <v>587</v>
      </c>
      <c r="E376" s="0"/>
      <c r="F376" s="0" t="s">
        <v>2435</v>
      </c>
      <c r="G376" s="0"/>
      <c r="H376" s="0"/>
      <c r="I376" s="0" t="s">
        <v>907</v>
      </c>
      <c r="J376" s="0"/>
      <c r="K376" s="0" t="s">
        <v>2991</v>
      </c>
      <c r="L376" s="0" t="s">
        <v>2992</v>
      </c>
    </row>
    <row r="377">
      <c r="A377" s="0" t="s">
        <v>47</v>
      </c>
      <c r="B377" s="0" t="s">
        <v>345</v>
      </c>
      <c r="C377" s="0"/>
      <c r="D377" s="0">
        <v>0.017999999999999999</v>
      </c>
      <c r="E377" s="0"/>
      <c r="F377" s="0" t="s">
        <v>2436</v>
      </c>
      <c r="G377" s="0"/>
      <c r="H377" s="0"/>
      <c r="I377" s="0" t="s">
        <v>694</v>
      </c>
      <c r="J377" s="0"/>
      <c r="K377" s="0" t="s">
        <v>2991</v>
      </c>
      <c r="L377" s="0" t="s">
        <v>2992</v>
      </c>
    </row>
    <row r="378">
      <c r="A378" s="0" t="s">
        <v>47</v>
      </c>
      <c r="B378" s="0" t="s">
        <v>241</v>
      </c>
      <c r="C378" s="0"/>
      <c r="D378" s="0">
        <v>5.2999999999999998</v>
      </c>
      <c r="E378" s="0"/>
      <c r="F378" s="0" t="s">
        <v>2026</v>
      </c>
      <c r="G378" s="0"/>
      <c r="H378" s="0" t="s">
        <v>2849</v>
      </c>
      <c r="I378" s="0" t="s">
        <v>1729</v>
      </c>
      <c r="J378" s="0"/>
      <c r="K378" s="0" t="s">
        <v>2991</v>
      </c>
      <c r="L378" s="0" t="s">
        <v>2992</v>
      </c>
    </row>
    <row r="379">
      <c r="A379" s="0" t="s">
        <v>47</v>
      </c>
      <c r="B379" s="0" t="s">
        <v>241</v>
      </c>
      <c r="C379" s="0"/>
      <c r="D379" s="0">
        <v>17.300000000000001</v>
      </c>
      <c r="E379" s="0"/>
      <c r="F379" s="0" t="s">
        <v>2437</v>
      </c>
      <c r="G379" s="0"/>
      <c r="H379" s="0" t="s">
        <v>2850</v>
      </c>
      <c r="I379" s="0" t="s">
        <v>1729</v>
      </c>
      <c r="J379" s="0"/>
      <c r="K379" s="0" t="s">
        <v>2991</v>
      </c>
      <c r="L379" s="0" t="s">
        <v>2992</v>
      </c>
    </row>
    <row r="380">
      <c r="A380" s="0" t="s">
        <v>47</v>
      </c>
      <c r="B380" s="0" t="s">
        <v>2174</v>
      </c>
      <c r="C380" s="0"/>
      <c r="D380" s="0">
        <v>-999</v>
      </c>
      <c r="E380" s="0"/>
      <c r="F380" s="0" t="s">
        <v>673</v>
      </c>
      <c r="G380" s="0"/>
      <c r="H380" s="0" t="s">
        <v>2851</v>
      </c>
      <c r="I380" s="0" t="s">
        <v>643</v>
      </c>
      <c r="J380" s="0"/>
      <c r="K380" s="0" t="s">
        <v>2991</v>
      </c>
      <c r="L380" s="0" t="s">
        <v>2992</v>
      </c>
    </row>
    <row r="381">
      <c r="A381" s="0" t="s">
        <v>47</v>
      </c>
      <c r="B381" s="0" t="s">
        <v>306</v>
      </c>
      <c r="C381" s="0"/>
      <c r="D381" s="0">
        <v>3</v>
      </c>
      <c r="E381" s="0"/>
      <c r="F381" s="0" t="s">
        <v>828</v>
      </c>
      <c r="G381" s="0"/>
      <c r="H381" s="0"/>
      <c r="I381" s="0" t="s">
        <v>1790</v>
      </c>
      <c r="J381" s="0"/>
      <c r="K381" s="0" t="s">
        <v>2991</v>
      </c>
      <c r="L381" s="0" t="s">
        <v>2992</v>
      </c>
    </row>
    <row r="382">
      <c r="A382" s="0" t="s">
        <v>47</v>
      </c>
      <c r="B382" s="0" t="s">
        <v>348</v>
      </c>
      <c r="C382" s="0"/>
      <c r="D382" s="0">
        <v>58</v>
      </c>
      <c r="E382" s="0"/>
      <c r="F382" s="0" t="s">
        <v>2438</v>
      </c>
      <c r="G382" s="0"/>
      <c r="H382" s="0" t="s">
        <v>2852</v>
      </c>
      <c r="I382" s="0" t="s">
        <v>1742</v>
      </c>
      <c r="J382" s="0"/>
      <c r="K382" s="0" t="s">
        <v>2991</v>
      </c>
      <c r="L382" s="0" t="s">
        <v>2992</v>
      </c>
    </row>
    <row r="383">
      <c r="A383" s="0" t="s">
        <v>47</v>
      </c>
      <c r="B383" s="0" t="s">
        <v>348</v>
      </c>
      <c r="C383" s="0"/>
      <c r="D383" s="0">
        <v>28</v>
      </c>
      <c r="E383" s="0"/>
      <c r="F383" s="0" t="s">
        <v>637</v>
      </c>
      <c r="G383" s="0"/>
      <c r="H383" s="0" t="s">
        <v>2853</v>
      </c>
      <c r="I383" s="0" t="s">
        <v>1742</v>
      </c>
      <c r="J383" s="0"/>
      <c r="K383" s="0" t="s">
        <v>2991</v>
      </c>
      <c r="L383" s="0" t="s">
        <v>2992</v>
      </c>
    </row>
    <row r="384">
      <c r="A384" s="0" t="s">
        <v>47</v>
      </c>
      <c r="B384" s="0" t="s">
        <v>349</v>
      </c>
      <c r="C384" s="0"/>
      <c r="D384" s="0">
        <v>323</v>
      </c>
      <c r="E384" s="0"/>
      <c r="F384" s="0" t="s">
        <v>2439</v>
      </c>
      <c r="G384" s="0"/>
      <c r="H384" s="0" t="s">
        <v>2854</v>
      </c>
      <c r="I384" s="0" t="s">
        <v>1792</v>
      </c>
      <c r="J384" s="0"/>
      <c r="K384" s="0" t="s">
        <v>2991</v>
      </c>
      <c r="L384" s="0" t="s">
        <v>2992</v>
      </c>
    </row>
    <row r="385">
      <c r="A385" s="0" t="s">
        <v>47</v>
      </c>
      <c r="B385" s="0" t="s">
        <v>349</v>
      </c>
      <c r="C385" s="0"/>
      <c r="D385" s="0">
        <v>26</v>
      </c>
      <c r="E385" s="0"/>
      <c r="F385" s="0" t="s">
        <v>1729</v>
      </c>
      <c r="G385" s="0"/>
      <c r="H385" s="0" t="s">
        <v>2855</v>
      </c>
      <c r="I385" s="0" t="s">
        <v>1792</v>
      </c>
      <c r="J385" s="0"/>
      <c r="K385" s="0" t="s">
        <v>2991</v>
      </c>
      <c r="L385" s="0" t="s">
        <v>2992</v>
      </c>
    </row>
    <row r="386">
      <c r="A386" s="0" t="s">
        <v>47</v>
      </c>
      <c r="B386" s="0" t="s">
        <v>349</v>
      </c>
      <c r="C386" s="0"/>
      <c r="D386" s="0">
        <v>2842</v>
      </c>
      <c r="E386" s="0"/>
      <c r="F386" s="0" t="s">
        <v>2440</v>
      </c>
      <c r="G386" s="0"/>
      <c r="H386" s="0" t="s">
        <v>2855</v>
      </c>
      <c r="I386" s="0" t="s">
        <v>1792</v>
      </c>
      <c r="J386" s="0"/>
      <c r="K386" s="0" t="s">
        <v>2991</v>
      </c>
      <c r="L386" s="0" t="s">
        <v>2992</v>
      </c>
    </row>
    <row r="387">
      <c r="A387" s="0" t="s">
        <v>47</v>
      </c>
      <c r="B387" s="0" t="s">
        <v>251</v>
      </c>
      <c r="C387" s="0"/>
      <c r="D387" s="0">
        <v>0.13</v>
      </c>
      <c r="E387" s="0"/>
      <c r="F387" s="0" t="s">
        <v>793</v>
      </c>
      <c r="G387" s="0"/>
      <c r="H387" s="0"/>
      <c r="I387" s="0" t="s">
        <v>828</v>
      </c>
      <c r="J387" s="0"/>
      <c r="K387" s="0" t="s">
        <v>2991</v>
      </c>
      <c r="L387" s="0" t="s">
        <v>2992</v>
      </c>
    </row>
    <row r="388">
      <c r="A388" s="0" t="s">
        <v>48</v>
      </c>
      <c r="B388" s="0" t="s">
        <v>307</v>
      </c>
      <c r="C388" s="0"/>
      <c r="D388" s="0">
        <v>0.34000000000000002</v>
      </c>
      <c r="E388" s="0"/>
      <c r="F388" s="0" t="s">
        <v>2441</v>
      </c>
      <c r="G388" s="0"/>
      <c r="H388" s="0" t="s">
        <v>2856</v>
      </c>
      <c r="I388" s="0" t="s">
        <v>681</v>
      </c>
      <c r="J388" s="0"/>
      <c r="K388" s="0" t="s">
        <v>2991</v>
      </c>
      <c r="L388" s="0" t="s">
        <v>2992</v>
      </c>
    </row>
    <row r="389">
      <c r="A389" s="0" t="s">
        <v>48</v>
      </c>
      <c r="B389" s="0" t="s">
        <v>307</v>
      </c>
      <c r="C389" s="0"/>
      <c r="D389" s="0">
        <v>7.8600000000000003</v>
      </c>
      <c r="E389" s="0"/>
      <c r="F389" s="0" t="s">
        <v>2442</v>
      </c>
      <c r="G389" s="0"/>
      <c r="H389" s="0" t="s">
        <v>2857</v>
      </c>
      <c r="I389" s="0" t="s">
        <v>681</v>
      </c>
      <c r="J389" s="0"/>
      <c r="K389" s="0" t="s">
        <v>2991</v>
      </c>
      <c r="L389" s="0" t="s">
        <v>2992</v>
      </c>
    </row>
    <row r="390">
      <c r="A390" s="0" t="s">
        <v>48</v>
      </c>
      <c r="B390" s="0" t="s">
        <v>307</v>
      </c>
      <c r="C390" s="0"/>
      <c r="D390" s="0">
        <v>2.6200000000000001</v>
      </c>
      <c r="E390" s="0"/>
      <c r="F390" s="0" t="s">
        <v>2443</v>
      </c>
      <c r="G390" s="0"/>
      <c r="H390" s="0" t="s">
        <v>2858</v>
      </c>
      <c r="I390" s="0" t="s">
        <v>681</v>
      </c>
      <c r="J390" s="0"/>
      <c r="K390" s="0" t="s">
        <v>2991</v>
      </c>
      <c r="L390" s="0" t="s">
        <v>2992</v>
      </c>
    </row>
    <row r="391">
      <c r="A391" s="0" t="s">
        <v>48</v>
      </c>
      <c r="B391" s="0" t="s">
        <v>307</v>
      </c>
      <c r="C391" s="0"/>
      <c r="D391" s="0">
        <v>13.619999999999999</v>
      </c>
      <c r="E391" s="0"/>
      <c r="F391" s="0" t="s">
        <v>2444</v>
      </c>
      <c r="G391" s="0"/>
      <c r="H391" s="0" t="s">
        <v>2859</v>
      </c>
      <c r="I391" s="0" t="s">
        <v>681</v>
      </c>
      <c r="J391" s="0"/>
      <c r="K391" s="0" t="s">
        <v>2991</v>
      </c>
      <c r="L391" s="0" t="s">
        <v>2992</v>
      </c>
    </row>
    <row r="392">
      <c r="A392" s="0" t="s">
        <v>48</v>
      </c>
      <c r="B392" s="0" t="s">
        <v>307</v>
      </c>
      <c r="C392" s="0"/>
      <c r="D392" s="0">
        <v>1.3100000000000001</v>
      </c>
      <c r="E392" s="0"/>
      <c r="F392" s="0" t="s">
        <v>2445</v>
      </c>
      <c r="G392" s="0"/>
      <c r="H392" s="0"/>
      <c r="I392" s="0" t="s">
        <v>805</v>
      </c>
      <c r="J392" s="0"/>
      <c r="K392" s="0" t="s">
        <v>2991</v>
      </c>
      <c r="L392" s="0" t="s">
        <v>2992</v>
      </c>
    </row>
    <row r="393">
      <c r="A393" s="0" t="s">
        <v>48</v>
      </c>
      <c r="B393" s="0" t="s">
        <v>307</v>
      </c>
      <c r="C393" s="0"/>
      <c r="D393" s="0">
        <v>39</v>
      </c>
      <c r="E393" s="0"/>
      <c r="F393" s="0" t="s">
        <v>1770</v>
      </c>
      <c r="G393" s="0"/>
      <c r="H393" s="0"/>
      <c r="I393" s="0" t="s">
        <v>2987</v>
      </c>
      <c r="J393" s="0"/>
      <c r="K393" s="0" t="s">
        <v>2991</v>
      </c>
      <c r="L393" s="0" t="s">
        <v>2992</v>
      </c>
    </row>
    <row r="394">
      <c r="A394" s="0" t="s">
        <v>48</v>
      </c>
      <c r="B394" s="0" t="s">
        <v>307</v>
      </c>
      <c r="C394" s="0"/>
      <c r="D394" s="0">
        <v>33</v>
      </c>
      <c r="E394" s="0"/>
      <c r="F394" s="0" t="s">
        <v>1767</v>
      </c>
      <c r="G394" s="0"/>
      <c r="H394" s="0"/>
      <c r="I394" s="0" t="s">
        <v>776</v>
      </c>
      <c r="J394" s="0"/>
      <c r="K394" s="0" t="s">
        <v>2991</v>
      </c>
      <c r="L394" s="0" t="s">
        <v>2992</v>
      </c>
    </row>
    <row r="395">
      <c r="A395" s="0" t="s">
        <v>49</v>
      </c>
      <c r="B395" s="0" t="s">
        <v>353</v>
      </c>
      <c r="C395" s="0"/>
      <c r="D395" s="0">
        <v>10.73</v>
      </c>
      <c r="E395" s="0"/>
      <c r="F395" s="0" t="s">
        <v>2446</v>
      </c>
      <c r="G395" s="0"/>
      <c r="H395" s="0" t="s">
        <v>1471</v>
      </c>
      <c r="I395" s="0" t="s">
        <v>1794</v>
      </c>
      <c r="J395" s="0"/>
      <c r="K395" s="0" t="s">
        <v>2991</v>
      </c>
      <c r="L395" s="0" t="s">
        <v>2992</v>
      </c>
    </row>
    <row r="396">
      <c r="A396" s="0" t="s">
        <v>49</v>
      </c>
      <c r="B396" s="0" t="s">
        <v>358</v>
      </c>
      <c r="C396" s="0"/>
      <c r="D396" s="0">
        <v>1.3</v>
      </c>
      <c r="E396" s="0"/>
      <c r="F396" s="0" t="s">
        <v>692</v>
      </c>
      <c r="G396" s="0"/>
      <c r="H396" s="0" t="s">
        <v>1474</v>
      </c>
      <c r="I396" s="0" t="s">
        <v>1795</v>
      </c>
      <c r="J396" s="0"/>
      <c r="K396" s="0" t="s">
        <v>2991</v>
      </c>
      <c r="L396" s="0" t="s">
        <v>2992</v>
      </c>
    </row>
    <row r="397">
      <c r="A397" s="0" t="s">
        <v>49</v>
      </c>
      <c r="B397" s="0" t="s">
        <v>147</v>
      </c>
      <c r="C397" s="0"/>
      <c r="D397" s="0">
        <v>-999</v>
      </c>
      <c r="E397" s="0"/>
      <c r="F397" s="0" t="s">
        <v>673</v>
      </c>
      <c r="G397" s="0"/>
      <c r="H397" s="0"/>
      <c r="I397" s="0" t="s">
        <v>2988</v>
      </c>
      <c r="J397" s="0"/>
      <c r="K397" s="0" t="s">
        <v>2991</v>
      </c>
      <c r="L397" s="0" t="s">
        <v>2992</v>
      </c>
    </row>
    <row r="398">
      <c r="A398" s="0" t="s">
        <v>49</v>
      </c>
      <c r="B398" s="0" t="s">
        <v>352</v>
      </c>
      <c r="C398" s="0"/>
      <c r="D398" s="0">
        <v>1.3979999999999999</v>
      </c>
      <c r="E398" s="0"/>
      <c r="F398" s="0" t="s">
        <v>2447</v>
      </c>
      <c r="G398" s="0"/>
      <c r="H398" s="0" t="s">
        <v>2860</v>
      </c>
      <c r="I398" s="0" t="s">
        <v>805</v>
      </c>
      <c r="J398" s="0"/>
      <c r="K398" s="0" t="s">
        <v>2991</v>
      </c>
      <c r="L398" s="0" t="s">
        <v>2992</v>
      </c>
    </row>
    <row r="399">
      <c r="A399" s="0" t="s">
        <v>50</v>
      </c>
      <c r="B399" s="0" t="s">
        <v>2175</v>
      </c>
      <c r="C399" s="0"/>
      <c r="D399" s="0">
        <v>-999</v>
      </c>
      <c r="E399" s="0"/>
      <c r="F399" s="0" t="s">
        <v>673</v>
      </c>
      <c r="G399" s="0"/>
      <c r="H399" s="0" t="s">
        <v>2861</v>
      </c>
      <c r="I399" s="0" t="s">
        <v>1043</v>
      </c>
      <c r="J399" s="0"/>
      <c r="K399" s="0" t="s">
        <v>2991</v>
      </c>
      <c r="L399" s="0" t="s">
        <v>2992</v>
      </c>
    </row>
    <row r="400">
      <c r="A400" s="0" t="s">
        <v>51</v>
      </c>
      <c r="B400" s="0" t="s">
        <v>363</v>
      </c>
      <c r="C400" s="0"/>
      <c r="D400" s="0">
        <v>0.027</v>
      </c>
      <c r="E400" s="0"/>
      <c r="F400" s="0" t="s">
        <v>2448</v>
      </c>
      <c r="G400" s="0"/>
      <c r="H400" s="0"/>
      <c r="I400" s="0" t="s">
        <v>1794</v>
      </c>
      <c r="J400" s="0"/>
      <c r="K400" s="0" t="s">
        <v>2991</v>
      </c>
      <c r="L400" s="0" t="s">
        <v>2992</v>
      </c>
    </row>
    <row r="401">
      <c r="A401" s="0" t="s">
        <v>51</v>
      </c>
      <c r="B401" s="0" t="s">
        <v>306</v>
      </c>
      <c r="C401" s="0"/>
      <c r="D401" s="0">
        <v>0.012999999999999999</v>
      </c>
      <c r="E401" s="0"/>
      <c r="F401" s="0" t="s">
        <v>1029</v>
      </c>
      <c r="G401" s="0"/>
      <c r="H401" s="0" t="s">
        <v>2862</v>
      </c>
      <c r="I401" s="0" t="s">
        <v>1756</v>
      </c>
      <c r="J401" s="0"/>
      <c r="K401" s="0" t="s">
        <v>2991</v>
      </c>
      <c r="L401" s="0" t="s">
        <v>2992</v>
      </c>
    </row>
    <row r="402">
      <c r="A402" s="0" t="s">
        <v>51</v>
      </c>
      <c r="B402" s="0" t="s">
        <v>306</v>
      </c>
      <c r="C402" s="0"/>
      <c r="D402" s="0">
        <v>0.0085000000000000006</v>
      </c>
      <c r="E402" s="0"/>
      <c r="F402" s="0" t="s">
        <v>2449</v>
      </c>
      <c r="G402" s="0"/>
      <c r="H402" s="0" t="s">
        <v>2863</v>
      </c>
      <c r="I402" s="0" t="s">
        <v>1756</v>
      </c>
      <c r="J402" s="0"/>
      <c r="K402" s="0" t="s">
        <v>2991</v>
      </c>
      <c r="L402" s="0" t="s">
        <v>2992</v>
      </c>
    </row>
    <row r="403">
      <c r="A403" s="0" t="s">
        <v>51</v>
      </c>
      <c r="B403" s="0" t="s">
        <v>359</v>
      </c>
      <c r="C403" s="0"/>
      <c r="D403" s="0">
        <v>0.189</v>
      </c>
      <c r="E403" s="0"/>
      <c r="F403" s="0" t="s">
        <v>2450</v>
      </c>
      <c r="G403" s="0"/>
      <c r="H403" s="0" t="s">
        <v>2864</v>
      </c>
      <c r="I403" s="0" t="s">
        <v>595</v>
      </c>
      <c r="J403" s="0"/>
      <c r="K403" s="0" t="s">
        <v>2991</v>
      </c>
      <c r="L403" s="0" t="s">
        <v>2992</v>
      </c>
    </row>
    <row r="404">
      <c r="A404" s="0" t="s">
        <v>52</v>
      </c>
      <c r="B404" s="0" t="s">
        <v>286</v>
      </c>
      <c r="C404" s="0"/>
      <c r="D404" s="0">
        <v>4.3799999999999999</v>
      </c>
      <c r="E404" s="0"/>
      <c r="F404" s="0" t="s">
        <v>2451</v>
      </c>
      <c r="G404" s="0"/>
      <c r="H404" s="0"/>
      <c r="I404" s="0" t="s">
        <v>1756</v>
      </c>
      <c r="J404" s="0"/>
      <c r="K404" s="0" t="s">
        <v>2991</v>
      </c>
      <c r="L404" s="0" t="s">
        <v>2992</v>
      </c>
    </row>
    <row r="405">
      <c r="A405" s="0" t="s">
        <v>52</v>
      </c>
      <c r="B405" s="0" t="s">
        <v>286</v>
      </c>
      <c r="C405" s="0"/>
      <c r="D405" s="0">
        <v>1.1299999999999999</v>
      </c>
      <c r="E405" s="0"/>
      <c r="F405" s="0" t="s">
        <v>2452</v>
      </c>
      <c r="G405" s="0"/>
      <c r="H405" s="0" t="s">
        <v>2865</v>
      </c>
      <c r="I405" s="0" t="s">
        <v>776</v>
      </c>
      <c r="J405" s="0"/>
      <c r="K405" s="0" t="s">
        <v>2991</v>
      </c>
      <c r="L405" s="0" t="s">
        <v>2992</v>
      </c>
    </row>
    <row r="406">
      <c r="A406" s="0" t="s">
        <v>52</v>
      </c>
      <c r="B406" s="0" t="s">
        <v>286</v>
      </c>
      <c r="C406" s="0"/>
      <c r="D406" s="0">
        <v>6.5049999999999999</v>
      </c>
      <c r="E406" s="0"/>
      <c r="F406" s="0" t="s">
        <v>2453</v>
      </c>
      <c r="G406" s="0"/>
      <c r="H406" s="0"/>
      <c r="I406" s="0" t="s">
        <v>607</v>
      </c>
      <c r="J406" s="0"/>
      <c r="K406" s="0" t="s">
        <v>2991</v>
      </c>
      <c r="L406" s="0" t="s">
        <v>2992</v>
      </c>
    </row>
    <row r="407">
      <c r="A407" s="0" t="s">
        <v>52</v>
      </c>
      <c r="B407" s="0" t="s">
        <v>356</v>
      </c>
      <c r="C407" s="0"/>
      <c r="D407" s="0">
        <v>1.55</v>
      </c>
      <c r="E407" s="0"/>
      <c r="F407" s="0" t="s">
        <v>680</v>
      </c>
      <c r="G407" s="0"/>
      <c r="H407" s="0"/>
      <c r="I407" s="0" t="s">
        <v>644</v>
      </c>
      <c r="J407" s="0"/>
      <c r="K407" s="0" t="s">
        <v>2991</v>
      </c>
      <c r="L407" s="0" t="s">
        <v>2992</v>
      </c>
    </row>
    <row r="408">
      <c r="A408" s="0" t="s">
        <v>53</v>
      </c>
      <c r="B408" s="0" t="s">
        <v>279</v>
      </c>
      <c r="C408" s="0"/>
      <c r="D408" s="0">
        <v>2.1200000000000001</v>
      </c>
      <c r="E408" s="0"/>
      <c r="F408" s="0" t="s">
        <v>2454</v>
      </c>
      <c r="G408" s="0"/>
      <c r="H408" s="0" t="s">
        <v>2866</v>
      </c>
      <c r="I408" s="0" t="s">
        <v>907</v>
      </c>
      <c r="J408" s="0"/>
      <c r="K408" s="0" t="s">
        <v>2991</v>
      </c>
      <c r="L408" s="0" t="s">
        <v>2992</v>
      </c>
    </row>
    <row r="409">
      <c r="A409" s="0" t="s">
        <v>53</v>
      </c>
      <c r="B409" s="0" t="s">
        <v>387</v>
      </c>
      <c r="C409" s="0"/>
      <c r="D409" s="0">
        <v>0.17000000000000001</v>
      </c>
      <c r="E409" s="0"/>
      <c r="F409" s="0" t="s">
        <v>667</v>
      </c>
      <c r="G409" s="0"/>
      <c r="H409" s="0" t="s">
        <v>2867</v>
      </c>
      <c r="I409" s="0" t="s">
        <v>1765</v>
      </c>
      <c r="J409" s="0"/>
      <c r="K409" s="0" t="s">
        <v>2991</v>
      </c>
      <c r="L409" s="0" t="s">
        <v>2992</v>
      </c>
    </row>
    <row r="410">
      <c r="A410" s="0" t="s">
        <v>53</v>
      </c>
      <c r="B410" s="0" t="s">
        <v>387</v>
      </c>
      <c r="C410" s="0"/>
      <c r="D410" s="0">
        <v>0.048000000000000001</v>
      </c>
      <c r="E410" s="0"/>
      <c r="F410" s="0" t="s">
        <v>777</v>
      </c>
      <c r="G410" s="0"/>
      <c r="H410" s="0" t="s">
        <v>2868</v>
      </c>
      <c r="I410" s="0" t="s">
        <v>1765</v>
      </c>
      <c r="J410" s="0"/>
      <c r="K410" s="0" t="s">
        <v>2991</v>
      </c>
      <c r="L410" s="0" t="s">
        <v>2992</v>
      </c>
    </row>
    <row r="411">
      <c r="A411" s="0" t="s">
        <v>53</v>
      </c>
      <c r="B411" s="0" t="s">
        <v>387</v>
      </c>
      <c r="C411" s="0"/>
      <c r="D411" s="0">
        <v>0.25</v>
      </c>
      <c r="E411" s="0"/>
      <c r="F411" s="0" t="s">
        <v>708</v>
      </c>
      <c r="G411" s="0"/>
      <c r="H411" s="0" t="s">
        <v>2869</v>
      </c>
      <c r="I411" s="0" t="s">
        <v>1765</v>
      </c>
      <c r="J411" s="0"/>
      <c r="K411" s="0" t="s">
        <v>2991</v>
      </c>
      <c r="L411" s="0" t="s">
        <v>2992</v>
      </c>
    </row>
    <row r="412">
      <c r="A412" s="0" t="s">
        <v>53</v>
      </c>
      <c r="B412" s="0" t="s">
        <v>387</v>
      </c>
      <c r="C412" s="0"/>
      <c r="D412" s="0">
        <v>0.36499999999999999</v>
      </c>
      <c r="E412" s="0"/>
      <c r="F412" s="0" t="s">
        <v>2455</v>
      </c>
      <c r="G412" s="0"/>
      <c r="H412" s="0" t="s">
        <v>2870</v>
      </c>
      <c r="I412" s="0" t="s">
        <v>1765</v>
      </c>
      <c r="J412" s="0"/>
      <c r="K412" s="0" t="s">
        <v>2991</v>
      </c>
      <c r="L412" s="0" t="s">
        <v>2992</v>
      </c>
    </row>
    <row r="413">
      <c r="A413" s="0" t="s">
        <v>53</v>
      </c>
      <c r="B413" s="0" t="s">
        <v>376</v>
      </c>
      <c r="C413" s="0"/>
      <c r="D413" s="0">
        <v>2.48</v>
      </c>
      <c r="E413" s="0"/>
      <c r="F413" s="0" t="s">
        <v>2456</v>
      </c>
      <c r="G413" s="0"/>
      <c r="H413" s="0" t="s">
        <v>2871</v>
      </c>
      <c r="I413" s="0" t="s">
        <v>805</v>
      </c>
      <c r="J413" s="0"/>
      <c r="K413" s="0" t="s">
        <v>2991</v>
      </c>
      <c r="L413" s="0" t="s">
        <v>2992</v>
      </c>
    </row>
    <row r="414">
      <c r="A414" s="0" t="s">
        <v>53</v>
      </c>
      <c r="B414" s="0" t="s">
        <v>376</v>
      </c>
      <c r="C414" s="0"/>
      <c r="D414" s="0">
        <v>2.46</v>
      </c>
      <c r="E414" s="0"/>
      <c r="F414" s="0" t="s">
        <v>2457</v>
      </c>
      <c r="G414" s="0"/>
      <c r="H414" s="0" t="s">
        <v>2872</v>
      </c>
      <c r="I414" s="0" t="s">
        <v>681</v>
      </c>
      <c r="J414" s="0"/>
      <c r="K414" s="0" t="s">
        <v>2991</v>
      </c>
      <c r="L414" s="0" t="s">
        <v>2992</v>
      </c>
    </row>
    <row r="415">
      <c r="A415" s="0" t="s">
        <v>53</v>
      </c>
      <c r="B415" s="0" t="s">
        <v>279</v>
      </c>
      <c r="C415" s="0"/>
      <c r="D415" s="0">
        <v>2.1160000000000001</v>
      </c>
      <c r="E415" s="0"/>
      <c r="F415" s="0" t="s">
        <v>2458</v>
      </c>
      <c r="G415" s="0"/>
      <c r="H415" s="0"/>
      <c r="I415" s="0" t="s">
        <v>907</v>
      </c>
      <c r="J415" s="0"/>
      <c r="K415" s="0" t="s">
        <v>2991</v>
      </c>
      <c r="L415" s="0" t="s">
        <v>2992</v>
      </c>
    </row>
    <row r="416">
      <c r="A416" s="0" t="s">
        <v>53</v>
      </c>
      <c r="B416" s="0" t="s">
        <v>279</v>
      </c>
      <c r="C416" s="0"/>
      <c r="D416" s="0">
        <v>2.1150000000000002</v>
      </c>
      <c r="E416" s="0"/>
      <c r="F416" s="0" t="s">
        <v>2459</v>
      </c>
      <c r="G416" s="0"/>
      <c r="H416" s="0"/>
      <c r="I416" s="0" t="s">
        <v>819</v>
      </c>
      <c r="J416" s="0"/>
      <c r="K416" s="0" t="s">
        <v>2991</v>
      </c>
      <c r="L416" s="0" t="s">
        <v>2992</v>
      </c>
    </row>
    <row r="417">
      <c r="A417" s="0" t="s">
        <v>53</v>
      </c>
      <c r="B417" s="0" t="s">
        <v>306</v>
      </c>
      <c r="C417" s="0"/>
      <c r="D417" s="0">
        <v>1.3600000000000001</v>
      </c>
      <c r="E417" s="0"/>
      <c r="F417" s="0" t="s">
        <v>2460</v>
      </c>
      <c r="G417" s="0"/>
      <c r="H417" s="0" t="s">
        <v>2873</v>
      </c>
      <c r="I417" s="0" t="s">
        <v>1792</v>
      </c>
      <c r="J417" s="0"/>
      <c r="K417" s="0" t="s">
        <v>2991</v>
      </c>
      <c r="L417" s="0" t="s">
        <v>2992</v>
      </c>
    </row>
    <row r="418">
      <c r="A418" s="0" t="s">
        <v>53</v>
      </c>
      <c r="B418" s="0" t="s">
        <v>306</v>
      </c>
      <c r="C418" s="0"/>
      <c r="D418" s="0">
        <v>11.5</v>
      </c>
      <c r="E418" s="0"/>
      <c r="F418" s="0" t="s">
        <v>584</v>
      </c>
      <c r="G418" s="0"/>
      <c r="H418" s="0" t="s">
        <v>2874</v>
      </c>
      <c r="I418" s="0" t="s">
        <v>1792</v>
      </c>
      <c r="J418" s="0"/>
      <c r="K418" s="0" t="s">
        <v>2991</v>
      </c>
      <c r="L418" s="0" t="s">
        <v>2992</v>
      </c>
    </row>
    <row r="419">
      <c r="A419" s="0" t="s">
        <v>53</v>
      </c>
      <c r="B419" s="0" t="s">
        <v>306</v>
      </c>
      <c r="C419" s="0"/>
      <c r="D419" s="0">
        <v>0.46000000000000002</v>
      </c>
      <c r="E419" s="0"/>
      <c r="F419" s="0" t="s">
        <v>826</v>
      </c>
      <c r="G419" s="0"/>
      <c r="H419" s="0" t="s">
        <v>2875</v>
      </c>
      <c r="I419" s="0" t="s">
        <v>1792</v>
      </c>
      <c r="J419" s="0"/>
      <c r="K419" s="0" t="s">
        <v>2991</v>
      </c>
      <c r="L419" s="0" t="s">
        <v>2992</v>
      </c>
    </row>
    <row r="420">
      <c r="A420" s="0" t="s">
        <v>53</v>
      </c>
      <c r="B420" s="0" t="s">
        <v>306</v>
      </c>
      <c r="C420" s="0"/>
      <c r="D420" s="0">
        <v>3.1400000000000001</v>
      </c>
      <c r="E420" s="0"/>
      <c r="F420" s="0" t="s">
        <v>2461</v>
      </c>
      <c r="G420" s="0"/>
      <c r="H420" s="0" t="s">
        <v>2876</v>
      </c>
      <c r="I420" s="0" t="s">
        <v>1792</v>
      </c>
      <c r="J420" s="0"/>
      <c r="K420" s="0" t="s">
        <v>2991</v>
      </c>
      <c r="L420" s="0" t="s">
        <v>2992</v>
      </c>
    </row>
    <row r="421">
      <c r="A421" s="0" t="s">
        <v>53</v>
      </c>
      <c r="B421" s="0" t="s">
        <v>306</v>
      </c>
      <c r="C421" s="0"/>
      <c r="D421" s="0">
        <v>1.8500000000000001</v>
      </c>
      <c r="E421" s="0"/>
      <c r="F421" s="0" t="s">
        <v>2462</v>
      </c>
      <c r="G421" s="0"/>
      <c r="H421" s="0" t="s">
        <v>2877</v>
      </c>
      <c r="I421" s="0" t="s">
        <v>1792</v>
      </c>
      <c r="J421" s="0"/>
      <c r="K421" s="0" t="s">
        <v>2991</v>
      </c>
      <c r="L421" s="0" t="s">
        <v>2992</v>
      </c>
    </row>
    <row r="422">
      <c r="A422" s="0" t="s">
        <v>53</v>
      </c>
      <c r="B422" s="0" t="s">
        <v>306</v>
      </c>
      <c r="C422" s="0"/>
      <c r="D422" s="0">
        <v>2.7200000000000002</v>
      </c>
      <c r="E422" s="0"/>
      <c r="F422" s="0" t="s">
        <v>2463</v>
      </c>
      <c r="G422" s="0"/>
      <c r="H422" s="0" t="s">
        <v>2878</v>
      </c>
      <c r="I422" s="0" t="s">
        <v>1792</v>
      </c>
      <c r="J422" s="0"/>
      <c r="K422" s="0" t="s">
        <v>2991</v>
      </c>
      <c r="L422" s="0" t="s">
        <v>2992</v>
      </c>
    </row>
    <row r="423">
      <c r="A423" s="0" t="s">
        <v>53</v>
      </c>
      <c r="B423" s="0" t="s">
        <v>306</v>
      </c>
      <c r="C423" s="0"/>
      <c r="D423" s="0">
        <v>4.4199999999999999</v>
      </c>
      <c r="E423" s="0"/>
      <c r="F423" s="0" t="s">
        <v>1933</v>
      </c>
      <c r="G423" s="0"/>
      <c r="H423" s="0" t="s">
        <v>2879</v>
      </c>
      <c r="I423" s="0" t="s">
        <v>1792</v>
      </c>
      <c r="J423" s="0"/>
      <c r="K423" s="0" t="s">
        <v>2991</v>
      </c>
      <c r="L423" s="0" t="s">
        <v>2992</v>
      </c>
    </row>
    <row r="424">
      <c r="A424" s="0" t="s">
        <v>53</v>
      </c>
      <c r="B424" s="0" t="s">
        <v>306</v>
      </c>
      <c r="C424" s="0"/>
      <c r="D424" s="0">
        <v>6.25</v>
      </c>
      <c r="E424" s="0"/>
      <c r="F424" s="0" t="s">
        <v>2464</v>
      </c>
      <c r="G424" s="0"/>
      <c r="H424" s="0" t="s">
        <v>2880</v>
      </c>
      <c r="I424" s="0" t="s">
        <v>1792</v>
      </c>
      <c r="J424" s="0"/>
      <c r="K424" s="0" t="s">
        <v>2991</v>
      </c>
      <c r="L424" s="0" t="s">
        <v>2992</v>
      </c>
    </row>
    <row r="425">
      <c r="A425" s="0" t="s">
        <v>53</v>
      </c>
      <c r="B425" s="0" t="s">
        <v>306</v>
      </c>
      <c r="C425" s="0"/>
      <c r="D425" s="0">
        <v>0.38</v>
      </c>
      <c r="E425" s="0"/>
      <c r="F425" s="0" t="s">
        <v>894</v>
      </c>
      <c r="G425" s="0"/>
      <c r="H425" s="0" t="s">
        <v>2881</v>
      </c>
      <c r="I425" s="0" t="s">
        <v>1792</v>
      </c>
      <c r="J425" s="0"/>
      <c r="K425" s="0" t="s">
        <v>2991</v>
      </c>
      <c r="L425" s="0" t="s">
        <v>2992</v>
      </c>
    </row>
    <row r="426">
      <c r="A426" s="0" t="s">
        <v>53</v>
      </c>
      <c r="B426" s="0" t="s">
        <v>306</v>
      </c>
      <c r="C426" s="0"/>
      <c r="D426" s="0">
        <v>1.5</v>
      </c>
      <c r="E426" s="0"/>
      <c r="F426" s="0" t="s">
        <v>570</v>
      </c>
      <c r="G426" s="0"/>
      <c r="H426" s="0" t="s">
        <v>2882</v>
      </c>
      <c r="I426" s="0" t="s">
        <v>1792</v>
      </c>
      <c r="J426" s="0"/>
      <c r="K426" s="0" t="s">
        <v>2991</v>
      </c>
      <c r="L426" s="0" t="s">
        <v>2992</v>
      </c>
    </row>
    <row r="427">
      <c r="A427" s="0" t="s">
        <v>53</v>
      </c>
      <c r="B427" s="0" t="s">
        <v>306</v>
      </c>
      <c r="C427" s="0"/>
      <c r="D427" s="0">
        <v>2.44</v>
      </c>
      <c r="E427" s="0"/>
      <c r="F427" s="0" t="s">
        <v>2465</v>
      </c>
      <c r="G427" s="0"/>
      <c r="H427" s="0" t="s">
        <v>2883</v>
      </c>
      <c r="I427" s="0" t="s">
        <v>1792</v>
      </c>
      <c r="J427" s="0"/>
      <c r="K427" s="0" t="s">
        <v>2991</v>
      </c>
      <c r="L427" s="0" t="s">
        <v>2992</v>
      </c>
    </row>
    <row r="428">
      <c r="A428" s="0" t="s">
        <v>53</v>
      </c>
      <c r="B428" s="0" t="s">
        <v>306</v>
      </c>
      <c r="C428" s="0"/>
      <c r="D428" s="0">
        <v>2.6000000000000001</v>
      </c>
      <c r="E428" s="0"/>
      <c r="F428" s="0" t="s">
        <v>842</v>
      </c>
      <c r="G428" s="0"/>
      <c r="H428" s="0" t="s">
        <v>2884</v>
      </c>
      <c r="I428" s="0" t="s">
        <v>1792</v>
      </c>
      <c r="J428" s="0"/>
      <c r="K428" s="0" t="s">
        <v>2991</v>
      </c>
      <c r="L428" s="0" t="s">
        <v>2992</v>
      </c>
    </row>
    <row r="429">
      <c r="A429" s="0" t="s">
        <v>53</v>
      </c>
      <c r="B429" s="0" t="s">
        <v>306</v>
      </c>
      <c r="C429" s="0"/>
      <c r="D429" s="0">
        <v>0.95999999999999997</v>
      </c>
      <c r="E429" s="0"/>
      <c r="F429" s="0" t="s">
        <v>2466</v>
      </c>
      <c r="G429" s="0"/>
      <c r="H429" s="0" t="s">
        <v>2885</v>
      </c>
      <c r="I429" s="0" t="s">
        <v>1792</v>
      </c>
      <c r="J429" s="0"/>
      <c r="K429" s="0" t="s">
        <v>2991</v>
      </c>
      <c r="L429" s="0" t="s">
        <v>2992</v>
      </c>
    </row>
    <row r="430">
      <c r="A430" s="0" t="s">
        <v>53</v>
      </c>
      <c r="B430" s="0" t="s">
        <v>306</v>
      </c>
      <c r="C430" s="0"/>
      <c r="D430" s="0">
        <v>1.0600000000000001</v>
      </c>
      <c r="E430" s="0"/>
      <c r="F430" s="0" t="s">
        <v>2467</v>
      </c>
      <c r="G430" s="0"/>
      <c r="H430" s="0" t="s">
        <v>2886</v>
      </c>
      <c r="I430" s="0" t="s">
        <v>1792</v>
      </c>
      <c r="J430" s="0"/>
      <c r="K430" s="0" t="s">
        <v>2991</v>
      </c>
      <c r="L430" s="0" t="s">
        <v>2992</v>
      </c>
    </row>
    <row r="431">
      <c r="A431" s="0" t="s">
        <v>53</v>
      </c>
      <c r="B431" s="0" t="s">
        <v>306</v>
      </c>
      <c r="C431" s="0"/>
      <c r="D431" s="0">
        <v>0.82999999999999996</v>
      </c>
      <c r="E431" s="0"/>
      <c r="F431" s="0" t="s">
        <v>2468</v>
      </c>
      <c r="G431" s="0"/>
      <c r="H431" s="0" t="s">
        <v>2887</v>
      </c>
      <c r="I431" s="0" t="s">
        <v>1792</v>
      </c>
      <c r="J431" s="0"/>
      <c r="K431" s="0" t="s">
        <v>2991</v>
      </c>
      <c r="L431" s="0" t="s">
        <v>2992</v>
      </c>
    </row>
    <row r="432">
      <c r="A432" s="0" t="s">
        <v>53</v>
      </c>
      <c r="B432" s="0" t="s">
        <v>306</v>
      </c>
      <c r="C432" s="0"/>
      <c r="D432" s="0">
        <v>1.98</v>
      </c>
      <c r="E432" s="0"/>
      <c r="F432" s="0" t="s">
        <v>2303</v>
      </c>
      <c r="G432" s="0"/>
      <c r="H432" s="0" t="s">
        <v>2888</v>
      </c>
      <c r="I432" s="0" t="s">
        <v>1792</v>
      </c>
      <c r="J432" s="0"/>
      <c r="K432" s="0" t="s">
        <v>2991</v>
      </c>
      <c r="L432" s="0" t="s">
        <v>2992</v>
      </c>
    </row>
    <row r="433">
      <c r="A433" s="0" t="s">
        <v>53</v>
      </c>
      <c r="B433" s="0" t="s">
        <v>279</v>
      </c>
      <c r="C433" s="0"/>
      <c r="D433" s="0">
        <v>5.0899999999999999</v>
      </c>
      <c r="E433" s="0"/>
      <c r="F433" s="0" t="s">
        <v>2469</v>
      </c>
      <c r="G433" s="0"/>
      <c r="H433" s="0" t="s">
        <v>2889</v>
      </c>
      <c r="I433" s="0" t="s">
        <v>1808</v>
      </c>
      <c r="J433" s="0"/>
      <c r="K433" s="0" t="s">
        <v>2991</v>
      </c>
      <c r="L433" s="0" t="s">
        <v>2992</v>
      </c>
    </row>
    <row r="434">
      <c r="A434" s="0" t="s">
        <v>53</v>
      </c>
      <c r="B434" s="0" t="s">
        <v>279</v>
      </c>
      <c r="C434" s="0"/>
      <c r="D434" s="0">
        <v>4.9699999999999998</v>
      </c>
      <c r="E434" s="0"/>
      <c r="F434" s="0" t="s">
        <v>2470</v>
      </c>
      <c r="G434" s="0"/>
      <c r="H434" s="0" t="s">
        <v>2890</v>
      </c>
      <c r="I434" s="0" t="s">
        <v>1808</v>
      </c>
      <c r="J434" s="0"/>
      <c r="K434" s="0" t="s">
        <v>2991</v>
      </c>
      <c r="L434" s="0" t="s">
        <v>2992</v>
      </c>
    </row>
    <row r="435">
      <c r="A435" s="0" t="s">
        <v>53</v>
      </c>
      <c r="B435" s="0" t="s">
        <v>279</v>
      </c>
      <c r="C435" s="0"/>
      <c r="D435" s="0">
        <v>5.2800000000000002</v>
      </c>
      <c r="E435" s="0"/>
      <c r="F435" s="0" t="s">
        <v>2471</v>
      </c>
      <c r="G435" s="0"/>
      <c r="H435" s="0" t="s">
        <v>2891</v>
      </c>
      <c r="I435" s="0" t="s">
        <v>1808</v>
      </c>
      <c r="J435" s="0"/>
      <c r="K435" s="0" t="s">
        <v>2991</v>
      </c>
      <c r="L435" s="0" t="s">
        <v>2992</v>
      </c>
    </row>
    <row r="436">
      <c r="A436" s="0" t="s">
        <v>53</v>
      </c>
      <c r="B436" s="0" t="s">
        <v>279</v>
      </c>
      <c r="C436" s="0"/>
      <c r="D436" s="0">
        <v>5.6799999999999997</v>
      </c>
      <c r="E436" s="0"/>
      <c r="F436" s="0" t="s">
        <v>2472</v>
      </c>
      <c r="G436" s="0"/>
      <c r="H436" s="0" t="s">
        <v>2892</v>
      </c>
      <c r="I436" s="0" t="s">
        <v>1808</v>
      </c>
      <c r="J436" s="0"/>
      <c r="K436" s="0" t="s">
        <v>2991</v>
      </c>
      <c r="L436" s="0" t="s">
        <v>2992</v>
      </c>
    </row>
    <row r="437">
      <c r="A437" s="0" t="s">
        <v>53</v>
      </c>
      <c r="B437" s="0" t="s">
        <v>279</v>
      </c>
      <c r="C437" s="0"/>
      <c r="D437" s="0">
        <v>4.8600000000000003</v>
      </c>
      <c r="E437" s="0"/>
      <c r="F437" s="0" t="s">
        <v>2473</v>
      </c>
      <c r="G437" s="0"/>
      <c r="H437" s="0" t="s">
        <v>2893</v>
      </c>
      <c r="I437" s="0" t="s">
        <v>1808</v>
      </c>
      <c r="J437" s="0"/>
      <c r="K437" s="0" t="s">
        <v>2991</v>
      </c>
      <c r="L437" s="0" t="s">
        <v>2992</v>
      </c>
    </row>
    <row r="438">
      <c r="A438" s="0" t="s">
        <v>53</v>
      </c>
      <c r="B438" s="0" t="s">
        <v>279</v>
      </c>
      <c r="C438" s="0"/>
      <c r="D438" s="0">
        <v>6.2400000000000002</v>
      </c>
      <c r="E438" s="0"/>
      <c r="F438" s="0" t="s">
        <v>578</v>
      </c>
      <c r="G438" s="0"/>
      <c r="H438" s="0" t="s">
        <v>2894</v>
      </c>
      <c r="I438" s="0" t="s">
        <v>1808</v>
      </c>
      <c r="J438" s="0"/>
      <c r="K438" s="0" t="s">
        <v>2991</v>
      </c>
      <c r="L438" s="0" t="s">
        <v>2992</v>
      </c>
    </row>
    <row r="439">
      <c r="A439" s="0" t="s">
        <v>53</v>
      </c>
      <c r="B439" s="0" t="s">
        <v>279</v>
      </c>
      <c r="C439" s="0"/>
      <c r="D439" s="0">
        <v>6.2699999999999996</v>
      </c>
      <c r="E439" s="0"/>
      <c r="F439" s="0" t="s">
        <v>2474</v>
      </c>
      <c r="G439" s="0"/>
      <c r="H439" s="0" t="s">
        <v>2895</v>
      </c>
      <c r="I439" s="0" t="s">
        <v>1808</v>
      </c>
      <c r="J439" s="0"/>
      <c r="K439" s="0" t="s">
        <v>2991</v>
      </c>
      <c r="L439" s="0" t="s">
        <v>2992</v>
      </c>
    </row>
    <row r="440">
      <c r="A440" s="0" t="s">
        <v>53</v>
      </c>
      <c r="B440" s="0" t="s">
        <v>147</v>
      </c>
      <c r="C440" s="0"/>
      <c r="D440" s="0">
        <v>9.5</v>
      </c>
      <c r="E440" s="0"/>
      <c r="F440" s="0" t="s">
        <v>2475</v>
      </c>
      <c r="G440" s="0"/>
      <c r="H440" s="0" t="s">
        <v>2896</v>
      </c>
      <c r="I440" s="0" t="s">
        <v>1748</v>
      </c>
      <c r="J440" s="0"/>
      <c r="K440" s="0" t="s">
        <v>2991</v>
      </c>
      <c r="L440" s="0" t="s">
        <v>2992</v>
      </c>
    </row>
    <row r="441">
      <c r="A441" s="0" t="s">
        <v>53</v>
      </c>
      <c r="B441" s="0" t="s">
        <v>147</v>
      </c>
      <c r="C441" s="0"/>
      <c r="D441" s="0">
        <v>0.091999999999999999</v>
      </c>
      <c r="E441" s="0"/>
      <c r="F441" s="0" t="s">
        <v>2476</v>
      </c>
      <c r="G441" s="0"/>
      <c r="H441" s="0" t="s">
        <v>2897</v>
      </c>
      <c r="I441" s="0" t="s">
        <v>789</v>
      </c>
      <c r="J441" s="0"/>
      <c r="K441" s="0" t="s">
        <v>2991</v>
      </c>
      <c r="L441" s="0" t="s">
        <v>2992</v>
      </c>
    </row>
    <row r="442">
      <c r="A442" s="0" t="s">
        <v>53</v>
      </c>
      <c r="B442" s="0" t="s">
        <v>147</v>
      </c>
      <c r="C442" s="0"/>
      <c r="D442" s="0">
        <v>0.67000000000000004</v>
      </c>
      <c r="E442" s="0"/>
      <c r="F442" s="0" t="s">
        <v>739</v>
      </c>
      <c r="G442" s="0"/>
      <c r="H442" s="0" t="s">
        <v>2898</v>
      </c>
      <c r="I442" s="0" t="s">
        <v>1756</v>
      </c>
      <c r="J442" s="0"/>
      <c r="K442" s="0" t="s">
        <v>2991</v>
      </c>
      <c r="L442" s="0" t="s">
        <v>2992</v>
      </c>
    </row>
    <row r="443">
      <c r="A443" s="0" t="s">
        <v>53</v>
      </c>
      <c r="B443" s="0" t="s">
        <v>147</v>
      </c>
      <c r="C443" s="0"/>
      <c r="D443" s="0">
        <v>0.26000000000000001</v>
      </c>
      <c r="E443" s="0"/>
      <c r="F443" s="0" t="s">
        <v>1042</v>
      </c>
      <c r="G443" s="0"/>
      <c r="H443" s="0" t="s">
        <v>2899</v>
      </c>
      <c r="I443" s="0" t="s">
        <v>789</v>
      </c>
      <c r="J443" s="0"/>
      <c r="K443" s="0" t="s">
        <v>2991</v>
      </c>
      <c r="L443" s="0" t="s">
        <v>2992</v>
      </c>
    </row>
    <row r="444">
      <c r="A444" s="0" t="s">
        <v>53</v>
      </c>
      <c r="B444" s="0" t="s">
        <v>147</v>
      </c>
      <c r="C444" s="0"/>
      <c r="D444" s="0">
        <v>0.13100000000000001</v>
      </c>
      <c r="E444" s="0"/>
      <c r="F444" s="0" t="s">
        <v>2477</v>
      </c>
      <c r="G444" s="0"/>
      <c r="H444" s="0" t="s">
        <v>2900</v>
      </c>
      <c r="I444" s="0" t="s">
        <v>641</v>
      </c>
      <c r="J444" s="0"/>
      <c r="K444" s="0" t="s">
        <v>2991</v>
      </c>
      <c r="L444" s="0" t="s">
        <v>2992</v>
      </c>
    </row>
    <row r="445">
      <c r="A445" s="0" t="s">
        <v>53</v>
      </c>
      <c r="B445" s="0" t="s">
        <v>147</v>
      </c>
      <c r="C445" s="0"/>
      <c r="D445" s="0">
        <v>10.199999999999999</v>
      </c>
      <c r="E445" s="0"/>
      <c r="F445" s="0" t="s">
        <v>2478</v>
      </c>
      <c r="G445" s="0"/>
      <c r="H445" s="0" t="s">
        <v>2901</v>
      </c>
      <c r="I445" s="0" t="s">
        <v>585</v>
      </c>
      <c r="J445" s="0"/>
      <c r="K445" s="0" t="s">
        <v>2991</v>
      </c>
      <c r="L445" s="0" t="s">
        <v>2992</v>
      </c>
    </row>
    <row r="446">
      <c r="A446" s="0" t="s">
        <v>53</v>
      </c>
      <c r="B446" s="0" t="s">
        <v>147</v>
      </c>
      <c r="C446" s="0"/>
      <c r="D446" s="0">
        <v>-999</v>
      </c>
      <c r="E446" s="0"/>
      <c r="F446" s="0" t="s">
        <v>673</v>
      </c>
      <c r="G446" s="0"/>
      <c r="H446" s="0" t="s">
        <v>2902</v>
      </c>
      <c r="I446" s="0" t="s">
        <v>828</v>
      </c>
      <c r="J446" s="0"/>
      <c r="K446" s="0" t="s">
        <v>2991</v>
      </c>
      <c r="L446" s="0" t="s">
        <v>2992</v>
      </c>
    </row>
    <row r="447">
      <c r="A447" s="0" t="s">
        <v>53</v>
      </c>
      <c r="B447" s="0" t="s">
        <v>286</v>
      </c>
      <c r="C447" s="0"/>
      <c r="D447" s="0">
        <v>0.023</v>
      </c>
      <c r="E447" s="0"/>
      <c r="F447" s="0" t="s">
        <v>1076</v>
      </c>
      <c r="G447" s="0"/>
      <c r="H447" s="0"/>
      <c r="I447" s="0" t="s">
        <v>1794</v>
      </c>
      <c r="J447" s="0"/>
      <c r="K447" s="0" t="s">
        <v>2991</v>
      </c>
      <c r="L447" s="0" t="s">
        <v>2992</v>
      </c>
    </row>
    <row r="448">
      <c r="A448" s="0" t="s">
        <v>53</v>
      </c>
      <c r="B448" s="0" t="s">
        <v>286</v>
      </c>
      <c r="C448" s="0"/>
      <c r="D448" s="0">
        <v>0.023400000000000001</v>
      </c>
      <c r="E448" s="0"/>
      <c r="F448" s="0" t="s">
        <v>2479</v>
      </c>
      <c r="G448" s="0"/>
      <c r="H448" s="0" t="s">
        <v>2903</v>
      </c>
      <c r="I448" s="0" t="s">
        <v>1794</v>
      </c>
      <c r="J448" s="0"/>
      <c r="K448" s="0" t="s">
        <v>2991</v>
      </c>
      <c r="L448" s="0" t="s">
        <v>2992</v>
      </c>
    </row>
    <row r="449">
      <c r="A449" s="0" t="s">
        <v>53</v>
      </c>
      <c r="B449" s="0" t="s">
        <v>286</v>
      </c>
      <c r="C449" s="0"/>
      <c r="D449" s="0">
        <v>0.028299999999999999</v>
      </c>
      <c r="E449" s="0"/>
      <c r="F449" s="0" t="s">
        <v>2480</v>
      </c>
      <c r="G449" s="0"/>
      <c r="H449" s="0" t="s">
        <v>2904</v>
      </c>
      <c r="I449" s="0" t="s">
        <v>776</v>
      </c>
      <c r="J449" s="0"/>
      <c r="K449" s="0" t="s">
        <v>2991</v>
      </c>
      <c r="L449" s="0" t="s">
        <v>2992</v>
      </c>
    </row>
    <row r="450">
      <c r="A450" s="0" t="s">
        <v>53</v>
      </c>
      <c r="B450" s="0" t="s">
        <v>251</v>
      </c>
      <c r="C450" s="0"/>
      <c r="D450" s="0">
        <v>10.300000000000001</v>
      </c>
      <c r="E450" s="0"/>
      <c r="F450" s="0" t="s">
        <v>2481</v>
      </c>
      <c r="G450" s="0"/>
      <c r="H450" s="0"/>
      <c r="I450" s="0" t="s">
        <v>803</v>
      </c>
      <c r="J450" s="0"/>
      <c r="K450" s="0" t="s">
        <v>2991</v>
      </c>
      <c r="L450" s="0" t="s">
        <v>2992</v>
      </c>
    </row>
    <row r="451">
      <c r="A451" s="0" t="s">
        <v>53</v>
      </c>
      <c r="B451" s="0" t="s">
        <v>379</v>
      </c>
      <c r="C451" s="0"/>
      <c r="D451" s="0">
        <v>6.3499999999999997</v>
      </c>
      <c r="E451" s="0"/>
      <c r="F451" s="0" t="s">
        <v>1897</v>
      </c>
      <c r="G451" s="0"/>
      <c r="H451" s="0" t="s">
        <v>2905</v>
      </c>
      <c r="I451" s="0" t="s">
        <v>1795</v>
      </c>
      <c r="J451" s="0"/>
      <c r="K451" s="0" t="s">
        <v>2991</v>
      </c>
      <c r="L451" s="0" t="s">
        <v>2992</v>
      </c>
    </row>
    <row r="452">
      <c r="A452" s="0" t="s">
        <v>55</v>
      </c>
      <c r="B452" s="0" t="s">
        <v>305</v>
      </c>
      <c r="C452" s="0"/>
      <c r="D452" s="0">
        <v>20.600000000000001</v>
      </c>
      <c r="E452" s="0"/>
      <c r="F452" s="0" t="s">
        <v>2482</v>
      </c>
      <c r="G452" s="0"/>
      <c r="H452" s="0" t="s">
        <v>2906</v>
      </c>
      <c r="I452" s="0" t="s">
        <v>1790</v>
      </c>
      <c r="J452" s="0"/>
      <c r="K452" s="0" t="s">
        <v>2991</v>
      </c>
      <c r="L452" s="0" t="s">
        <v>2992</v>
      </c>
    </row>
    <row r="453">
      <c r="A453" s="0" t="s">
        <v>55</v>
      </c>
      <c r="B453" s="0" t="s">
        <v>2176</v>
      </c>
      <c r="C453" s="0"/>
      <c r="D453" s="0">
        <v>2050</v>
      </c>
      <c r="E453" s="0"/>
      <c r="F453" s="0" t="s">
        <v>2304</v>
      </c>
      <c r="G453" s="0"/>
      <c r="H453" s="0" t="s">
        <v>2907</v>
      </c>
      <c r="I453" s="0" t="s">
        <v>1797</v>
      </c>
      <c r="J453" s="0"/>
      <c r="K453" s="0" t="s">
        <v>2991</v>
      </c>
      <c r="L453" s="0" t="s">
        <v>2992</v>
      </c>
    </row>
    <row r="454">
      <c r="A454" s="0" t="s">
        <v>55</v>
      </c>
      <c r="B454" s="0" t="s">
        <v>2177</v>
      </c>
      <c r="C454" s="0"/>
      <c r="D454" s="0">
        <v>1430</v>
      </c>
      <c r="E454" s="0"/>
      <c r="F454" s="0" t="s">
        <v>2483</v>
      </c>
      <c r="G454" s="0"/>
      <c r="H454" s="0" t="s">
        <v>2908</v>
      </c>
      <c r="I454" s="0" t="s">
        <v>1797</v>
      </c>
      <c r="J454" s="0"/>
      <c r="K454" s="0" t="s">
        <v>2991</v>
      </c>
      <c r="L454" s="0" t="s">
        <v>2992</v>
      </c>
    </row>
    <row r="455">
      <c r="A455" s="0" t="s">
        <v>55</v>
      </c>
      <c r="B455" s="0" t="s">
        <v>326</v>
      </c>
      <c r="C455" s="0"/>
      <c r="D455" s="0">
        <v>18</v>
      </c>
      <c r="E455" s="0"/>
      <c r="F455" s="0" t="s">
        <v>803</v>
      </c>
      <c r="G455" s="0"/>
      <c r="H455" s="0"/>
      <c r="I455" s="0" t="s">
        <v>585</v>
      </c>
      <c r="J455" s="0"/>
      <c r="K455" s="0" t="s">
        <v>2991</v>
      </c>
      <c r="L455" s="0" t="s">
        <v>2992</v>
      </c>
    </row>
    <row r="456">
      <c r="A456" s="0" t="s">
        <v>55</v>
      </c>
      <c r="B456" s="0" t="s">
        <v>380</v>
      </c>
      <c r="C456" s="0"/>
      <c r="D456" s="0">
        <v>2.7999999999999998</v>
      </c>
      <c r="E456" s="0"/>
      <c r="F456" s="0" t="s">
        <v>840</v>
      </c>
      <c r="G456" s="0"/>
      <c r="H456" s="0"/>
      <c r="I456" s="0" t="s">
        <v>776</v>
      </c>
      <c r="J456" s="0"/>
      <c r="K456" s="0" t="s">
        <v>2991</v>
      </c>
      <c r="L456" s="0" t="s">
        <v>2992</v>
      </c>
    </row>
    <row r="457">
      <c r="A457" s="0" t="s">
        <v>55</v>
      </c>
      <c r="B457" s="0" t="s">
        <v>358</v>
      </c>
      <c r="C457" s="0"/>
      <c r="D457" s="0">
        <v>4.0000000000000001e-08</v>
      </c>
      <c r="E457" s="0"/>
      <c r="F457" s="0" t="s">
        <v>2484</v>
      </c>
      <c r="G457" s="0"/>
      <c r="H457" s="0"/>
      <c r="I457" s="0" t="s">
        <v>681</v>
      </c>
      <c r="J457" s="0"/>
      <c r="K457" s="0" t="s">
        <v>2991</v>
      </c>
      <c r="L457" s="0" t="s">
        <v>2992</v>
      </c>
    </row>
    <row r="458">
      <c r="A458" s="0" t="s">
        <v>55</v>
      </c>
      <c r="B458" s="0" t="s">
        <v>381</v>
      </c>
      <c r="C458" s="0"/>
      <c r="D458" s="0">
        <v>2.2000000000000002</v>
      </c>
      <c r="E458" s="0"/>
      <c r="F458" s="0" t="s">
        <v>638</v>
      </c>
      <c r="G458" s="0"/>
      <c r="H458" s="0" t="s">
        <v>2909</v>
      </c>
      <c r="I458" s="0" t="s">
        <v>1748</v>
      </c>
      <c r="J458" s="0"/>
      <c r="K458" s="0" t="s">
        <v>2991</v>
      </c>
      <c r="L458" s="0" t="s">
        <v>2992</v>
      </c>
    </row>
    <row r="459">
      <c r="A459" s="0" t="s">
        <v>55</v>
      </c>
      <c r="B459" s="0" t="s">
        <v>382</v>
      </c>
      <c r="C459" s="0"/>
      <c r="D459" s="0">
        <v>0.156</v>
      </c>
      <c r="E459" s="0"/>
      <c r="F459" s="0" t="s">
        <v>966</v>
      </c>
      <c r="G459" s="0"/>
      <c r="H459" s="0" t="s">
        <v>2910</v>
      </c>
      <c r="I459" s="0" t="s">
        <v>1780</v>
      </c>
      <c r="J459" s="0"/>
      <c r="K459" s="0" t="s">
        <v>2991</v>
      </c>
      <c r="L459" s="0" t="s">
        <v>2992</v>
      </c>
    </row>
    <row r="460">
      <c r="A460" s="0" t="s">
        <v>55</v>
      </c>
      <c r="B460" s="0" t="s">
        <v>383</v>
      </c>
      <c r="C460" s="0"/>
      <c r="D460" s="0">
        <v>9.1500000000000004</v>
      </c>
      <c r="E460" s="0"/>
      <c r="F460" s="0" t="s">
        <v>2485</v>
      </c>
      <c r="G460" s="0"/>
      <c r="H460" s="0"/>
      <c r="I460" s="0" t="s">
        <v>641</v>
      </c>
      <c r="J460" s="0"/>
      <c r="K460" s="0" t="s">
        <v>2991</v>
      </c>
      <c r="L460" s="0" t="s">
        <v>2992</v>
      </c>
    </row>
    <row r="461">
      <c r="A461" s="0" t="s">
        <v>55</v>
      </c>
      <c r="B461" s="0" t="s">
        <v>384</v>
      </c>
      <c r="C461" s="0"/>
      <c r="D461" s="0">
        <v>14.199999999999999</v>
      </c>
      <c r="E461" s="0"/>
      <c r="F461" s="0" t="s">
        <v>2486</v>
      </c>
      <c r="G461" s="0"/>
      <c r="H461" s="0" t="s">
        <v>2911</v>
      </c>
      <c r="I461" s="0" t="s">
        <v>803</v>
      </c>
      <c r="J461" s="0"/>
      <c r="K461" s="0" t="s">
        <v>2991</v>
      </c>
      <c r="L461" s="0" t="s">
        <v>2992</v>
      </c>
    </row>
    <row r="462">
      <c r="A462" s="0" t="s">
        <v>55</v>
      </c>
      <c r="B462" s="0" t="s">
        <v>307</v>
      </c>
      <c r="C462" s="0"/>
      <c r="D462" s="0">
        <v>14</v>
      </c>
      <c r="E462" s="0"/>
      <c r="F462" s="0" t="s">
        <v>681</v>
      </c>
      <c r="G462" s="0"/>
      <c r="H462" s="0" t="s">
        <v>2912</v>
      </c>
      <c r="I462" s="0" t="s">
        <v>734</v>
      </c>
      <c r="J462" s="0"/>
      <c r="K462" s="0" t="s">
        <v>2991</v>
      </c>
      <c r="L462" s="0" t="s">
        <v>2992</v>
      </c>
    </row>
    <row r="463">
      <c r="A463" s="0" t="s">
        <v>55</v>
      </c>
      <c r="B463" s="0" t="s">
        <v>147</v>
      </c>
      <c r="C463" s="0"/>
      <c r="D463" s="0">
        <v>0.0073000000000000001</v>
      </c>
      <c r="E463" s="0"/>
      <c r="F463" s="0" t="s">
        <v>1946</v>
      </c>
      <c r="G463" s="0"/>
      <c r="H463" s="0" t="s">
        <v>2913</v>
      </c>
      <c r="I463" s="0" t="s">
        <v>1654</v>
      </c>
      <c r="J463" s="0"/>
      <c r="K463" s="0" t="s">
        <v>2991</v>
      </c>
      <c r="L463" s="0" t="s">
        <v>2992</v>
      </c>
    </row>
    <row r="464">
      <c r="A464" s="0" t="s">
        <v>55</v>
      </c>
      <c r="B464" s="0" t="s">
        <v>147</v>
      </c>
      <c r="C464" s="0"/>
      <c r="D464" s="0">
        <v>21.800000000000001</v>
      </c>
      <c r="E464" s="0"/>
      <c r="F464" s="0" t="s">
        <v>2487</v>
      </c>
      <c r="G464" s="0"/>
      <c r="H464" s="0" t="s">
        <v>2914</v>
      </c>
      <c r="I464" s="0" t="s">
        <v>884</v>
      </c>
      <c r="J464" s="0"/>
      <c r="K464" s="0" t="s">
        <v>2991</v>
      </c>
      <c r="L464" s="0" t="s">
        <v>2992</v>
      </c>
    </row>
    <row r="465">
      <c r="A465" s="0" t="s">
        <v>55</v>
      </c>
      <c r="B465" s="0" t="s">
        <v>147</v>
      </c>
      <c r="C465" s="0"/>
      <c r="D465" s="0">
        <v>9.5800000000000001</v>
      </c>
      <c r="E465" s="0"/>
      <c r="F465" s="0" t="s">
        <v>2488</v>
      </c>
      <c r="G465" s="0"/>
      <c r="H465" s="0" t="s">
        <v>2915</v>
      </c>
      <c r="I465" s="0" t="s">
        <v>2989</v>
      </c>
      <c r="J465" s="0"/>
      <c r="K465" s="0" t="s">
        <v>2991</v>
      </c>
      <c r="L465" s="0" t="s">
        <v>2992</v>
      </c>
    </row>
    <row r="466">
      <c r="A466" s="0" t="s">
        <v>55</v>
      </c>
      <c r="B466" s="0" t="s">
        <v>147</v>
      </c>
      <c r="C466" s="0"/>
      <c r="D466" s="0">
        <v>0.00085999999999999998</v>
      </c>
      <c r="E466" s="0"/>
      <c r="F466" s="0" t="s">
        <v>2489</v>
      </c>
      <c r="G466" s="0"/>
      <c r="H466" s="0" t="s">
        <v>2916</v>
      </c>
      <c r="I466" s="0" t="s">
        <v>1741</v>
      </c>
      <c r="J466" s="0"/>
      <c r="K466" s="0" t="s">
        <v>2991</v>
      </c>
      <c r="L466" s="0" t="s">
        <v>2992</v>
      </c>
    </row>
    <row r="467">
      <c r="A467" s="0" t="s">
        <v>55</v>
      </c>
      <c r="B467" s="0" t="s">
        <v>147</v>
      </c>
      <c r="C467" s="0"/>
      <c r="D467" s="0">
        <v>0.00040000000000000002</v>
      </c>
      <c r="E467" s="0"/>
      <c r="F467" s="0" t="s">
        <v>1125</v>
      </c>
      <c r="G467" s="0"/>
      <c r="H467" s="0" t="s">
        <v>2917</v>
      </c>
      <c r="I467" s="0" t="s">
        <v>1741</v>
      </c>
      <c r="J467" s="0"/>
      <c r="K467" s="0" t="s">
        <v>2991</v>
      </c>
      <c r="L467" s="0" t="s">
        <v>2992</v>
      </c>
    </row>
    <row r="468">
      <c r="A468" s="0" t="s">
        <v>55</v>
      </c>
      <c r="B468" s="0" t="s">
        <v>147</v>
      </c>
      <c r="C468" s="0"/>
      <c r="D468" s="0">
        <v>-999</v>
      </c>
      <c r="E468" s="0"/>
      <c r="F468" s="0" t="s">
        <v>673</v>
      </c>
      <c r="G468" s="0"/>
      <c r="H468" s="0" t="s">
        <v>2918</v>
      </c>
      <c r="I468" s="0" t="s">
        <v>1749</v>
      </c>
      <c r="J468" s="0"/>
      <c r="K468" s="0" t="s">
        <v>2991</v>
      </c>
      <c r="L468" s="0" t="s">
        <v>2992</v>
      </c>
    </row>
    <row r="469">
      <c r="A469" s="0" t="s">
        <v>55</v>
      </c>
      <c r="B469" s="0" t="s">
        <v>349</v>
      </c>
      <c r="C469" s="0"/>
      <c r="D469" s="0">
        <v>405</v>
      </c>
      <c r="E469" s="0"/>
      <c r="F469" s="0" t="s">
        <v>2490</v>
      </c>
      <c r="G469" s="0"/>
      <c r="H469" s="0" t="s">
        <v>2919</v>
      </c>
      <c r="I469" s="0" t="s">
        <v>2438</v>
      </c>
      <c r="J469" s="0"/>
      <c r="K469" s="0" t="s">
        <v>2991</v>
      </c>
      <c r="L469" s="0" t="s">
        <v>2992</v>
      </c>
    </row>
    <row r="470">
      <c r="A470" s="0" t="s">
        <v>55</v>
      </c>
      <c r="B470" s="0" t="s">
        <v>349</v>
      </c>
      <c r="C470" s="0"/>
      <c r="D470" s="0">
        <v>0.32000000000000001</v>
      </c>
      <c r="E470" s="0"/>
      <c r="F470" s="0" t="s">
        <v>591</v>
      </c>
      <c r="G470" s="0"/>
      <c r="H470" s="0" t="s">
        <v>2920</v>
      </c>
      <c r="I470" s="0" t="s">
        <v>1802</v>
      </c>
      <c r="J470" s="0"/>
      <c r="K470" s="0" t="s">
        <v>2991</v>
      </c>
      <c r="L470" s="0" t="s">
        <v>2992</v>
      </c>
    </row>
    <row r="471">
      <c r="A471" s="0" t="s">
        <v>55</v>
      </c>
      <c r="B471" s="0" t="s">
        <v>349</v>
      </c>
      <c r="C471" s="0"/>
      <c r="D471" s="0">
        <v>785</v>
      </c>
      <c r="E471" s="0"/>
      <c r="F471" s="0" t="s">
        <v>2491</v>
      </c>
      <c r="G471" s="0"/>
      <c r="H471" s="0" t="s">
        <v>2921</v>
      </c>
      <c r="I471" s="0" t="s">
        <v>2438</v>
      </c>
      <c r="J471" s="0"/>
      <c r="K471" s="0" t="s">
        <v>2991</v>
      </c>
      <c r="L471" s="0" t="s">
        <v>2992</v>
      </c>
    </row>
    <row r="472">
      <c r="A472" s="0" t="s">
        <v>55</v>
      </c>
      <c r="B472" s="0" t="s">
        <v>349</v>
      </c>
      <c r="C472" s="0"/>
      <c r="D472" s="0">
        <v>90</v>
      </c>
      <c r="E472" s="0"/>
      <c r="F472" s="0" t="s">
        <v>1697</v>
      </c>
      <c r="G472" s="0"/>
      <c r="H472" s="0" t="s">
        <v>2922</v>
      </c>
      <c r="I472" s="0" t="s">
        <v>2438</v>
      </c>
      <c r="J472" s="0"/>
      <c r="K472" s="0" t="s">
        <v>2991</v>
      </c>
      <c r="L472" s="0" t="s">
        <v>2992</v>
      </c>
    </row>
    <row r="473">
      <c r="A473" s="0" t="s">
        <v>55</v>
      </c>
      <c r="B473" s="0" t="s">
        <v>349</v>
      </c>
      <c r="C473" s="0"/>
      <c r="D473" s="0">
        <v>103</v>
      </c>
      <c r="E473" s="0"/>
      <c r="F473" s="0" t="s">
        <v>1764</v>
      </c>
      <c r="G473" s="0"/>
      <c r="H473" s="0" t="s">
        <v>2923</v>
      </c>
      <c r="I473" s="0" t="s">
        <v>2438</v>
      </c>
      <c r="J473" s="0"/>
      <c r="K473" s="0" t="s">
        <v>2991</v>
      </c>
      <c r="L473" s="0" t="s">
        <v>2992</v>
      </c>
    </row>
    <row r="474">
      <c r="A474" s="0" t="s">
        <v>55</v>
      </c>
      <c r="B474" s="0" t="s">
        <v>349</v>
      </c>
      <c r="C474" s="0"/>
      <c r="D474" s="0">
        <v>641</v>
      </c>
      <c r="E474" s="0"/>
      <c r="F474" s="0" t="s">
        <v>2492</v>
      </c>
      <c r="G474" s="0"/>
      <c r="H474" s="0" t="s">
        <v>2924</v>
      </c>
      <c r="I474" s="0" t="s">
        <v>2438</v>
      </c>
      <c r="J474" s="0"/>
      <c r="K474" s="0" t="s">
        <v>2991</v>
      </c>
      <c r="L474" s="0" t="s">
        <v>2992</v>
      </c>
    </row>
    <row r="475">
      <c r="A475" s="0" t="s">
        <v>55</v>
      </c>
      <c r="B475" s="0" t="s">
        <v>2178</v>
      </c>
      <c r="C475" s="0"/>
      <c r="D475" s="0">
        <v>1.1499999999999999</v>
      </c>
      <c r="E475" s="0"/>
      <c r="F475" s="0" t="s">
        <v>1976</v>
      </c>
      <c r="G475" s="0"/>
      <c r="H475" s="0" t="s">
        <v>2925</v>
      </c>
      <c r="I475" s="0" t="s">
        <v>1793</v>
      </c>
      <c r="J475" s="0"/>
      <c r="K475" s="0" t="s">
        <v>2991</v>
      </c>
      <c r="L475" s="0" t="s">
        <v>2992</v>
      </c>
    </row>
    <row r="476">
      <c r="A476" s="0" t="s">
        <v>55</v>
      </c>
      <c r="B476" s="0" t="s">
        <v>2178</v>
      </c>
      <c r="C476" s="0"/>
      <c r="D476" s="0">
        <v>0.0056</v>
      </c>
      <c r="E476" s="0"/>
      <c r="F476" s="0" t="s">
        <v>802</v>
      </c>
      <c r="G476" s="0"/>
      <c r="H476" s="0" t="s">
        <v>2926</v>
      </c>
      <c r="I476" s="0" t="s">
        <v>1793</v>
      </c>
      <c r="J476" s="0"/>
      <c r="K476" s="0" t="s">
        <v>2991</v>
      </c>
      <c r="L476" s="0" t="s">
        <v>2992</v>
      </c>
    </row>
    <row r="477">
      <c r="A477" s="0" t="s">
        <v>55</v>
      </c>
      <c r="B477" s="0" t="s">
        <v>352</v>
      </c>
      <c r="C477" s="0"/>
      <c r="D477" s="0">
        <v>1.1000000000000001</v>
      </c>
      <c r="E477" s="0"/>
      <c r="F477" s="0" t="s">
        <v>576</v>
      </c>
      <c r="G477" s="0"/>
      <c r="H477" s="0" t="s">
        <v>2927</v>
      </c>
      <c r="I477" s="0" t="s">
        <v>2990</v>
      </c>
      <c r="J477" s="0"/>
      <c r="K477" s="0" t="s">
        <v>2991</v>
      </c>
      <c r="L477" s="0" t="s">
        <v>2992</v>
      </c>
    </row>
    <row r="478">
      <c r="A478" s="0" t="s">
        <v>55</v>
      </c>
      <c r="B478" s="0" t="s">
        <v>241</v>
      </c>
      <c r="C478" s="0"/>
      <c r="D478" s="0">
        <v>15.140000000000001</v>
      </c>
      <c r="E478" s="0"/>
      <c r="F478" s="0" t="s">
        <v>2493</v>
      </c>
      <c r="G478" s="0"/>
      <c r="H478" s="0" t="s">
        <v>2928</v>
      </c>
      <c r="I478" s="0" t="s">
        <v>1765</v>
      </c>
      <c r="J478" s="0"/>
      <c r="K478" s="0" t="s">
        <v>2991</v>
      </c>
      <c r="L478" s="0" t="s">
        <v>2992</v>
      </c>
    </row>
    <row r="479">
      <c r="A479" s="0" t="s">
        <v>55</v>
      </c>
      <c r="B479" s="0" t="s">
        <v>365</v>
      </c>
      <c r="C479" s="0"/>
      <c r="D479" s="0">
        <v>0.041300000000000003</v>
      </c>
      <c r="E479" s="0"/>
      <c r="F479" s="0" t="s">
        <v>2494</v>
      </c>
      <c r="G479" s="0"/>
      <c r="H479" s="0"/>
      <c r="I479" s="0" t="s">
        <v>694</v>
      </c>
      <c r="J479" s="0"/>
      <c r="K479" s="0" t="s">
        <v>2991</v>
      </c>
      <c r="L479" s="0" t="s">
        <v>2992</v>
      </c>
    </row>
    <row r="480">
      <c r="A480" s="0" t="s">
        <v>55</v>
      </c>
      <c r="B480" s="0" t="s">
        <v>306</v>
      </c>
      <c r="C480" s="0"/>
      <c r="D480" s="0">
        <v>300</v>
      </c>
      <c r="E480" s="0"/>
      <c r="F480" s="0" t="s">
        <v>2495</v>
      </c>
      <c r="G480" s="0"/>
      <c r="H480" s="0" t="s">
        <v>2929</v>
      </c>
      <c r="I480" s="0" t="s">
        <v>828</v>
      </c>
      <c r="J480" s="0"/>
      <c r="K480" s="0" t="s">
        <v>2991</v>
      </c>
      <c r="L480" s="0" t="s">
        <v>2992</v>
      </c>
    </row>
  </sheetData>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L398"/>
  <sheetViews>
    <sheetView workbookViewId="0"/>
  </sheetViews>
  <sheetFormatPr defaultRowHeight="15"/>
  <cols>
    <col min="1" max="1" width="8.54296875" customWidth="true"/>
    <col min="2" max="2" width="49.7265625" customWidth="true"/>
    <col min="3" max="3" width="8.7265625" customWidth="true"/>
    <col min="4" max="4" width="7.90625" customWidth="true"/>
    <col min="5" max="5" width="13.81640625" customWidth="true"/>
    <col min="6" max="6" width="8.7265625" customWidth="true"/>
    <col min="7" max="7" width="17.1796875" customWidth="true"/>
    <col min="8" max="8" width="591.1796875" customWidth="true"/>
    <col min="9" max="9" width="22.54296875" customWidth="true"/>
    <col min="10" max="10" width="15.1796875" customWidth="true"/>
    <col min="11" max="11" width="9.7265625" customWidth="true"/>
    <col min="12" max="12" width="4.1796875" customWidth="true"/>
  </cols>
  <sheetData>
    <row r="1">
      <c r="A1" s="0" t="s">
        <v>239</v>
      </c>
      <c r="B1" s="0" t="s">
        <v>240</v>
      </c>
      <c r="C1" s="0" t="s">
        <v>388</v>
      </c>
      <c r="D1" s="0" t="s">
        <v>566</v>
      </c>
      <c r="E1" s="0" t="s">
        <v>567</v>
      </c>
      <c r="F1" s="0" t="s">
        <v>568</v>
      </c>
      <c r="G1" s="0" t="s">
        <v>1135</v>
      </c>
      <c r="H1" s="0" t="s">
        <v>1136</v>
      </c>
      <c r="I1" s="0" t="s">
        <v>1650</v>
      </c>
      <c r="J1" s="0" t="s">
        <v>1809</v>
      </c>
      <c r="K1" s="0" t="s">
        <v>1810</v>
      </c>
      <c r="L1" s="0" t="s">
        <v>1812</v>
      </c>
    </row>
    <row r="2">
      <c r="A2" s="0" t="s">
        <v>43</v>
      </c>
      <c r="B2" s="0" t="s">
        <v>2118</v>
      </c>
      <c r="C2" s="0"/>
      <c r="D2" s="0">
        <v>30000</v>
      </c>
      <c r="E2" s="0"/>
      <c r="F2" s="0" t="s">
        <v>3016</v>
      </c>
      <c r="G2" s="0"/>
      <c r="H2" s="0" t="s">
        <v>3256</v>
      </c>
      <c r="I2" s="0" t="s">
        <v>805</v>
      </c>
      <c r="J2" s="0"/>
      <c r="K2" s="0" t="s">
        <v>3672</v>
      </c>
      <c r="L2" s="0" t="s">
        <v>3673</v>
      </c>
    </row>
    <row r="3">
      <c r="A3" s="0" t="s">
        <v>44</v>
      </c>
      <c r="B3" s="0" t="s">
        <v>2119</v>
      </c>
      <c r="C3" s="0"/>
      <c r="D3" s="0">
        <v>50000</v>
      </c>
      <c r="E3" s="0"/>
      <c r="F3" s="0" t="s">
        <v>3017</v>
      </c>
      <c r="G3" s="0"/>
      <c r="H3" s="0" t="s">
        <v>3257</v>
      </c>
      <c r="I3" s="0" t="s">
        <v>3633</v>
      </c>
      <c r="J3" s="0"/>
      <c r="K3" s="0" t="s">
        <v>3672</v>
      </c>
      <c r="L3" s="0" t="s">
        <v>3673</v>
      </c>
    </row>
    <row r="4">
      <c r="A4" s="0" t="s">
        <v>44</v>
      </c>
      <c r="B4" s="0" t="s">
        <v>2993</v>
      </c>
      <c r="C4" s="0"/>
      <c r="D4" s="0">
        <v>32500</v>
      </c>
      <c r="E4" s="0"/>
      <c r="F4" s="0" t="s">
        <v>3018</v>
      </c>
      <c r="G4" s="0"/>
      <c r="H4" s="0" t="s">
        <v>3258</v>
      </c>
      <c r="I4" s="0" t="s">
        <v>3634</v>
      </c>
      <c r="J4" s="0"/>
      <c r="K4" s="0" t="s">
        <v>3672</v>
      </c>
      <c r="L4" s="0" t="s">
        <v>3673</v>
      </c>
    </row>
    <row r="5">
      <c r="A5" s="0" t="s">
        <v>44</v>
      </c>
      <c r="B5" s="0" t="s">
        <v>2122</v>
      </c>
      <c r="C5" s="0"/>
      <c r="D5" s="0">
        <v>45500</v>
      </c>
      <c r="E5" s="0"/>
      <c r="F5" s="0" t="s">
        <v>3019</v>
      </c>
      <c r="G5" s="0"/>
      <c r="H5" s="0" t="s">
        <v>3259</v>
      </c>
      <c r="I5" s="0" t="s">
        <v>1793</v>
      </c>
      <c r="J5" s="0"/>
      <c r="K5" s="0" t="s">
        <v>3672</v>
      </c>
      <c r="L5" s="0" t="s">
        <v>3673</v>
      </c>
    </row>
    <row r="6">
      <c r="A6" s="0" t="s">
        <v>44</v>
      </c>
      <c r="B6" s="0" t="s">
        <v>2140</v>
      </c>
      <c r="C6" s="0"/>
      <c r="D6" s="0">
        <v>85000</v>
      </c>
      <c r="E6" s="0"/>
      <c r="F6" s="0" t="s">
        <v>3020</v>
      </c>
      <c r="G6" s="0"/>
      <c r="H6" s="0"/>
      <c r="I6" s="0" t="s">
        <v>2244</v>
      </c>
      <c r="J6" s="0"/>
      <c r="K6" s="0" t="s">
        <v>3672</v>
      </c>
      <c r="L6" s="0" t="s">
        <v>3673</v>
      </c>
    </row>
    <row r="7">
      <c r="A7" s="0" t="s">
        <v>44</v>
      </c>
      <c r="B7" s="0" t="s">
        <v>243</v>
      </c>
      <c r="C7" s="0"/>
      <c r="D7" s="0">
        <v>55000</v>
      </c>
      <c r="E7" s="0"/>
      <c r="F7" s="0" t="s">
        <v>3021</v>
      </c>
      <c r="G7" s="0"/>
      <c r="H7" s="0" t="s">
        <v>3260</v>
      </c>
      <c r="I7" s="0" t="s">
        <v>637</v>
      </c>
      <c r="J7" s="0"/>
      <c r="K7" s="0" t="s">
        <v>3672</v>
      </c>
      <c r="L7" s="0" t="s">
        <v>3673</v>
      </c>
    </row>
    <row r="8">
      <c r="A8" s="0" t="s">
        <v>44</v>
      </c>
      <c r="B8" s="0" t="s">
        <v>243</v>
      </c>
      <c r="C8" s="0"/>
      <c r="D8" s="0">
        <v>44000</v>
      </c>
      <c r="E8" s="0"/>
      <c r="F8" s="0" t="s">
        <v>3022</v>
      </c>
      <c r="G8" s="0"/>
      <c r="H8" s="0" t="s">
        <v>3261</v>
      </c>
      <c r="I8" s="0" t="s">
        <v>637</v>
      </c>
      <c r="J8" s="0"/>
      <c r="K8" s="0" t="s">
        <v>3672</v>
      </c>
      <c r="L8" s="0" t="s">
        <v>3673</v>
      </c>
    </row>
    <row r="9">
      <c r="A9" s="0" t="s">
        <v>44</v>
      </c>
      <c r="B9" s="0" t="s">
        <v>2994</v>
      </c>
      <c r="C9" s="0"/>
      <c r="D9" s="0">
        <v>51000</v>
      </c>
      <c r="E9" s="0"/>
      <c r="F9" s="0" t="s">
        <v>3023</v>
      </c>
      <c r="G9" s="0"/>
      <c r="H9" s="0" t="s">
        <v>3262</v>
      </c>
      <c r="I9" s="0" t="s">
        <v>1685</v>
      </c>
      <c r="J9" s="0"/>
      <c r="K9" s="0" t="s">
        <v>3672</v>
      </c>
      <c r="L9" s="0" t="s">
        <v>3673</v>
      </c>
    </row>
    <row r="10">
      <c r="A10" s="0" t="s">
        <v>44</v>
      </c>
      <c r="B10" s="0" t="s">
        <v>245</v>
      </c>
      <c r="C10" s="0"/>
      <c r="D10" s="0">
        <v>18000</v>
      </c>
      <c r="E10" s="0"/>
      <c r="F10" s="0" t="s">
        <v>3024</v>
      </c>
      <c r="G10" s="0"/>
      <c r="H10" s="0" t="s">
        <v>3263</v>
      </c>
      <c r="I10" s="0" t="s">
        <v>1657</v>
      </c>
      <c r="J10" s="0"/>
      <c r="K10" s="0" t="s">
        <v>3672</v>
      </c>
      <c r="L10" s="0" t="s">
        <v>3673</v>
      </c>
    </row>
    <row r="11">
      <c r="A11" s="0" t="s">
        <v>44</v>
      </c>
      <c r="B11" s="0" t="s">
        <v>2995</v>
      </c>
      <c r="C11" s="0"/>
      <c r="D11" s="0">
        <v>69000</v>
      </c>
      <c r="E11" s="0"/>
      <c r="F11" s="0" t="s">
        <v>3025</v>
      </c>
      <c r="G11" s="0"/>
      <c r="H11" s="0" t="s">
        <v>3264</v>
      </c>
      <c r="I11" s="0" t="s">
        <v>3635</v>
      </c>
      <c r="J11" s="0"/>
      <c r="K11" s="0" t="s">
        <v>3672</v>
      </c>
      <c r="L11" s="0" t="s">
        <v>3673</v>
      </c>
    </row>
    <row r="12">
      <c r="A12" s="0" t="s">
        <v>44</v>
      </c>
      <c r="B12" s="0" t="s">
        <v>2127</v>
      </c>
      <c r="C12" s="0"/>
      <c r="D12" s="0">
        <v>68000</v>
      </c>
      <c r="E12" s="0"/>
      <c r="F12" s="0" t="s">
        <v>3026</v>
      </c>
      <c r="G12" s="0"/>
      <c r="H12" s="0" t="s">
        <v>3265</v>
      </c>
      <c r="I12" s="0" t="s">
        <v>1773</v>
      </c>
      <c r="J12" s="0"/>
      <c r="K12" s="0" t="s">
        <v>3672</v>
      </c>
      <c r="L12" s="0" t="s">
        <v>3673</v>
      </c>
    </row>
    <row r="13">
      <c r="A13" s="0" t="s">
        <v>44</v>
      </c>
      <c r="B13" s="0" t="s">
        <v>2127</v>
      </c>
      <c r="C13" s="0"/>
      <c r="D13" s="0">
        <v>66000</v>
      </c>
      <c r="E13" s="0"/>
      <c r="F13" s="0" t="s">
        <v>3027</v>
      </c>
      <c r="G13" s="0"/>
      <c r="H13" s="0" t="s">
        <v>3266</v>
      </c>
      <c r="I13" s="0" t="s">
        <v>1773</v>
      </c>
      <c r="J13" s="0"/>
      <c r="K13" s="0" t="s">
        <v>3672</v>
      </c>
      <c r="L13" s="0" t="s">
        <v>3673</v>
      </c>
    </row>
    <row r="14">
      <c r="A14" s="0" t="s">
        <v>44</v>
      </c>
      <c r="B14" s="0" t="s">
        <v>365</v>
      </c>
      <c r="C14" s="0"/>
      <c r="D14" s="0">
        <v>143000</v>
      </c>
      <c r="E14" s="0"/>
      <c r="F14" s="0" t="s">
        <v>3028</v>
      </c>
      <c r="G14" s="0"/>
      <c r="H14" s="0" t="s">
        <v>3267</v>
      </c>
      <c r="I14" s="0" t="s">
        <v>3636</v>
      </c>
      <c r="J14" s="0"/>
      <c r="K14" s="0" t="s">
        <v>3672</v>
      </c>
      <c r="L14" s="0" t="s">
        <v>3673</v>
      </c>
    </row>
    <row r="15">
      <c r="A15" s="0" t="s">
        <v>44</v>
      </c>
      <c r="B15" s="0" t="s">
        <v>2128</v>
      </c>
      <c r="C15" s="0"/>
      <c r="D15" s="0">
        <v>158000</v>
      </c>
      <c r="E15" s="0"/>
      <c r="F15" s="0" t="s">
        <v>3029</v>
      </c>
      <c r="G15" s="0"/>
      <c r="H15" s="0" t="s">
        <v>3268</v>
      </c>
      <c r="I15" s="0" t="s">
        <v>1785</v>
      </c>
      <c r="J15" s="0"/>
      <c r="K15" s="0" t="s">
        <v>3672</v>
      </c>
      <c r="L15" s="0" t="s">
        <v>3673</v>
      </c>
    </row>
    <row r="16">
      <c r="A16" s="0" t="s">
        <v>44</v>
      </c>
      <c r="B16" s="0" t="s">
        <v>2130</v>
      </c>
      <c r="C16" s="0"/>
      <c r="D16" s="0">
        <v>48900</v>
      </c>
      <c r="E16" s="0"/>
      <c r="F16" s="0" t="s">
        <v>3030</v>
      </c>
      <c r="G16" s="0"/>
      <c r="H16" s="0" t="s">
        <v>3269</v>
      </c>
      <c r="I16" s="0" t="s">
        <v>1734</v>
      </c>
      <c r="J16" s="0"/>
      <c r="K16" s="0" t="s">
        <v>3672</v>
      </c>
      <c r="L16" s="0" t="s">
        <v>3673</v>
      </c>
    </row>
    <row r="17">
      <c r="A17" s="0" t="s">
        <v>44</v>
      </c>
      <c r="B17" s="0" t="s">
        <v>2132</v>
      </c>
      <c r="C17" s="0"/>
      <c r="D17" s="0">
        <v>44000</v>
      </c>
      <c r="E17" s="0"/>
      <c r="F17" s="0" t="s">
        <v>3022</v>
      </c>
      <c r="G17" s="0"/>
      <c r="H17" s="0" t="s">
        <v>3270</v>
      </c>
      <c r="I17" s="0" t="s">
        <v>2934</v>
      </c>
      <c r="J17" s="0"/>
      <c r="K17" s="0" t="s">
        <v>3672</v>
      </c>
      <c r="L17" s="0" t="s">
        <v>3673</v>
      </c>
    </row>
    <row r="18">
      <c r="A18" s="0" t="s">
        <v>44</v>
      </c>
      <c r="B18" s="0" t="s">
        <v>246</v>
      </c>
      <c r="C18" s="0"/>
      <c r="D18" s="0">
        <v>49000</v>
      </c>
      <c r="E18" s="0"/>
      <c r="F18" s="0" t="s">
        <v>3031</v>
      </c>
      <c r="G18" s="0"/>
      <c r="H18" s="0" t="s">
        <v>3271</v>
      </c>
      <c r="I18" s="0" t="s">
        <v>803</v>
      </c>
      <c r="J18" s="0"/>
      <c r="K18" s="0" t="s">
        <v>3672</v>
      </c>
      <c r="L18" s="0" t="s">
        <v>3673</v>
      </c>
    </row>
    <row r="19">
      <c r="A19" s="0" t="s">
        <v>44</v>
      </c>
      <c r="B19" s="0" t="s">
        <v>246</v>
      </c>
      <c r="C19" s="0"/>
      <c r="D19" s="0">
        <v>40000</v>
      </c>
      <c r="E19" s="0"/>
      <c r="F19" s="0" t="s">
        <v>3032</v>
      </c>
      <c r="G19" s="0"/>
      <c r="H19" s="0" t="s">
        <v>3272</v>
      </c>
      <c r="I19" s="0" t="s">
        <v>643</v>
      </c>
      <c r="J19" s="0"/>
      <c r="K19" s="0" t="s">
        <v>3672</v>
      </c>
      <c r="L19" s="0" t="s">
        <v>3673</v>
      </c>
    </row>
    <row r="20">
      <c r="A20" s="0" t="s">
        <v>44</v>
      </c>
      <c r="B20" s="0" t="s">
        <v>246</v>
      </c>
      <c r="C20" s="0"/>
      <c r="D20" s="0">
        <v>42000</v>
      </c>
      <c r="E20" s="0"/>
      <c r="F20" s="0" t="s">
        <v>3033</v>
      </c>
      <c r="G20" s="0"/>
      <c r="H20" s="0" t="s">
        <v>3273</v>
      </c>
      <c r="I20" s="0" t="s">
        <v>3637</v>
      </c>
      <c r="J20" s="0"/>
      <c r="K20" s="0" t="s">
        <v>3672</v>
      </c>
      <c r="L20" s="0" t="s">
        <v>3673</v>
      </c>
    </row>
    <row r="21">
      <c r="A21" s="0" t="s">
        <v>44</v>
      </c>
      <c r="B21" s="0" t="s">
        <v>249</v>
      </c>
      <c r="C21" s="0"/>
      <c r="D21" s="0">
        <v>62500</v>
      </c>
      <c r="E21" s="0"/>
      <c r="F21" s="0" t="s">
        <v>3034</v>
      </c>
      <c r="G21" s="0"/>
      <c r="H21" s="0" t="s">
        <v>3274</v>
      </c>
      <c r="I21" s="0" t="s">
        <v>1660</v>
      </c>
      <c r="J21" s="0"/>
      <c r="K21" s="0" t="s">
        <v>3672</v>
      </c>
      <c r="L21" s="0" t="s">
        <v>3673</v>
      </c>
    </row>
    <row r="22">
      <c r="A22" s="0" t="s">
        <v>44</v>
      </c>
      <c r="B22" s="0" t="s">
        <v>252</v>
      </c>
      <c r="C22" s="0"/>
      <c r="D22" s="0">
        <v>29000</v>
      </c>
      <c r="E22" s="0"/>
      <c r="F22" s="0" t="s">
        <v>3035</v>
      </c>
      <c r="G22" s="0"/>
      <c r="H22" s="0" t="s">
        <v>3275</v>
      </c>
      <c r="I22" s="0" t="s">
        <v>3638</v>
      </c>
      <c r="J22" s="0"/>
      <c r="K22" s="0" t="s">
        <v>3672</v>
      </c>
      <c r="L22" s="0" t="s">
        <v>3673</v>
      </c>
    </row>
    <row r="23">
      <c r="A23" s="0" t="s">
        <v>44</v>
      </c>
      <c r="B23" s="0" t="s">
        <v>2138</v>
      </c>
      <c r="C23" s="0"/>
      <c r="D23" s="0">
        <v>57000</v>
      </c>
      <c r="E23" s="0"/>
      <c r="F23" s="0" t="s">
        <v>3036</v>
      </c>
      <c r="G23" s="0"/>
      <c r="H23" s="0" t="s">
        <v>3276</v>
      </c>
      <c r="I23" s="0" t="s">
        <v>3637</v>
      </c>
      <c r="J23" s="0"/>
      <c r="K23" s="0" t="s">
        <v>3672</v>
      </c>
      <c r="L23" s="0" t="s">
        <v>3673</v>
      </c>
    </row>
    <row r="24">
      <c r="A24" s="0" t="s">
        <v>44</v>
      </c>
      <c r="B24" s="0" t="s">
        <v>345</v>
      </c>
      <c r="C24" s="0"/>
      <c r="D24" s="0">
        <v>49401</v>
      </c>
      <c r="E24" s="0"/>
      <c r="F24" s="0" t="s">
        <v>3037</v>
      </c>
      <c r="G24" s="0"/>
      <c r="H24" s="0" t="s">
        <v>3277</v>
      </c>
      <c r="I24" s="0" t="s">
        <v>2430</v>
      </c>
      <c r="J24" s="0"/>
      <c r="K24" s="0" t="s">
        <v>3672</v>
      </c>
      <c r="L24" s="0" t="s">
        <v>3673</v>
      </c>
    </row>
    <row r="25">
      <c r="A25" s="0" t="s">
        <v>44</v>
      </c>
      <c r="B25" s="0" t="s">
        <v>268</v>
      </c>
      <c r="C25" s="0"/>
      <c r="D25" s="0">
        <v>64978</v>
      </c>
      <c r="E25" s="0"/>
      <c r="F25" s="0" t="s">
        <v>3038</v>
      </c>
      <c r="G25" s="0"/>
      <c r="H25" s="0" t="s">
        <v>3278</v>
      </c>
      <c r="I25" s="0" t="s">
        <v>2940</v>
      </c>
      <c r="J25" s="0"/>
      <c r="K25" s="0" t="s">
        <v>3672</v>
      </c>
      <c r="L25" s="0" t="s">
        <v>3673</v>
      </c>
    </row>
    <row r="26">
      <c r="A26" s="0" t="s">
        <v>44</v>
      </c>
      <c r="B26" s="0" t="s">
        <v>2140</v>
      </c>
      <c r="C26" s="0"/>
      <c r="D26" s="0">
        <v>35210</v>
      </c>
      <c r="E26" s="0"/>
      <c r="F26" s="0" t="s">
        <v>3039</v>
      </c>
      <c r="G26" s="0"/>
      <c r="H26" s="0" t="s">
        <v>3279</v>
      </c>
      <c r="I26" s="0" t="s">
        <v>1737</v>
      </c>
      <c r="J26" s="0"/>
      <c r="K26" s="0" t="s">
        <v>3672</v>
      </c>
      <c r="L26" s="0" t="s">
        <v>3673</v>
      </c>
    </row>
    <row r="27">
      <c r="A27" s="0" t="s">
        <v>44</v>
      </c>
      <c r="B27" s="0" t="s">
        <v>2996</v>
      </c>
      <c r="C27" s="0"/>
      <c r="D27" s="0">
        <v>54000</v>
      </c>
      <c r="E27" s="0"/>
      <c r="F27" s="0" t="s">
        <v>3040</v>
      </c>
      <c r="G27" s="0"/>
      <c r="H27" s="0" t="s">
        <v>3280</v>
      </c>
      <c r="I27" s="0" t="s">
        <v>1749</v>
      </c>
      <c r="J27" s="0"/>
      <c r="K27" s="0" t="s">
        <v>3672</v>
      </c>
      <c r="L27" s="0" t="s">
        <v>3673</v>
      </c>
    </row>
    <row r="28">
      <c r="A28" s="0" t="s">
        <v>44</v>
      </c>
      <c r="B28" s="0" t="s">
        <v>2996</v>
      </c>
      <c r="C28" s="0"/>
      <c r="D28" s="0">
        <v>27000</v>
      </c>
      <c r="E28" s="0"/>
      <c r="F28" s="0" t="s">
        <v>3041</v>
      </c>
      <c r="G28" s="0"/>
      <c r="H28" s="0" t="s">
        <v>3281</v>
      </c>
      <c r="I28" s="0" t="s">
        <v>2980</v>
      </c>
      <c r="J28" s="0"/>
      <c r="K28" s="0" t="s">
        <v>3672</v>
      </c>
      <c r="L28" s="0" t="s">
        <v>3673</v>
      </c>
    </row>
    <row r="29">
      <c r="A29" s="0" t="s">
        <v>44</v>
      </c>
      <c r="B29" s="0" t="s">
        <v>2141</v>
      </c>
      <c r="C29" s="0"/>
      <c r="D29" s="0">
        <v>29500</v>
      </c>
      <c r="E29" s="0"/>
      <c r="F29" s="0" t="s">
        <v>3042</v>
      </c>
      <c r="G29" s="0"/>
      <c r="H29" s="0" t="s">
        <v>3282</v>
      </c>
      <c r="I29" s="0" t="s">
        <v>1718</v>
      </c>
      <c r="J29" s="0"/>
      <c r="K29" s="0" t="s">
        <v>3672</v>
      </c>
      <c r="L29" s="0" t="s">
        <v>3673</v>
      </c>
    </row>
    <row r="30">
      <c r="A30" s="0" t="s">
        <v>44</v>
      </c>
      <c r="B30" s="0" t="s">
        <v>2142</v>
      </c>
      <c r="C30" s="0"/>
      <c r="D30" s="0">
        <v>33385</v>
      </c>
      <c r="E30" s="0"/>
      <c r="F30" s="0" t="s">
        <v>3043</v>
      </c>
      <c r="G30" s="0"/>
      <c r="H30" s="0" t="s">
        <v>3283</v>
      </c>
      <c r="I30" s="0" t="s">
        <v>2941</v>
      </c>
      <c r="J30" s="0"/>
      <c r="K30" s="0" t="s">
        <v>3672</v>
      </c>
      <c r="L30" s="0" t="s">
        <v>3673</v>
      </c>
    </row>
    <row r="31">
      <c r="A31" s="0" t="s">
        <v>44</v>
      </c>
      <c r="B31" s="0" t="s">
        <v>2143</v>
      </c>
      <c r="C31" s="0"/>
      <c r="D31" s="0">
        <v>35500</v>
      </c>
      <c r="E31" s="0"/>
      <c r="F31" s="0" t="s">
        <v>3044</v>
      </c>
      <c r="G31" s="0"/>
      <c r="H31" s="0" t="s">
        <v>3284</v>
      </c>
      <c r="I31" s="0" t="s">
        <v>2942</v>
      </c>
      <c r="J31" s="0"/>
      <c r="K31" s="0" t="s">
        <v>3672</v>
      </c>
      <c r="L31" s="0" t="s">
        <v>3673</v>
      </c>
    </row>
    <row r="32">
      <c r="A32" s="0" t="s">
        <v>44</v>
      </c>
      <c r="B32" s="0" t="s">
        <v>2143</v>
      </c>
      <c r="C32" s="0"/>
      <c r="D32" s="0">
        <v>32200</v>
      </c>
      <c r="E32" s="0"/>
      <c r="F32" s="0" t="s">
        <v>3045</v>
      </c>
      <c r="G32" s="0"/>
      <c r="H32" s="0" t="s">
        <v>3285</v>
      </c>
      <c r="I32" s="0" t="s">
        <v>2983</v>
      </c>
      <c r="J32" s="0"/>
      <c r="K32" s="0" t="s">
        <v>3672</v>
      </c>
      <c r="L32" s="0" t="s">
        <v>3673</v>
      </c>
    </row>
    <row r="33">
      <c r="A33" s="0" t="s">
        <v>44</v>
      </c>
      <c r="B33" s="0" t="s">
        <v>288</v>
      </c>
      <c r="C33" s="0"/>
      <c r="D33" s="0">
        <v>46200</v>
      </c>
      <c r="E33" s="0"/>
      <c r="F33" s="0" t="s">
        <v>3046</v>
      </c>
      <c r="G33" s="0"/>
      <c r="H33" s="0" t="s">
        <v>3286</v>
      </c>
      <c r="I33" s="0" t="s">
        <v>2943</v>
      </c>
      <c r="J33" s="0"/>
      <c r="K33" s="0" t="s">
        <v>3672</v>
      </c>
      <c r="L33" s="0" t="s">
        <v>3673</v>
      </c>
    </row>
    <row r="34">
      <c r="A34" s="0" t="s">
        <v>44</v>
      </c>
      <c r="B34" s="0" t="s">
        <v>2173</v>
      </c>
      <c r="C34" s="0"/>
      <c r="D34" s="0">
        <v>26970</v>
      </c>
      <c r="E34" s="0"/>
      <c r="F34" s="0" t="s">
        <v>3047</v>
      </c>
      <c r="G34" s="0"/>
      <c r="H34" s="0" t="s">
        <v>3287</v>
      </c>
      <c r="I34" s="0" t="s">
        <v>3639</v>
      </c>
      <c r="J34" s="0"/>
      <c r="K34" s="0" t="s">
        <v>3672</v>
      </c>
      <c r="L34" s="0" t="s">
        <v>3673</v>
      </c>
    </row>
    <row r="35">
      <c r="A35" s="0" t="s">
        <v>44</v>
      </c>
      <c r="B35" s="0" t="s">
        <v>2140</v>
      </c>
      <c r="C35" s="0"/>
      <c r="D35" s="0">
        <v>90000</v>
      </c>
      <c r="E35" s="0"/>
      <c r="F35" s="0" t="s">
        <v>3048</v>
      </c>
      <c r="G35" s="0"/>
      <c r="H35" s="0" t="s">
        <v>3288</v>
      </c>
      <c r="I35" s="0" t="s">
        <v>1745</v>
      </c>
      <c r="J35" s="0"/>
      <c r="K35" s="0" t="s">
        <v>3672</v>
      </c>
      <c r="L35" s="0" t="s">
        <v>3673</v>
      </c>
    </row>
    <row r="36">
      <c r="A36" s="0" t="s">
        <v>44</v>
      </c>
      <c r="B36" s="0" t="s">
        <v>345</v>
      </c>
      <c r="C36" s="0"/>
      <c r="D36" s="0">
        <v>53500</v>
      </c>
      <c r="E36" s="0"/>
      <c r="F36" s="0" t="s">
        <v>3049</v>
      </c>
      <c r="G36" s="0"/>
      <c r="H36" s="0" t="s">
        <v>3289</v>
      </c>
      <c r="I36" s="0" t="s">
        <v>3640</v>
      </c>
      <c r="J36" s="0"/>
      <c r="K36" s="0" t="s">
        <v>3672</v>
      </c>
      <c r="L36" s="0" t="s">
        <v>3673</v>
      </c>
    </row>
    <row r="37">
      <c r="A37" s="0" t="s">
        <v>44</v>
      </c>
      <c r="B37" s="0" t="s">
        <v>2997</v>
      </c>
      <c r="C37" s="0"/>
      <c r="D37" s="0">
        <v>37360</v>
      </c>
      <c r="E37" s="0"/>
      <c r="F37" s="0" t="s">
        <v>3050</v>
      </c>
      <c r="G37" s="0"/>
      <c r="H37" s="0" t="s">
        <v>3290</v>
      </c>
      <c r="I37" s="0" t="s">
        <v>3641</v>
      </c>
      <c r="J37" s="0"/>
      <c r="K37" s="0" t="s">
        <v>3672</v>
      </c>
      <c r="L37" s="0" t="s">
        <v>3673</v>
      </c>
    </row>
    <row r="38">
      <c r="A38" s="0" t="s">
        <v>44</v>
      </c>
      <c r="B38" s="0" t="s">
        <v>379</v>
      </c>
      <c r="C38" s="0"/>
      <c r="D38" s="0">
        <v>82000</v>
      </c>
      <c r="E38" s="0"/>
      <c r="F38" s="0" t="s">
        <v>3051</v>
      </c>
      <c r="G38" s="0"/>
      <c r="H38" s="0" t="s">
        <v>3291</v>
      </c>
      <c r="I38" s="0" t="s">
        <v>3642</v>
      </c>
      <c r="J38" s="0"/>
      <c r="K38" s="0" t="s">
        <v>3672</v>
      </c>
      <c r="L38" s="0" t="s">
        <v>3673</v>
      </c>
    </row>
    <row r="39">
      <c r="A39" s="0" t="s">
        <v>44</v>
      </c>
      <c r="B39" s="0" t="s">
        <v>379</v>
      </c>
      <c r="C39" s="0"/>
      <c r="D39" s="0">
        <v>32040</v>
      </c>
      <c r="E39" s="0"/>
      <c r="F39" s="0" t="s">
        <v>3052</v>
      </c>
      <c r="G39" s="0"/>
      <c r="H39" s="0" t="s">
        <v>3292</v>
      </c>
      <c r="I39" s="0" t="s">
        <v>3642</v>
      </c>
      <c r="J39" s="0"/>
      <c r="K39" s="0" t="s">
        <v>3672</v>
      </c>
      <c r="L39" s="0" t="s">
        <v>3673</v>
      </c>
    </row>
    <row r="40">
      <c r="A40" s="0" t="s">
        <v>44</v>
      </c>
      <c r="B40" s="0" t="s">
        <v>379</v>
      </c>
      <c r="C40" s="0"/>
      <c r="D40" s="0">
        <v>31980</v>
      </c>
      <c r="E40" s="0"/>
      <c r="F40" s="0" t="s">
        <v>3053</v>
      </c>
      <c r="G40" s="0"/>
      <c r="H40" s="0" t="s">
        <v>3293</v>
      </c>
      <c r="I40" s="0" t="s">
        <v>3642</v>
      </c>
      <c r="J40" s="0"/>
      <c r="K40" s="0" t="s">
        <v>3672</v>
      </c>
      <c r="L40" s="0" t="s">
        <v>3673</v>
      </c>
    </row>
    <row r="41">
      <c r="A41" s="0" t="s">
        <v>44</v>
      </c>
      <c r="B41" s="0" t="s">
        <v>2173</v>
      </c>
      <c r="C41" s="0"/>
      <c r="D41" s="0">
        <v>23980</v>
      </c>
      <c r="E41" s="0"/>
      <c r="F41" s="0" t="s">
        <v>3054</v>
      </c>
      <c r="G41" s="0"/>
      <c r="H41" s="0" t="s">
        <v>3294</v>
      </c>
      <c r="I41" s="0" t="s">
        <v>3639</v>
      </c>
      <c r="J41" s="0"/>
      <c r="K41" s="0" t="s">
        <v>3672</v>
      </c>
      <c r="L41" s="0" t="s">
        <v>3673</v>
      </c>
    </row>
    <row r="42">
      <c r="A42" s="0" t="s">
        <v>44</v>
      </c>
      <c r="B42" s="0" t="s">
        <v>2145</v>
      </c>
      <c r="C42" s="0"/>
      <c r="D42" s="0">
        <v>41200</v>
      </c>
      <c r="E42" s="0"/>
      <c r="F42" s="0" t="s">
        <v>3055</v>
      </c>
      <c r="G42" s="0"/>
      <c r="H42" s="0" t="s">
        <v>3295</v>
      </c>
      <c r="I42" s="0" t="s">
        <v>2945</v>
      </c>
      <c r="J42" s="0"/>
      <c r="K42" s="0" t="s">
        <v>3672</v>
      </c>
      <c r="L42" s="0" t="s">
        <v>3673</v>
      </c>
    </row>
    <row r="43">
      <c r="A43" s="0" t="s">
        <v>44</v>
      </c>
      <c r="B43" s="0" t="s">
        <v>319</v>
      </c>
      <c r="C43" s="0"/>
      <c r="D43" s="0">
        <v>43000</v>
      </c>
      <c r="E43" s="0"/>
      <c r="F43" s="0" t="s">
        <v>3056</v>
      </c>
      <c r="G43" s="0"/>
      <c r="H43" s="0" t="s">
        <v>3296</v>
      </c>
      <c r="I43" s="0" t="s">
        <v>1740</v>
      </c>
      <c r="J43" s="0"/>
      <c r="K43" s="0" t="s">
        <v>3672</v>
      </c>
      <c r="L43" s="0" t="s">
        <v>3673</v>
      </c>
    </row>
    <row r="44">
      <c r="A44" s="0" t="s">
        <v>44</v>
      </c>
      <c r="B44" s="0" t="s">
        <v>319</v>
      </c>
      <c r="C44" s="0"/>
      <c r="D44" s="0">
        <v>110000</v>
      </c>
      <c r="E44" s="0"/>
      <c r="F44" s="0" t="s">
        <v>3057</v>
      </c>
      <c r="G44" s="0"/>
      <c r="H44" s="0" t="s">
        <v>3297</v>
      </c>
      <c r="I44" s="0" t="s">
        <v>3643</v>
      </c>
      <c r="J44" s="0"/>
      <c r="K44" s="0" t="s">
        <v>3672</v>
      </c>
      <c r="L44" s="0" t="s">
        <v>3673</v>
      </c>
    </row>
    <row r="45">
      <c r="A45" s="0" t="s">
        <v>44</v>
      </c>
      <c r="B45" s="0" t="s">
        <v>2148</v>
      </c>
      <c r="C45" s="0"/>
      <c r="D45" s="0">
        <v>100000</v>
      </c>
      <c r="E45" s="0"/>
      <c r="F45" s="0" t="s">
        <v>3058</v>
      </c>
      <c r="G45" s="0"/>
      <c r="H45" s="0" t="s">
        <v>3298</v>
      </c>
      <c r="I45" s="0" t="s">
        <v>2948</v>
      </c>
      <c r="J45" s="0"/>
      <c r="K45" s="0" t="s">
        <v>3672</v>
      </c>
      <c r="L45" s="0" t="s">
        <v>3673</v>
      </c>
    </row>
    <row r="46">
      <c r="A46" s="0" t="s">
        <v>44</v>
      </c>
      <c r="B46" s="0" t="s">
        <v>2148</v>
      </c>
      <c r="C46" s="0"/>
      <c r="D46" s="0">
        <v>45900</v>
      </c>
      <c r="E46" s="0"/>
      <c r="F46" s="0" t="s">
        <v>3059</v>
      </c>
      <c r="G46" s="0"/>
      <c r="H46" s="0" t="s">
        <v>3299</v>
      </c>
      <c r="I46" s="0" t="s">
        <v>2948</v>
      </c>
      <c r="J46" s="0"/>
      <c r="K46" s="0" t="s">
        <v>3672</v>
      </c>
      <c r="L46" s="0" t="s">
        <v>3673</v>
      </c>
    </row>
    <row r="47">
      <c r="A47" s="0" t="s">
        <v>44</v>
      </c>
      <c r="B47" s="0" t="s">
        <v>341</v>
      </c>
      <c r="C47" s="0"/>
      <c r="D47" s="0">
        <v>64000</v>
      </c>
      <c r="E47" s="0"/>
      <c r="F47" s="0" t="s">
        <v>3060</v>
      </c>
      <c r="G47" s="0"/>
      <c r="H47" s="0" t="s">
        <v>3300</v>
      </c>
      <c r="I47" s="0" t="s">
        <v>1739</v>
      </c>
      <c r="J47" s="0"/>
      <c r="K47" s="0" t="s">
        <v>3672</v>
      </c>
      <c r="L47" s="0" t="s">
        <v>3673</v>
      </c>
    </row>
    <row r="48">
      <c r="A48" s="0" t="s">
        <v>44</v>
      </c>
      <c r="B48" s="0" t="s">
        <v>2998</v>
      </c>
      <c r="C48" s="0"/>
      <c r="D48" s="0">
        <v>23748</v>
      </c>
      <c r="E48" s="0"/>
      <c r="F48" s="0" t="s">
        <v>3061</v>
      </c>
      <c r="G48" s="0"/>
      <c r="H48" s="0" t="s">
        <v>3301</v>
      </c>
      <c r="I48" s="0" t="s">
        <v>3644</v>
      </c>
      <c r="J48" s="0"/>
      <c r="K48" s="0" t="s">
        <v>3672</v>
      </c>
      <c r="L48" s="0" t="s">
        <v>3673</v>
      </c>
    </row>
    <row r="49">
      <c r="A49" s="0" t="s">
        <v>44</v>
      </c>
      <c r="B49" s="0" t="s">
        <v>264</v>
      </c>
      <c r="C49" s="0"/>
      <c r="D49" s="0">
        <v>-999</v>
      </c>
      <c r="E49" s="0"/>
      <c r="F49" s="0" t="s">
        <v>673</v>
      </c>
      <c r="G49" s="0"/>
      <c r="H49" s="0" t="s">
        <v>3302</v>
      </c>
      <c r="I49" s="0" t="s">
        <v>2115</v>
      </c>
      <c r="J49" s="0"/>
      <c r="K49" s="0" t="s">
        <v>3672</v>
      </c>
      <c r="L49" s="0" t="s">
        <v>3673</v>
      </c>
    </row>
    <row r="50">
      <c r="A50" s="0" t="s">
        <v>44</v>
      </c>
      <c r="B50" s="0" t="s">
        <v>264</v>
      </c>
      <c r="C50" s="0"/>
      <c r="D50" s="0">
        <v>280000</v>
      </c>
      <c r="E50" s="0"/>
      <c r="F50" s="0" t="s">
        <v>3062</v>
      </c>
      <c r="G50" s="0"/>
      <c r="H50" s="0" t="s">
        <v>3303</v>
      </c>
      <c r="I50" s="0" t="s">
        <v>3645</v>
      </c>
      <c r="J50" s="0"/>
      <c r="K50" s="0" t="s">
        <v>3672</v>
      </c>
      <c r="L50" s="0" t="s">
        <v>3673</v>
      </c>
    </row>
    <row r="51">
      <c r="A51" s="0" t="s">
        <v>44</v>
      </c>
      <c r="B51" s="0" t="s">
        <v>264</v>
      </c>
      <c r="C51" s="0"/>
      <c r="D51" s="0">
        <v>15500</v>
      </c>
      <c r="E51" s="0"/>
      <c r="F51" s="0" t="s">
        <v>3063</v>
      </c>
      <c r="G51" s="0"/>
      <c r="H51" s="0" t="s">
        <v>3304</v>
      </c>
      <c r="I51" s="0" t="s">
        <v>1736</v>
      </c>
      <c r="J51" s="0"/>
      <c r="K51" s="0" t="s">
        <v>3672</v>
      </c>
      <c r="L51" s="0" t="s">
        <v>3673</v>
      </c>
    </row>
    <row r="52">
      <c r="A52" s="0" t="s">
        <v>44</v>
      </c>
      <c r="B52" s="0" t="s">
        <v>264</v>
      </c>
      <c r="C52" s="0"/>
      <c r="D52" s="0">
        <v>840000</v>
      </c>
      <c r="E52" s="0"/>
      <c r="F52" s="0" t="s">
        <v>3064</v>
      </c>
      <c r="G52" s="0"/>
      <c r="H52" s="0" t="s">
        <v>3305</v>
      </c>
      <c r="I52" s="0" t="s">
        <v>3645</v>
      </c>
      <c r="J52" s="0"/>
      <c r="K52" s="0" t="s">
        <v>3672</v>
      </c>
      <c r="L52" s="0" t="s">
        <v>3673</v>
      </c>
    </row>
    <row r="53">
      <c r="A53" s="0" t="s">
        <v>44</v>
      </c>
      <c r="B53" s="0" t="s">
        <v>264</v>
      </c>
      <c r="C53" s="0"/>
      <c r="D53" s="0">
        <v>59400</v>
      </c>
      <c r="E53" s="0"/>
      <c r="F53" s="0" t="s">
        <v>3065</v>
      </c>
      <c r="G53" s="0"/>
      <c r="H53" s="0" t="s">
        <v>3306</v>
      </c>
      <c r="I53" s="0" t="s">
        <v>1677</v>
      </c>
      <c r="J53" s="0"/>
      <c r="K53" s="0" t="s">
        <v>3672</v>
      </c>
      <c r="L53" s="0" t="s">
        <v>3673</v>
      </c>
    </row>
    <row r="54">
      <c r="A54" s="0" t="s">
        <v>44</v>
      </c>
      <c r="B54" s="0" t="s">
        <v>264</v>
      </c>
      <c r="C54" s="0"/>
      <c r="D54" s="0">
        <v>35700</v>
      </c>
      <c r="E54" s="0"/>
      <c r="F54" s="0" t="s">
        <v>3066</v>
      </c>
      <c r="G54" s="0"/>
      <c r="H54" s="0" t="s">
        <v>3307</v>
      </c>
      <c r="I54" s="0" t="s">
        <v>3646</v>
      </c>
      <c r="J54" s="0"/>
      <c r="K54" s="0" t="s">
        <v>3672</v>
      </c>
      <c r="L54" s="0" t="s">
        <v>3673</v>
      </c>
    </row>
    <row r="55">
      <c r="A55" s="0" t="s">
        <v>44</v>
      </c>
      <c r="B55" s="0" t="s">
        <v>264</v>
      </c>
      <c r="C55" s="0"/>
      <c r="D55" s="0">
        <v>54970</v>
      </c>
      <c r="E55" s="0"/>
      <c r="F55" s="0" t="s">
        <v>3067</v>
      </c>
      <c r="G55" s="0"/>
      <c r="H55" s="0" t="s">
        <v>3304</v>
      </c>
      <c r="I55" s="0" t="s">
        <v>1736</v>
      </c>
      <c r="J55" s="0"/>
      <c r="K55" s="0" t="s">
        <v>3672</v>
      </c>
      <c r="L55" s="0" t="s">
        <v>3673</v>
      </c>
    </row>
    <row r="56">
      <c r="A56" s="0" t="s">
        <v>44</v>
      </c>
      <c r="B56" s="0" t="s">
        <v>264</v>
      </c>
      <c r="C56" s="0"/>
      <c r="D56" s="0">
        <v>30000</v>
      </c>
      <c r="E56" s="0"/>
      <c r="F56" s="0" t="s">
        <v>3016</v>
      </c>
      <c r="G56" s="0"/>
      <c r="H56" s="0" t="s">
        <v>3308</v>
      </c>
      <c r="I56" s="0" t="s">
        <v>1765</v>
      </c>
      <c r="J56" s="0"/>
      <c r="K56" s="0" t="s">
        <v>3672</v>
      </c>
      <c r="L56" s="0" t="s">
        <v>3673</v>
      </c>
    </row>
    <row r="57">
      <c r="A57" s="0" t="s">
        <v>44</v>
      </c>
      <c r="B57" s="0" t="s">
        <v>264</v>
      </c>
      <c r="C57" s="0"/>
      <c r="D57" s="0">
        <v>300000</v>
      </c>
      <c r="E57" s="0"/>
      <c r="F57" s="0" t="s">
        <v>3068</v>
      </c>
      <c r="G57" s="0"/>
      <c r="H57" s="0" t="s">
        <v>3309</v>
      </c>
      <c r="I57" s="0" t="s">
        <v>3647</v>
      </c>
      <c r="J57" s="0"/>
      <c r="K57" s="0" t="s">
        <v>3672</v>
      </c>
      <c r="L57" s="0" t="s">
        <v>3673</v>
      </c>
    </row>
    <row r="58">
      <c r="A58" s="0" t="s">
        <v>44</v>
      </c>
      <c r="B58" s="0" t="s">
        <v>2127</v>
      </c>
      <c r="C58" s="0"/>
      <c r="D58" s="0">
        <v>49900</v>
      </c>
      <c r="E58" s="0"/>
      <c r="F58" s="0" t="s">
        <v>3069</v>
      </c>
      <c r="G58" s="0"/>
      <c r="H58" s="0"/>
      <c r="I58" s="0" t="s">
        <v>2244</v>
      </c>
      <c r="J58" s="0"/>
      <c r="K58" s="0" t="s">
        <v>3672</v>
      </c>
      <c r="L58" s="0" t="s">
        <v>3673</v>
      </c>
    </row>
    <row r="59">
      <c r="A59" s="0" t="s">
        <v>44</v>
      </c>
      <c r="B59" s="0" t="s">
        <v>2127</v>
      </c>
      <c r="C59" s="0"/>
      <c r="D59" s="0">
        <v>33700</v>
      </c>
      <c r="E59" s="0"/>
      <c r="F59" s="0" t="s">
        <v>3070</v>
      </c>
      <c r="G59" s="0"/>
      <c r="H59" s="0"/>
      <c r="I59" s="0" t="s">
        <v>2244</v>
      </c>
      <c r="J59" s="0"/>
      <c r="K59" s="0" t="s">
        <v>3672</v>
      </c>
      <c r="L59" s="0" t="s">
        <v>3673</v>
      </c>
    </row>
    <row r="60">
      <c r="A60" s="0" t="s">
        <v>44</v>
      </c>
      <c r="B60" s="0" t="s">
        <v>2127</v>
      </c>
      <c r="C60" s="0"/>
      <c r="D60" s="0">
        <v>33000</v>
      </c>
      <c r="E60" s="0"/>
      <c r="F60" s="0" t="s">
        <v>3071</v>
      </c>
      <c r="G60" s="0"/>
      <c r="H60" s="0" t="s">
        <v>3310</v>
      </c>
      <c r="I60" s="0" t="s">
        <v>3648</v>
      </c>
      <c r="J60" s="0"/>
      <c r="K60" s="0" t="s">
        <v>3672</v>
      </c>
      <c r="L60" s="0" t="s">
        <v>3673</v>
      </c>
    </row>
    <row r="61">
      <c r="A61" s="0" t="s">
        <v>44</v>
      </c>
      <c r="B61" s="0" t="s">
        <v>2999</v>
      </c>
      <c r="C61" s="0"/>
      <c r="D61" s="0">
        <v>30500</v>
      </c>
      <c r="E61" s="0"/>
      <c r="F61" s="0" t="s">
        <v>3072</v>
      </c>
      <c r="G61" s="0"/>
      <c r="H61" s="0" t="s">
        <v>3311</v>
      </c>
      <c r="I61" s="0" t="s">
        <v>907</v>
      </c>
      <c r="J61" s="0"/>
      <c r="K61" s="0" t="s">
        <v>3672</v>
      </c>
      <c r="L61" s="0" t="s">
        <v>3673</v>
      </c>
    </row>
    <row r="62">
      <c r="A62" s="0" t="s">
        <v>44</v>
      </c>
      <c r="B62" s="0" t="s">
        <v>268</v>
      </c>
      <c r="C62" s="0"/>
      <c r="D62" s="0">
        <v>140000</v>
      </c>
      <c r="E62" s="0"/>
      <c r="F62" s="0" t="s">
        <v>3073</v>
      </c>
      <c r="G62" s="0"/>
      <c r="H62" s="0" t="s">
        <v>3312</v>
      </c>
      <c r="I62" s="0" t="s">
        <v>2959</v>
      </c>
      <c r="J62" s="0"/>
      <c r="K62" s="0" t="s">
        <v>3672</v>
      </c>
      <c r="L62" s="0" t="s">
        <v>3673</v>
      </c>
    </row>
    <row r="63">
      <c r="A63" s="0" t="s">
        <v>44</v>
      </c>
      <c r="B63" s="0" t="s">
        <v>268</v>
      </c>
      <c r="C63" s="0"/>
      <c r="D63" s="0">
        <v>64900</v>
      </c>
      <c r="E63" s="0"/>
      <c r="F63" s="0" t="s">
        <v>3074</v>
      </c>
      <c r="G63" s="0"/>
      <c r="H63" s="0" t="s">
        <v>3313</v>
      </c>
      <c r="I63" s="0" t="s">
        <v>2960</v>
      </c>
      <c r="J63" s="0"/>
      <c r="K63" s="0" t="s">
        <v>3672</v>
      </c>
      <c r="L63" s="0" t="s">
        <v>3673</v>
      </c>
    </row>
    <row r="64">
      <c r="A64" s="0" t="s">
        <v>44</v>
      </c>
      <c r="B64" s="0" t="s">
        <v>268</v>
      </c>
      <c r="C64" s="0"/>
      <c r="D64" s="0">
        <v>52000</v>
      </c>
      <c r="E64" s="0"/>
      <c r="F64" s="0" t="s">
        <v>3075</v>
      </c>
      <c r="G64" s="0"/>
      <c r="H64" s="0" t="s">
        <v>3314</v>
      </c>
      <c r="I64" s="0" t="s">
        <v>3649</v>
      </c>
      <c r="J64" s="0"/>
      <c r="K64" s="0" t="s">
        <v>3672</v>
      </c>
      <c r="L64" s="0" t="s">
        <v>3673</v>
      </c>
    </row>
    <row r="65">
      <c r="A65" s="0" t="s">
        <v>44</v>
      </c>
      <c r="B65" s="0" t="s">
        <v>2171</v>
      </c>
      <c r="C65" s="0"/>
      <c r="D65" s="0">
        <v>65000</v>
      </c>
      <c r="E65" s="0"/>
      <c r="F65" s="0" t="s">
        <v>3076</v>
      </c>
      <c r="G65" s="0"/>
      <c r="H65" s="0" t="s">
        <v>3315</v>
      </c>
      <c r="I65" s="0" t="s">
        <v>2959</v>
      </c>
      <c r="J65" s="0"/>
      <c r="K65" s="0" t="s">
        <v>3672</v>
      </c>
      <c r="L65" s="0" t="s">
        <v>3673</v>
      </c>
    </row>
    <row r="66">
      <c r="A66" s="0" t="s">
        <v>44</v>
      </c>
      <c r="B66" s="0" t="s">
        <v>3000</v>
      </c>
      <c r="C66" s="0"/>
      <c r="D66" s="0">
        <v>31000</v>
      </c>
      <c r="E66" s="0"/>
      <c r="F66" s="0" t="s">
        <v>3077</v>
      </c>
      <c r="G66" s="0"/>
      <c r="H66" s="0" t="s">
        <v>3316</v>
      </c>
      <c r="I66" s="0" t="s">
        <v>2962</v>
      </c>
      <c r="J66" s="0"/>
      <c r="K66" s="0" t="s">
        <v>3672</v>
      </c>
      <c r="L66" s="0" t="s">
        <v>3673</v>
      </c>
    </row>
    <row r="67">
      <c r="A67" s="0" t="s">
        <v>44</v>
      </c>
      <c r="B67" s="0" t="s">
        <v>3001</v>
      </c>
      <c r="C67" s="0"/>
      <c r="D67" s="0">
        <v>80000</v>
      </c>
      <c r="E67" s="0"/>
      <c r="F67" s="0" t="s">
        <v>3078</v>
      </c>
      <c r="G67" s="0"/>
      <c r="H67" s="0" t="s">
        <v>3317</v>
      </c>
      <c r="I67" s="0" t="s">
        <v>1685</v>
      </c>
      <c r="J67" s="0"/>
      <c r="K67" s="0" t="s">
        <v>3672</v>
      </c>
      <c r="L67" s="0" t="s">
        <v>3673</v>
      </c>
    </row>
    <row r="68">
      <c r="A68" s="0" t="s">
        <v>44</v>
      </c>
      <c r="B68" s="0" t="s">
        <v>3001</v>
      </c>
      <c r="C68" s="0"/>
      <c r="D68" s="0">
        <v>46000</v>
      </c>
      <c r="E68" s="0"/>
      <c r="F68" s="0" t="s">
        <v>3079</v>
      </c>
      <c r="G68" s="0"/>
      <c r="H68" s="0" t="s">
        <v>3318</v>
      </c>
      <c r="I68" s="0" t="s">
        <v>1685</v>
      </c>
      <c r="J68" s="0"/>
      <c r="K68" s="0" t="s">
        <v>3672</v>
      </c>
      <c r="L68" s="0" t="s">
        <v>3673</v>
      </c>
    </row>
    <row r="69">
      <c r="A69" s="0" t="s">
        <v>44</v>
      </c>
      <c r="B69" s="0" t="s">
        <v>271</v>
      </c>
      <c r="C69" s="0"/>
      <c r="D69" s="0">
        <v>103000</v>
      </c>
      <c r="E69" s="0"/>
      <c r="F69" s="0" t="s">
        <v>3080</v>
      </c>
      <c r="G69" s="0"/>
      <c r="H69" s="0" t="s">
        <v>3319</v>
      </c>
      <c r="I69" s="0" t="s">
        <v>1686</v>
      </c>
      <c r="J69" s="0"/>
      <c r="K69" s="0" t="s">
        <v>3672</v>
      </c>
      <c r="L69" s="0" t="s">
        <v>3673</v>
      </c>
    </row>
    <row r="70">
      <c r="A70" s="0" t="s">
        <v>44</v>
      </c>
      <c r="B70" s="0" t="s">
        <v>272</v>
      </c>
      <c r="C70" s="0"/>
      <c r="D70" s="0">
        <v>23000</v>
      </c>
      <c r="E70" s="0"/>
      <c r="F70" s="0" t="s">
        <v>2188</v>
      </c>
      <c r="G70" s="0"/>
      <c r="H70" s="0" t="s">
        <v>3320</v>
      </c>
      <c r="I70" s="0" t="s">
        <v>3650</v>
      </c>
      <c r="J70" s="0"/>
      <c r="K70" s="0" t="s">
        <v>3672</v>
      </c>
      <c r="L70" s="0" t="s">
        <v>3673</v>
      </c>
    </row>
    <row r="71">
      <c r="A71" s="0" t="s">
        <v>44</v>
      </c>
      <c r="B71" s="0" t="s">
        <v>272</v>
      </c>
      <c r="C71" s="0"/>
      <c r="D71" s="0">
        <v>22800</v>
      </c>
      <c r="E71" s="0"/>
      <c r="F71" s="0" t="s">
        <v>3081</v>
      </c>
      <c r="G71" s="0"/>
      <c r="H71" s="0" t="s">
        <v>3321</v>
      </c>
      <c r="I71" s="0" t="s">
        <v>3650</v>
      </c>
      <c r="J71" s="0"/>
      <c r="K71" s="0" t="s">
        <v>3672</v>
      </c>
      <c r="L71" s="0" t="s">
        <v>3673</v>
      </c>
    </row>
    <row r="72">
      <c r="A72" s="0" t="s">
        <v>44</v>
      </c>
      <c r="B72" s="0" t="s">
        <v>272</v>
      </c>
      <c r="C72" s="0"/>
      <c r="D72" s="0">
        <v>46500</v>
      </c>
      <c r="E72" s="0"/>
      <c r="F72" s="0" t="s">
        <v>3082</v>
      </c>
      <c r="G72" s="0"/>
      <c r="H72" s="0" t="s">
        <v>3322</v>
      </c>
      <c r="I72" s="0" t="s">
        <v>1688</v>
      </c>
      <c r="J72" s="0"/>
      <c r="K72" s="0" t="s">
        <v>3672</v>
      </c>
      <c r="L72" s="0" t="s">
        <v>3673</v>
      </c>
    </row>
    <row r="73">
      <c r="A73" s="0" t="s">
        <v>44</v>
      </c>
      <c r="B73" s="0" t="s">
        <v>272</v>
      </c>
      <c r="C73" s="0"/>
      <c r="D73" s="0">
        <v>45000</v>
      </c>
      <c r="E73" s="0"/>
      <c r="F73" s="0" t="s">
        <v>3083</v>
      </c>
      <c r="G73" s="0"/>
      <c r="H73" s="0" t="s">
        <v>3323</v>
      </c>
      <c r="I73" s="0" t="s">
        <v>3651</v>
      </c>
      <c r="J73" s="0"/>
      <c r="K73" s="0" t="s">
        <v>3672</v>
      </c>
      <c r="L73" s="0" t="s">
        <v>3673</v>
      </c>
    </row>
    <row r="74">
      <c r="A74" s="0" t="s">
        <v>44</v>
      </c>
      <c r="B74" s="0" t="s">
        <v>272</v>
      </c>
      <c r="C74" s="0"/>
      <c r="D74" s="0">
        <v>37000</v>
      </c>
      <c r="E74" s="0"/>
      <c r="F74" s="0" t="s">
        <v>3084</v>
      </c>
      <c r="G74" s="0"/>
      <c r="H74" s="0" t="s">
        <v>3324</v>
      </c>
      <c r="I74" s="0" t="s">
        <v>3641</v>
      </c>
      <c r="J74" s="0"/>
      <c r="K74" s="0" t="s">
        <v>3672</v>
      </c>
      <c r="L74" s="0" t="s">
        <v>3673</v>
      </c>
    </row>
    <row r="75">
      <c r="A75" s="0" t="s">
        <v>44</v>
      </c>
      <c r="B75" s="0" t="s">
        <v>263</v>
      </c>
      <c r="C75" s="0"/>
      <c r="D75" s="0">
        <v>81000</v>
      </c>
      <c r="E75" s="0"/>
      <c r="F75" s="0" t="s">
        <v>3085</v>
      </c>
      <c r="G75" s="0"/>
      <c r="H75" s="0" t="s">
        <v>3325</v>
      </c>
      <c r="I75" s="0" t="s">
        <v>2964</v>
      </c>
      <c r="J75" s="0"/>
      <c r="K75" s="0" t="s">
        <v>3672</v>
      </c>
      <c r="L75" s="0" t="s">
        <v>3673</v>
      </c>
    </row>
    <row r="76">
      <c r="A76" s="0" t="s">
        <v>44</v>
      </c>
      <c r="B76" s="0" t="s">
        <v>263</v>
      </c>
      <c r="C76" s="0"/>
      <c r="D76" s="0">
        <v>74800</v>
      </c>
      <c r="E76" s="0"/>
      <c r="F76" s="0" t="s">
        <v>3086</v>
      </c>
      <c r="G76" s="0"/>
      <c r="H76" s="0" t="s">
        <v>3326</v>
      </c>
      <c r="I76" s="0" t="s">
        <v>1828</v>
      </c>
      <c r="J76" s="0"/>
      <c r="K76" s="0" t="s">
        <v>3672</v>
      </c>
      <c r="L76" s="0" t="s">
        <v>3673</v>
      </c>
    </row>
    <row r="77">
      <c r="A77" s="0" t="s">
        <v>44</v>
      </c>
      <c r="B77" s="0" t="s">
        <v>295</v>
      </c>
      <c r="C77" s="0"/>
      <c r="D77" s="0">
        <v>47500</v>
      </c>
      <c r="E77" s="0"/>
      <c r="F77" s="0" t="s">
        <v>3087</v>
      </c>
      <c r="G77" s="0"/>
      <c r="H77" s="0" t="s">
        <v>3327</v>
      </c>
      <c r="I77" s="0" t="s">
        <v>1760</v>
      </c>
      <c r="J77" s="0"/>
      <c r="K77" s="0" t="s">
        <v>3672</v>
      </c>
      <c r="L77" s="0" t="s">
        <v>3673</v>
      </c>
    </row>
    <row r="78">
      <c r="A78" s="0" t="s">
        <v>44</v>
      </c>
      <c r="B78" s="0" t="s">
        <v>274</v>
      </c>
      <c r="C78" s="0"/>
      <c r="D78" s="0">
        <v>19400</v>
      </c>
      <c r="E78" s="0"/>
      <c r="F78" s="0" t="s">
        <v>3088</v>
      </c>
      <c r="G78" s="0"/>
      <c r="H78" s="0" t="s">
        <v>3328</v>
      </c>
      <c r="I78" s="0" t="s">
        <v>1802</v>
      </c>
      <c r="J78" s="0"/>
      <c r="K78" s="0" t="s">
        <v>3672</v>
      </c>
      <c r="L78" s="0" t="s">
        <v>3673</v>
      </c>
    </row>
    <row r="79">
      <c r="A79" s="0" t="s">
        <v>44</v>
      </c>
      <c r="B79" s="0" t="s">
        <v>274</v>
      </c>
      <c r="C79" s="0"/>
      <c r="D79" s="0">
        <v>62000</v>
      </c>
      <c r="E79" s="0"/>
      <c r="F79" s="0" t="s">
        <v>3089</v>
      </c>
      <c r="G79" s="0"/>
      <c r="H79" s="0" t="s">
        <v>3329</v>
      </c>
      <c r="I79" s="0" t="s">
        <v>1658</v>
      </c>
      <c r="J79" s="0"/>
      <c r="K79" s="0" t="s">
        <v>3672</v>
      </c>
      <c r="L79" s="0" t="s">
        <v>3673</v>
      </c>
    </row>
    <row r="80">
      <c r="A80" s="0" t="s">
        <v>44</v>
      </c>
      <c r="B80" s="0" t="s">
        <v>274</v>
      </c>
      <c r="C80" s="0"/>
      <c r="D80" s="0">
        <v>24000</v>
      </c>
      <c r="E80" s="0"/>
      <c r="F80" s="0" t="s">
        <v>3090</v>
      </c>
      <c r="G80" s="0"/>
      <c r="H80" s="0" t="s">
        <v>3330</v>
      </c>
      <c r="I80" s="0" t="s">
        <v>1765</v>
      </c>
      <c r="J80" s="0"/>
      <c r="K80" s="0" t="s">
        <v>3672</v>
      </c>
      <c r="L80" s="0" t="s">
        <v>3673</v>
      </c>
    </row>
    <row r="81">
      <c r="A81" s="0" t="s">
        <v>44</v>
      </c>
      <c r="B81" s="0" t="s">
        <v>2154</v>
      </c>
      <c r="C81" s="0"/>
      <c r="D81" s="0">
        <v>80000</v>
      </c>
      <c r="E81" s="0"/>
      <c r="F81" s="0" t="s">
        <v>3078</v>
      </c>
      <c r="G81" s="0"/>
      <c r="H81" s="0" t="s">
        <v>3331</v>
      </c>
      <c r="I81" s="0" t="s">
        <v>2198</v>
      </c>
      <c r="J81" s="0"/>
      <c r="K81" s="0" t="s">
        <v>3672</v>
      </c>
      <c r="L81" s="0" t="s">
        <v>3673</v>
      </c>
    </row>
    <row r="82">
      <c r="A82" s="0" t="s">
        <v>44</v>
      </c>
      <c r="B82" s="0" t="s">
        <v>3002</v>
      </c>
      <c r="C82" s="0"/>
      <c r="D82" s="0">
        <v>38600</v>
      </c>
      <c r="E82" s="0"/>
      <c r="F82" s="0" t="s">
        <v>3091</v>
      </c>
      <c r="G82" s="0"/>
      <c r="H82" s="0" t="s">
        <v>3332</v>
      </c>
      <c r="I82" s="0" t="s">
        <v>3652</v>
      </c>
      <c r="J82" s="0"/>
      <c r="K82" s="0" t="s">
        <v>3672</v>
      </c>
      <c r="L82" s="0" t="s">
        <v>3673</v>
      </c>
    </row>
    <row r="83">
      <c r="A83" s="0" t="s">
        <v>44</v>
      </c>
      <c r="B83" s="0" t="s">
        <v>277</v>
      </c>
      <c r="C83" s="0"/>
      <c r="D83" s="0">
        <v>17000</v>
      </c>
      <c r="E83" s="0"/>
      <c r="F83" s="0" t="s">
        <v>3092</v>
      </c>
      <c r="G83" s="0"/>
      <c r="H83" s="0" t="s">
        <v>3333</v>
      </c>
      <c r="I83" s="0" t="s">
        <v>1695</v>
      </c>
      <c r="J83" s="0"/>
      <c r="K83" s="0" t="s">
        <v>3672</v>
      </c>
      <c r="L83" s="0" t="s">
        <v>3673</v>
      </c>
    </row>
    <row r="84">
      <c r="A84" s="0" t="s">
        <v>44</v>
      </c>
      <c r="B84" s="0" t="s">
        <v>3003</v>
      </c>
      <c r="C84" s="0"/>
      <c r="D84" s="0">
        <v>22000</v>
      </c>
      <c r="E84" s="0"/>
      <c r="F84" s="0" t="s">
        <v>3093</v>
      </c>
      <c r="G84" s="0"/>
      <c r="H84" s="0" t="s">
        <v>3334</v>
      </c>
      <c r="I84" s="0" t="s">
        <v>3653</v>
      </c>
      <c r="J84" s="0"/>
      <c r="K84" s="0" t="s">
        <v>3672</v>
      </c>
      <c r="L84" s="0" t="s">
        <v>3673</v>
      </c>
    </row>
    <row r="85">
      <c r="A85" s="0" t="s">
        <v>44</v>
      </c>
      <c r="B85" s="0" t="s">
        <v>278</v>
      </c>
      <c r="C85" s="0"/>
      <c r="D85" s="0">
        <v>9400</v>
      </c>
      <c r="E85" s="0"/>
      <c r="F85" s="0" t="s">
        <v>3094</v>
      </c>
      <c r="G85" s="0"/>
      <c r="H85" s="0" t="s">
        <v>3335</v>
      </c>
      <c r="I85" s="0" t="s">
        <v>1697</v>
      </c>
      <c r="J85" s="0"/>
      <c r="K85" s="0" t="s">
        <v>3672</v>
      </c>
      <c r="L85" s="0" t="s">
        <v>3673</v>
      </c>
    </row>
    <row r="86">
      <c r="A86" s="0" t="s">
        <v>44</v>
      </c>
      <c r="B86" s="0" t="s">
        <v>278</v>
      </c>
      <c r="C86" s="0"/>
      <c r="D86" s="0">
        <v>36680</v>
      </c>
      <c r="E86" s="0"/>
      <c r="F86" s="0" t="s">
        <v>3095</v>
      </c>
      <c r="G86" s="0"/>
      <c r="H86" s="0" t="s">
        <v>3336</v>
      </c>
      <c r="I86" s="0" t="s">
        <v>1698</v>
      </c>
      <c r="J86" s="0"/>
      <c r="K86" s="0" t="s">
        <v>3672</v>
      </c>
      <c r="L86" s="0" t="s">
        <v>3673</v>
      </c>
    </row>
    <row r="87">
      <c r="A87" s="0" t="s">
        <v>44</v>
      </c>
      <c r="B87" s="0" t="s">
        <v>2157</v>
      </c>
      <c r="C87" s="0"/>
      <c r="D87" s="0">
        <v>70000</v>
      </c>
      <c r="E87" s="0"/>
      <c r="F87" s="0" t="s">
        <v>3096</v>
      </c>
      <c r="G87" s="0"/>
      <c r="H87" s="0" t="s">
        <v>3337</v>
      </c>
      <c r="I87" s="0" t="s">
        <v>2968</v>
      </c>
      <c r="J87" s="0"/>
      <c r="K87" s="0" t="s">
        <v>3672</v>
      </c>
      <c r="L87" s="0" t="s">
        <v>3673</v>
      </c>
    </row>
    <row r="88">
      <c r="A88" s="0" t="s">
        <v>44</v>
      </c>
      <c r="B88" s="0" t="s">
        <v>2157</v>
      </c>
      <c r="C88" s="0"/>
      <c r="D88" s="0">
        <v>118000</v>
      </c>
      <c r="E88" s="0"/>
      <c r="F88" s="0" t="s">
        <v>3097</v>
      </c>
      <c r="G88" s="0"/>
      <c r="H88" s="0" t="s">
        <v>3338</v>
      </c>
      <c r="I88" s="0" t="s">
        <v>2968</v>
      </c>
      <c r="J88" s="0"/>
      <c r="K88" s="0" t="s">
        <v>3672</v>
      </c>
      <c r="L88" s="0" t="s">
        <v>3673</v>
      </c>
    </row>
    <row r="89">
      <c r="A89" s="0" t="s">
        <v>44</v>
      </c>
      <c r="B89" s="0" t="s">
        <v>3004</v>
      </c>
      <c r="C89" s="0"/>
      <c r="D89" s="0">
        <v>176000</v>
      </c>
      <c r="E89" s="0"/>
      <c r="F89" s="0" t="s">
        <v>3098</v>
      </c>
      <c r="G89" s="0"/>
      <c r="H89" s="0" t="s">
        <v>3339</v>
      </c>
      <c r="I89" s="0" t="s">
        <v>1729</v>
      </c>
      <c r="J89" s="0"/>
      <c r="K89" s="0" t="s">
        <v>3672</v>
      </c>
      <c r="L89" s="0" t="s">
        <v>3673</v>
      </c>
    </row>
    <row r="90">
      <c r="A90" s="0" t="s">
        <v>44</v>
      </c>
      <c r="B90" s="0" t="s">
        <v>3004</v>
      </c>
      <c r="C90" s="0"/>
      <c r="D90" s="0">
        <v>21400</v>
      </c>
      <c r="E90" s="0"/>
      <c r="F90" s="0" t="s">
        <v>3099</v>
      </c>
      <c r="G90" s="0"/>
      <c r="H90" s="0" t="s">
        <v>3340</v>
      </c>
      <c r="I90" s="0" t="s">
        <v>1729</v>
      </c>
      <c r="J90" s="0"/>
      <c r="K90" s="0" t="s">
        <v>3672</v>
      </c>
      <c r="L90" s="0" t="s">
        <v>3673</v>
      </c>
    </row>
    <row r="91">
      <c r="A91" s="0" t="s">
        <v>44</v>
      </c>
      <c r="B91" s="0" t="s">
        <v>349</v>
      </c>
      <c r="C91" s="0"/>
      <c r="D91" s="0">
        <v>34000</v>
      </c>
      <c r="E91" s="0"/>
      <c r="F91" s="0" t="s">
        <v>3100</v>
      </c>
      <c r="G91" s="0"/>
      <c r="H91" s="0" t="s">
        <v>3341</v>
      </c>
      <c r="I91" s="0" t="s">
        <v>2312</v>
      </c>
      <c r="J91" s="0"/>
      <c r="K91" s="0" t="s">
        <v>3672</v>
      </c>
      <c r="L91" s="0" t="s">
        <v>3673</v>
      </c>
    </row>
    <row r="92">
      <c r="A92" s="0" t="s">
        <v>44</v>
      </c>
      <c r="B92" s="0" t="s">
        <v>280</v>
      </c>
      <c r="C92" s="0"/>
      <c r="D92" s="0">
        <v>44600</v>
      </c>
      <c r="E92" s="0"/>
      <c r="F92" s="0" t="s">
        <v>3101</v>
      </c>
      <c r="G92" s="0"/>
      <c r="H92" s="0" t="s">
        <v>3342</v>
      </c>
      <c r="I92" s="0" t="s">
        <v>1700</v>
      </c>
      <c r="J92" s="0"/>
      <c r="K92" s="0" t="s">
        <v>3672</v>
      </c>
      <c r="L92" s="0" t="s">
        <v>3673</v>
      </c>
    </row>
    <row r="93">
      <c r="A93" s="0" t="s">
        <v>44</v>
      </c>
      <c r="B93" s="0" t="s">
        <v>303</v>
      </c>
      <c r="C93" s="0"/>
      <c r="D93" s="0">
        <v>25000</v>
      </c>
      <c r="E93" s="0"/>
      <c r="F93" s="0" t="s">
        <v>3102</v>
      </c>
      <c r="G93" s="0"/>
      <c r="H93" s="0" t="s">
        <v>3343</v>
      </c>
      <c r="I93" s="0" t="s">
        <v>1685</v>
      </c>
      <c r="J93" s="0"/>
      <c r="K93" s="0" t="s">
        <v>3672</v>
      </c>
      <c r="L93" s="0" t="s">
        <v>3673</v>
      </c>
    </row>
    <row r="94">
      <c r="A94" s="0" t="s">
        <v>44</v>
      </c>
      <c r="B94" s="0" t="s">
        <v>281</v>
      </c>
      <c r="C94" s="0"/>
      <c r="D94" s="0">
        <v>117000</v>
      </c>
      <c r="E94" s="0"/>
      <c r="F94" s="0" t="s">
        <v>3103</v>
      </c>
      <c r="G94" s="0"/>
      <c r="H94" s="0" t="s">
        <v>3344</v>
      </c>
      <c r="I94" s="0" t="s">
        <v>2970</v>
      </c>
      <c r="J94" s="0"/>
      <c r="K94" s="0" t="s">
        <v>3672</v>
      </c>
      <c r="L94" s="0" t="s">
        <v>3673</v>
      </c>
    </row>
    <row r="95">
      <c r="A95" s="0" t="s">
        <v>44</v>
      </c>
      <c r="B95" s="0" t="s">
        <v>2159</v>
      </c>
      <c r="C95" s="0"/>
      <c r="D95" s="0">
        <v>63000</v>
      </c>
      <c r="E95" s="0"/>
      <c r="F95" s="0" t="s">
        <v>3104</v>
      </c>
      <c r="G95" s="0"/>
      <c r="H95" s="0" t="s">
        <v>3345</v>
      </c>
      <c r="I95" s="0" t="s">
        <v>1751</v>
      </c>
      <c r="J95" s="0"/>
      <c r="K95" s="0" t="s">
        <v>3672</v>
      </c>
      <c r="L95" s="0" t="s">
        <v>3673</v>
      </c>
    </row>
    <row r="96">
      <c r="A96" s="0" t="s">
        <v>44</v>
      </c>
      <c r="B96" s="0" t="s">
        <v>2159</v>
      </c>
      <c r="C96" s="0"/>
      <c r="D96" s="0">
        <v>41000</v>
      </c>
      <c r="E96" s="0"/>
      <c r="F96" s="0" t="s">
        <v>3105</v>
      </c>
      <c r="G96" s="0"/>
      <c r="H96" s="0" t="s">
        <v>3346</v>
      </c>
      <c r="I96" s="0" t="s">
        <v>1751</v>
      </c>
      <c r="J96" s="0"/>
      <c r="K96" s="0" t="s">
        <v>3672</v>
      </c>
      <c r="L96" s="0" t="s">
        <v>3673</v>
      </c>
    </row>
    <row r="97">
      <c r="A97" s="0" t="s">
        <v>44</v>
      </c>
      <c r="B97" s="0" t="s">
        <v>282</v>
      </c>
      <c r="C97" s="0"/>
      <c r="D97" s="0">
        <v>67000</v>
      </c>
      <c r="E97" s="0"/>
      <c r="F97" s="0" t="s">
        <v>3106</v>
      </c>
      <c r="G97" s="0"/>
      <c r="H97" s="0" t="s">
        <v>3347</v>
      </c>
      <c r="I97" s="0" t="s">
        <v>1795</v>
      </c>
      <c r="J97" s="0"/>
      <c r="K97" s="0" t="s">
        <v>3672</v>
      </c>
      <c r="L97" s="0" t="s">
        <v>3673</v>
      </c>
    </row>
    <row r="98">
      <c r="A98" s="0" t="s">
        <v>44</v>
      </c>
      <c r="B98" s="0" t="s">
        <v>282</v>
      </c>
      <c r="C98" s="0"/>
      <c r="D98" s="0">
        <v>10000</v>
      </c>
      <c r="E98" s="0"/>
      <c r="F98" s="0" t="s">
        <v>2205</v>
      </c>
      <c r="G98" s="0"/>
      <c r="H98" s="0" t="s">
        <v>3348</v>
      </c>
      <c r="I98" s="0" t="s">
        <v>2204</v>
      </c>
      <c r="J98" s="0"/>
      <c r="K98" s="0" t="s">
        <v>3672</v>
      </c>
      <c r="L98" s="0" t="s">
        <v>3673</v>
      </c>
    </row>
    <row r="99">
      <c r="A99" s="0" t="s">
        <v>44</v>
      </c>
      <c r="B99" s="0" t="s">
        <v>282</v>
      </c>
      <c r="C99" s="0"/>
      <c r="D99" s="0">
        <v>52343</v>
      </c>
      <c r="E99" s="0"/>
      <c r="F99" s="0" t="s">
        <v>3107</v>
      </c>
      <c r="G99" s="0"/>
      <c r="H99" s="0" t="s">
        <v>3349</v>
      </c>
      <c r="I99" s="0" t="s">
        <v>2971</v>
      </c>
      <c r="J99" s="0"/>
      <c r="K99" s="0" t="s">
        <v>3672</v>
      </c>
      <c r="L99" s="0" t="s">
        <v>3673</v>
      </c>
    </row>
    <row r="100">
      <c r="A100" s="0" t="s">
        <v>44</v>
      </c>
      <c r="B100" s="0" t="s">
        <v>282</v>
      </c>
      <c r="C100" s="0"/>
      <c r="D100" s="0">
        <v>49946</v>
      </c>
      <c r="E100" s="0"/>
      <c r="F100" s="0" t="s">
        <v>3108</v>
      </c>
      <c r="G100" s="0"/>
      <c r="H100" s="0" t="s">
        <v>3349</v>
      </c>
      <c r="I100" s="0" t="s">
        <v>2971</v>
      </c>
      <c r="J100" s="0"/>
      <c r="K100" s="0" t="s">
        <v>3672</v>
      </c>
      <c r="L100" s="0" t="s">
        <v>3673</v>
      </c>
    </row>
    <row r="101">
      <c r="A101" s="0" t="s">
        <v>44</v>
      </c>
      <c r="B101" s="0" t="s">
        <v>282</v>
      </c>
      <c r="C101" s="0"/>
      <c r="D101" s="0">
        <v>32000</v>
      </c>
      <c r="E101" s="0"/>
      <c r="F101" s="0" t="s">
        <v>3109</v>
      </c>
      <c r="G101" s="0"/>
      <c r="H101" s="0" t="s">
        <v>3350</v>
      </c>
      <c r="I101" s="0" t="s">
        <v>705</v>
      </c>
      <c r="J101" s="0"/>
      <c r="K101" s="0" t="s">
        <v>3672</v>
      </c>
      <c r="L101" s="0" t="s">
        <v>3673</v>
      </c>
    </row>
    <row r="102">
      <c r="A102" s="0" t="s">
        <v>44</v>
      </c>
      <c r="B102" s="0" t="s">
        <v>282</v>
      </c>
      <c r="C102" s="0"/>
      <c r="D102" s="0">
        <v>47000</v>
      </c>
      <c r="E102" s="0"/>
      <c r="F102" s="0" t="s">
        <v>3110</v>
      </c>
      <c r="G102" s="0"/>
      <c r="H102" s="0" t="s">
        <v>3351</v>
      </c>
      <c r="I102" s="0" t="s">
        <v>2943</v>
      </c>
      <c r="J102" s="0"/>
      <c r="K102" s="0" t="s">
        <v>3672</v>
      </c>
      <c r="L102" s="0" t="s">
        <v>3673</v>
      </c>
    </row>
    <row r="103">
      <c r="A103" s="0" t="s">
        <v>44</v>
      </c>
      <c r="B103" s="0" t="s">
        <v>282</v>
      </c>
      <c r="C103" s="0"/>
      <c r="D103" s="0">
        <v>48000</v>
      </c>
      <c r="E103" s="0"/>
      <c r="F103" s="0" t="s">
        <v>3111</v>
      </c>
      <c r="G103" s="0"/>
      <c r="H103" s="0" t="s">
        <v>3352</v>
      </c>
      <c r="I103" s="0" t="s">
        <v>3654</v>
      </c>
      <c r="J103" s="0"/>
      <c r="K103" s="0" t="s">
        <v>3672</v>
      </c>
      <c r="L103" s="0" t="s">
        <v>3673</v>
      </c>
    </row>
    <row r="104">
      <c r="A104" s="0" t="s">
        <v>44</v>
      </c>
      <c r="B104" s="0" t="s">
        <v>2161</v>
      </c>
      <c r="C104" s="0"/>
      <c r="D104" s="0">
        <v>150000</v>
      </c>
      <c r="E104" s="0"/>
      <c r="F104" s="0" t="s">
        <v>3112</v>
      </c>
      <c r="G104" s="0"/>
      <c r="H104" s="0" t="s">
        <v>3353</v>
      </c>
      <c r="I104" s="0" t="s">
        <v>1787</v>
      </c>
      <c r="J104" s="0"/>
      <c r="K104" s="0" t="s">
        <v>3672</v>
      </c>
      <c r="L104" s="0" t="s">
        <v>3673</v>
      </c>
    </row>
    <row r="105">
      <c r="A105" s="0" t="s">
        <v>44</v>
      </c>
      <c r="B105" s="0" t="s">
        <v>2161</v>
      </c>
      <c r="C105" s="0"/>
      <c r="D105" s="0">
        <v>171000</v>
      </c>
      <c r="E105" s="0"/>
      <c r="F105" s="0" t="s">
        <v>3113</v>
      </c>
      <c r="G105" s="0"/>
      <c r="H105" s="0" t="s">
        <v>3354</v>
      </c>
      <c r="I105" s="0" t="s">
        <v>1787</v>
      </c>
      <c r="J105" s="0"/>
      <c r="K105" s="0" t="s">
        <v>3672</v>
      </c>
      <c r="L105" s="0" t="s">
        <v>3673</v>
      </c>
    </row>
    <row r="106">
      <c r="A106" s="0" t="s">
        <v>44</v>
      </c>
      <c r="B106" s="0" t="s">
        <v>2161</v>
      </c>
      <c r="C106" s="0"/>
      <c r="D106" s="0">
        <v>28400</v>
      </c>
      <c r="E106" s="0"/>
      <c r="F106" s="0" t="s">
        <v>3114</v>
      </c>
      <c r="G106" s="0"/>
      <c r="H106" s="0" t="s">
        <v>3353</v>
      </c>
      <c r="I106" s="0" t="s">
        <v>1787</v>
      </c>
      <c r="J106" s="0"/>
      <c r="K106" s="0" t="s">
        <v>3672</v>
      </c>
      <c r="L106" s="0" t="s">
        <v>3673</v>
      </c>
    </row>
    <row r="107">
      <c r="A107" s="0" t="s">
        <v>44</v>
      </c>
      <c r="B107" s="0" t="s">
        <v>2161</v>
      </c>
      <c r="C107" s="0"/>
      <c r="D107" s="0">
        <v>26500</v>
      </c>
      <c r="E107" s="0"/>
      <c r="F107" s="0" t="s">
        <v>3115</v>
      </c>
      <c r="G107" s="0"/>
      <c r="H107" s="0" t="s">
        <v>3355</v>
      </c>
      <c r="I107" s="0" t="s">
        <v>1787</v>
      </c>
      <c r="J107" s="0"/>
      <c r="K107" s="0" t="s">
        <v>3672</v>
      </c>
      <c r="L107" s="0" t="s">
        <v>3673</v>
      </c>
    </row>
    <row r="108">
      <c r="A108" s="0" t="s">
        <v>44</v>
      </c>
      <c r="B108" s="0" t="s">
        <v>286</v>
      </c>
      <c r="C108" s="0"/>
      <c r="D108" s="0">
        <v>180000</v>
      </c>
      <c r="E108" s="0"/>
      <c r="F108" s="0" t="s">
        <v>3116</v>
      </c>
      <c r="G108" s="0"/>
      <c r="H108" s="0" t="s">
        <v>3356</v>
      </c>
      <c r="I108" s="0" t="s">
        <v>1019</v>
      </c>
      <c r="J108" s="0"/>
      <c r="K108" s="0" t="s">
        <v>3672</v>
      </c>
      <c r="L108" s="0" t="s">
        <v>3673</v>
      </c>
    </row>
    <row r="109">
      <c r="A109" s="0" t="s">
        <v>44</v>
      </c>
      <c r="B109" s="0" t="s">
        <v>286</v>
      </c>
      <c r="C109" s="0"/>
      <c r="D109" s="0">
        <v>61700</v>
      </c>
      <c r="E109" s="0"/>
      <c r="F109" s="0" t="s">
        <v>3117</v>
      </c>
      <c r="G109" s="0"/>
      <c r="H109" s="0" t="s">
        <v>3357</v>
      </c>
      <c r="I109" s="0" t="s">
        <v>1019</v>
      </c>
      <c r="J109" s="0"/>
      <c r="K109" s="0" t="s">
        <v>3672</v>
      </c>
      <c r="L109" s="0" t="s">
        <v>3673</v>
      </c>
    </row>
    <row r="110">
      <c r="A110" s="0" t="s">
        <v>44</v>
      </c>
      <c r="B110" s="0" t="s">
        <v>286</v>
      </c>
      <c r="C110" s="0"/>
      <c r="D110" s="0">
        <v>53222</v>
      </c>
      <c r="E110" s="0"/>
      <c r="F110" s="0" t="s">
        <v>3118</v>
      </c>
      <c r="G110" s="0"/>
      <c r="H110" s="0" t="s">
        <v>3358</v>
      </c>
      <c r="I110" s="0" t="s">
        <v>642</v>
      </c>
      <c r="J110" s="0"/>
      <c r="K110" s="0" t="s">
        <v>3672</v>
      </c>
      <c r="L110" s="0" t="s">
        <v>3673</v>
      </c>
    </row>
    <row r="111">
      <c r="A111" s="0" t="s">
        <v>44</v>
      </c>
      <c r="B111" s="0" t="s">
        <v>287</v>
      </c>
      <c r="C111" s="0"/>
      <c r="D111" s="0">
        <v>38000</v>
      </c>
      <c r="E111" s="0"/>
      <c r="F111" s="0" t="s">
        <v>3119</v>
      </c>
      <c r="G111" s="0"/>
      <c r="H111" s="0" t="s">
        <v>3359</v>
      </c>
      <c r="I111" s="0" t="s">
        <v>1708</v>
      </c>
      <c r="J111" s="0"/>
      <c r="K111" s="0" t="s">
        <v>3672</v>
      </c>
      <c r="L111" s="0" t="s">
        <v>3673</v>
      </c>
    </row>
    <row r="112">
      <c r="A112" s="0" t="s">
        <v>44</v>
      </c>
      <c r="B112" s="0" t="s">
        <v>288</v>
      </c>
      <c r="C112" s="0"/>
      <c r="D112" s="0">
        <v>63500</v>
      </c>
      <c r="E112" s="0"/>
      <c r="F112" s="0" t="s">
        <v>3120</v>
      </c>
      <c r="G112" s="0"/>
      <c r="H112" s="0" t="s">
        <v>3360</v>
      </c>
      <c r="I112" s="0" t="s">
        <v>1710</v>
      </c>
      <c r="J112" s="0"/>
      <c r="K112" s="0" t="s">
        <v>3672</v>
      </c>
      <c r="L112" s="0" t="s">
        <v>3673</v>
      </c>
    </row>
    <row r="113">
      <c r="A113" s="0" t="s">
        <v>44</v>
      </c>
      <c r="B113" s="0" t="s">
        <v>289</v>
      </c>
      <c r="C113" s="0"/>
      <c r="D113" s="0">
        <v>196000</v>
      </c>
      <c r="E113" s="0"/>
      <c r="F113" s="0" t="s">
        <v>3121</v>
      </c>
      <c r="G113" s="0"/>
      <c r="H113" s="0" t="s">
        <v>3361</v>
      </c>
      <c r="I113" s="0" t="s">
        <v>1711</v>
      </c>
      <c r="J113" s="0"/>
      <c r="K113" s="0" t="s">
        <v>3672</v>
      </c>
      <c r="L113" s="0" t="s">
        <v>3673</v>
      </c>
    </row>
    <row r="114">
      <c r="A114" s="0" t="s">
        <v>44</v>
      </c>
      <c r="B114" s="0" t="s">
        <v>289</v>
      </c>
      <c r="C114" s="0"/>
      <c r="D114" s="0">
        <v>95260</v>
      </c>
      <c r="E114" s="0"/>
      <c r="F114" s="0" t="s">
        <v>3122</v>
      </c>
      <c r="G114" s="0"/>
      <c r="H114" s="0" t="s">
        <v>3362</v>
      </c>
      <c r="I114" s="0" t="s">
        <v>1711</v>
      </c>
      <c r="J114" s="0"/>
      <c r="K114" s="0" t="s">
        <v>3672</v>
      </c>
      <c r="L114" s="0" t="s">
        <v>3673</v>
      </c>
    </row>
    <row r="115">
      <c r="A115" s="0" t="s">
        <v>44</v>
      </c>
      <c r="B115" s="0" t="s">
        <v>289</v>
      </c>
      <c r="C115" s="0"/>
      <c r="D115" s="0">
        <v>63360</v>
      </c>
      <c r="E115" s="0"/>
      <c r="F115" s="0" t="s">
        <v>3123</v>
      </c>
      <c r="G115" s="0"/>
      <c r="H115" s="0" t="s">
        <v>3362</v>
      </c>
      <c r="I115" s="0" t="s">
        <v>1711</v>
      </c>
      <c r="J115" s="0"/>
      <c r="K115" s="0" t="s">
        <v>3672</v>
      </c>
      <c r="L115" s="0" t="s">
        <v>3673</v>
      </c>
    </row>
    <row r="116">
      <c r="A116" s="0" t="s">
        <v>44</v>
      </c>
      <c r="B116" s="0" t="s">
        <v>3005</v>
      </c>
      <c r="C116" s="0"/>
      <c r="D116" s="0">
        <v>36000</v>
      </c>
      <c r="E116" s="0"/>
      <c r="F116" s="0" t="s">
        <v>3124</v>
      </c>
      <c r="G116" s="0"/>
      <c r="H116" s="0" t="s">
        <v>3363</v>
      </c>
      <c r="I116" s="0" t="s">
        <v>1767</v>
      </c>
      <c r="J116" s="0"/>
      <c r="K116" s="0" t="s">
        <v>3672</v>
      </c>
      <c r="L116" s="0" t="s">
        <v>3673</v>
      </c>
    </row>
    <row r="117">
      <c r="A117" s="0" t="s">
        <v>44</v>
      </c>
      <c r="B117" s="0" t="s">
        <v>3005</v>
      </c>
      <c r="C117" s="0"/>
      <c r="D117" s="0">
        <v>28000</v>
      </c>
      <c r="E117" s="0"/>
      <c r="F117" s="0" t="s">
        <v>3125</v>
      </c>
      <c r="G117" s="0"/>
      <c r="H117" s="0" t="s">
        <v>3364</v>
      </c>
      <c r="I117" s="0" t="s">
        <v>1667</v>
      </c>
      <c r="J117" s="0"/>
      <c r="K117" s="0" t="s">
        <v>3672</v>
      </c>
      <c r="L117" s="0" t="s">
        <v>3673</v>
      </c>
    </row>
    <row r="118">
      <c r="A118" s="0" t="s">
        <v>44</v>
      </c>
      <c r="B118" s="0" t="s">
        <v>254</v>
      </c>
      <c r="C118" s="0"/>
      <c r="D118" s="0">
        <v>240000</v>
      </c>
      <c r="E118" s="0"/>
      <c r="F118" s="0" t="s">
        <v>3126</v>
      </c>
      <c r="G118" s="0"/>
      <c r="H118" s="0" t="s">
        <v>3365</v>
      </c>
      <c r="I118" s="0" t="s">
        <v>871</v>
      </c>
      <c r="J118" s="0"/>
      <c r="K118" s="0" t="s">
        <v>3672</v>
      </c>
      <c r="L118" s="0" t="s">
        <v>3673</v>
      </c>
    </row>
    <row r="119">
      <c r="A119" s="0" t="s">
        <v>44</v>
      </c>
      <c r="B119" s="0" t="s">
        <v>254</v>
      </c>
      <c r="C119" s="0"/>
      <c r="D119" s="0">
        <v>59917</v>
      </c>
      <c r="E119" s="0"/>
      <c r="F119" s="0" t="s">
        <v>3127</v>
      </c>
      <c r="G119" s="0"/>
      <c r="H119" s="0" t="s">
        <v>3366</v>
      </c>
      <c r="I119" s="0" t="s">
        <v>871</v>
      </c>
      <c r="J119" s="0"/>
      <c r="K119" s="0" t="s">
        <v>3672</v>
      </c>
      <c r="L119" s="0" t="s">
        <v>3673</v>
      </c>
    </row>
    <row r="120">
      <c r="A120" s="0" t="s">
        <v>44</v>
      </c>
      <c r="B120" s="0" t="s">
        <v>254</v>
      </c>
      <c r="C120" s="0"/>
      <c r="D120" s="0">
        <v>49859</v>
      </c>
      <c r="E120" s="0"/>
      <c r="F120" s="0" t="s">
        <v>3128</v>
      </c>
      <c r="G120" s="0"/>
      <c r="H120" s="0" t="s">
        <v>3367</v>
      </c>
      <c r="I120" s="0" t="s">
        <v>1756</v>
      </c>
      <c r="J120" s="0"/>
      <c r="K120" s="0" t="s">
        <v>3672</v>
      </c>
      <c r="L120" s="0" t="s">
        <v>3673</v>
      </c>
    </row>
    <row r="121">
      <c r="A121" s="0" t="s">
        <v>44</v>
      </c>
      <c r="B121" s="0" t="s">
        <v>254</v>
      </c>
      <c r="C121" s="0"/>
      <c r="D121" s="0">
        <v>60000</v>
      </c>
      <c r="E121" s="0"/>
      <c r="F121" s="0" t="s">
        <v>3129</v>
      </c>
      <c r="G121" s="0"/>
      <c r="H121" s="0" t="s">
        <v>3368</v>
      </c>
      <c r="I121" s="0" t="s">
        <v>1678</v>
      </c>
      <c r="J121" s="0"/>
      <c r="K121" s="0" t="s">
        <v>3672</v>
      </c>
      <c r="L121" s="0" t="s">
        <v>3673</v>
      </c>
    </row>
    <row r="122">
      <c r="A122" s="0" t="s">
        <v>44</v>
      </c>
      <c r="B122" s="0" t="s">
        <v>254</v>
      </c>
      <c r="C122" s="0"/>
      <c r="D122" s="0">
        <v>35000</v>
      </c>
      <c r="E122" s="0"/>
      <c r="F122" s="0" t="s">
        <v>3130</v>
      </c>
      <c r="G122" s="0"/>
      <c r="H122" s="0" t="s">
        <v>3369</v>
      </c>
      <c r="I122" s="0" t="s">
        <v>1655</v>
      </c>
      <c r="J122" s="0"/>
      <c r="K122" s="0" t="s">
        <v>3672</v>
      </c>
      <c r="L122" s="0" t="s">
        <v>3673</v>
      </c>
    </row>
    <row r="123">
      <c r="A123" s="0" t="s">
        <v>44</v>
      </c>
      <c r="B123" s="0" t="s">
        <v>3006</v>
      </c>
      <c r="C123" s="0"/>
      <c r="D123" s="0">
        <v>39000</v>
      </c>
      <c r="E123" s="0"/>
      <c r="F123" s="0" t="s">
        <v>3131</v>
      </c>
      <c r="G123" s="0"/>
      <c r="H123" s="0" t="s">
        <v>3370</v>
      </c>
      <c r="I123" s="0" t="s">
        <v>1748</v>
      </c>
      <c r="J123" s="0"/>
      <c r="K123" s="0" t="s">
        <v>3672</v>
      </c>
      <c r="L123" s="0" t="s">
        <v>3673</v>
      </c>
    </row>
    <row r="124">
      <c r="A124" s="0" t="s">
        <v>44</v>
      </c>
      <c r="B124" s="0" t="s">
        <v>3007</v>
      </c>
      <c r="C124" s="0"/>
      <c r="D124" s="0">
        <v>61800</v>
      </c>
      <c r="E124" s="0"/>
      <c r="F124" s="0" t="s">
        <v>3132</v>
      </c>
      <c r="G124" s="0"/>
      <c r="H124" s="0" t="s">
        <v>3371</v>
      </c>
      <c r="I124" s="0" t="s">
        <v>3655</v>
      </c>
      <c r="J124" s="0"/>
      <c r="K124" s="0" t="s">
        <v>3672</v>
      </c>
      <c r="L124" s="0" t="s">
        <v>3673</v>
      </c>
    </row>
    <row r="125">
      <c r="A125" s="0" t="s">
        <v>44</v>
      </c>
      <c r="B125" s="0" t="s">
        <v>3007</v>
      </c>
      <c r="C125" s="0"/>
      <c r="D125" s="0">
        <v>58100</v>
      </c>
      <c r="E125" s="0"/>
      <c r="F125" s="0" t="s">
        <v>3133</v>
      </c>
      <c r="G125" s="0"/>
      <c r="H125" s="0" t="s">
        <v>3372</v>
      </c>
      <c r="I125" s="0" t="s">
        <v>3655</v>
      </c>
      <c r="J125" s="0"/>
      <c r="K125" s="0" t="s">
        <v>3672</v>
      </c>
      <c r="L125" s="0" t="s">
        <v>3673</v>
      </c>
    </row>
    <row r="126">
      <c r="A126" s="0" t="s">
        <v>44</v>
      </c>
      <c r="B126" s="0" t="s">
        <v>290</v>
      </c>
      <c r="C126" s="0"/>
      <c r="D126" s="0">
        <v>79600</v>
      </c>
      <c r="E126" s="0"/>
      <c r="F126" s="0" t="s">
        <v>3134</v>
      </c>
      <c r="G126" s="0"/>
      <c r="H126" s="0" t="s">
        <v>3373</v>
      </c>
      <c r="I126" s="0" t="s">
        <v>1666</v>
      </c>
      <c r="J126" s="0"/>
      <c r="K126" s="0" t="s">
        <v>3672</v>
      </c>
      <c r="L126" s="0" t="s">
        <v>3673</v>
      </c>
    </row>
    <row r="127">
      <c r="A127" s="0" t="s">
        <v>44</v>
      </c>
      <c r="B127" s="0" t="s">
        <v>290</v>
      </c>
      <c r="C127" s="0"/>
      <c r="D127" s="0">
        <v>54900</v>
      </c>
      <c r="E127" s="0"/>
      <c r="F127" s="0" t="s">
        <v>3135</v>
      </c>
      <c r="G127" s="0"/>
      <c r="H127" s="0" t="s">
        <v>3374</v>
      </c>
      <c r="I127" s="0" t="s">
        <v>1666</v>
      </c>
      <c r="J127" s="0"/>
      <c r="K127" s="0" t="s">
        <v>3672</v>
      </c>
      <c r="L127" s="0" t="s">
        <v>3673</v>
      </c>
    </row>
    <row r="128">
      <c r="A128" s="0" t="s">
        <v>44</v>
      </c>
      <c r="B128" s="0" t="s">
        <v>2165</v>
      </c>
      <c r="C128" s="0"/>
      <c r="D128" s="0">
        <v>34270</v>
      </c>
      <c r="E128" s="0"/>
      <c r="F128" s="0" t="s">
        <v>3136</v>
      </c>
      <c r="G128" s="0"/>
      <c r="H128" s="0" t="s">
        <v>3375</v>
      </c>
      <c r="I128" s="0" t="s">
        <v>633</v>
      </c>
      <c r="J128" s="0"/>
      <c r="K128" s="0" t="s">
        <v>3672</v>
      </c>
      <c r="L128" s="0" t="s">
        <v>3673</v>
      </c>
    </row>
    <row r="129">
      <c r="A129" s="0" t="s">
        <v>45</v>
      </c>
      <c r="B129" s="0" t="s">
        <v>291</v>
      </c>
      <c r="C129" s="0"/>
      <c r="D129" s="0">
        <v>180000</v>
      </c>
      <c r="E129" s="0"/>
      <c r="F129" s="0" t="s">
        <v>3116</v>
      </c>
      <c r="G129" s="0"/>
      <c r="H129" s="0" t="s">
        <v>3376</v>
      </c>
      <c r="I129" s="0" t="s">
        <v>2438</v>
      </c>
      <c r="J129" s="0"/>
      <c r="K129" s="0" t="s">
        <v>3672</v>
      </c>
      <c r="L129" s="0" t="s">
        <v>3673</v>
      </c>
    </row>
    <row r="130">
      <c r="A130" s="0" t="s">
        <v>45</v>
      </c>
      <c r="B130" s="0" t="s">
        <v>251</v>
      </c>
      <c r="C130" s="0"/>
      <c r="D130" s="0">
        <v>100000</v>
      </c>
      <c r="E130" s="0"/>
      <c r="F130" s="0" t="s">
        <v>3058</v>
      </c>
      <c r="G130" s="0"/>
      <c r="H130" s="0" t="s">
        <v>3377</v>
      </c>
      <c r="I130" s="0" t="s">
        <v>640</v>
      </c>
      <c r="J130" s="0"/>
      <c r="K130" s="0" t="s">
        <v>3672</v>
      </c>
      <c r="L130" s="0" t="s">
        <v>3673</v>
      </c>
    </row>
    <row r="131">
      <c r="A131" s="0" t="s">
        <v>45</v>
      </c>
      <c r="B131" s="0" t="s">
        <v>251</v>
      </c>
      <c r="C131" s="0"/>
      <c r="D131" s="0">
        <v>25500</v>
      </c>
      <c r="E131" s="0"/>
      <c r="F131" s="0" t="s">
        <v>3137</v>
      </c>
      <c r="G131" s="0"/>
      <c r="H131" s="0" t="s">
        <v>3378</v>
      </c>
      <c r="I131" s="0" t="s">
        <v>681</v>
      </c>
      <c r="J131" s="0"/>
      <c r="K131" s="0" t="s">
        <v>3672</v>
      </c>
      <c r="L131" s="0" t="s">
        <v>3673</v>
      </c>
    </row>
    <row r="132">
      <c r="A132" s="0" t="s">
        <v>45</v>
      </c>
      <c r="B132" s="0" t="s">
        <v>251</v>
      </c>
      <c r="C132" s="0"/>
      <c r="D132" s="0">
        <v>28000</v>
      </c>
      <c r="E132" s="0"/>
      <c r="F132" s="0" t="s">
        <v>3125</v>
      </c>
      <c r="G132" s="0"/>
      <c r="H132" s="0" t="s">
        <v>3379</v>
      </c>
      <c r="I132" s="0" t="s">
        <v>623</v>
      </c>
      <c r="J132" s="0"/>
      <c r="K132" s="0" t="s">
        <v>3672</v>
      </c>
      <c r="L132" s="0" t="s">
        <v>3673</v>
      </c>
    </row>
    <row r="133">
      <c r="A133" s="0" t="s">
        <v>45</v>
      </c>
      <c r="B133" s="0" t="s">
        <v>251</v>
      </c>
      <c r="C133" s="0"/>
      <c r="D133" s="0">
        <v>55000</v>
      </c>
      <c r="E133" s="0"/>
      <c r="F133" s="0" t="s">
        <v>3021</v>
      </c>
      <c r="G133" s="0"/>
      <c r="H133" s="0" t="s">
        <v>3380</v>
      </c>
      <c r="I133" s="0" t="s">
        <v>1727</v>
      </c>
      <c r="J133" s="0"/>
      <c r="K133" s="0" t="s">
        <v>3672</v>
      </c>
      <c r="L133" s="0" t="s">
        <v>3673</v>
      </c>
    </row>
    <row r="134">
      <c r="A134" s="0" t="s">
        <v>45</v>
      </c>
      <c r="B134" s="0" t="s">
        <v>292</v>
      </c>
      <c r="C134" s="0"/>
      <c r="D134" s="0">
        <v>65000</v>
      </c>
      <c r="E134" s="0"/>
      <c r="F134" s="0" t="s">
        <v>3076</v>
      </c>
      <c r="G134" s="0"/>
      <c r="H134" s="0" t="s">
        <v>3381</v>
      </c>
      <c r="I134" s="0" t="s">
        <v>1019</v>
      </c>
      <c r="J134" s="0"/>
      <c r="K134" s="0" t="s">
        <v>3672</v>
      </c>
      <c r="L134" s="0" t="s">
        <v>3673</v>
      </c>
    </row>
    <row r="135">
      <c r="A135" s="0" t="s">
        <v>45</v>
      </c>
      <c r="B135" s="0" t="s">
        <v>294</v>
      </c>
      <c r="C135" s="0"/>
      <c r="D135" s="0">
        <v>30000</v>
      </c>
      <c r="E135" s="0"/>
      <c r="F135" s="0" t="s">
        <v>3016</v>
      </c>
      <c r="G135" s="0"/>
      <c r="H135" s="0" t="s">
        <v>3382</v>
      </c>
      <c r="I135" s="0" t="s">
        <v>1718</v>
      </c>
      <c r="J135" s="0"/>
      <c r="K135" s="0" t="s">
        <v>3672</v>
      </c>
      <c r="L135" s="0" t="s">
        <v>3673</v>
      </c>
    </row>
    <row r="136">
      <c r="A136" s="0" t="s">
        <v>45</v>
      </c>
      <c r="B136" s="0" t="s">
        <v>272</v>
      </c>
      <c r="C136" s="0"/>
      <c r="D136" s="0">
        <v>42000</v>
      </c>
      <c r="E136" s="0"/>
      <c r="F136" s="0" t="s">
        <v>3033</v>
      </c>
      <c r="G136" s="0"/>
      <c r="H136" s="0" t="s">
        <v>3383</v>
      </c>
      <c r="I136" s="0" t="s">
        <v>1774</v>
      </c>
      <c r="J136" s="0"/>
      <c r="K136" s="0" t="s">
        <v>3672</v>
      </c>
      <c r="L136" s="0" t="s">
        <v>3673</v>
      </c>
    </row>
    <row r="137">
      <c r="A137" s="0" t="s">
        <v>45</v>
      </c>
      <c r="B137" s="0" t="s">
        <v>263</v>
      </c>
      <c r="C137" s="0"/>
      <c r="D137" s="0">
        <v>67000</v>
      </c>
      <c r="E137" s="0"/>
      <c r="F137" s="0" t="s">
        <v>3106</v>
      </c>
      <c r="G137" s="0"/>
      <c r="H137" s="0" t="s">
        <v>3384</v>
      </c>
      <c r="I137" s="0" t="s">
        <v>1718</v>
      </c>
      <c r="J137" s="0"/>
      <c r="K137" s="0" t="s">
        <v>3672</v>
      </c>
      <c r="L137" s="0" t="s">
        <v>3673</v>
      </c>
    </row>
    <row r="138">
      <c r="A138" s="0" t="s">
        <v>45</v>
      </c>
      <c r="B138" s="0" t="s">
        <v>297</v>
      </c>
      <c r="C138" s="0"/>
      <c r="D138" s="0">
        <v>120000</v>
      </c>
      <c r="E138" s="0"/>
      <c r="F138" s="0" t="s">
        <v>3138</v>
      </c>
      <c r="G138" s="0"/>
      <c r="H138" s="0" t="s">
        <v>3385</v>
      </c>
      <c r="I138" s="0" t="s">
        <v>3656</v>
      </c>
      <c r="J138" s="0"/>
      <c r="K138" s="0" t="s">
        <v>3672</v>
      </c>
      <c r="L138" s="0" t="s">
        <v>3673</v>
      </c>
    </row>
    <row r="139">
      <c r="A139" s="0" t="s">
        <v>45</v>
      </c>
      <c r="B139" s="0" t="s">
        <v>297</v>
      </c>
      <c r="C139" s="0"/>
      <c r="D139" s="0">
        <v>40000</v>
      </c>
      <c r="E139" s="0"/>
      <c r="F139" s="0" t="s">
        <v>3032</v>
      </c>
      <c r="G139" s="0"/>
      <c r="H139" s="0" t="s">
        <v>3386</v>
      </c>
      <c r="I139" s="0" t="s">
        <v>1652</v>
      </c>
      <c r="J139" s="0"/>
      <c r="K139" s="0" t="s">
        <v>3672</v>
      </c>
      <c r="L139" s="0" t="s">
        <v>3673</v>
      </c>
    </row>
    <row r="140">
      <c r="A140" s="0" t="s">
        <v>45</v>
      </c>
      <c r="B140" s="0" t="s">
        <v>301</v>
      </c>
      <c r="C140" s="0"/>
      <c r="D140" s="0">
        <v>32000</v>
      </c>
      <c r="E140" s="0"/>
      <c r="F140" s="0" t="s">
        <v>3109</v>
      </c>
      <c r="G140" s="0"/>
      <c r="H140" s="0" t="s">
        <v>3387</v>
      </c>
      <c r="I140" s="0" t="s">
        <v>2977</v>
      </c>
      <c r="J140" s="0"/>
      <c r="K140" s="0" t="s">
        <v>3672</v>
      </c>
      <c r="L140" s="0" t="s">
        <v>3673</v>
      </c>
    </row>
    <row r="141">
      <c r="A141" s="0" t="s">
        <v>45</v>
      </c>
      <c r="B141" s="0" t="s">
        <v>301</v>
      </c>
      <c r="C141" s="0"/>
      <c r="D141" s="0">
        <v>63000</v>
      </c>
      <c r="E141" s="0"/>
      <c r="F141" s="0" t="s">
        <v>3104</v>
      </c>
      <c r="G141" s="0"/>
      <c r="H141" s="0" t="s">
        <v>3388</v>
      </c>
      <c r="I141" s="0" t="s">
        <v>1663</v>
      </c>
      <c r="J141" s="0"/>
      <c r="K141" s="0" t="s">
        <v>3672</v>
      </c>
      <c r="L141" s="0" t="s">
        <v>3673</v>
      </c>
    </row>
    <row r="142">
      <c r="A142" s="0" t="s">
        <v>45</v>
      </c>
      <c r="B142" s="0" t="s">
        <v>301</v>
      </c>
      <c r="C142" s="0"/>
      <c r="D142" s="0">
        <v>66000</v>
      </c>
      <c r="E142" s="0"/>
      <c r="F142" s="0" t="s">
        <v>3027</v>
      </c>
      <c r="G142" s="0"/>
      <c r="H142" s="0" t="s">
        <v>3389</v>
      </c>
      <c r="I142" s="0" t="s">
        <v>751</v>
      </c>
      <c r="J142" s="0"/>
      <c r="K142" s="0" t="s">
        <v>3672</v>
      </c>
      <c r="L142" s="0" t="s">
        <v>3673</v>
      </c>
    </row>
    <row r="143">
      <c r="A143" s="0" t="s">
        <v>45</v>
      </c>
      <c r="B143" s="0" t="s">
        <v>301</v>
      </c>
      <c r="C143" s="0"/>
      <c r="D143" s="0">
        <v>-999</v>
      </c>
      <c r="E143" s="0"/>
      <c r="F143" s="0" t="s">
        <v>673</v>
      </c>
      <c r="G143" s="0"/>
      <c r="H143" s="0" t="s">
        <v>3390</v>
      </c>
      <c r="I143" s="0" t="s">
        <v>3657</v>
      </c>
      <c r="J143" s="0"/>
      <c r="K143" s="0" t="s">
        <v>3672</v>
      </c>
      <c r="L143" s="0" t="s">
        <v>3673</v>
      </c>
    </row>
    <row r="144">
      <c r="A144" s="0" t="s">
        <v>45</v>
      </c>
      <c r="B144" s="0" t="s">
        <v>301</v>
      </c>
      <c r="C144" s="0"/>
      <c r="D144" s="0">
        <v>58000</v>
      </c>
      <c r="E144" s="0"/>
      <c r="F144" s="0" t="s">
        <v>3139</v>
      </c>
      <c r="G144" s="0"/>
      <c r="H144" s="0" t="s">
        <v>3391</v>
      </c>
      <c r="I144" s="0" t="s">
        <v>1792</v>
      </c>
      <c r="J144" s="0"/>
      <c r="K144" s="0" t="s">
        <v>3672</v>
      </c>
      <c r="L144" s="0" t="s">
        <v>3673</v>
      </c>
    </row>
    <row r="145">
      <c r="A145" s="0" t="s">
        <v>45</v>
      </c>
      <c r="B145" s="0" t="s">
        <v>301</v>
      </c>
      <c r="C145" s="0"/>
      <c r="D145" s="0">
        <v>21000</v>
      </c>
      <c r="E145" s="0"/>
      <c r="F145" s="0" t="s">
        <v>3140</v>
      </c>
      <c r="G145" s="0"/>
      <c r="H145" s="0" t="s">
        <v>3392</v>
      </c>
      <c r="I145" s="0" t="s">
        <v>1759</v>
      </c>
      <c r="J145" s="0"/>
      <c r="K145" s="0" t="s">
        <v>3672</v>
      </c>
      <c r="L145" s="0" t="s">
        <v>3673</v>
      </c>
    </row>
    <row r="146">
      <c r="A146" s="0" t="s">
        <v>45</v>
      </c>
      <c r="B146" s="0" t="s">
        <v>301</v>
      </c>
      <c r="C146" s="0"/>
      <c r="D146" s="0">
        <v>22000</v>
      </c>
      <c r="E146" s="0"/>
      <c r="F146" s="0" t="s">
        <v>3093</v>
      </c>
      <c r="G146" s="0"/>
      <c r="H146" s="0" t="s">
        <v>3393</v>
      </c>
      <c r="I146" s="0" t="s">
        <v>1803</v>
      </c>
      <c r="J146" s="0"/>
      <c r="K146" s="0" t="s">
        <v>3672</v>
      </c>
      <c r="L146" s="0" t="s">
        <v>3673</v>
      </c>
    </row>
    <row r="147">
      <c r="A147" s="0" t="s">
        <v>45</v>
      </c>
      <c r="B147" s="0" t="s">
        <v>301</v>
      </c>
      <c r="C147" s="0"/>
      <c r="D147" s="0">
        <v>45000</v>
      </c>
      <c r="E147" s="0"/>
      <c r="F147" s="0" t="s">
        <v>3083</v>
      </c>
      <c r="G147" s="0"/>
      <c r="H147" s="0" t="s">
        <v>3394</v>
      </c>
      <c r="I147" s="0" t="s">
        <v>819</v>
      </c>
      <c r="J147" s="0"/>
      <c r="K147" s="0" t="s">
        <v>3672</v>
      </c>
      <c r="L147" s="0" t="s">
        <v>3673</v>
      </c>
    </row>
    <row r="148">
      <c r="A148" s="0" t="s">
        <v>45</v>
      </c>
      <c r="B148" s="0" t="s">
        <v>301</v>
      </c>
      <c r="C148" s="0"/>
      <c r="D148" s="0">
        <v>43000</v>
      </c>
      <c r="E148" s="0"/>
      <c r="F148" s="0" t="s">
        <v>3056</v>
      </c>
      <c r="G148" s="0"/>
      <c r="H148" s="0" t="s">
        <v>3395</v>
      </c>
      <c r="I148" s="0" t="s">
        <v>1719</v>
      </c>
      <c r="J148" s="0"/>
      <c r="K148" s="0" t="s">
        <v>3672</v>
      </c>
      <c r="L148" s="0" t="s">
        <v>3673</v>
      </c>
    </row>
    <row r="149">
      <c r="A149" s="0" t="s">
        <v>45</v>
      </c>
      <c r="B149" s="0" t="s">
        <v>2166</v>
      </c>
      <c r="C149" s="0"/>
      <c r="D149" s="0">
        <v>31000</v>
      </c>
      <c r="E149" s="0"/>
      <c r="F149" s="0" t="s">
        <v>3077</v>
      </c>
      <c r="G149" s="0"/>
      <c r="H149" s="0" t="s">
        <v>3396</v>
      </c>
      <c r="I149" s="0" t="s">
        <v>1657</v>
      </c>
      <c r="J149" s="0"/>
      <c r="K149" s="0" t="s">
        <v>3672</v>
      </c>
      <c r="L149" s="0" t="s">
        <v>3673</v>
      </c>
    </row>
    <row r="150">
      <c r="A150" s="0" t="s">
        <v>45</v>
      </c>
      <c r="B150" s="0" t="s">
        <v>3008</v>
      </c>
      <c r="C150" s="0"/>
      <c r="D150" s="0">
        <v>229000</v>
      </c>
      <c r="E150" s="0"/>
      <c r="F150" s="0" t="s">
        <v>3141</v>
      </c>
      <c r="G150" s="0"/>
      <c r="H150" s="0"/>
      <c r="I150" s="0" t="s">
        <v>734</v>
      </c>
      <c r="J150" s="0"/>
      <c r="K150" s="0" t="s">
        <v>3672</v>
      </c>
      <c r="L150" s="0" t="s">
        <v>3673</v>
      </c>
    </row>
    <row r="151">
      <c r="A151" s="0" t="s">
        <v>45</v>
      </c>
      <c r="B151" s="0" t="s">
        <v>3009</v>
      </c>
      <c r="C151" s="0"/>
      <c r="D151" s="0">
        <v>103000</v>
      </c>
      <c r="E151" s="0"/>
      <c r="F151" s="0" t="s">
        <v>3080</v>
      </c>
      <c r="G151" s="0"/>
      <c r="H151" s="0" t="s">
        <v>3397</v>
      </c>
      <c r="I151" s="0" t="s">
        <v>2939</v>
      </c>
      <c r="J151" s="0"/>
      <c r="K151" s="0" t="s">
        <v>3672</v>
      </c>
      <c r="L151" s="0" t="s">
        <v>3673</v>
      </c>
    </row>
    <row r="152">
      <c r="A152" s="0" t="s">
        <v>45</v>
      </c>
      <c r="B152" s="0" t="s">
        <v>304</v>
      </c>
      <c r="C152" s="0"/>
      <c r="D152" s="0">
        <v>37000</v>
      </c>
      <c r="E152" s="0"/>
      <c r="F152" s="0" t="s">
        <v>3084</v>
      </c>
      <c r="G152" s="0"/>
      <c r="H152" s="0" t="s">
        <v>3398</v>
      </c>
      <c r="I152" s="0" t="s">
        <v>1728</v>
      </c>
      <c r="J152" s="0"/>
      <c r="K152" s="0" t="s">
        <v>3672</v>
      </c>
      <c r="L152" s="0" t="s">
        <v>3673</v>
      </c>
    </row>
    <row r="153">
      <c r="A153" s="0" t="s">
        <v>45</v>
      </c>
      <c r="B153" s="0" t="s">
        <v>304</v>
      </c>
      <c r="C153" s="0"/>
      <c r="D153" s="0">
        <v>320000</v>
      </c>
      <c r="E153" s="0"/>
      <c r="F153" s="0" t="s">
        <v>3142</v>
      </c>
      <c r="G153" s="0"/>
      <c r="H153" s="0" t="s">
        <v>3399</v>
      </c>
      <c r="I153" s="0" t="s">
        <v>1728</v>
      </c>
      <c r="J153" s="0"/>
      <c r="K153" s="0" t="s">
        <v>3672</v>
      </c>
      <c r="L153" s="0" t="s">
        <v>3673</v>
      </c>
    </row>
    <row r="154">
      <c r="A154" s="0" t="s">
        <v>45</v>
      </c>
      <c r="B154" s="0" t="s">
        <v>3010</v>
      </c>
      <c r="C154" s="0"/>
      <c r="D154" s="0">
        <v>155000</v>
      </c>
      <c r="E154" s="0"/>
      <c r="F154" s="0" t="s">
        <v>3143</v>
      </c>
      <c r="G154" s="0"/>
      <c r="H154" s="0" t="s">
        <v>3400</v>
      </c>
      <c r="I154" s="0" t="s">
        <v>1766</v>
      </c>
      <c r="J154" s="0"/>
      <c r="K154" s="0" t="s">
        <v>3672</v>
      </c>
      <c r="L154" s="0" t="s">
        <v>3673</v>
      </c>
    </row>
    <row r="155">
      <c r="A155" s="0" t="s">
        <v>45</v>
      </c>
      <c r="B155" s="0" t="s">
        <v>3010</v>
      </c>
      <c r="C155" s="0"/>
      <c r="D155" s="0">
        <v>102000</v>
      </c>
      <c r="E155" s="0"/>
      <c r="F155" s="0" t="s">
        <v>3144</v>
      </c>
      <c r="G155" s="0"/>
      <c r="H155" s="0" t="s">
        <v>3401</v>
      </c>
      <c r="I155" s="0" t="s">
        <v>1766</v>
      </c>
      <c r="J155" s="0"/>
      <c r="K155" s="0" t="s">
        <v>3672</v>
      </c>
      <c r="L155" s="0" t="s">
        <v>3673</v>
      </c>
    </row>
    <row r="156">
      <c r="A156" s="0" t="s">
        <v>45</v>
      </c>
      <c r="B156" s="0" t="s">
        <v>3010</v>
      </c>
      <c r="C156" s="0"/>
      <c r="D156" s="0">
        <v>219000</v>
      </c>
      <c r="E156" s="0"/>
      <c r="F156" s="0" t="s">
        <v>3145</v>
      </c>
      <c r="G156" s="0"/>
      <c r="H156" s="0" t="s">
        <v>3402</v>
      </c>
      <c r="I156" s="0" t="s">
        <v>1766</v>
      </c>
      <c r="J156" s="0"/>
      <c r="K156" s="0" t="s">
        <v>3672</v>
      </c>
      <c r="L156" s="0" t="s">
        <v>3673</v>
      </c>
    </row>
    <row r="157">
      <c r="A157" s="0" t="s">
        <v>45</v>
      </c>
      <c r="B157" s="0" t="s">
        <v>307</v>
      </c>
      <c r="C157" s="0"/>
      <c r="D157" s="0">
        <v>38600</v>
      </c>
      <c r="E157" s="0"/>
      <c r="F157" s="0" t="s">
        <v>3091</v>
      </c>
      <c r="G157" s="0"/>
      <c r="H157" s="0" t="s">
        <v>3403</v>
      </c>
      <c r="I157" s="0" t="s">
        <v>736</v>
      </c>
      <c r="J157" s="0"/>
      <c r="K157" s="0" t="s">
        <v>3672</v>
      </c>
      <c r="L157" s="0" t="s">
        <v>3673</v>
      </c>
    </row>
    <row r="158">
      <c r="A158" s="0" t="s">
        <v>45</v>
      </c>
      <c r="B158" s="0" t="s">
        <v>307</v>
      </c>
      <c r="C158" s="0"/>
      <c r="D158" s="0">
        <v>39200</v>
      </c>
      <c r="E158" s="0"/>
      <c r="F158" s="0" t="s">
        <v>3146</v>
      </c>
      <c r="G158" s="0"/>
      <c r="H158" s="0" t="s">
        <v>3404</v>
      </c>
      <c r="I158" s="0" t="s">
        <v>736</v>
      </c>
      <c r="J158" s="0"/>
      <c r="K158" s="0" t="s">
        <v>3672</v>
      </c>
      <c r="L158" s="0" t="s">
        <v>3673</v>
      </c>
    </row>
    <row r="159">
      <c r="A159" s="0" t="s">
        <v>45</v>
      </c>
      <c r="B159" s="0" t="s">
        <v>307</v>
      </c>
      <c r="C159" s="0"/>
      <c r="D159" s="0">
        <v>41000</v>
      </c>
      <c r="E159" s="0"/>
      <c r="F159" s="0" t="s">
        <v>3105</v>
      </c>
      <c r="G159" s="0"/>
      <c r="H159" s="0" t="s">
        <v>3405</v>
      </c>
      <c r="I159" s="0" t="s">
        <v>2979</v>
      </c>
      <c r="J159" s="0"/>
      <c r="K159" s="0" t="s">
        <v>3672</v>
      </c>
      <c r="L159" s="0" t="s">
        <v>3673</v>
      </c>
    </row>
    <row r="160">
      <c r="A160" s="0" t="s">
        <v>45</v>
      </c>
      <c r="B160" s="0" t="s">
        <v>307</v>
      </c>
      <c r="C160" s="0"/>
      <c r="D160" s="0">
        <v>57000</v>
      </c>
      <c r="E160" s="0"/>
      <c r="F160" s="0" t="s">
        <v>3036</v>
      </c>
      <c r="G160" s="0"/>
      <c r="H160" s="0" t="s">
        <v>3406</v>
      </c>
      <c r="I160" s="0" t="s">
        <v>736</v>
      </c>
      <c r="J160" s="0"/>
      <c r="K160" s="0" t="s">
        <v>3672</v>
      </c>
      <c r="L160" s="0" t="s">
        <v>3673</v>
      </c>
    </row>
    <row r="161">
      <c r="A161" s="0" t="s">
        <v>45</v>
      </c>
      <c r="B161" s="0" t="s">
        <v>263</v>
      </c>
      <c r="C161" s="0"/>
      <c r="D161" s="0">
        <v>60970</v>
      </c>
      <c r="E161" s="0"/>
      <c r="F161" s="0" t="s">
        <v>3147</v>
      </c>
      <c r="G161" s="0"/>
      <c r="H161" s="0" t="s">
        <v>3407</v>
      </c>
      <c r="I161" s="0" t="s">
        <v>1735</v>
      </c>
      <c r="J161" s="0"/>
      <c r="K161" s="0" t="s">
        <v>3672</v>
      </c>
      <c r="L161" s="0" t="s">
        <v>3673</v>
      </c>
    </row>
    <row r="162">
      <c r="A162" s="0" t="s">
        <v>45</v>
      </c>
      <c r="B162" s="0" t="s">
        <v>263</v>
      </c>
      <c r="C162" s="0"/>
      <c r="D162" s="0">
        <v>65230</v>
      </c>
      <c r="E162" s="0"/>
      <c r="F162" s="0" t="s">
        <v>3148</v>
      </c>
      <c r="G162" s="0"/>
      <c r="H162" s="0" t="s">
        <v>3408</v>
      </c>
      <c r="I162" s="0" t="s">
        <v>1736</v>
      </c>
      <c r="J162" s="0"/>
      <c r="K162" s="0" t="s">
        <v>3672</v>
      </c>
      <c r="L162" s="0" t="s">
        <v>3673</v>
      </c>
    </row>
    <row r="163">
      <c r="A163" s="0" t="s">
        <v>45</v>
      </c>
      <c r="B163" s="0" t="s">
        <v>263</v>
      </c>
      <c r="C163" s="0"/>
      <c r="D163" s="0">
        <v>40475</v>
      </c>
      <c r="E163" s="0"/>
      <c r="F163" s="0" t="s">
        <v>3149</v>
      </c>
      <c r="G163" s="0"/>
      <c r="H163" s="0" t="s">
        <v>3409</v>
      </c>
      <c r="I163" s="0" t="s">
        <v>1735</v>
      </c>
      <c r="J163" s="0"/>
      <c r="K163" s="0" t="s">
        <v>3672</v>
      </c>
      <c r="L163" s="0" t="s">
        <v>3673</v>
      </c>
    </row>
    <row r="164">
      <c r="A164" s="0" t="s">
        <v>45</v>
      </c>
      <c r="B164" s="0" t="s">
        <v>263</v>
      </c>
      <c r="C164" s="0"/>
      <c r="D164" s="0">
        <v>20517</v>
      </c>
      <c r="E164" s="0"/>
      <c r="F164" s="0" t="s">
        <v>3150</v>
      </c>
      <c r="G164" s="0"/>
      <c r="H164" s="0" t="s">
        <v>3409</v>
      </c>
      <c r="I164" s="0" t="s">
        <v>1735</v>
      </c>
      <c r="J164" s="0"/>
      <c r="K164" s="0" t="s">
        <v>3672</v>
      </c>
      <c r="L164" s="0" t="s">
        <v>3673</v>
      </c>
    </row>
    <row r="165">
      <c r="A165" s="0" t="s">
        <v>45</v>
      </c>
      <c r="B165" s="0" t="s">
        <v>147</v>
      </c>
      <c r="C165" s="0"/>
      <c r="D165" s="0">
        <v>78000</v>
      </c>
      <c r="E165" s="0"/>
      <c r="F165" s="0" t="s">
        <v>3151</v>
      </c>
      <c r="G165" s="0"/>
      <c r="H165" s="0" t="s">
        <v>3410</v>
      </c>
      <c r="I165" s="0" t="s">
        <v>805</v>
      </c>
      <c r="J165" s="0"/>
      <c r="K165" s="0" t="s">
        <v>3672</v>
      </c>
      <c r="L165" s="0" t="s">
        <v>3673</v>
      </c>
    </row>
    <row r="166">
      <c r="A166" s="0" t="s">
        <v>45</v>
      </c>
      <c r="B166" s="0" t="s">
        <v>147</v>
      </c>
      <c r="C166" s="0"/>
      <c r="D166" s="0">
        <v>150000</v>
      </c>
      <c r="E166" s="0"/>
      <c r="F166" s="0" t="s">
        <v>3112</v>
      </c>
      <c r="G166" s="0"/>
      <c r="H166" s="0" t="s">
        <v>3411</v>
      </c>
      <c r="I166" s="0" t="s">
        <v>1769</v>
      </c>
      <c r="J166" s="0"/>
      <c r="K166" s="0" t="s">
        <v>3672</v>
      </c>
      <c r="L166" s="0" t="s">
        <v>3673</v>
      </c>
    </row>
    <row r="167">
      <c r="A167" s="0" t="s">
        <v>45</v>
      </c>
      <c r="B167" s="0" t="s">
        <v>147</v>
      </c>
      <c r="C167" s="0"/>
      <c r="D167" s="0">
        <v>160000</v>
      </c>
      <c r="E167" s="0"/>
      <c r="F167" s="0" t="s">
        <v>3152</v>
      </c>
      <c r="G167" s="0"/>
      <c r="H167" s="0" t="s">
        <v>3412</v>
      </c>
      <c r="I167" s="0" t="s">
        <v>694</v>
      </c>
      <c r="J167" s="0"/>
      <c r="K167" s="0" t="s">
        <v>3672</v>
      </c>
      <c r="L167" s="0" t="s">
        <v>3673</v>
      </c>
    </row>
    <row r="168">
      <c r="A168" s="0" t="s">
        <v>45</v>
      </c>
      <c r="B168" s="0" t="s">
        <v>147</v>
      </c>
      <c r="C168" s="0"/>
      <c r="D168" s="0">
        <v>300000</v>
      </c>
      <c r="E168" s="0"/>
      <c r="F168" s="0" t="s">
        <v>3068</v>
      </c>
      <c r="G168" s="0"/>
      <c r="H168" s="0" t="s">
        <v>3413</v>
      </c>
      <c r="I168" s="0" t="s">
        <v>694</v>
      </c>
      <c r="J168" s="0"/>
      <c r="K168" s="0" t="s">
        <v>3672</v>
      </c>
      <c r="L168" s="0" t="s">
        <v>3673</v>
      </c>
    </row>
    <row r="169">
      <c r="A169" s="0" t="s">
        <v>45</v>
      </c>
      <c r="B169" s="0" t="s">
        <v>147</v>
      </c>
      <c r="C169" s="0"/>
      <c r="D169" s="0">
        <v>82000</v>
      </c>
      <c r="E169" s="0"/>
      <c r="F169" s="0" t="s">
        <v>3051</v>
      </c>
      <c r="G169" s="0"/>
      <c r="H169" s="0" t="s">
        <v>3414</v>
      </c>
      <c r="I169" s="0" t="s">
        <v>1770</v>
      </c>
      <c r="J169" s="0"/>
      <c r="K169" s="0" t="s">
        <v>3672</v>
      </c>
      <c r="L169" s="0" t="s">
        <v>3673</v>
      </c>
    </row>
    <row r="170">
      <c r="A170" s="0" t="s">
        <v>45</v>
      </c>
      <c r="B170" s="0" t="s">
        <v>147</v>
      </c>
      <c r="C170" s="0"/>
      <c r="D170" s="0">
        <v>95000</v>
      </c>
      <c r="E170" s="0"/>
      <c r="F170" s="0" t="s">
        <v>3153</v>
      </c>
      <c r="G170" s="0"/>
      <c r="H170" s="0" t="s">
        <v>3411</v>
      </c>
      <c r="I170" s="0" t="s">
        <v>1769</v>
      </c>
      <c r="J170" s="0"/>
      <c r="K170" s="0" t="s">
        <v>3672</v>
      </c>
      <c r="L170" s="0" t="s">
        <v>3673</v>
      </c>
    </row>
    <row r="171">
      <c r="A171" s="0" t="s">
        <v>45</v>
      </c>
      <c r="B171" s="0" t="s">
        <v>147</v>
      </c>
      <c r="C171" s="0"/>
      <c r="D171" s="0">
        <v>500000</v>
      </c>
      <c r="E171" s="0"/>
      <c r="F171" s="0" t="s">
        <v>3154</v>
      </c>
      <c r="G171" s="0"/>
      <c r="H171" s="0" t="s">
        <v>3415</v>
      </c>
      <c r="I171" s="0" t="s">
        <v>1769</v>
      </c>
      <c r="J171" s="0"/>
      <c r="K171" s="0" t="s">
        <v>3672</v>
      </c>
      <c r="L171" s="0" t="s">
        <v>3673</v>
      </c>
    </row>
    <row r="172">
      <c r="A172" s="0" t="s">
        <v>45</v>
      </c>
      <c r="B172" s="0" t="s">
        <v>147</v>
      </c>
      <c r="C172" s="0"/>
      <c r="D172" s="0">
        <v>210000</v>
      </c>
      <c r="E172" s="0"/>
      <c r="F172" s="0" t="s">
        <v>3155</v>
      </c>
      <c r="G172" s="0"/>
      <c r="H172" s="0" t="s">
        <v>3416</v>
      </c>
      <c r="I172" s="0" t="s">
        <v>607</v>
      </c>
      <c r="J172" s="0"/>
      <c r="K172" s="0" t="s">
        <v>3672</v>
      </c>
      <c r="L172" s="0" t="s">
        <v>3673</v>
      </c>
    </row>
    <row r="173">
      <c r="A173" s="0" t="s">
        <v>45</v>
      </c>
      <c r="B173" s="0" t="s">
        <v>147</v>
      </c>
      <c r="C173" s="0"/>
      <c r="D173" s="0">
        <v>62000</v>
      </c>
      <c r="E173" s="0"/>
      <c r="F173" s="0" t="s">
        <v>3089</v>
      </c>
      <c r="G173" s="0"/>
      <c r="H173" s="0" t="s">
        <v>3417</v>
      </c>
      <c r="I173" s="0" t="s">
        <v>1707</v>
      </c>
      <c r="J173" s="0"/>
      <c r="K173" s="0" t="s">
        <v>3672</v>
      </c>
      <c r="L173" s="0" t="s">
        <v>3673</v>
      </c>
    </row>
    <row r="174">
      <c r="A174" s="0" t="s">
        <v>45</v>
      </c>
      <c r="B174" s="0" t="s">
        <v>147</v>
      </c>
      <c r="C174" s="0"/>
      <c r="D174" s="0">
        <v>98000</v>
      </c>
      <c r="E174" s="0"/>
      <c r="F174" s="0" t="s">
        <v>3156</v>
      </c>
      <c r="G174" s="0"/>
      <c r="H174" s="0" t="s">
        <v>3418</v>
      </c>
      <c r="I174" s="0" t="s">
        <v>1790</v>
      </c>
      <c r="J174" s="0"/>
      <c r="K174" s="0" t="s">
        <v>3672</v>
      </c>
      <c r="L174" s="0" t="s">
        <v>3673</v>
      </c>
    </row>
    <row r="175">
      <c r="A175" s="0" t="s">
        <v>45</v>
      </c>
      <c r="B175" s="0" t="s">
        <v>147</v>
      </c>
      <c r="C175" s="0"/>
      <c r="D175" s="0">
        <v>29000</v>
      </c>
      <c r="E175" s="0"/>
      <c r="F175" s="0" t="s">
        <v>3035</v>
      </c>
      <c r="G175" s="0"/>
      <c r="H175" s="0" t="s">
        <v>3419</v>
      </c>
      <c r="I175" s="0" t="s">
        <v>824</v>
      </c>
      <c r="J175" s="0"/>
      <c r="K175" s="0" t="s">
        <v>3672</v>
      </c>
      <c r="L175" s="0" t="s">
        <v>3673</v>
      </c>
    </row>
    <row r="176">
      <c r="A176" s="0" t="s">
        <v>45</v>
      </c>
      <c r="B176" s="0" t="s">
        <v>147</v>
      </c>
      <c r="C176" s="0"/>
      <c r="D176" s="0">
        <v>53000</v>
      </c>
      <c r="E176" s="0"/>
      <c r="F176" s="0" t="s">
        <v>3157</v>
      </c>
      <c r="G176" s="0"/>
      <c r="H176" s="0" t="s">
        <v>3420</v>
      </c>
      <c r="I176" s="0" t="s">
        <v>1770</v>
      </c>
      <c r="J176" s="0"/>
      <c r="K176" s="0" t="s">
        <v>3672</v>
      </c>
      <c r="L176" s="0" t="s">
        <v>3673</v>
      </c>
    </row>
    <row r="177">
      <c r="A177" s="0" t="s">
        <v>45</v>
      </c>
      <c r="B177" s="0" t="s">
        <v>147</v>
      </c>
      <c r="C177" s="0"/>
      <c r="D177" s="0">
        <v>86000</v>
      </c>
      <c r="E177" s="0"/>
      <c r="F177" s="0" t="s">
        <v>3158</v>
      </c>
      <c r="G177" s="0"/>
      <c r="H177" s="0" t="s">
        <v>3421</v>
      </c>
      <c r="I177" s="0" t="s">
        <v>1707</v>
      </c>
      <c r="J177" s="0"/>
      <c r="K177" s="0" t="s">
        <v>3672</v>
      </c>
      <c r="L177" s="0" t="s">
        <v>3673</v>
      </c>
    </row>
    <row r="178">
      <c r="A178" s="0" t="s">
        <v>45</v>
      </c>
      <c r="B178" s="0" t="s">
        <v>147</v>
      </c>
      <c r="C178" s="0"/>
      <c r="D178" s="0">
        <v>24000</v>
      </c>
      <c r="E178" s="0"/>
      <c r="F178" s="0" t="s">
        <v>3090</v>
      </c>
      <c r="G178" s="0"/>
      <c r="H178" s="0" t="s">
        <v>3422</v>
      </c>
      <c r="I178" s="0" t="s">
        <v>1740</v>
      </c>
      <c r="J178" s="0"/>
      <c r="K178" s="0" t="s">
        <v>3672</v>
      </c>
      <c r="L178" s="0" t="s">
        <v>3673</v>
      </c>
    </row>
    <row r="179">
      <c r="A179" s="0" t="s">
        <v>45</v>
      </c>
      <c r="B179" s="0" t="s">
        <v>147</v>
      </c>
      <c r="C179" s="0"/>
      <c r="D179" s="0">
        <v>1000000</v>
      </c>
      <c r="E179" s="0"/>
      <c r="F179" s="0" t="s">
        <v>3159</v>
      </c>
      <c r="G179" s="0"/>
      <c r="H179" s="0" t="s">
        <v>3423</v>
      </c>
      <c r="I179" s="0" t="s">
        <v>2422</v>
      </c>
      <c r="J179" s="0"/>
      <c r="K179" s="0" t="s">
        <v>3672</v>
      </c>
      <c r="L179" s="0" t="s">
        <v>3673</v>
      </c>
    </row>
    <row r="180">
      <c r="A180" s="0" t="s">
        <v>45</v>
      </c>
      <c r="B180" s="0" t="s">
        <v>147</v>
      </c>
      <c r="C180" s="0"/>
      <c r="D180" s="0">
        <v>41500</v>
      </c>
      <c r="E180" s="0"/>
      <c r="F180" s="0" t="s">
        <v>3160</v>
      </c>
      <c r="G180" s="0"/>
      <c r="H180" s="0" t="s">
        <v>3424</v>
      </c>
      <c r="I180" s="0" t="s">
        <v>2968</v>
      </c>
      <c r="J180" s="0"/>
      <c r="K180" s="0" t="s">
        <v>3672</v>
      </c>
      <c r="L180" s="0" t="s">
        <v>3673</v>
      </c>
    </row>
    <row r="181">
      <c r="A181" s="0" t="s">
        <v>45</v>
      </c>
      <c r="B181" s="0" t="s">
        <v>147</v>
      </c>
      <c r="C181" s="0"/>
      <c r="D181" s="0">
        <v>2000000</v>
      </c>
      <c r="E181" s="0"/>
      <c r="F181" s="0" t="s">
        <v>3161</v>
      </c>
      <c r="G181" s="0"/>
      <c r="H181" s="0" t="s">
        <v>3423</v>
      </c>
      <c r="I181" s="0" t="s">
        <v>2422</v>
      </c>
      <c r="J181" s="0"/>
      <c r="K181" s="0" t="s">
        <v>3672</v>
      </c>
      <c r="L181" s="0" t="s">
        <v>3673</v>
      </c>
    </row>
    <row r="182">
      <c r="A182" s="0" t="s">
        <v>45</v>
      </c>
      <c r="B182" s="0" t="s">
        <v>147</v>
      </c>
      <c r="C182" s="0"/>
      <c r="D182" s="0">
        <v>14000</v>
      </c>
      <c r="E182" s="0"/>
      <c r="F182" s="0" t="s">
        <v>3162</v>
      </c>
      <c r="G182" s="0"/>
      <c r="H182" s="0" t="s">
        <v>3425</v>
      </c>
      <c r="I182" s="0" t="s">
        <v>776</v>
      </c>
      <c r="J182" s="0"/>
      <c r="K182" s="0" t="s">
        <v>3672</v>
      </c>
      <c r="L182" s="0" t="s">
        <v>3673</v>
      </c>
    </row>
    <row r="183">
      <c r="A183" s="0" t="s">
        <v>45</v>
      </c>
      <c r="B183" s="0" t="s">
        <v>147</v>
      </c>
      <c r="C183" s="0"/>
      <c r="D183" s="0">
        <v>110000</v>
      </c>
      <c r="E183" s="0"/>
      <c r="F183" s="0" t="s">
        <v>3057</v>
      </c>
      <c r="G183" s="0"/>
      <c r="H183" s="0" t="s">
        <v>3426</v>
      </c>
      <c r="I183" s="0" t="s">
        <v>1741</v>
      </c>
      <c r="J183" s="0"/>
      <c r="K183" s="0" t="s">
        <v>3672</v>
      </c>
      <c r="L183" s="0" t="s">
        <v>3673</v>
      </c>
    </row>
    <row r="184">
      <c r="A184" s="0" t="s">
        <v>45</v>
      </c>
      <c r="B184" s="0" t="s">
        <v>147</v>
      </c>
      <c r="C184" s="0"/>
      <c r="D184" s="0">
        <v>71000</v>
      </c>
      <c r="E184" s="0"/>
      <c r="F184" s="0" t="s">
        <v>3163</v>
      </c>
      <c r="G184" s="0"/>
      <c r="H184" s="0" t="s">
        <v>3427</v>
      </c>
      <c r="I184" s="0" t="s">
        <v>1770</v>
      </c>
      <c r="J184" s="0"/>
      <c r="K184" s="0" t="s">
        <v>3672</v>
      </c>
      <c r="L184" s="0" t="s">
        <v>3673</v>
      </c>
    </row>
    <row r="185">
      <c r="A185" s="0" t="s">
        <v>45</v>
      </c>
      <c r="B185" s="0" t="s">
        <v>147</v>
      </c>
      <c r="C185" s="0"/>
      <c r="D185" s="0">
        <v>27000</v>
      </c>
      <c r="E185" s="0"/>
      <c r="F185" s="0" t="s">
        <v>3041</v>
      </c>
      <c r="G185" s="0"/>
      <c r="H185" s="0" t="s">
        <v>3428</v>
      </c>
      <c r="I185" s="0" t="s">
        <v>1043</v>
      </c>
      <c r="J185" s="0"/>
      <c r="K185" s="0" t="s">
        <v>3672</v>
      </c>
      <c r="L185" s="0" t="s">
        <v>3673</v>
      </c>
    </row>
    <row r="186">
      <c r="A186" s="0" t="s">
        <v>45</v>
      </c>
      <c r="B186" s="0" t="s">
        <v>147</v>
      </c>
      <c r="C186" s="0"/>
      <c r="D186" s="0">
        <v>47000</v>
      </c>
      <c r="E186" s="0"/>
      <c r="F186" s="0" t="s">
        <v>3110</v>
      </c>
      <c r="G186" s="0"/>
      <c r="H186" s="0" t="s">
        <v>3429</v>
      </c>
      <c r="I186" s="0" t="s">
        <v>1746</v>
      </c>
      <c r="J186" s="0"/>
      <c r="K186" s="0" t="s">
        <v>3672</v>
      </c>
      <c r="L186" s="0" t="s">
        <v>3673</v>
      </c>
    </row>
    <row r="187">
      <c r="A187" s="0" t="s">
        <v>45</v>
      </c>
      <c r="B187" s="0" t="s">
        <v>147</v>
      </c>
      <c r="C187" s="0"/>
      <c r="D187" s="0">
        <v>38000</v>
      </c>
      <c r="E187" s="0"/>
      <c r="F187" s="0" t="s">
        <v>3119</v>
      </c>
      <c r="G187" s="0"/>
      <c r="H187" s="0" t="s">
        <v>3430</v>
      </c>
      <c r="I187" s="0" t="s">
        <v>776</v>
      </c>
      <c r="J187" s="0"/>
      <c r="K187" s="0" t="s">
        <v>3672</v>
      </c>
      <c r="L187" s="0" t="s">
        <v>3673</v>
      </c>
    </row>
    <row r="188">
      <c r="A188" s="0" t="s">
        <v>45</v>
      </c>
      <c r="B188" s="0" t="s">
        <v>147</v>
      </c>
      <c r="C188" s="0"/>
      <c r="D188" s="0">
        <v>61000</v>
      </c>
      <c r="E188" s="0"/>
      <c r="F188" s="0" t="s">
        <v>3164</v>
      </c>
      <c r="G188" s="0"/>
      <c r="H188" s="0" t="s">
        <v>3431</v>
      </c>
      <c r="I188" s="0" t="s">
        <v>1721</v>
      </c>
      <c r="J188" s="0"/>
      <c r="K188" s="0" t="s">
        <v>3672</v>
      </c>
      <c r="L188" s="0" t="s">
        <v>3673</v>
      </c>
    </row>
    <row r="189">
      <c r="A189" s="0" t="s">
        <v>45</v>
      </c>
      <c r="B189" s="0" t="s">
        <v>147</v>
      </c>
      <c r="C189" s="0"/>
      <c r="D189" s="0">
        <v>54000</v>
      </c>
      <c r="E189" s="0"/>
      <c r="F189" s="0" t="s">
        <v>3040</v>
      </c>
      <c r="G189" s="0"/>
      <c r="H189" s="0" t="s">
        <v>3432</v>
      </c>
      <c r="I189" s="0" t="s">
        <v>776</v>
      </c>
      <c r="J189" s="0"/>
      <c r="K189" s="0" t="s">
        <v>3672</v>
      </c>
      <c r="L189" s="0" t="s">
        <v>3673</v>
      </c>
    </row>
    <row r="190">
      <c r="A190" s="0" t="s">
        <v>45</v>
      </c>
      <c r="B190" s="0" t="s">
        <v>147</v>
      </c>
      <c r="C190" s="0"/>
      <c r="D190" s="0">
        <v>200000</v>
      </c>
      <c r="E190" s="0"/>
      <c r="F190" s="0" t="s">
        <v>3165</v>
      </c>
      <c r="G190" s="0"/>
      <c r="H190" s="0" t="s">
        <v>3433</v>
      </c>
      <c r="I190" s="0" t="s">
        <v>1785</v>
      </c>
      <c r="J190" s="0"/>
      <c r="K190" s="0" t="s">
        <v>3672</v>
      </c>
      <c r="L190" s="0" t="s">
        <v>3673</v>
      </c>
    </row>
    <row r="191">
      <c r="A191" s="0" t="s">
        <v>45</v>
      </c>
      <c r="B191" s="0" t="s">
        <v>147</v>
      </c>
      <c r="C191" s="0"/>
      <c r="D191" s="0">
        <v>250000</v>
      </c>
      <c r="E191" s="0"/>
      <c r="F191" s="0" t="s">
        <v>3166</v>
      </c>
      <c r="G191" s="0"/>
      <c r="H191" s="0" t="s">
        <v>3434</v>
      </c>
      <c r="I191" s="0" t="s">
        <v>3658</v>
      </c>
      <c r="J191" s="0"/>
      <c r="K191" s="0" t="s">
        <v>3672</v>
      </c>
      <c r="L191" s="0" t="s">
        <v>3673</v>
      </c>
    </row>
    <row r="192">
      <c r="A192" s="0" t="s">
        <v>45</v>
      </c>
      <c r="B192" s="0" t="s">
        <v>147</v>
      </c>
      <c r="C192" s="0"/>
      <c r="D192" s="0">
        <v>25000</v>
      </c>
      <c r="E192" s="0"/>
      <c r="F192" s="0" t="s">
        <v>3102</v>
      </c>
      <c r="G192" s="0"/>
      <c r="H192" s="0" t="s">
        <v>3435</v>
      </c>
      <c r="I192" s="0" t="s">
        <v>827</v>
      </c>
      <c r="J192" s="0"/>
      <c r="K192" s="0" t="s">
        <v>3672</v>
      </c>
      <c r="L192" s="0" t="s">
        <v>3673</v>
      </c>
    </row>
    <row r="193">
      <c r="A193" s="0" t="s">
        <v>45</v>
      </c>
      <c r="B193" s="0" t="s">
        <v>147</v>
      </c>
      <c r="C193" s="0"/>
      <c r="D193" s="0">
        <v>70000</v>
      </c>
      <c r="E193" s="0"/>
      <c r="F193" s="0" t="s">
        <v>3096</v>
      </c>
      <c r="G193" s="0"/>
      <c r="H193" s="0" t="s">
        <v>3436</v>
      </c>
      <c r="I193" s="0" t="s">
        <v>3659</v>
      </c>
      <c r="J193" s="0"/>
      <c r="K193" s="0" t="s">
        <v>3672</v>
      </c>
      <c r="L193" s="0" t="s">
        <v>3673</v>
      </c>
    </row>
    <row r="194">
      <c r="A194" s="0" t="s">
        <v>45</v>
      </c>
      <c r="B194" s="0" t="s">
        <v>147</v>
      </c>
      <c r="C194" s="0"/>
      <c r="D194" s="0">
        <v>20000</v>
      </c>
      <c r="E194" s="0"/>
      <c r="F194" s="0" t="s">
        <v>3167</v>
      </c>
      <c r="G194" s="0"/>
      <c r="H194" s="0" t="s">
        <v>3437</v>
      </c>
      <c r="I194" s="0" t="s">
        <v>1770</v>
      </c>
      <c r="J194" s="0"/>
      <c r="K194" s="0" t="s">
        <v>3672</v>
      </c>
      <c r="L194" s="0" t="s">
        <v>3673</v>
      </c>
    </row>
    <row r="195">
      <c r="A195" s="0" t="s">
        <v>45</v>
      </c>
      <c r="B195" s="0" t="s">
        <v>147</v>
      </c>
      <c r="C195" s="0"/>
      <c r="D195" s="0">
        <v>80000</v>
      </c>
      <c r="E195" s="0"/>
      <c r="F195" s="0" t="s">
        <v>3078</v>
      </c>
      <c r="G195" s="0"/>
      <c r="H195" s="0" t="s">
        <v>3438</v>
      </c>
      <c r="I195" s="0" t="s">
        <v>3660</v>
      </c>
      <c r="J195" s="0"/>
      <c r="K195" s="0" t="s">
        <v>3672</v>
      </c>
      <c r="L195" s="0" t="s">
        <v>3673</v>
      </c>
    </row>
    <row r="196">
      <c r="A196" s="0" t="s">
        <v>45</v>
      </c>
      <c r="B196" s="0" t="s">
        <v>147</v>
      </c>
      <c r="C196" s="0"/>
      <c r="D196" s="0">
        <v>90000</v>
      </c>
      <c r="E196" s="0"/>
      <c r="F196" s="0" t="s">
        <v>3048</v>
      </c>
      <c r="G196" s="0"/>
      <c r="H196" s="0" t="s">
        <v>3439</v>
      </c>
      <c r="I196" s="0" t="s">
        <v>3661</v>
      </c>
      <c r="J196" s="0"/>
      <c r="K196" s="0" t="s">
        <v>3672</v>
      </c>
      <c r="L196" s="0" t="s">
        <v>3673</v>
      </c>
    </row>
    <row r="197">
      <c r="A197" s="0" t="s">
        <v>45</v>
      </c>
      <c r="B197" s="0" t="s">
        <v>147</v>
      </c>
      <c r="C197" s="0"/>
      <c r="D197" s="0">
        <v>64000</v>
      </c>
      <c r="E197" s="0"/>
      <c r="F197" s="0" t="s">
        <v>3060</v>
      </c>
      <c r="G197" s="0"/>
      <c r="H197" s="0" t="s">
        <v>3440</v>
      </c>
      <c r="I197" s="0" t="s">
        <v>3662</v>
      </c>
      <c r="J197" s="0"/>
      <c r="K197" s="0" t="s">
        <v>3672</v>
      </c>
      <c r="L197" s="0" t="s">
        <v>3673</v>
      </c>
    </row>
    <row r="198">
      <c r="A198" s="0" t="s">
        <v>45</v>
      </c>
      <c r="B198" s="0" t="s">
        <v>3011</v>
      </c>
      <c r="C198" s="0"/>
      <c r="D198" s="0">
        <v>12500</v>
      </c>
      <c r="E198" s="0"/>
      <c r="F198" s="0" t="s">
        <v>3168</v>
      </c>
      <c r="G198" s="0"/>
      <c r="H198" s="0" t="s">
        <v>3441</v>
      </c>
      <c r="I198" s="0" t="s">
        <v>1686</v>
      </c>
      <c r="J198" s="0"/>
      <c r="K198" s="0" t="s">
        <v>3672</v>
      </c>
      <c r="L198" s="0" t="s">
        <v>3673</v>
      </c>
    </row>
    <row r="199">
      <c r="A199" s="0" t="s">
        <v>45</v>
      </c>
      <c r="B199" s="0" t="s">
        <v>308</v>
      </c>
      <c r="C199" s="0"/>
      <c r="D199" s="0">
        <v>17000</v>
      </c>
      <c r="E199" s="0"/>
      <c r="F199" s="0" t="s">
        <v>3092</v>
      </c>
      <c r="G199" s="0"/>
      <c r="H199" s="0" t="s">
        <v>3442</v>
      </c>
      <c r="I199" s="0" t="s">
        <v>1746</v>
      </c>
      <c r="J199" s="0"/>
      <c r="K199" s="0" t="s">
        <v>3672</v>
      </c>
      <c r="L199" s="0" t="s">
        <v>3673</v>
      </c>
    </row>
    <row r="200">
      <c r="A200" s="0" t="s">
        <v>45</v>
      </c>
      <c r="B200" s="0" t="s">
        <v>341</v>
      </c>
      <c r="C200" s="0"/>
      <c r="D200" s="0">
        <v>57330</v>
      </c>
      <c r="E200" s="0"/>
      <c r="F200" s="0" t="s">
        <v>3169</v>
      </c>
      <c r="G200" s="0"/>
      <c r="H200" s="0" t="s">
        <v>3443</v>
      </c>
      <c r="I200" s="0" t="s">
        <v>1652</v>
      </c>
      <c r="J200" s="0"/>
      <c r="K200" s="0" t="s">
        <v>3672</v>
      </c>
      <c r="L200" s="0" t="s">
        <v>3673</v>
      </c>
    </row>
    <row r="201">
      <c r="A201" s="0" t="s">
        <v>45</v>
      </c>
      <c r="B201" s="0" t="s">
        <v>286</v>
      </c>
      <c r="C201" s="0"/>
      <c r="D201" s="0">
        <v>51000</v>
      </c>
      <c r="E201" s="0"/>
      <c r="F201" s="0" t="s">
        <v>3023</v>
      </c>
      <c r="G201" s="0"/>
      <c r="H201" s="0" t="s">
        <v>3444</v>
      </c>
      <c r="I201" s="0" t="s">
        <v>1803</v>
      </c>
      <c r="J201" s="0"/>
      <c r="K201" s="0" t="s">
        <v>3672</v>
      </c>
      <c r="L201" s="0" t="s">
        <v>3673</v>
      </c>
    </row>
    <row r="202">
      <c r="A202" s="0" t="s">
        <v>45</v>
      </c>
      <c r="B202" s="0" t="s">
        <v>286</v>
      </c>
      <c r="C202" s="0"/>
      <c r="D202" s="0">
        <v>46000</v>
      </c>
      <c r="E202" s="0"/>
      <c r="F202" s="0" t="s">
        <v>3079</v>
      </c>
      <c r="G202" s="0"/>
      <c r="H202" s="0" t="s">
        <v>3445</v>
      </c>
      <c r="I202" s="0" t="s">
        <v>1803</v>
      </c>
      <c r="J202" s="0"/>
      <c r="K202" s="0" t="s">
        <v>3672</v>
      </c>
      <c r="L202" s="0" t="s">
        <v>3673</v>
      </c>
    </row>
    <row r="203">
      <c r="A203" s="0" t="s">
        <v>45</v>
      </c>
      <c r="B203" s="0" t="s">
        <v>286</v>
      </c>
      <c r="C203" s="0"/>
      <c r="D203" s="0">
        <v>48000</v>
      </c>
      <c r="E203" s="0"/>
      <c r="F203" s="0" t="s">
        <v>3111</v>
      </c>
      <c r="G203" s="0"/>
      <c r="H203" s="0" t="s">
        <v>3446</v>
      </c>
      <c r="I203" s="0" t="s">
        <v>789</v>
      </c>
      <c r="J203" s="0"/>
      <c r="K203" s="0" t="s">
        <v>3672</v>
      </c>
      <c r="L203" s="0" t="s">
        <v>3673</v>
      </c>
    </row>
    <row r="204">
      <c r="A204" s="0" t="s">
        <v>45</v>
      </c>
      <c r="B204" s="0" t="s">
        <v>286</v>
      </c>
      <c r="C204" s="0"/>
      <c r="D204" s="0">
        <v>113000</v>
      </c>
      <c r="E204" s="0"/>
      <c r="F204" s="0" t="s">
        <v>3170</v>
      </c>
      <c r="G204" s="0"/>
      <c r="H204" s="0" t="s">
        <v>3447</v>
      </c>
      <c r="I204" s="0" t="s">
        <v>585</v>
      </c>
      <c r="J204" s="0"/>
      <c r="K204" s="0" t="s">
        <v>3672</v>
      </c>
      <c r="L204" s="0" t="s">
        <v>3673</v>
      </c>
    </row>
    <row r="205">
      <c r="A205" s="0" t="s">
        <v>45</v>
      </c>
      <c r="B205" s="0" t="s">
        <v>286</v>
      </c>
      <c r="C205" s="0"/>
      <c r="D205" s="0">
        <v>68000</v>
      </c>
      <c r="E205" s="0"/>
      <c r="F205" s="0" t="s">
        <v>3026</v>
      </c>
      <c r="G205" s="0"/>
      <c r="H205" s="0" t="s">
        <v>3448</v>
      </c>
      <c r="I205" s="0" t="s">
        <v>3663</v>
      </c>
      <c r="J205" s="0"/>
      <c r="K205" s="0" t="s">
        <v>3672</v>
      </c>
      <c r="L205" s="0" t="s">
        <v>3673</v>
      </c>
    </row>
    <row r="206">
      <c r="A206" s="0" t="s">
        <v>45</v>
      </c>
      <c r="B206" s="0" t="s">
        <v>286</v>
      </c>
      <c r="C206" s="0"/>
      <c r="D206" s="0">
        <v>50000</v>
      </c>
      <c r="E206" s="0"/>
      <c r="F206" s="0" t="s">
        <v>3017</v>
      </c>
      <c r="G206" s="0"/>
      <c r="H206" s="0" t="s">
        <v>3449</v>
      </c>
      <c r="I206" s="0" t="s">
        <v>828</v>
      </c>
      <c r="J206" s="0"/>
      <c r="K206" s="0" t="s">
        <v>3672</v>
      </c>
      <c r="L206" s="0" t="s">
        <v>3673</v>
      </c>
    </row>
    <row r="207">
      <c r="A207" s="0" t="s">
        <v>45</v>
      </c>
      <c r="B207" s="0" t="s">
        <v>286</v>
      </c>
      <c r="C207" s="0"/>
      <c r="D207" s="0">
        <v>23000</v>
      </c>
      <c r="E207" s="0"/>
      <c r="F207" s="0" t="s">
        <v>2188</v>
      </c>
      <c r="G207" s="0"/>
      <c r="H207" s="0" t="s">
        <v>3450</v>
      </c>
      <c r="I207" s="0" t="s">
        <v>1652</v>
      </c>
      <c r="J207" s="0"/>
      <c r="K207" s="0" t="s">
        <v>3672</v>
      </c>
      <c r="L207" s="0" t="s">
        <v>3673</v>
      </c>
    </row>
    <row r="208">
      <c r="A208" s="0" t="s">
        <v>45</v>
      </c>
      <c r="B208" s="0" t="s">
        <v>296</v>
      </c>
      <c r="C208" s="0"/>
      <c r="D208" s="0">
        <v>64509</v>
      </c>
      <c r="E208" s="0"/>
      <c r="F208" s="0" t="s">
        <v>3171</v>
      </c>
      <c r="G208" s="0"/>
      <c r="H208" s="0" t="s">
        <v>3451</v>
      </c>
      <c r="I208" s="0" t="s">
        <v>2980</v>
      </c>
      <c r="J208" s="0"/>
      <c r="K208" s="0" t="s">
        <v>3672</v>
      </c>
      <c r="L208" s="0" t="s">
        <v>3673</v>
      </c>
    </row>
    <row r="209">
      <c r="A209" s="0" t="s">
        <v>45</v>
      </c>
      <c r="B209" s="0" t="s">
        <v>310</v>
      </c>
      <c r="C209" s="0"/>
      <c r="D209" s="0">
        <v>90100</v>
      </c>
      <c r="E209" s="0"/>
      <c r="F209" s="0" t="s">
        <v>3172</v>
      </c>
      <c r="G209" s="0"/>
      <c r="H209" s="0" t="s">
        <v>3452</v>
      </c>
      <c r="I209" s="0" t="s">
        <v>1754</v>
      </c>
      <c r="J209" s="0"/>
      <c r="K209" s="0" t="s">
        <v>3672</v>
      </c>
      <c r="L209" s="0" t="s">
        <v>3673</v>
      </c>
    </row>
    <row r="210">
      <c r="A210" s="0" t="s">
        <v>46</v>
      </c>
      <c r="B210" s="0" t="s">
        <v>311</v>
      </c>
      <c r="C210" s="0"/>
      <c r="D210" s="0">
        <v>50000</v>
      </c>
      <c r="E210" s="0"/>
      <c r="F210" s="0" t="s">
        <v>3017</v>
      </c>
      <c r="G210" s="0"/>
      <c r="H210" s="0" t="s">
        <v>3453</v>
      </c>
      <c r="I210" s="0" t="s">
        <v>1756</v>
      </c>
      <c r="J210" s="0"/>
      <c r="K210" s="0" t="s">
        <v>3672</v>
      </c>
      <c r="L210" s="0" t="s">
        <v>3673</v>
      </c>
    </row>
    <row r="211">
      <c r="A211" s="0" t="s">
        <v>46</v>
      </c>
      <c r="B211" s="0" t="s">
        <v>311</v>
      </c>
      <c r="C211" s="0"/>
      <c r="D211" s="0">
        <v>39044</v>
      </c>
      <c r="E211" s="0"/>
      <c r="F211" s="0" t="s">
        <v>3173</v>
      </c>
      <c r="G211" s="0"/>
      <c r="H211" s="0" t="s">
        <v>3454</v>
      </c>
      <c r="I211" s="0" t="s">
        <v>1756</v>
      </c>
      <c r="J211" s="0"/>
      <c r="K211" s="0" t="s">
        <v>3672</v>
      </c>
      <c r="L211" s="0" t="s">
        <v>3673</v>
      </c>
    </row>
    <row r="212">
      <c r="A212" s="0" t="s">
        <v>46</v>
      </c>
      <c r="B212" s="0" t="s">
        <v>311</v>
      </c>
      <c r="C212" s="0"/>
      <c r="D212" s="0">
        <v>39075</v>
      </c>
      <c r="E212" s="0"/>
      <c r="F212" s="0" t="s">
        <v>3174</v>
      </c>
      <c r="G212" s="0"/>
      <c r="H212" s="0" t="s">
        <v>3455</v>
      </c>
      <c r="I212" s="0" t="s">
        <v>1722</v>
      </c>
      <c r="J212" s="0"/>
      <c r="K212" s="0" t="s">
        <v>3672</v>
      </c>
      <c r="L212" s="0" t="s">
        <v>3673</v>
      </c>
    </row>
    <row r="213">
      <c r="A213" s="0" t="s">
        <v>46</v>
      </c>
      <c r="B213" s="0" t="s">
        <v>311</v>
      </c>
      <c r="C213" s="0"/>
      <c r="D213" s="0">
        <v>43000</v>
      </c>
      <c r="E213" s="0"/>
      <c r="F213" s="0" t="s">
        <v>3056</v>
      </c>
      <c r="G213" s="0"/>
      <c r="H213" s="0" t="s">
        <v>3456</v>
      </c>
      <c r="I213" s="0" t="s">
        <v>1043</v>
      </c>
      <c r="J213" s="0"/>
      <c r="K213" s="0" t="s">
        <v>3672</v>
      </c>
      <c r="L213" s="0" t="s">
        <v>3673</v>
      </c>
    </row>
    <row r="214">
      <c r="A214" s="0" t="s">
        <v>46</v>
      </c>
      <c r="B214" s="0" t="s">
        <v>311</v>
      </c>
      <c r="C214" s="0"/>
      <c r="D214" s="0">
        <v>42000</v>
      </c>
      <c r="E214" s="0"/>
      <c r="F214" s="0" t="s">
        <v>3033</v>
      </c>
      <c r="G214" s="0"/>
      <c r="H214" s="0" t="s">
        <v>3457</v>
      </c>
      <c r="I214" s="0" t="s">
        <v>884</v>
      </c>
      <c r="J214" s="0"/>
      <c r="K214" s="0" t="s">
        <v>3672</v>
      </c>
      <c r="L214" s="0" t="s">
        <v>3673</v>
      </c>
    </row>
    <row r="215">
      <c r="A215" s="0" t="s">
        <v>46</v>
      </c>
      <c r="B215" s="0" t="s">
        <v>311</v>
      </c>
      <c r="C215" s="0"/>
      <c r="D215" s="0">
        <v>80000</v>
      </c>
      <c r="E215" s="0"/>
      <c r="F215" s="0" t="s">
        <v>3078</v>
      </c>
      <c r="G215" s="0"/>
      <c r="H215" s="0" t="s">
        <v>3458</v>
      </c>
      <c r="I215" s="0" t="s">
        <v>3664</v>
      </c>
      <c r="J215" s="0"/>
      <c r="K215" s="0" t="s">
        <v>3672</v>
      </c>
      <c r="L215" s="0" t="s">
        <v>3673</v>
      </c>
    </row>
    <row r="216">
      <c r="A216" s="0" t="s">
        <v>46</v>
      </c>
      <c r="B216" s="0" t="s">
        <v>311</v>
      </c>
      <c r="C216" s="0"/>
      <c r="D216" s="0">
        <v>40000</v>
      </c>
      <c r="E216" s="0"/>
      <c r="F216" s="0" t="s">
        <v>3032</v>
      </c>
      <c r="G216" s="0"/>
      <c r="H216" s="0" t="s">
        <v>3459</v>
      </c>
      <c r="I216" s="0" t="s">
        <v>1785</v>
      </c>
      <c r="J216" s="0"/>
      <c r="K216" s="0" t="s">
        <v>3672</v>
      </c>
      <c r="L216" s="0" t="s">
        <v>3673</v>
      </c>
    </row>
    <row r="217">
      <c r="A217" s="0" t="s">
        <v>46</v>
      </c>
      <c r="B217" s="0" t="s">
        <v>311</v>
      </c>
      <c r="C217" s="0"/>
      <c r="D217" s="0">
        <v>39000</v>
      </c>
      <c r="E217" s="0"/>
      <c r="F217" s="0" t="s">
        <v>3131</v>
      </c>
      <c r="G217" s="0"/>
      <c r="H217" s="0" t="s">
        <v>3460</v>
      </c>
      <c r="I217" s="0" t="s">
        <v>1756</v>
      </c>
      <c r="J217" s="0"/>
      <c r="K217" s="0" t="s">
        <v>3672</v>
      </c>
      <c r="L217" s="0" t="s">
        <v>3673</v>
      </c>
    </row>
    <row r="218">
      <c r="A218" s="0" t="s">
        <v>46</v>
      </c>
      <c r="B218" s="0" t="s">
        <v>264</v>
      </c>
      <c r="C218" s="0"/>
      <c r="D218" s="0">
        <v>38337</v>
      </c>
      <c r="E218" s="0"/>
      <c r="F218" s="0" t="s">
        <v>3175</v>
      </c>
      <c r="G218" s="0"/>
      <c r="H218" s="0" t="s">
        <v>3461</v>
      </c>
      <c r="I218" s="0" t="s">
        <v>1722</v>
      </c>
      <c r="J218" s="0"/>
      <c r="K218" s="0" t="s">
        <v>3672</v>
      </c>
      <c r="L218" s="0" t="s">
        <v>3673</v>
      </c>
    </row>
    <row r="219">
      <c r="A219" s="0" t="s">
        <v>46</v>
      </c>
      <c r="B219" s="0" t="s">
        <v>264</v>
      </c>
      <c r="C219" s="0"/>
      <c r="D219" s="0">
        <v>39068</v>
      </c>
      <c r="E219" s="0"/>
      <c r="F219" s="0" t="s">
        <v>3176</v>
      </c>
      <c r="G219" s="0"/>
      <c r="H219" s="0" t="s">
        <v>3462</v>
      </c>
      <c r="I219" s="0" t="s">
        <v>1722</v>
      </c>
      <c r="J219" s="0"/>
      <c r="K219" s="0" t="s">
        <v>3672</v>
      </c>
      <c r="L219" s="0" t="s">
        <v>3673</v>
      </c>
    </row>
    <row r="220">
      <c r="A220" s="0" t="s">
        <v>46</v>
      </c>
      <c r="B220" s="0" t="s">
        <v>312</v>
      </c>
      <c r="C220" s="0"/>
      <c r="D220" s="0">
        <v>42370</v>
      </c>
      <c r="E220" s="0"/>
      <c r="F220" s="0" t="s">
        <v>3177</v>
      </c>
      <c r="G220" s="0"/>
      <c r="H220" s="0" t="s">
        <v>3463</v>
      </c>
      <c r="I220" s="0" t="s">
        <v>1761</v>
      </c>
      <c r="J220" s="0"/>
      <c r="K220" s="0" t="s">
        <v>3672</v>
      </c>
      <c r="L220" s="0" t="s">
        <v>3673</v>
      </c>
    </row>
    <row r="221">
      <c r="A221" s="0" t="s">
        <v>46</v>
      </c>
      <c r="B221" s="0" t="s">
        <v>312</v>
      </c>
      <c r="C221" s="0"/>
      <c r="D221" s="0">
        <v>44220</v>
      </c>
      <c r="E221" s="0"/>
      <c r="F221" s="0" t="s">
        <v>3178</v>
      </c>
      <c r="G221" s="0"/>
      <c r="H221" s="0" t="s">
        <v>3464</v>
      </c>
      <c r="I221" s="0" t="s">
        <v>1761</v>
      </c>
      <c r="J221" s="0"/>
      <c r="K221" s="0" t="s">
        <v>3672</v>
      </c>
      <c r="L221" s="0" t="s">
        <v>3673</v>
      </c>
    </row>
    <row r="222">
      <c r="A222" s="0" t="s">
        <v>46</v>
      </c>
      <c r="B222" s="0" t="s">
        <v>312</v>
      </c>
      <c r="C222" s="0"/>
      <c r="D222" s="0">
        <v>44217</v>
      </c>
      <c r="E222" s="0"/>
      <c r="F222" s="0" t="s">
        <v>3179</v>
      </c>
      <c r="G222" s="0"/>
      <c r="H222" s="0" t="s">
        <v>3465</v>
      </c>
      <c r="I222" s="0" t="s">
        <v>1761</v>
      </c>
      <c r="J222" s="0"/>
      <c r="K222" s="0" t="s">
        <v>3672</v>
      </c>
      <c r="L222" s="0" t="s">
        <v>3673</v>
      </c>
    </row>
    <row r="223">
      <c r="A223" s="0" t="s">
        <v>46</v>
      </c>
      <c r="B223" s="0" t="s">
        <v>312</v>
      </c>
      <c r="C223" s="0"/>
      <c r="D223" s="0">
        <v>38765</v>
      </c>
      <c r="E223" s="0"/>
      <c r="F223" s="0" t="s">
        <v>3180</v>
      </c>
      <c r="G223" s="0"/>
      <c r="H223" s="0" t="s">
        <v>3466</v>
      </c>
      <c r="I223" s="0" t="s">
        <v>1722</v>
      </c>
      <c r="J223" s="0"/>
      <c r="K223" s="0" t="s">
        <v>3672</v>
      </c>
      <c r="L223" s="0" t="s">
        <v>3673</v>
      </c>
    </row>
    <row r="224">
      <c r="A224" s="0" t="s">
        <v>46</v>
      </c>
      <c r="B224" s="0" t="s">
        <v>313</v>
      </c>
      <c r="C224" s="0"/>
      <c r="D224" s="0">
        <v>67000</v>
      </c>
      <c r="E224" s="0"/>
      <c r="F224" s="0" t="s">
        <v>3106</v>
      </c>
      <c r="G224" s="0"/>
      <c r="H224" s="0" t="s">
        <v>3467</v>
      </c>
      <c r="I224" s="0" t="s">
        <v>884</v>
      </c>
      <c r="J224" s="0"/>
      <c r="K224" s="0" t="s">
        <v>3672</v>
      </c>
      <c r="L224" s="0" t="s">
        <v>3673</v>
      </c>
    </row>
    <row r="225">
      <c r="A225" s="0" t="s">
        <v>46</v>
      </c>
      <c r="B225" s="0" t="s">
        <v>313</v>
      </c>
      <c r="C225" s="0"/>
      <c r="D225" s="0">
        <v>40100</v>
      </c>
      <c r="E225" s="0"/>
      <c r="F225" s="0" t="s">
        <v>3181</v>
      </c>
      <c r="G225" s="0"/>
      <c r="H225" s="0" t="s">
        <v>3468</v>
      </c>
      <c r="I225" s="0" t="s">
        <v>1739</v>
      </c>
      <c r="J225" s="0"/>
      <c r="K225" s="0" t="s">
        <v>3672</v>
      </c>
      <c r="L225" s="0" t="s">
        <v>3673</v>
      </c>
    </row>
    <row r="226">
      <c r="A226" s="0" t="s">
        <v>46</v>
      </c>
      <c r="B226" s="0" t="s">
        <v>269</v>
      </c>
      <c r="C226" s="0"/>
      <c r="D226" s="0">
        <v>43660</v>
      </c>
      <c r="E226" s="0"/>
      <c r="F226" s="0" t="s">
        <v>3182</v>
      </c>
      <c r="G226" s="0"/>
      <c r="H226" s="0" t="s">
        <v>3469</v>
      </c>
      <c r="I226" s="0" t="s">
        <v>1663</v>
      </c>
      <c r="J226" s="0"/>
      <c r="K226" s="0" t="s">
        <v>3672</v>
      </c>
      <c r="L226" s="0" t="s">
        <v>3673</v>
      </c>
    </row>
    <row r="227">
      <c r="A227" s="0" t="s">
        <v>46</v>
      </c>
      <c r="B227" s="0" t="s">
        <v>316</v>
      </c>
      <c r="C227" s="0"/>
      <c r="D227" s="0">
        <v>90000</v>
      </c>
      <c r="E227" s="0"/>
      <c r="F227" s="0" t="s">
        <v>3048</v>
      </c>
      <c r="G227" s="0"/>
      <c r="H227" s="0" t="s">
        <v>3470</v>
      </c>
      <c r="I227" s="0" t="s">
        <v>1726</v>
      </c>
      <c r="J227" s="0"/>
      <c r="K227" s="0" t="s">
        <v>3672</v>
      </c>
      <c r="L227" s="0" t="s">
        <v>3673</v>
      </c>
    </row>
    <row r="228">
      <c r="A228" s="0" t="s">
        <v>46</v>
      </c>
      <c r="B228" s="0" t="s">
        <v>316</v>
      </c>
      <c r="C228" s="0"/>
      <c r="D228" s="0">
        <v>85000</v>
      </c>
      <c r="E228" s="0"/>
      <c r="F228" s="0" t="s">
        <v>3020</v>
      </c>
      <c r="G228" s="0"/>
      <c r="H228" s="0" t="s">
        <v>3471</v>
      </c>
      <c r="I228" s="0" t="s">
        <v>1729</v>
      </c>
      <c r="J228" s="0"/>
      <c r="K228" s="0" t="s">
        <v>3672</v>
      </c>
      <c r="L228" s="0" t="s">
        <v>3673</v>
      </c>
    </row>
    <row r="229">
      <c r="A229" s="0" t="s">
        <v>46</v>
      </c>
      <c r="B229" s="0" t="s">
        <v>316</v>
      </c>
      <c r="C229" s="0"/>
      <c r="D229" s="0">
        <v>44000</v>
      </c>
      <c r="E229" s="0"/>
      <c r="F229" s="0" t="s">
        <v>3022</v>
      </c>
      <c r="G229" s="0"/>
      <c r="H229" s="0" t="s">
        <v>3472</v>
      </c>
      <c r="I229" s="0" t="s">
        <v>1769</v>
      </c>
      <c r="J229" s="0"/>
      <c r="K229" s="0" t="s">
        <v>3672</v>
      </c>
      <c r="L229" s="0" t="s">
        <v>3673</v>
      </c>
    </row>
    <row r="230">
      <c r="A230" s="0" t="s">
        <v>46</v>
      </c>
      <c r="B230" s="0" t="s">
        <v>316</v>
      </c>
      <c r="C230" s="0"/>
      <c r="D230" s="0">
        <v>41000</v>
      </c>
      <c r="E230" s="0"/>
      <c r="F230" s="0" t="s">
        <v>3105</v>
      </c>
      <c r="G230" s="0"/>
      <c r="H230" s="0" t="s">
        <v>3473</v>
      </c>
      <c r="I230" s="0" t="s">
        <v>1735</v>
      </c>
      <c r="J230" s="0"/>
      <c r="K230" s="0" t="s">
        <v>3672</v>
      </c>
      <c r="L230" s="0" t="s">
        <v>3673</v>
      </c>
    </row>
    <row r="231">
      <c r="A231" s="0" t="s">
        <v>46</v>
      </c>
      <c r="B231" s="0" t="s">
        <v>317</v>
      </c>
      <c r="C231" s="0"/>
      <c r="D231" s="0">
        <v>120000</v>
      </c>
      <c r="E231" s="0"/>
      <c r="F231" s="0" t="s">
        <v>3138</v>
      </c>
      <c r="G231" s="0"/>
      <c r="H231" s="0" t="s">
        <v>3474</v>
      </c>
      <c r="I231" s="0" t="s">
        <v>827</v>
      </c>
      <c r="J231" s="0"/>
      <c r="K231" s="0" t="s">
        <v>3672</v>
      </c>
      <c r="L231" s="0" t="s">
        <v>3673</v>
      </c>
    </row>
    <row r="232">
      <c r="A232" s="0" t="s">
        <v>46</v>
      </c>
      <c r="B232" s="0" t="s">
        <v>317</v>
      </c>
      <c r="C232" s="0"/>
      <c r="D232" s="0">
        <v>37000</v>
      </c>
      <c r="E232" s="0"/>
      <c r="F232" s="0" t="s">
        <v>3084</v>
      </c>
      <c r="G232" s="0"/>
      <c r="H232" s="0" t="s">
        <v>3475</v>
      </c>
      <c r="I232" s="0" t="s">
        <v>827</v>
      </c>
      <c r="J232" s="0"/>
      <c r="K232" s="0" t="s">
        <v>3672</v>
      </c>
      <c r="L232" s="0" t="s">
        <v>3673</v>
      </c>
    </row>
    <row r="233">
      <c r="A233" s="0" t="s">
        <v>46</v>
      </c>
      <c r="B233" s="0" t="s">
        <v>318</v>
      </c>
      <c r="C233" s="0"/>
      <c r="D233" s="0">
        <v>41400</v>
      </c>
      <c r="E233" s="0"/>
      <c r="F233" s="0" t="s">
        <v>3183</v>
      </c>
      <c r="G233" s="0"/>
      <c r="H233" s="0" t="s">
        <v>3476</v>
      </c>
      <c r="I233" s="0" t="s">
        <v>1719</v>
      </c>
      <c r="J233" s="0"/>
      <c r="K233" s="0" t="s">
        <v>3672</v>
      </c>
      <c r="L233" s="0" t="s">
        <v>3673</v>
      </c>
    </row>
    <row r="234">
      <c r="A234" s="0" t="s">
        <v>46</v>
      </c>
      <c r="B234" s="0" t="s">
        <v>318</v>
      </c>
      <c r="C234" s="0"/>
      <c r="D234" s="0">
        <v>40500</v>
      </c>
      <c r="E234" s="0"/>
      <c r="F234" s="0" t="s">
        <v>3184</v>
      </c>
      <c r="G234" s="0"/>
      <c r="H234" s="0" t="s">
        <v>3477</v>
      </c>
      <c r="I234" s="0" t="s">
        <v>1719</v>
      </c>
      <c r="J234" s="0"/>
      <c r="K234" s="0" t="s">
        <v>3672</v>
      </c>
      <c r="L234" s="0" t="s">
        <v>3673</v>
      </c>
    </row>
    <row r="235">
      <c r="A235" s="0" t="s">
        <v>46</v>
      </c>
      <c r="B235" s="0" t="s">
        <v>3012</v>
      </c>
      <c r="C235" s="0"/>
      <c r="D235" s="0">
        <v>45770</v>
      </c>
      <c r="E235" s="0"/>
      <c r="F235" s="0" t="s">
        <v>3185</v>
      </c>
      <c r="G235" s="0"/>
      <c r="H235" s="0" t="s">
        <v>3478</v>
      </c>
      <c r="I235" s="0" t="s">
        <v>2438</v>
      </c>
      <c r="J235" s="0"/>
      <c r="K235" s="0" t="s">
        <v>3672</v>
      </c>
      <c r="L235" s="0" t="s">
        <v>3673</v>
      </c>
    </row>
    <row r="236">
      <c r="A236" s="0" t="s">
        <v>46</v>
      </c>
      <c r="B236" s="0" t="s">
        <v>2171</v>
      </c>
      <c r="C236" s="0"/>
      <c r="D236" s="0">
        <v>72000</v>
      </c>
      <c r="E236" s="0"/>
      <c r="F236" s="0" t="s">
        <v>3186</v>
      </c>
      <c r="G236" s="0"/>
      <c r="H236" s="0" t="s">
        <v>3479</v>
      </c>
      <c r="I236" s="0" t="s">
        <v>1740</v>
      </c>
      <c r="J236" s="0"/>
      <c r="K236" s="0" t="s">
        <v>3672</v>
      </c>
      <c r="L236" s="0" t="s">
        <v>3673</v>
      </c>
    </row>
    <row r="237">
      <c r="A237" s="0" t="s">
        <v>46</v>
      </c>
      <c r="B237" s="0" t="s">
        <v>323</v>
      </c>
      <c r="C237" s="0"/>
      <c r="D237" s="0">
        <v>46000</v>
      </c>
      <c r="E237" s="0"/>
      <c r="F237" s="0" t="s">
        <v>3079</v>
      </c>
      <c r="G237" s="0"/>
      <c r="H237" s="0" t="s">
        <v>3480</v>
      </c>
      <c r="I237" s="0" t="s">
        <v>1767</v>
      </c>
      <c r="J237" s="0"/>
      <c r="K237" s="0" t="s">
        <v>3672</v>
      </c>
      <c r="L237" s="0" t="s">
        <v>3673</v>
      </c>
    </row>
    <row r="238">
      <c r="A238" s="0" t="s">
        <v>46</v>
      </c>
      <c r="B238" s="0" t="s">
        <v>324</v>
      </c>
      <c r="C238" s="0"/>
      <c r="D238" s="0">
        <v>42500</v>
      </c>
      <c r="E238" s="0"/>
      <c r="F238" s="0" t="s">
        <v>3187</v>
      </c>
      <c r="G238" s="0"/>
      <c r="H238" s="0" t="s">
        <v>3481</v>
      </c>
      <c r="I238" s="0" t="s">
        <v>705</v>
      </c>
      <c r="J238" s="0"/>
      <c r="K238" s="0" t="s">
        <v>3672</v>
      </c>
      <c r="L238" s="0" t="s">
        <v>3673</v>
      </c>
    </row>
    <row r="239">
      <c r="A239" s="0" t="s">
        <v>46</v>
      </c>
      <c r="B239" s="0" t="s">
        <v>324</v>
      </c>
      <c r="C239" s="0"/>
      <c r="D239" s="0">
        <v>73000</v>
      </c>
      <c r="E239" s="0"/>
      <c r="F239" s="0" t="s">
        <v>3188</v>
      </c>
      <c r="G239" s="0"/>
      <c r="H239" s="0" t="s">
        <v>3482</v>
      </c>
      <c r="I239" s="0" t="s">
        <v>705</v>
      </c>
      <c r="J239" s="0"/>
      <c r="K239" s="0" t="s">
        <v>3672</v>
      </c>
      <c r="L239" s="0" t="s">
        <v>3673</v>
      </c>
    </row>
    <row r="240">
      <c r="A240" s="0" t="s">
        <v>46</v>
      </c>
      <c r="B240" s="0" t="s">
        <v>325</v>
      </c>
      <c r="C240" s="0"/>
      <c r="D240" s="0">
        <v>58000</v>
      </c>
      <c r="E240" s="0"/>
      <c r="F240" s="0" t="s">
        <v>3139</v>
      </c>
      <c r="G240" s="0"/>
      <c r="H240" s="0" t="s">
        <v>3483</v>
      </c>
      <c r="I240" s="0" t="s">
        <v>1768</v>
      </c>
      <c r="J240" s="0"/>
      <c r="K240" s="0" t="s">
        <v>3672</v>
      </c>
      <c r="L240" s="0" t="s">
        <v>3673</v>
      </c>
    </row>
    <row r="241">
      <c r="A241" s="0" t="s">
        <v>46</v>
      </c>
      <c r="B241" s="0" t="s">
        <v>325</v>
      </c>
      <c r="C241" s="0"/>
      <c r="D241" s="0">
        <v>60000</v>
      </c>
      <c r="E241" s="0"/>
      <c r="F241" s="0" t="s">
        <v>3129</v>
      </c>
      <c r="G241" s="0"/>
      <c r="H241" s="0" t="s">
        <v>3484</v>
      </c>
      <c r="I241" s="0" t="s">
        <v>1768</v>
      </c>
      <c r="J241" s="0"/>
      <c r="K241" s="0" t="s">
        <v>3672</v>
      </c>
      <c r="L241" s="0" t="s">
        <v>3673</v>
      </c>
    </row>
    <row r="242">
      <c r="A242" s="0" t="s">
        <v>46</v>
      </c>
      <c r="B242" s="0" t="s">
        <v>327</v>
      </c>
      <c r="C242" s="0"/>
      <c r="D242" s="0">
        <v>65000</v>
      </c>
      <c r="E242" s="0"/>
      <c r="F242" s="0" t="s">
        <v>3076</v>
      </c>
      <c r="G242" s="0"/>
      <c r="H242" s="0" t="s">
        <v>3485</v>
      </c>
      <c r="I242" s="0" t="s">
        <v>1770</v>
      </c>
      <c r="J242" s="0"/>
      <c r="K242" s="0" t="s">
        <v>3672</v>
      </c>
      <c r="L242" s="0" t="s">
        <v>3673</v>
      </c>
    </row>
    <row r="243">
      <c r="A243" s="0" t="s">
        <v>46</v>
      </c>
      <c r="B243" s="0" t="s">
        <v>327</v>
      </c>
      <c r="C243" s="0"/>
      <c r="D243" s="0">
        <v>33000</v>
      </c>
      <c r="E243" s="0"/>
      <c r="F243" s="0" t="s">
        <v>3071</v>
      </c>
      <c r="G243" s="0"/>
      <c r="H243" s="0" t="s">
        <v>3486</v>
      </c>
      <c r="I243" s="0" t="s">
        <v>1770</v>
      </c>
      <c r="J243" s="0"/>
      <c r="K243" s="0" t="s">
        <v>3672</v>
      </c>
      <c r="L243" s="0" t="s">
        <v>3673</v>
      </c>
    </row>
    <row r="244">
      <c r="A244" s="0" t="s">
        <v>46</v>
      </c>
      <c r="B244" s="0" t="s">
        <v>297</v>
      </c>
      <c r="C244" s="0"/>
      <c r="D244" s="0">
        <v>68000</v>
      </c>
      <c r="E244" s="0"/>
      <c r="F244" s="0" t="s">
        <v>3026</v>
      </c>
      <c r="G244" s="0"/>
      <c r="H244" s="0" t="s">
        <v>3487</v>
      </c>
      <c r="I244" s="0" t="s">
        <v>1730</v>
      </c>
      <c r="J244" s="0"/>
      <c r="K244" s="0" t="s">
        <v>3672</v>
      </c>
      <c r="L244" s="0" t="s">
        <v>3673</v>
      </c>
    </row>
    <row r="245">
      <c r="A245" s="0" t="s">
        <v>46</v>
      </c>
      <c r="B245" s="0" t="s">
        <v>329</v>
      </c>
      <c r="C245" s="0"/>
      <c r="D245" s="0">
        <v>39850</v>
      </c>
      <c r="E245" s="0"/>
      <c r="F245" s="0" t="s">
        <v>3189</v>
      </c>
      <c r="G245" s="0"/>
      <c r="H245" s="0" t="s">
        <v>3488</v>
      </c>
      <c r="I245" s="0" t="s">
        <v>1774</v>
      </c>
      <c r="J245" s="0"/>
      <c r="K245" s="0" t="s">
        <v>3672</v>
      </c>
      <c r="L245" s="0" t="s">
        <v>3673</v>
      </c>
    </row>
    <row r="246">
      <c r="A246" s="0" t="s">
        <v>46</v>
      </c>
      <c r="B246" s="0" t="s">
        <v>321</v>
      </c>
      <c r="C246" s="0"/>
      <c r="D246" s="0">
        <v>93000</v>
      </c>
      <c r="E246" s="0"/>
      <c r="F246" s="0" t="s">
        <v>3190</v>
      </c>
      <c r="G246" s="0"/>
      <c r="H246" s="0" t="s">
        <v>3489</v>
      </c>
      <c r="I246" s="0" t="s">
        <v>1687</v>
      </c>
      <c r="J246" s="0"/>
      <c r="K246" s="0" t="s">
        <v>3672</v>
      </c>
      <c r="L246" s="0" t="s">
        <v>3673</v>
      </c>
    </row>
    <row r="247">
      <c r="A247" s="0" t="s">
        <v>46</v>
      </c>
      <c r="B247" s="0" t="s">
        <v>321</v>
      </c>
      <c r="C247" s="0"/>
      <c r="D247" s="0">
        <v>43700</v>
      </c>
      <c r="E247" s="0"/>
      <c r="F247" s="0" t="s">
        <v>3191</v>
      </c>
      <c r="G247" s="0"/>
      <c r="H247" s="0" t="s">
        <v>3490</v>
      </c>
      <c r="I247" s="0" t="s">
        <v>1687</v>
      </c>
      <c r="J247" s="0"/>
      <c r="K247" s="0" t="s">
        <v>3672</v>
      </c>
      <c r="L247" s="0" t="s">
        <v>3673</v>
      </c>
    </row>
    <row r="248">
      <c r="A248" s="0" t="s">
        <v>46</v>
      </c>
      <c r="B248" s="0" t="s">
        <v>321</v>
      </c>
      <c r="C248" s="0"/>
      <c r="D248" s="0">
        <v>43810</v>
      </c>
      <c r="E248" s="0"/>
      <c r="F248" s="0" t="s">
        <v>3192</v>
      </c>
      <c r="G248" s="0"/>
      <c r="H248" s="0" t="s">
        <v>3491</v>
      </c>
      <c r="I248" s="0" t="s">
        <v>2970</v>
      </c>
      <c r="J248" s="0"/>
      <c r="K248" s="0" t="s">
        <v>3672</v>
      </c>
      <c r="L248" s="0" t="s">
        <v>3673</v>
      </c>
    </row>
    <row r="249">
      <c r="A249" s="0" t="s">
        <v>46</v>
      </c>
      <c r="B249" s="0" t="s">
        <v>307</v>
      </c>
      <c r="C249" s="0"/>
      <c r="D249" s="0">
        <v>39152</v>
      </c>
      <c r="E249" s="0"/>
      <c r="F249" s="0" t="s">
        <v>3193</v>
      </c>
      <c r="G249" s="0"/>
      <c r="H249" s="0" t="s">
        <v>3492</v>
      </c>
      <c r="I249" s="0" t="s">
        <v>1722</v>
      </c>
      <c r="J249" s="0"/>
      <c r="K249" s="0" t="s">
        <v>3672</v>
      </c>
      <c r="L249" s="0" t="s">
        <v>3673</v>
      </c>
    </row>
    <row r="250">
      <c r="A250" s="0" t="s">
        <v>46</v>
      </c>
      <c r="B250" s="0" t="s">
        <v>307</v>
      </c>
      <c r="C250" s="0"/>
      <c r="D250" s="0">
        <v>39900</v>
      </c>
      <c r="E250" s="0"/>
      <c r="F250" s="0" t="s">
        <v>3194</v>
      </c>
      <c r="G250" s="0"/>
      <c r="H250" s="0" t="s">
        <v>3493</v>
      </c>
      <c r="I250" s="0" t="s">
        <v>1773</v>
      </c>
      <c r="J250" s="0"/>
      <c r="K250" s="0" t="s">
        <v>3672</v>
      </c>
      <c r="L250" s="0" t="s">
        <v>3673</v>
      </c>
    </row>
    <row r="251">
      <c r="A251" s="0" t="s">
        <v>46</v>
      </c>
      <c r="B251" s="0" t="s">
        <v>274</v>
      </c>
      <c r="C251" s="0"/>
      <c r="D251" s="0">
        <v>43650</v>
      </c>
      <c r="E251" s="0"/>
      <c r="F251" s="0" t="s">
        <v>3195</v>
      </c>
      <c r="G251" s="0"/>
      <c r="H251" s="0" t="s">
        <v>3494</v>
      </c>
      <c r="I251" s="0" t="s">
        <v>1700</v>
      </c>
      <c r="J251" s="0"/>
      <c r="K251" s="0" t="s">
        <v>3672</v>
      </c>
      <c r="L251" s="0" t="s">
        <v>3673</v>
      </c>
    </row>
    <row r="252">
      <c r="A252" s="0" t="s">
        <v>46</v>
      </c>
      <c r="B252" s="0" t="s">
        <v>331</v>
      </c>
      <c r="C252" s="0"/>
      <c r="D252" s="0">
        <v>69000</v>
      </c>
      <c r="E252" s="0"/>
      <c r="F252" s="0" t="s">
        <v>3025</v>
      </c>
      <c r="G252" s="0"/>
      <c r="H252" s="0" t="s">
        <v>3495</v>
      </c>
      <c r="I252" s="0" t="s">
        <v>1712</v>
      </c>
      <c r="J252" s="0"/>
      <c r="K252" s="0" t="s">
        <v>3672</v>
      </c>
      <c r="L252" s="0" t="s">
        <v>3673</v>
      </c>
    </row>
    <row r="253">
      <c r="A253" s="0" t="s">
        <v>46</v>
      </c>
      <c r="B253" s="0" t="s">
        <v>331</v>
      </c>
      <c r="C253" s="0"/>
      <c r="D253" s="0">
        <v>48000</v>
      </c>
      <c r="E253" s="0"/>
      <c r="F253" s="0" t="s">
        <v>3111</v>
      </c>
      <c r="G253" s="0"/>
      <c r="H253" s="0" t="s">
        <v>3496</v>
      </c>
      <c r="I253" s="0" t="s">
        <v>1712</v>
      </c>
      <c r="J253" s="0"/>
      <c r="K253" s="0" t="s">
        <v>3672</v>
      </c>
      <c r="L253" s="0" t="s">
        <v>3673</v>
      </c>
    </row>
    <row r="254">
      <c r="A254" s="0" t="s">
        <v>46</v>
      </c>
      <c r="B254" s="0" t="s">
        <v>331</v>
      </c>
      <c r="C254" s="0"/>
      <c r="D254" s="0">
        <v>87000</v>
      </c>
      <c r="E254" s="0"/>
      <c r="F254" s="0" t="s">
        <v>3196</v>
      </c>
      <c r="G254" s="0"/>
      <c r="H254" s="0" t="s">
        <v>3497</v>
      </c>
      <c r="I254" s="0" t="s">
        <v>1735</v>
      </c>
      <c r="J254" s="0"/>
      <c r="K254" s="0" t="s">
        <v>3672</v>
      </c>
      <c r="L254" s="0" t="s">
        <v>3673</v>
      </c>
    </row>
    <row r="255">
      <c r="A255" s="0" t="s">
        <v>46</v>
      </c>
      <c r="B255" s="0" t="s">
        <v>331</v>
      </c>
      <c r="C255" s="0"/>
      <c r="D255" s="0">
        <v>49000</v>
      </c>
      <c r="E255" s="0"/>
      <c r="F255" s="0" t="s">
        <v>3031</v>
      </c>
      <c r="G255" s="0"/>
      <c r="H255" s="0" t="s">
        <v>3498</v>
      </c>
      <c r="I255" s="0" t="s">
        <v>1712</v>
      </c>
      <c r="J255" s="0"/>
      <c r="K255" s="0" t="s">
        <v>3672</v>
      </c>
      <c r="L255" s="0" t="s">
        <v>3673</v>
      </c>
    </row>
    <row r="256">
      <c r="A256" s="0" t="s">
        <v>46</v>
      </c>
      <c r="B256" s="0" t="s">
        <v>331</v>
      </c>
      <c r="C256" s="0"/>
      <c r="D256" s="0">
        <v>80640</v>
      </c>
      <c r="E256" s="0"/>
      <c r="F256" s="0" t="s">
        <v>3197</v>
      </c>
      <c r="G256" s="0"/>
      <c r="H256" s="0" t="s">
        <v>3499</v>
      </c>
      <c r="I256" s="0" t="s">
        <v>1712</v>
      </c>
      <c r="J256" s="0"/>
      <c r="K256" s="0" t="s">
        <v>3672</v>
      </c>
      <c r="L256" s="0" t="s">
        <v>3673</v>
      </c>
    </row>
    <row r="257">
      <c r="A257" s="0" t="s">
        <v>46</v>
      </c>
      <c r="B257" s="0" t="s">
        <v>331</v>
      </c>
      <c r="C257" s="0"/>
      <c r="D257" s="0">
        <v>78630</v>
      </c>
      <c r="E257" s="0"/>
      <c r="F257" s="0" t="s">
        <v>3198</v>
      </c>
      <c r="G257" s="0"/>
      <c r="H257" s="0" t="s">
        <v>3500</v>
      </c>
      <c r="I257" s="0" t="s">
        <v>1712</v>
      </c>
      <c r="J257" s="0"/>
      <c r="K257" s="0" t="s">
        <v>3672</v>
      </c>
      <c r="L257" s="0" t="s">
        <v>3673</v>
      </c>
    </row>
    <row r="258">
      <c r="A258" s="0" t="s">
        <v>46</v>
      </c>
      <c r="B258" s="0" t="s">
        <v>3013</v>
      </c>
      <c r="C258" s="0"/>
      <c r="D258" s="0">
        <v>42700</v>
      </c>
      <c r="E258" s="0"/>
      <c r="F258" s="0" t="s">
        <v>3199</v>
      </c>
      <c r="G258" s="0"/>
      <c r="H258" s="0" t="s">
        <v>3501</v>
      </c>
      <c r="I258" s="0" t="s">
        <v>1792</v>
      </c>
      <c r="J258" s="0"/>
      <c r="K258" s="0" t="s">
        <v>3672</v>
      </c>
      <c r="L258" s="0" t="s">
        <v>3673</v>
      </c>
    </row>
    <row r="259">
      <c r="A259" s="0" t="s">
        <v>46</v>
      </c>
      <c r="B259" s="0" t="s">
        <v>319</v>
      </c>
      <c r="C259" s="0"/>
      <c r="D259" s="0">
        <v>42800</v>
      </c>
      <c r="E259" s="0"/>
      <c r="F259" s="0" t="s">
        <v>3200</v>
      </c>
      <c r="G259" s="0"/>
      <c r="H259" s="0" t="s">
        <v>3502</v>
      </c>
      <c r="I259" s="0" t="s">
        <v>1776</v>
      </c>
      <c r="J259" s="0"/>
      <c r="K259" s="0" t="s">
        <v>3672</v>
      </c>
      <c r="L259" s="0" t="s">
        <v>3673</v>
      </c>
    </row>
    <row r="260">
      <c r="A260" s="0" t="s">
        <v>46</v>
      </c>
      <c r="B260" s="0" t="s">
        <v>332</v>
      </c>
      <c r="C260" s="0"/>
      <c r="D260" s="0">
        <v>47000</v>
      </c>
      <c r="E260" s="0"/>
      <c r="F260" s="0" t="s">
        <v>3110</v>
      </c>
      <c r="G260" s="0"/>
      <c r="H260" s="0" t="s">
        <v>3503</v>
      </c>
      <c r="I260" s="0" t="s">
        <v>2977</v>
      </c>
      <c r="J260" s="0"/>
      <c r="K260" s="0" t="s">
        <v>3672</v>
      </c>
      <c r="L260" s="0" t="s">
        <v>3673</v>
      </c>
    </row>
    <row r="261">
      <c r="A261" s="0" t="s">
        <v>46</v>
      </c>
      <c r="B261" s="0" t="s">
        <v>332</v>
      </c>
      <c r="C261" s="0"/>
      <c r="D261" s="0">
        <v>46621</v>
      </c>
      <c r="E261" s="0"/>
      <c r="F261" s="0" t="s">
        <v>3201</v>
      </c>
      <c r="G261" s="0"/>
      <c r="H261" s="0" t="s">
        <v>3504</v>
      </c>
      <c r="I261" s="0" t="s">
        <v>1777</v>
      </c>
      <c r="J261" s="0"/>
      <c r="K261" s="0" t="s">
        <v>3672</v>
      </c>
      <c r="L261" s="0" t="s">
        <v>3673</v>
      </c>
    </row>
    <row r="262">
      <c r="A262" s="0" t="s">
        <v>46</v>
      </c>
      <c r="B262" s="0" t="s">
        <v>332</v>
      </c>
      <c r="C262" s="0"/>
      <c r="D262" s="0">
        <v>46605</v>
      </c>
      <c r="E262" s="0"/>
      <c r="F262" s="0" t="s">
        <v>3202</v>
      </c>
      <c r="G262" s="0"/>
      <c r="H262" s="0" t="s">
        <v>3504</v>
      </c>
      <c r="I262" s="0" t="s">
        <v>1777</v>
      </c>
      <c r="J262" s="0"/>
      <c r="K262" s="0" t="s">
        <v>3672</v>
      </c>
      <c r="L262" s="0" t="s">
        <v>3673</v>
      </c>
    </row>
    <row r="263">
      <c r="A263" s="0" t="s">
        <v>46</v>
      </c>
      <c r="B263" s="0" t="s">
        <v>332</v>
      </c>
      <c r="C263" s="0"/>
      <c r="D263" s="0">
        <v>46647</v>
      </c>
      <c r="E263" s="0"/>
      <c r="F263" s="0" t="s">
        <v>3203</v>
      </c>
      <c r="G263" s="0"/>
      <c r="H263" s="0" t="s">
        <v>3504</v>
      </c>
      <c r="I263" s="0" t="s">
        <v>1777</v>
      </c>
      <c r="J263" s="0"/>
      <c r="K263" s="0" t="s">
        <v>3672</v>
      </c>
      <c r="L263" s="0" t="s">
        <v>3673</v>
      </c>
    </row>
    <row r="264">
      <c r="A264" s="0" t="s">
        <v>46</v>
      </c>
      <c r="B264" s="0" t="s">
        <v>333</v>
      </c>
      <c r="C264" s="0"/>
      <c r="D264" s="0">
        <v>86600</v>
      </c>
      <c r="E264" s="0"/>
      <c r="F264" s="0" t="s">
        <v>3204</v>
      </c>
      <c r="G264" s="0"/>
      <c r="H264" s="0" t="s">
        <v>3505</v>
      </c>
      <c r="I264" s="0" t="s">
        <v>1778</v>
      </c>
      <c r="J264" s="0"/>
      <c r="K264" s="0" t="s">
        <v>3672</v>
      </c>
      <c r="L264" s="0" t="s">
        <v>3673</v>
      </c>
    </row>
    <row r="265">
      <c r="A265" s="0" t="s">
        <v>46</v>
      </c>
      <c r="B265" s="0" t="s">
        <v>333</v>
      </c>
      <c r="C265" s="0"/>
      <c r="D265" s="0">
        <v>81090</v>
      </c>
      <c r="E265" s="0"/>
      <c r="F265" s="0" t="s">
        <v>3205</v>
      </c>
      <c r="G265" s="0"/>
      <c r="H265" s="0" t="s">
        <v>3506</v>
      </c>
      <c r="I265" s="0" t="s">
        <v>1778</v>
      </c>
      <c r="J265" s="0"/>
      <c r="K265" s="0" t="s">
        <v>3672</v>
      </c>
      <c r="L265" s="0" t="s">
        <v>3673</v>
      </c>
    </row>
    <row r="266">
      <c r="A266" s="0" t="s">
        <v>46</v>
      </c>
      <c r="B266" s="0" t="s">
        <v>333</v>
      </c>
      <c r="C266" s="0"/>
      <c r="D266" s="0">
        <v>86400</v>
      </c>
      <c r="E266" s="0"/>
      <c r="F266" s="0" t="s">
        <v>3206</v>
      </c>
      <c r="G266" s="0"/>
      <c r="H266" s="0" t="s">
        <v>3507</v>
      </c>
      <c r="I266" s="0" t="s">
        <v>1778</v>
      </c>
      <c r="J266" s="0"/>
      <c r="K266" s="0" t="s">
        <v>3672</v>
      </c>
      <c r="L266" s="0" t="s">
        <v>3673</v>
      </c>
    </row>
    <row r="267">
      <c r="A267" s="0" t="s">
        <v>46</v>
      </c>
      <c r="B267" s="0" t="s">
        <v>333</v>
      </c>
      <c r="C267" s="0"/>
      <c r="D267" s="0">
        <v>80530</v>
      </c>
      <c r="E267" s="0"/>
      <c r="F267" s="0" t="s">
        <v>3207</v>
      </c>
      <c r="G267" s="0"/>
      <c r="H267" s="0" t="s">
        <v>3508</v>
      </c>
      <c r="I267" s="0" t="s">
        <v>1778</v>
      </c>
      <c r="J267" s="0"/>
      <c r="K267" s="0" t="s">
        <v>3672</v>
      </c>
      <c r="L267" s="0" t="s">
        <v>3673</v>
      </c>
    </row>
    <row r="268">
      <c r="A268" s="0" t="s">
        <v>46</v>
      </c>
      <c r="B268" s="0" t="s">
        <v>330</v>
      </c>
      <c r="C268" s="0"/>
      <c r="D268" s="0">
        <v>43341</v>
      </c>
      <c r="E268" s="0"/>
      <c r="F268" s="0" t="s">
        <v>3208</v>
      </c>
      <c r="G268" s="0"/>
      <c r="H268" s="0" t="s">
        <v>3509</v>
      </c>
      <c r="I268" s="0" t="s">
        <v>3665</v>
      </c>
      <c r="J268" s="0"/>
      <c r="K268" s="0" t="s">
        <v>3672</v>
      </c>
      <c r="L268" s="0" t="s">
        <v>3673</v>
      </c>
    </row>
    <row r="269">
      <c r="A269" s="0" t="s">
        <v>46</v>
      </c>
      <c r="B269" s="0" t="s">
        <v>330</v>
      </c>
      <c r="C269" s="0"/>
      <c r="D269" s="0">
        <v>78000</v>
      </c>
      <c r="E269" s="0"/>
      <c r="F269" s="0" t="s">
        <v>3151</v>
      </c>
      <c r="G269" s="0"/>
      <c r="H269" s="0" t="s">
        <v>3510</v>
      </c>
      <c r="I269" s="0" t="s">
        <v>1755</v>
      </c>
      <c r="J269" s="0"/>
      <c r="K269" s="0" t="s">
        <v>3672</v>
      </c>
      <c r="L269" s="0" t="s">
        <v>3673</v>
      </c>
    </row>
    <row r="270">
      <c r="A270" s="0" t="s">
        <v>46</v>
      </c>
      <c r="B270" s="0" t="s">
        <v>330</v>
      </c>
      <c r="C270" s="0"/>
      <c r="D270" s="0">
        <v>45000</v>
      </c>
      <c r="E270" s="0"/>
      <c r="F270" s="0" t="s">
        <v>3083</v>
      </c>
      <c r="G270" s="0"/>
      <c r="H270" s="0" t="s">
        <v>3511</v>
      </c>
      <c r="I270" s="0" t="s">
        <v>1697</v>
      </c>
      <c r="J270" s="0"/>
      <c r="K270" s="0" t="s">
        <v>3672</v>
      </c>
      <c r="L270" s="0" t="s">
        <v>3673</v>
      </c>
    </row>
    <row r="271">
      <c r="A271" s="0" t="s">
        <v>46</v>
      </c>
      <c r="B271" s="0" t="s">
        <v>2173</v>
      </c>
      <c r="C271" s="0"/>
      <c r="D271" s="0">
        <v>83000</v>
      </c>
      <c r="E271" s="0"/>
      <c r="F271" s="0" t="s">
        <v>3209</v>
      </c>
      <c r="G271" s="0"/>
      <c r="H271" s="0" t="s">
        <v>3512</v>
      </c>
      <c r="I271" s="0" t="s">
        <v>2986</v>
      </c>
      <c r="J271" s="0"/>
      <c r="K271" s="0" t="s">
        <v>3672</v>
      </c>
      <c r="L271" s="0" t="s">
        <v>3673</v>
      </c>
    </row>
    <row r="272">
      <c r="A272" s="0" t="s">
        <v>46</v>
      </c>
      <c r="B272" s="0" t="s">
        <v>339</v>
      </c>
      <c r="C272" s="0"/>
      <c r="D272" s="0">
        <v>300000</v>
      </c>
      <c r="E272" s="0"/>
      <c r="F272" s="0" t="s">
        <v>3068</v>
      </c>
      <c r="G272" s="0"/>
      <c r="H272" s="0" t="s">
        <v>3513</v>
      </c>
      <c r="I272" s="0" t="s">
        <v>1783</v>
      </c>
      <c r="J272" s="0"/>
      <c r="K272" s="0" t="s">
        <v>3672</v>
      </c>
      <c r="L272" s="0" t="s">
        <v>3673</v>
      </c>
    </row>
    <row r="273">
      <c r="A273" s="0" t="s">
        <v>46</v>
      </c>
      <c r="B273" s="0" t="s">
        <v>339</v>
      </c>
      <c r="C273" s="0"/>
      <c r="D273" s="0">
        <v>54900</v>
      </c>
      <c r="E273" s="0"/>
      <c r="F273" s="0" t="s">
        <v>3135</v>
      </c>
      <c r="G273" s="0"/>
      <c r="H273" s="0" t="s">
        <v>3514</v>
      </c>
      <c r="I273" s="0" t="s">
        <v>1783</v>
      </c>
      <c r="J273" s="0"/>
      <c r="K273" s="0" t="s">
        <v>3672</v>
      </c>
      <c r="L273" s="0" t="s">
        <v>3673</v>
      </c>
    </row>
    <row r="274">
      <c r="A274" s="0" t="s">
        <v>46</v>
      </c>
      <c r="B274" s="0" t="s">
        <v>341</v>
      </c>
      <c r="C274" s="0"/>
      <c r="D274" s="0">
        <v>38000</v>
      </c>
      <c r="E274" s="0"/>
      <c r="F274" s="0" t="s">
        <v>3119</v>
      </c>
      <c r="G274" s="0"/>
      <c r="H274" s="0" t="s">
        <v>3515</v>
      </c>
      <c r="I274" s="0" t="s">
        <v>907</v>
      </c>
      <c r="J274" s="0"/>
      <c r="K274" s="0" t="s">
        <v>3672</v>
      </c>
      <c r="L274" s="0" t="s">
        <v>3673</v>
      </c>
    </row>
    <row r="275">
      <c r="A275" s="0" t="s">
        <v>46</v>
      </c>
      <c r="B275" s="0" t="s">
        <v>341</v>
      </c>
      <c r="C275" s="0"/>
      <c r="D275" s="0">
        <v>39800</v>
      </c>
      <c r="E275" s="0"/>
      <c r="F275" s="0" t="s">
        <v>3210</v>
      </c>
      <c r="G275" s="0"/>
      <c r="H275" s="0" t="s">
        <v>3516</v>
      </c>
      <c r="I275" s="0" t="s">
        <v>1785</v>
      </c>
      <c r="J275" s="0"/>
      <c r="K275" s="0" t="s">
        <v>3672</v>
      </c>
      <c r="L275" s="0" t="s">
        <v>3673</v>
      </c>
    </row>
    <row r="276">
      <c r="A276" s="0" t="s">
        <v>46</v>
      </c>
      <c r="B276" s="0" t="s">
        <v>341</v>
      </c>
      <c r="C276" s="0"/>
      <c r="D276" s="0">
        <v>39700</v>
      </c>
      <c r="E276" s="0"/>
      <c r="F276" s="0" t="s">
        <v>3211</v>
      </c>
      <c r="G276" s="0"/>
      <c r="H276" s="0" t="s">
        <v>3517</v>
      </c>
      <c r="I276" s="0" t="s">
        <v>1785</v>
      </c>
      <c r="J276" s="0"/>
      <c r="K276" s="0" t="s">
        <v>3672</v>
      </c>
      <c r="L276" s="0" t="s">
        <v>3673</v>
      </c>
    </row>
    <row r="277">
      <c r="A277" s="0" t="s">
        <v>46</v>
      </c>
      <c r="B277" s="0" t="s">
        <v>341</v>
      </c>
      <c r="C277" s="0"/>
      <c r="D277" s="0">
        <v>38883</v>
      </c>
      <c r="E277" s="0"/>
      <c r="F277" s="0" t="s">
        <v>3212</v>
      </c>
      <c r="G277" s="0"/>
      <c r="H277" s="0" t="s">
        <v>3518</v>
      </c>
      <c r="I277" s="0" t="s">
        <v>1722</v>
      </c>
      <c r="J277" s="0"/>
      <c r="K277" s="0" t="s">
        <v>3672</v>
      </c>
      <c r="L277" s="0" t="s">
        <v>3673</v>
      </c>
    </row>
    <row r="278">
      <c r="A278" s="0" t="s">
        <v>46</v>
      </c>
      <c r="B278" s="0" t="s">
        <v>341</v>
      </c>
      <c r="C278" s="0"/>
      <c r="D278" s="0">
        <v>38978</v>
      </c>
      <c r="E278" s="0"/>
      <c r="F278" s="0" t="s">
        <v>3213</v>
      </c>
      <c r="G278" s="0"/>
      <c r="H278" s="0" t="s">
        <v>3519</v>
      </c>
      <c r="I278" s="0" t="s">
        <v>1722</v>
      </c>
      <c r="J278" s="0"/>
      <c r="K278" s="0" t="s">
        <v>3672</v>
      </c>
      <c r="L278" s="0" t="s">
        <v>3673</v>
      </c>
    </row>
    <row r="279">
      <c r="A279" s="0" t="s">
        <v>46</v>
      </c>
      <c r="B279" s="0" t="s">
        <v>341</v>
      </c>
      <c r="C279" s="0"/>
      <c r="D279" s="0">
        <v>76000</v>
      </c>
      <c r="E279" s="0"/>
      <c r="F279" s="0" t="s">
        <v>3214</v>
      </c>
      <c r="G279" s="0"/>
      <c r="H279" s="0" t="s">
        <v>3520</v>
      </c>
      <c r="I279" s="0" t="s">
        <v>907</v>
      </c>
      <c r="J279" s="0"/>
      <c r="K279" s="0" t="s">
        <v>3672</v>
      </c>
      <c r="L279" s="0" t="s">
        <v>3673</v>
      </c>
    </row>
    <row r="280">
      <c r="A280" s="0" t="s">
        <v>46</v>
      </c>
      <c r="B280" s="0" t="s">
        <v>344</v>
      </c>
      <c r="C280" s="0"/>
      <c r="D280" s="0">
        <v>39820</v>
      </c>
      <c r="E280" s="0"/>
      <c r="F280" s="0" t="s">
        <v>3215</v>
      </c>
      <c r="G280" s="0"/>
      <c r="H280" s="0" t="s">
        <v>3521</v>
      </c>
      <c r="I280" s="0" t="s">
        <v>1788</v>
      </c>
      <c r="J280" s="0"/>
      <c r="K280" s="0" t="s">
        <v>3672</v>
      </c>
      <c r="L280" s="0" t="s">
        <v>3673</v>
      </c>
    </row>
    <row r="281">
      <c r="A281" s="0" t="s">
        <v>47</v>
      </c>
      <c r="B281" s="0" t="s">
        <v>305</v>
      </c>
      <c r="C281" s="0"/>
      <c r="D281" s="0">
        <v>47000</v>
      </c>
      <c r="E281" s="0"/>
      <c r="F281" s="0" t="s">
        <v>3110</v>
      </c>
      <c r="G281" s="0"/>
      <c r="H281" s="0" t="s">
        <v>3522</v>
      </c>
      <c r="I281" s="0" t="s">
        <v>607</v>
      </c>
      <c r="J281" s="0"/>
      <c r="K281" s="0" t="s">
        <v>3672</v>
      </c>
      <c r="L281" s="0" t="s">
        <v>3673</v>
      </c>
    </row>
    <row r="282">
      <c r="A282" s="0" t="s">
        <v>47</v>
      </c>
      <c r="B282" s="0" t="s">
        <v>352</v>
      </c>
      <c r="C282" s="0"/>
      <c r="D282" s="0">
        <v>25000</v>
      </c>
      <c r="E282" s="0"/>
      <c r="F282" s="0" t="s">
        <v>3102</v>
      </c>
      <c r="G282" s="0"/>
      <c r="H282" s="0" t="s">
        <v>3523</v>
      </c>
      <c r="I282" s="0" t="s">
        <v>1795</v>
      </c>
      <c r="J282" s="0"/>
      <c r="K282" s="0" t="s">
        <v>3672</v>
      </c>
      <c r="L282" s="0" t="s">
        <v>3673</v>
      </c>
    </row>
    <row r="283">
      <c r="A283" s="0" t="s">
        <v>47</v>
      </c>
      <c r="B283" s="0" t="s">
        <v>306</v>
      </c>
      <c r="C283" s="0"/>
      <c r="D283" s="0">
        <v>37000</v>
      </c>
      <c r="E283" s="0"/>
      <c r="F283" s="0" t="s">
        <v>3084</v>
      </c>
      <c r="G283" s="0"/>
      <c r="H283" s="0" t="s">
        <v>3524</v>
      </c>
      <c r="I283" s="0" t="s">
        <v>1742</v>
      </c>
      <c r="J283" s="0"/>
      <c r="K283" s="0" t="s">
        <v>3672</v>
      </c>
      <c r="L283" s="0" t="s">
        <v>3673</v>
      </c>
    </row>
    <row r="284">
      <c r="A284" s="0" t="s">
        <v>47</v>
      </c>
      <c r="B284" s="0" t="s">
        <v>348</v>
      </c>
      <c r="C284" s="0"/>
      <c r="D284" s="0">
        <v>46000</v>
      </c>
      <c r="E284" s="0"/>
      <c r="F284" s="0" t="s">
        <v>3079</v>
      </c>
      <c r="G284" s="0"/>
      <c r="H284" s="0" t="s">
        <v>3525</v>
      </c>
      <c r="I284" s="0" t="s">
        <v>1742</v>
      </c>
      <c r="J284" s="0"/>
      <c r="K284" s="0" t="s">
        <v>3672</v>
      </c>
      <c r="L284" s="0" t="s">
        <v>3673</v>
      </c>
    </row>
    <row r="285">
      <c r="A285" s="0" t="s">
        <v>47</v>
      </c>
      <c r="B285" s="0" t="s">
        <v>348</v>
      </c>
      <c r="C285" s="0"/>
      <c r="D285" s="0">
        <v>24300</v>
      </c>
      <c r="E285" s="0"/>
      <c r="F285" s="0" t="s">
        <v>3216</v>
      </c>
      <c r="G285" s="0"/>
      <c r="H285" s="0" t="s">
        <v>3526</v>
      </c>
      <c r="I285" s="0" t="s">
        <v>1742</v>
      </c>
      <c r="J285" s="0"/>
      <c r="K285" s="0" t="s">
        <v>3672</v>
      </c>
      <c r="L285" s="0" t="s">
        <v>3673</v>
      </c>
    </row>
    <row r="286">
      <c r="A286" s="0" t="s">
        <v>47</v>
      </c>
      <c r="B286" s="0" t="s">
        <v>348</v>
      </c>
      <c r="C286" s="0"/>
      <c r="D286" s="0">
        <v>24000</v>
      </c>
      <c r="E286" s="0"/>
      <c r="F286" s="0" t="s">
        <v>3090</v>
      </c>
      <c r="G286" s="0"/>
      <c r="H286" s="0" t="s">
        <v>3527</v>
      </c>
      <c r="I286" s="0" t="s">
        <v>1742</v>
      </c>
      <c r="J286" s="0"/>
      <c r="K286" s="0" t="s">
        <v>3672</v>
      </c>
      <c r="L286" s="0" t="s">
        <v>3673</v>
      </c>
    </row>
    <row r="287">
      <c r="A287" s="0" t="s">
        <v>47</v>
      </c>
      <c r="B287" s="0" t="s">
        <v>348</v>
      </c>
      <c r="C287" s="0"/>
      <c r="D287" s="0">
        <v>24500</v>
      </c>
      <c r="E287" s="0"/>
      <c r="F287" s="0" t="s">
        <v>3217</v>
      </c>
      <c r="G287" s="0"/>
      <c r="H287" s="0" t="s">
        <v>3527</v>
      </c>
      <c r="I287" s="0" t="s">
        <v>1742</v>
      </c>
      <c r="J287" s="0"/>
      <c r="K287" s="0" t="s">
        <v>3672</v>
      </c>
      <c r="L287" s="0" t="s">
        <v>3673</v>
      </c>
    </row>
    <row r="288">
      <c r="A288" s="0" t="s">
        <v>47</v>
      </c>
      <c r="B288" s="0" t="s">
        <v>261</v>
      </c>
      <c r="C288" s="0"/>
      <c r="D288" s="0">
        <v>45000</v>
      </c>
      <c r="E288" s="0"/>
      <c r="F288" s="0" t="s">
        <v>3083</v>
      </c>
      <c r="G288" s="0"/>
      <c r="H288" s="0" t="s">
        <v>3528</v>
      </c>
      <c r="I288" s="0" t="s">
        <v>1768</v>
      </c>
      <c r="J288" s="0"/>
      <c r="K288" s="0" t="s">
        <v>3672</v>
      </c>
      <c r="L288" s="0" t="s">
        <v>3673</v>
      </c>
    </row>
    <row r="289">
      <c r="A289" s="0" t="s">
        <v>47</v>
      </c>
      <c r="B289" s="0" t="s">
        <v>349</v>
      </c>
      <c r="C289" s="0"/>
      <c r="D289" s="0">
        <v>52100</v>
      </c>
      <c r="E289" s="0"/>
      <c r="F289" s="0" t="s">
        <v>3218</v>
      </c>
      <c r="G289" s="0"/>
      <c r="H289" s="0" t="s">
        <v>3529</v>
      </c>
      <c r="I289" s="0" t="s">
        <v>1792</v>
      </c>
      <c r="J289" s="0"/>
      <c r="K289" s="0" t="s">
        <v>3672</v>
      </c>
      <c r="L289" s="0" t="s">
        <v>3673</v>
      </c>
    </row>
    <row r="290">
      <c r="A290" s="0" t="s">
        <v>47</v>
      </c>
      <c r="B290" s="0" t="s">
        <v>307</v>
      </c>
      <c r="C290" s="0"/>
      <c r="D290" s="0">
        <v>38000</v>
      </c>
      <c r="E290" s="0"/>
      <c r="F290" s="0" t="s">
        <v>3119</v>
      </c>
      <c r="G290" s="0"/>
      <c r="H290" s="0" t="s">
        <v>3530</v>
      </c>
      <c r="I290" s="0" t="s">
        <v>805</v>
      </c>
      <c r="J290" s="0"/>
      <c r="K290" s="0" t="s">
        <v>3672</v>
      </c>
      <c r="L290" s="0" t="s">
        <v>3673</v>
      </c>
    </row>
    <row r="291">
      <c r="A291" s="0" t="s">
        <v>47</v>
      </c>
      <c r="B291" s="0" t="s">
        <v>251</v>
      </c>
      <c r="C291" s="0"/>
      <c r="D291" s="0">
        <v>65000</v>
      </c>
      <c r="E291" s="0"/>
      <c r="F291" s="0" t="s">
        <v>3076</v>
      </c>
      <c r="G291" s="0"/>
      <c r="H291" s="0" t="s">
        <v>3531</v>
      </c>
      <c r="I291" s="0" t="s">
        <v>828</v>
      </c>
      <c r="J291" s="0"/>
      <c r="K291" s="0" t="s">
        <v>3672</v>
      </c>
      <c r="L291" s="0" t="s">
        <v>3673</v>
      </c>
    </row>
    <row r="292">
      <c r="A292" s="0" t="s">
        <v>48</v>
      </c>
      <c r="B292" s="0" t="s">
        <v>307</v>
      </c>
      <c r="C292" s="0"/>
      <c r="D292" s="0">
        <v>53000</v>
      </c>
      <c r="E292" s="0"/>
      <c r="F292" s="0" t="s">
        <v>3157</v>
      </c>
      <c r="G292" s="0"/>
      <c r="H292" s="0" t="s">
        <v>3532</v>
      </c>
      <c r="I292" s="0" t="s">
        <v>681</v>
      </c>
      <c r="J292" s="0"/>
      <c r="K292" s="0" t="s">
        <v>3672</v>
      </c>
      <c r="L292" s="0" t="s">
        <v>3673</v>
      </c>
    </row>
    <row r="293">
      <c r="A293" s="0" t="s">
        <v>48</v>
      </c>
      <c r="B293" s="0" t="s">
        <v>307</v>
      </c>
      <c r="C293" s="0"/>
      <c r="D293" s="0">
        <v>52800</v>
      </c>
      <c r="E293" s="0"/>
      <c r="F293" s="0" t="s">
        <v>3219</v>
      </c>
      <c r="G293" s="0"/>
      <c r="H293" s="0" t="s">
        <v>3533</v>
      </c>
      <c r="I293" s="0" t="s">
        <v>681</v>
      </c>
      <c r="J293" s="0"/>
      <c r="K293" s="0" t="s">
        <v>3672</v>
      </c>
      <c r="L293" s="0" t="s">
        <v>3673</v>
      </c>
    </row>
    <row r="294">
      <c r="A294" s="0" t="s">
        <v>48</v>
      </c>
      <c r="B294" s="0" t="s">
        <v>307</v>
      </c>
      <c r="C294" s="0"/>
      <c r="D294" s="0">
        <v>500000</v>
      </c>
      <c r="E294" s="0"/>
      <c r="F294" s="0" t="s">
        <v>3154</v>
      </c>
      <c r="G294" s="0"/>
      <c r="H294" s="0" t="s">
        <v>3534</v>
      </c>
      <c r="I294" s="0" t="s">
        <v>828</v>
      </c>
      <c r="J294" s="0"/>
      <c r="K294" s="0" t="s">
        <v>3672</v>
      </c>
      <c r="L294" s="0" t="s">
        <v>3673</v>
      </c>
    </row>
    <row r="295">
      <c r="A295" s="0" t="s">
        <v>48</v>
      </c>
      <c r="B295" s="0" t="s">
        <v>307</v>
      </c>
      <c r="C295" s="0"/>
      <c r="D295" s="0">
        <v>54000</v>
      </c>
      <c r="E295" s="0"/>
      <c r="F295" s="0" t="s">
        <v>3040</v>
      </c>
      <c r="G295" s="0"/>
      <c r="H295" s="0" t="s">
        <v>3535</v>
      </c>
      <c r="I295" s="0" t="s">
        <v>3666</v>
      </c>
      <c r="J295" s="0"/>
      <c r="K295" s="0" t="s">
        <v>3672</v>
      </c>
      <c r="L295" s="0" t="s">
        <v>3673</v>
      </c>
    </row>
    <row r="296">
      <c r="A296" s="0" t="s">
        <v>48</v>
      </c>
      <c r="B296" s="0" t="s">
        <v>307</v>
      </c>
      <c r="C296" s="0"/>
      <c r="D296" s="0">
        <v>52817</v>
      </c>
      <c r="E296" s="0"/>
      <c r="F296" s="0" t="s">
        <v>3220</v>
      </c>
      <c r="G296" s="0"/>
      <c r="H296" s="0" t="s">
        <v>3536</v>
      </c>
      <c r="I296" s="0" t="s">
        <v>734</v>
      </c>
      <c r="J296" s="0"/>
      <c r="K296" s="0" t="s">
        <v>3672</v>
      </c>
      <c r="L296" s="0" t="s">
        <v>3673</v>
      </c>
    </row>
    <row r="297">
      <c r="A297" s="0" t="s">
        <v>48</v>
      </c>
      <c r="B297" s="0" t="s">
        <v>147</v>
      </c>
      <c r="C297" s="0"/>
      <c r="D297" s="0">
        <v>37000</v>
      </c>
      <c r="E297" s="0"/>
      <c r="F297" s="0" t="s">
        <v>3084</v>
      </c>
      <c r="G297" s="0"/>
      <c r="H297" s="0" t="s">
        <v>3537</v>
      </c>
      <c r="I297" s="0" t="s">
        <v>1794</v>
      </c>
      <c r="J297" s="0"/>
      <c r="K297" s="0" t="s">
        <v>3672</v>
      </c>
      <c r="L297" s="0" t="s">
        <v>3673</v>
      </c>
    </row>
    <row r="298">
      <c r="A298" s="0" t="s">
        <v>48</v>
      </c>
      <c r="B298" s="0" t="s">
        <v>147</v>
      </c>
      <c r="C298" s="0"/>
      <c r="D298" s="0">
        <v>55500</v>
      </c>
      <c r="E298" s="0"/>
      <c r="F298" s="0" t="s">
        <v>3221</v>
      </c>
      <c r="G298" s="0"/>
      <c r="H298" s="0" t="s">
        <v>3538</v>
      </c>
      <c r="I298" s="0" t="s">
        <v>1794</v>
      </c>
      <c r="J298" s="0"/>
      <c r="K298" s="0" t="s">
        <v>3672</v>
      </c>
      <c r="L298" s="0" t="s">
        <v>3673</v>
      </c>
    </row>
    <row r="299">
      <c r="A299" s="0" t="s">
        <v>49</v>
      </c>
      <c r="B299" s="0" t="s">
        <v>353</v>
      </c>
      <c r="C299" s="0"/>
      <c r="D299" s="0">
        <v>36000</v>
      </c>
      <c r="E299" s="0"/>
      <c r="F299" s="0" t="s">
        <v>3124</v>
      </c>
      <c r="G299" s="0"/>
      <c r="H299" s="0" t="s">
        <v>3539</v>
      </c>
      <c r="I299" s="0" t="s">
        <v>1794</v>
      </c>
      <c r="J299" s="0"/>
      <c r="K299" s="0" t="s">
        <v>3672</v>
      </c>
      <c r="L299" s="0" t="s">
        <v>3673</v>
      </c>
    </row>
    <row r="300">
      <c r="A300" s="0" t="s">
        <v>49</v>
      </c>
      <c r="B300" s="0" t="s">
        <v>353</v>
      </c>
      <c r="C300" s="0"/>
      <c r="D300" s="0">
        <v>17000</v>
      </c>
      <c r="E300" s="0"/>
      <c r="F300" s="0" t="s">
        <v>3092</v>
      </c>
      <c r="G300" s="0"/>
      <c r="H300" s="0" t="s">
        <v>3540</v>
      </c>
      <c r="I300" s="0" t="s">
        <v>1794</v>
      </c>
      <c r="J300" s="0"/>
      <c r="K300" s="0" t="s">
        <v>3672</v>
      </c>
      <c r="L300" s="0" t="s">
        <v>3673</v>
      </c>
    </row>
    <row r="301">
      <c r="A301" s="0" t="s">
        <v>49</v>
      </c>
      <c r="B301" s="0" t="s">
        <v>356</v>
      </c>
      <c r="C301" s="0"/>
      <c r="D301" s="0">
        <v>100000</v>
      </c>
      <c r="E301" s="0"/>
      <c r="F301" s="0" t="s">
        <v>3058</v>
      </c>
      <c r="G301" s="0"/>
      <c r="H301" s="0" t="s">
        <v>3541</v>
      </c>
      <c r="I301" s="0" t="s">
        <v>827</v>
      </c>
      <c r="J301" s="0"/>
      <c r="K301" s="0" t="s">
        <v>3672</v>
      </c>
      <c r="L301" s="0" t="s">
        <v>3673</v>
      </c>
    </row>
    <row r="302">
      <c r="A302" s="0" t="s">
        <v>49</v>
      </c>
      <c r="B302" s="0" t="s">
        <v>356</v>
      </c>
      <c r="C302" s="0"/>
      <c r="D302" s="0">
        <v>49100</v>
      </c>
      <c r="E302" s="0"/>
      <c r="F302" s="0" t="s">
        <v>3222</v>
      </c>
      <c r="G302" s="0"/>
      <c r="H302" s="0" t="s">
        <v>3542</v>
      </c>
      <c r="I302" s="0" t="s">
        <v>827</v>
      </c>
      <c r="J302" s="0"/>
      <c r="K302" s="0" t="s">
        <v>3672</v>
      </c>
      <c r="L302" s="0" t="s">
        <v>3673</v>
      </c>
    </row>
    <row r="303">
      <c r="A303" s="0" t="s">
        <v>49</v>
      </c>
      <c r="B303" s="0" t="s">
        <v>356</v>
      </c>
      <c r="C303" s="0"/>
      <c r="D303" s="0">
        <v>51655</v>
      </c>
      <c r="E303" s="0"/>
      <c r="F303" s="0" t="s">
        <v>3223</v>
      </c>
      <c r="G303" s="0"/>
      <c r="H303" s="0" t="s">
        <v>3542</v>
      </c>
      <c r="I303" s="0" t="s">
        <v>827</v>
      </c>
      <c r="J303" s="0"/>
      <c r="K303" s="0" t="s">
        <v>3672</v>
      </c>
      <c r="L303" s="0" t="s">
        <v>3673</v>
      </c>
    </row>
    <row r="304">
      <c r="A304" s="0" t="s">
        <v>49</v>
      </c>
      <c r="B304" s="0" t="s">
        <v>356</v>
      </c>
      <c r="C304" s="0"/>
      <c r="D304" s="0">
        <v>140000</v>
      </c>
      <c r="E304" s="0"/>
      <c r="F304" s="0" t="s">
        <v>3073</v>
      </c>
      <c r="G304" s="0"/>
      <c r="H304" s="0" t="s">
        <v>3543</v>
      </c>
      <c r="I304" s="0" t="s">
        <v>827</v>
      </c>
      <c r="J304" s="0"/>
      <c r="K304" s="0" t="s">
        <v>3672</v>
      </c>
      <c r="L304" s="0" t="s">
        <v>3673</v>
      </c>
    </row>
    <row r="305">
      <c r="A305" s="0" t="s">
        <v>49</v>
      </c>
      <c r="B305" s="0" t="s">
        <v>356</v>
      </c>
      <c r="C305" s="0"/>
      <c r="D305" s="0">
        <v>70140</v>
      </c>
      <c r="E305" s="0"/>
      <c r="F305" s="0" t="s">
        <v>3224</v>
      </c>
      <c r="G305" s="0"/>
      <c r="H305" s="0" t="s">
        <v>3544</v>
      </c>
      <c r="I305" s="0" t="s">
        <v>827</v>
      </c>
      <c r="J305" s="0"/>
      <c r="K305" s="0" t="s">
        <v>3672</v>
      </c>
      <c r="L305" s="0" t="s">
        <v>3673</v>
      </c>
    </row>
    <row r="306">
      <c r="A306" s="0" t="s">
        <v>49</v>
      </c>
      <c r="B306" s="0" t="s">
        <v>356</v>
      </c>
      <c r="C306" s="0"/>
      <c r="D306" s="0">
        <v>72614</v>
      </c>
      <c r="E306" s="0"/>
      <c r="F306" s="0" t="s">
        <v>3225</v>
      </c>
      <c r="G306" s="0"/>
      <c r="H306" s="0" t="s">
        <v>3544</v>
      </c>
      <c r="I306" s="0" t="s">
        <v>827</v>
      </c>
      <c r="J306" s="0"/>
      <c r="K306" s="0" t="s">
        <v>3672</v>
      </c>
      <c r="L306" s="0" t="s">
        <v>3673</v>
      </c>
    </row>
    <row r="307">
      <c r="A307" s="0" t="s">
        <v>49</v>
      </c>
      <c r="B307" s="0" t="s">
        <v>357</v>
      </c>
      <c r="C307" s="0"/>
      <c r="D307" s="0">
        <v>109000</v>
      </c>
      <c r="E307" s="0"/>
      <c r="F307" s="0" t="s">
        <v>3226</v>
      </c>
      <c r="G307" s="0"/>
      <c r="H307" s="0" t="s">
        <v>3545</v>
      </c>
      <c r="I307" s="0" t="s">
        <v>1795</v>
      </c>
      <c r="J307" s="0"/>
      <c r="K307" s="0" t="s">
        <v>3672</v>
      </c>
      <c r="L307" s="0" t="s">
        <v>3673</v>
      </c>
    </row>
    <row r="308">
      <c r="A308" s="0" t="s">
        <v>49</v>
      </c>
      <c r="B308" s="0" t="s">
        <v>357</v>
      </c>
      <c r="C308" s="0"/>
      <c r="D308" s="0">
        <v>48000</v>
      </c>
      <c r="E308" s="0"/>
      <c r="F308" s="0" t="s">
        <v>3111</v>
      </c>
      <c r="G308" s="0"/>
      <c r="H308" s="0" t="s">
        <v>3546</v>
      </c>
      <c r="I308" s="0" t="s">
        <v>1795</v>
      </c>
      <c r="J308" s="0"/>
      <c r="K308" s="0" t="s">
        <v>3672</v>
      </c>
      <c r="L308" s="0" t="s">
        <v>3673</v>
      </c>
    </row>
    <row r="309">
      <c r="A309" s="0" t="s">
        <v>49</v>
      </c>
      <c r="B309" s="0" t="s">
        <v>306</v>
      </c>
      <c r="C309" s="0"/>
      <c r="D309" s="0">
        <v>40000</v>
      </c>
      <c r="E309" s="0"/>
      <c r="F309" s="0" t="s">
        <v>3032</v>
      </c>
      <c r="G309" s="0"/>
      <c r="H309" s="0" t="s">
        <v>3547</v>
      </c>
      <c r="I309" s="0" t="s">
        <v>1803</v>
      </c>
      <c r="J309" s="0"/>
      <c r="K309" s="0" t="s">
        <v>3672</v>
      </c>
      <c r="L309" s="0" t="s">
        <v>3673</v>
      </c>
    </row>
    <row r="310">
      <c r="A310" s="0" t="s">
        <v>49</v>
      </c>
      <c r="B310" s="0" t="s">
        <v>362</v>
      </c>
      <c r="C310" s="0"/>
      <c r="D310" s="0">
        <v>47000</v>
      </c>
      <c r="E310" s="0"/>
      <c r="F310" s="0" t="s">
        <v>3110</v>
      </c>
      <c r="G310" s="0"/>
      <c r="H310" s="0" t="s">
        <v>3548</v>
      </c>
      <c r="I310" s="0" t="s">
        <v>694</v>
      </c>
      <c r="J310" s="0"/>
      <c r="K310" s="0" t="s">
        <v>3672</v>
      </c>
      <c r="L310" s="0" t="s">
        <v>3673</v>
      </c>
    </row>
    <row r="311">
      <c r="A311" s="0" t="s">
        <v>49</v>
      </c>
      <c r="B311" s="0" t="s">
        <v>362</v>
      </c>
      <c r="C311" s="0"/>
      <c r="D311" s="0">
        <v>43000</v>
      </c>
      <c r="E311" s="0"/>
      <c r="F311" s="0" t="s">
        <v>3056</v>
      </c>
      <c r="G311" s="0"/>
      <c r="H311" s="0" t="s">
        <v>3548</v>
      </c>
      <c r="I311" s="0" t="s">
        <v>694</v>
      </c>
      <c r="J311" s="0"/>
      <c r="K311" s="0" t="s">
        <v>3672</v>
      </c>
      <c r="L311" s="0" t="s">
        <v>3673</v>
      </c>
    </row>
    <row r="312">
      <c r="A312" s="0" t="s">
        <v>49</v>
      </c>
      <c r="B312" s="0" t="s">
        <v>147</v>
      </c>
      <c r="C312" s="0"/>
      <c r="D312" s="0">
        <v>87000</v>
      </c>
      <c r="E312" s="0"/>
      <c r="F312" s="0" t="s">
        <v>3196</v>
      </c>
      <c r="G312" s="0"/>
      <c r="H312" s="0" t="s">
        <v>3549</v>
      </c>
      <c r="I312" s="0" t="s">
        <v>1799</v>
      </c>
      <c r="J312" s="0"/>
      <c r="K312" s="0" t="s">
        <v>3672</v>
      </c>
      <c r="L312" s="0" t="s">
        <v>3673</v>
      </c>
    </row>
    <row r="313">
      <c r="A313" s="0" t="s">
        <v>49</v>
      </c>
      <c r="B313" s="0" t="s">
        <v>147</v>
      </c>
      <c r="C313" s="0"/>
      <c r="D313" s="0">
        <v>44000</v>
      </c>
      <c r="E313" s="0"/>
      <c r="F313" s="0" t="s">
        <v>3022</v>
      </c>
      <c r="G313" s="0"/>
      <c r="H313" s="0" t="s">
        <v>3550</v>
      </c>
      <c r="I313" s="0" t="s">
        <v>884</v>
      </c>
      <c r="J313" s="0"/>
      <c r="K313" s="0" t="s">
        <v>3672</v>
      </c>
      <c r="L313" s="0" t="s">
        <v>3673</v>
      </c>
    </row>
    <row r="314">
      <c r="A314" s="0" t="s">
        <v>49</v>
      </c>
      <c r="B314" s="0" t="s">
        <v>352</v>
      </c>
      <c r="C314" s="0"/>
      <c r="D314" s="0">
        <v>160000</v>
      </c>
      <c r="E314" s="0"/>
      <c r="F314" s="0" t="s">
        <v>3152</v>
      </c>
      <c r="G314" s="0"/>
      <c r="H314" s="0" t="s">
        <v>3551</v>
      </c>
      <c r="I314" s="0" t="s">
        <v>607</v>
      </c>
      <c r="J314" s="0"/>
      <c r="K314" s="0" t="s">
        <v>3672</v>
      </c>
      <c r="L314" s="0" t="s">
        <v>3673</v>
      </c>
    </row>
    <row r="315">
      <c r="A315" s="0" t="s">
        <v>49</v>
      </c>
      <c r="B315" s="0" t="s">
        <v>352</v>
      </c>
      <c r="C315" s="0"/>
      <c r="D315" s="0">
        <v>90000</v>
      </c>
      <c r="E315" s="0"/>
      <c r="F315" s="0" t="s">
        <v>3048</v>
      </c>
      <c r="G315" s="0"/>
      <c r="H315" s="0" t="s">
        <v>3552</v>
      </c>
      <c r="I315" s="0" t="s">
        <v>595</v>
      </c>
      <c r="J315" s="0"/>
      <c r="K315" s="0" t="s">
        <v>3672</v>
      </c>
      <c r="L315" s="0" t="s">
        <v>3673</v>
      </c>
    </row>
    <row r="316">
      <c r="A316" s="0" t="s">
        <v>49</v>
      </c>
      <c r="B316" s="0" t="s">
        <v>352</v>
      </c>
      <c r="C316" s="0"/>
      <c r="D316" s="0">
        <v>42000</v>
      </c>
      <c r="E316" s="0"/>
      <c r="F316" s="0" t="s">
        <v>3033</v>
      </c>
      <c r="G316" s="0"/>
      <c r="H316" s="0" t="s">
        <v>3553</v>
      </c>
      <c r="I316" s="0" t="s">
        <v>595</v>
      </c>
      <c r="J316" s="0"/>
      <c r="K316" s="0" t="s">
        <v>3672</v>
      </c>
      <c r="L316" s="0" t="s">
        <v>3673</v>
      </c>
    </row>
    <row r="317">
      <c r="A317" s="0" t="s">
        <v>49</v>
      </c>
      <c r="B317" s="0" t="s">
        <v>352</v>
      </c>
      <c r="C317" s="0"/>
      <c r="D317" s="0">
        <v>190000</v>
      </c>
      <c r="E317" s="0"/>
      <c r="F317" s="0" t="s">
        <v>3227</v>
      </c>
      <c r="G317" s="0"/>
      <c r="H317" s="0" t="s">
        <v>3554</v>
      </c>
      <c r="I317" s="0" t="s">
        <v>644</v>
      </c>
      <c r="J317" s="0"/>
      <c r="K317" s="0" t="s">
        <v>3672</v>
      </c>
      <c r="L317" s="0" t="s">
        <v>3673</v>
      </c>
    </row>
    <row r="318">
      <c r="A318" s="0" t="s">
        <v>49</v>
      </c>
      <c r="B318" s="0" t="s">
        <v>352</v>
      </c>
      <c r="C318" s="0"/>
      <c r="D318" s="0">
        <v>36000</v>
      </c>
      <c r="E318" s="0"/>
      <c r="F318" s="0" t="s">
        <v>3124</v>
      </c>
      <c r="G318" s="0"/>
      <c r="H318" s="0" t="s">
        <v>3555</v>
      </c>
      <c r="I318" s="0" t="s">
        <v>607</v>
      </c>
      <c r="J318" s="0"/>
      <c r="K318" s="0" t="s">
        <v>3672</v>
      </c>
      <c r="L318" s="0" t="s">
        <v>3673</v>
      </c>
    </row>
    <row r="319">
      <c r="A319" s="0" t="s">
        <v>49</v>
      </c>
      <c r="B319" s="0" t="s">
        <v>352</v>
      </c>
      <c r="C319" s="0"/>
      <c r="D319" s="0">
        <v>86000</v>
      </c>
      <c r="E319" s="0"/>
      <c r="F319" s="0" t="s">
        <v>3158</v>
      </c>
      <c r="G319" s="0"/>
      <c r="H319" s="0" t="s">
        <v>3556</v>
      </c>
      <c r="I319" s="0" t="s">
        <v>644</v>
      </c>
      <c r="J319" s="0"/>
      <c r="K319" s="0" t="s">
        <v>3672</v>
      </c>
      <c r="L319" s="0" t="s">
        <v>3673</v>
      </c>
    </row>
    <row r="320">
      <c r="A320" s="0" t="s">
        <v>49</v>
      </c>
      <c r="B320" s="0" t="s">
        <v>359</v>
      </c>
      <c r="C320" s="0"/>
      <c r="D320" s="0">
        <v>110000</v>
      </c>
      <c r="E320" s="0"/>
      <c r="F320" s="0" t="s">
        <v>3057</v>
      </c>
      <c r="G320" s="0"/>
      <c r="H320" s="0" t="s">
        <v>3557</v>
      </c>
      <c r="I320" s="0" t="s">
        <v>803</v>
      </c>
      <c r="J320" s="0"/>
      <c r="K320" s="0" t="s">
        <v>3672</v>
      </c>
      <c r="L320" s="0" t="s">
        <v>3673</v>
      </c>
    </row>
    <row r="321">
      <c r="A321" s="0" t="s">
        <v>50</v>
      </c>
      <c r="B321" s="0" t="s">
        <v>278</v>
      </c>
      <c r="C321" s="0"/>
      <c r="D321" s="0">
        <v>59480</v>
      </c>
      <c r="E321" s="0"/>
      <c r="F321" s="0" t="s">
        <v>3228</v>
      </c>
      <c r="G321" s="0"/>
      <c r="H321" s="0" t="s">
        <v>3558</v>
      </c>
      <c r="I321" s="0" t="s">
        <v>1765</v>
      </c>
      <c r="J321" s="0"/>
      <c r="K321" s="0" t="s">
        <v>3672</v>
      </c>
      <c r="L321" s="0" t="s">
        <v>3673</v>
      </c>
    </row>
    <row r="322">
      <c r="A322" s="0" t="s">
        <v>50</v>
      </c>
      <c r="B322" s="0" t="s">
        <v>3014</v>
      </c>
      <c r="C322" s="0"/>
      <c r="D322" s="0">
        <v>55000</v>
      </c>
      <c r="E322" s="0"/>
      <c r="F322" s="0" t="s">
        <v>3021</v>
      </c>
      <c r="G322" s="0"/>
      <c r="H322" s="0" t="s">
        <v>3559</v>
      </c>
      <c r="I322" s="0" t="s">
        <v>1792</v>
      </c>
      <c r="J322" s="0"/>
      <c r="K322" s="0" t="s">
        <v>3672</v>
      </c>
      <c r="L322" s="0" t="s">
        <v>3673</v>
      </c>
    </row>
    <row r="323">
      <c r="A323" s="0" t="s">
        <v>50</v>
      </c>
      <c r="B323" s="0" t="s">
        <v>147</v>
      </c>
      <c r="C323" s="0"/>
      <c r="D323" s="0">
        <v>63480</v>
      </c>
      <c r="E323" s="0"/>
      <c r="F323" s="0" t="s">
        <v>3229</v>
      </c>
      <c r="G323" s="0"/>
      <c r="H323" s="0" t="s">
        <v>3560</v>
      </c>
      <c r="I323" s="0" t="s">
        <v>1794</v>
      </c>
      <c r="J323" s="0"/>
      <c r="K323" s="0" t="s">
        <v>3672</v>
      </c>
      <c r="L323" s="0" t="s">
        <v>3673</v>
      </c>
    </row>
    <row r="324">
      <c r="A324" s="0" t="s">
        <v>50</v>
      </c>
      <c r="B324" s="0" t="s">
        <v>147</v>
      </c>
      <c r="C324" s="0"/>
      <c r="D324" s="0">
        <v>63490</v>
      </c>
      <c r="E324" s="0"/>
      <c r="F324" s="0" t="s">
        <v>3230</v>
      </c>
      <c r="G324" s="0"/>
      <c r="H324" s="0" t="s">
        <v>3561</v>
      </c>
      <c r="I324" s="0" t="s">
        <v>640</v>
      </c>
      <c r="J324" s="0"/>
      <c r="K324" s="0" t="s">
        <v>3672</v>
      </c>
      <c r="L324" s="0" t="s">
        <v>3673</v>
      </c>
    </row>
    <row r="325">
      <c r="A325" s="0" t="s">
        <v>50</v>
      </c>
      <c r="B325" s="0" t="s">
        <v>305</v>
      </c>
      <c r="C325" s="0"/>
      <c r="D325" s="0">
        <v>63710</v>
      </c>
      <c r="E325" s="0"/>
      <c r="F325" s="0" t="s">
        <v>3231</v>
      </c>
      <c r="G325" s="0"/>
      <c r="H325" s="0" t="s">
        <v>3562</v>
      </c>
      <c r="I325" s="0" t="s">
        <v>595</v>
      </c>
      <c r="J325" s="0"/>
      <c r="K325" s="0" t="s">
        <v>3672</v>
      </c>
      <c r="L325" s="0" t="s">
        <v>3673</v>
      </c>
    </row>
    <row r="326">
      <c r="A326" s="0" t="s">
        <v>50</v>
      </c>
      <c r="B326" s="0" t="s">
        <v>387</v>
      </c>
      <c r="C326" s="0"/>
      <c r="D326" s="0">
        <v>65000</v>
      </c>
      <c r="E326" s="0"/>
      <c r="F326" s="0" t="s">
        <v>3076</v>
      </c>
      <c r="G326" s="0"/>
      <c r="H326" s="0" t="s">
        <v>3563</v>
      </c>
      <c r="I326" s="0" t="s">
        <v>1663</v>
      </c>
      <c r="J326" s="0"/>
      <c r="K326" s="0" t="s">
        <v>3672</v>
      </c>
      <c r="L326" s="0" t="s">
        <v>3673</v>
      </c>
    </row>
    <row r="327">
      <c r="A327" s="0" t="s">
        <v>50</v>
      </c>
      <c r="B327" s="0" t="s">
        <v>362</v>
      </c>
      <c r="C327" s="0"/>
      <c r="D327" s="0">
        <v>61000</v>
      </c>
      <c r="E327" s="0"/>
      <c r="F327" s="0" t="s">
        <v>3164</v>
      </c>
      <c r="G327" s="0"/>
      <c r="H327" s="0" t="s">
        <v>3564</v>
      </c>
      <c r="I327" s="0" t="s">
        <v>585</v>
      </c>
      <c r="J327" s="0"/>
      <c r="K327" s="0" t="s">
        <v>3672</v>
      </c>
      <c r="L327" s="0" t="s">
        <v>3673</v>
      </c>
    </row>
    <row r="328">
      <c r="A328" s="0" t="s">
        <v>50</v>
      </c>
      <c r="B328" s="0" t="s">
        <v>147</v>
      </c>
      <c r="C328" s="0"/>
      <c r="D328" s="0">
        <v>63000</v>
      </c>
      <c r="E328" s="0"/>
      <c r="F328" s="0" t="s">
        <v>3104</v>
      </c>
      <c r="G328" s="0"/>
      <c r="H328" s="0" t="s">
        <v>3565</v>
      </c>
      <c r="I328" s="0" t="s">
        <v>1769</v>
      </c>
      <c r="J328" s="0"/>
      <c r="K328" s="0" t="s">
        <v>3672</v>
      </c>
      <c r="L328" s="0" t="s">
        <v>3673</v>
      </c>
    </row>
    <row r="329">
      <c r="A329" s="0" t="s">
        <v>50</v>
      </c>
      <c r="B329" s="0" t="s">
        <v>147</v>
      </c>
      <c r="C329" s="0"/>
      <c r="D329" s="0">
        <v>63500</v>
      </c>
      <c r="E329" s="0"/>
      <c r="F329" s="0" t="s">
        <v>3120</v>
      </c>
      <c r="G329" s="0"/>
      <c r="H329" s="0" t="s">
        <v>3566</v>
      </c>
      <c r="I329" s="0" t="s">
        <v>637</v>
      </c>
      <c r="J329" s="0"/>
      <c r="K329" s="0" t="s">
        <v>3672</v>
      </c>
      <c r="L329" s="0" t="s">
        <v>3673</v>
      </c>
    </row>
    <row r="330">
      <c r="A330" s="0" t="s">
        <v>50</v>
      </c>
      <c r="B330" s="0" t="s">
        <v>241</v>
      </c>
      <c r="C330" s="0"/>
      <c r="D330" s="0">
        <v>65520</v>
      </c>
      <c r="E330" s="0"/>
      <c r="F330" s="0" t="s">
        <v>3232</v>
      </c>
      <c r="G330" s="0"/>
      <c r="H330" s="0" t="s">
        <v>3567</v>
      </c>
      <c r="I330" s="0" t="s">
        <v>694</v>
      </c>
      <c r="J330" s="0"/>
      <c r="K330" s="0" t="s">
        <v>3672</v>
      </c>
      <c r="L330" s="0" t="s">
        <v>3673</v>
      </c>
    </row>
    <row r="331">
      <c r="A331" s="0" t="s">
        <v>51</v>
      </c>
      <c r="B331" s="0" t="s">
        <v>363</v>
      </c>
      <c r="C331" s="0"/>
      <c r="D331" s="0">
        <v>52000</v>
      </c>
      <c r="E331" s="0"/>
      <c r="F331" s="0" t="s">
        <v>3075</v>
      </c>
      <c r="G331" s="0"/>
      <c r="H331" s="0" t="s">
        <v>3568</v>
      </c>
      <c r="I331" s="0" t="s">
        <v>1794</v>
      </c>
      <c r="J331" s="0"/>
      <c r="K331" s="0" t="s">
        <v>3672</v>
      </c>
      <c r="L331" s="0" t="s">
        <v>3673</v>
      </c>
    </row>
    <row r="332">
      <c r="A332" s="0" t="s">
        <v>51</v>
      </c>
      <c r="B332" s="0" t="s">
        <v>363</v>
      </c>
      <c r="C332" s="0"/>
      <c r="D332" s="0">
        <v>55100</v>
      </c>
      <c r="E332" s="0"/>
      <c r="F332" s="0" t="s">
        <v>3233</v>
      </c>
      <c r="G332" s="0"/>
      <c r="H332" s="0" t="s">
        <v>3569</v>
      </c>
      <c r="I332" s="0" t="s">
        <v>1794</v>
      </c>
      <c r="J332" s="0"/>
      <c r="K332" s="0" t="s">
        <v>3672</v>
      </c>
      <c r="L332" s="0" t="s">
        <v>3673</v>
      </c>
    </row>
    <row r="333">
      <c r="A333" s="0" t="s">
        <v>51</v>
      </c>
      <c r="B333" s="0" t="s">
        <v>364</v>
      </c>
      <c r="C333" s="0"/>
      <c r="D333" s="0">
        <v>55000</v>
      </c>
      <c r="E333" s="0"/>
      <c r="F333" s="0" t="s">
        <v>3021</v>
      </c>
      <c r="G333" s="0"/>
      <c r="H333" s="0" t="s">
        <v>3570</v>
      </c>
      <c r="I333" s="0" t="s">
        <v>1729</v>
      </c>
      <c r="J333" s="0"/>
      <c r="K333" s="0" t="s">
        <v>3672</v>
      </c>
      <c r="L333" s="0" t="s">
        <v>3673</v>
      </c>
    </row>
    <row r="334">
      <c r="A334" s="0" t="s">
        <v>51</v>
      </c>
      <c r="B334" s="0" t="s">
        <v>364</v>
      </c>
      <c r="C334" s="0"/>
      <c r="D334" s="0">
        <v>48000</v>
      </c>
      <c r="E334" s="0"/>
      <c r="F334" s="0" t="s">
        <v>3111</v>
      </c>
      <c r="G334" s="0"/>
      <c r="H334" s="0" t="s">
        <v>3571</v>
      </c>
      <c r="I334" s="0" t="s">
        <v>1729</v>
      </c>
      <c r="J334" s="0"/>
      <c r="K334" s="0" t="s">
        <v>3672</v>
      </c>
      <c r="L334" s="0" t="s">
        <v>3673</v>
      </c>
    </row>
    <row r="335">
      <c r="A335" s="0" t="s">
        <v>51</v>
      </c>
      <c r="B335" s="0" t="s">
        <v>364</v>
      </c>
      <c r="C335" s="0"/>
      <c r="D335" s="0">
        <v>52300</v>
      </c>
      <c r="E335" s="0"/>
      <c r="F335" s="0" t="s">
        <v>3234</v>
      </c>
      <c r="G335" s="0"/>
      <c r="H335" s="0" t="s">
        <v>3572</v>
      </c>
      <c r="I335" s="0" t="s">
        <v>1729</v>
      </c>
      <c r="J335" s="0"/>
      <c r="K335" s="0" t="s">
        <v>3672</v>
      </c>
      <c r="L335" s="0" t="s">
        <v>3673</v>
      </c>
    </row>
    <row r="336">
      <c r="A336" s="0" t="s">
        <v>51</v>
      </c>
      <c r="B336" s="0" t="s">
        <v>364</v>
      </c>
      <c r="C336" s="0"/>
      <c r="D336" s="0">
        <v>51900</v>
      </c>
      <c r="E336" s="0"/>
      <c r="F336" s="0" t="s">
        <v>3235</v>
      </c>
      <c r="G336" s="0"/>
      <c r="H336" s="0" t="s">
        <v>3573</v>
      </c>
      <c r="I336" s="0" t="s">
        <v>1729</v>
      </c>
      <c r="J336" s="0"/>
      <c r="K336" s="0" t="s">
        <v>3672</v>
      </c>
      <c r="L336" s="0" t="s">
        <v>3673</v>
      </c>
    </row>
    <row r="337">
      <c r="A337" s="0" t="s">
        <v>51</v>
      </c>
      <c r="B337" s="0" t="s">
        <v>364</v>
      </c>
      <c r="C337" s="0"/>
      <c r="D337" s="0">
        <v>49400</v>
      </c>
      <c r="E337" s="0"/>
      <c r="F337" s="0" t="s">
        <v>3236</v>
      </c>
      <c r="G337" s="0"/>
      <c r="H337" s="0" t="s">
        <v>3574</v>
      </c>
      <c r="I337" s="0" t="s">
        <v>1729</v>
      </c>
      <c r="J337" s="0"/>
      <c r="K337" s="0" t="s">
        <v>3672</v>
      </c>
      <c r="L337" s="0" t="s">
        <v>3673</v>
      </c>
    </row>
    <row r="338">
      <c r="A338" s="0" t="s">
        <v>51</v>
      </c>
      <c r="B338" s="0" t="s">
        <v>364</v>
      </c>
      <c r="C338" s="0"/>
      <c r="D338" s="0">
        <v>53100</v>
      </c>
      <c r="E338" s="0"/>
      <c r="F338" s="0" t="s">
        <v>3237</v>
      </c>
      <c r="G338" s="0"/>
      <c r="H338" s="0" t="s">
        <v>3575</v>
      </c>
      <c r="I338" s="0" t="s">
        <v>1729</v>
      </c>
      <c r="J338" s="0"/>
      <c r="K338" s="0" t="s">
        <v>3672</v>
      </c>
      <c r="L338" s="0" t="s">
        <v>3673</v>
      </c>
    </row>
    <row r="339">
      <c r="A339" s="0" t="s">
        <v>51</v>
      </c>
      <c r="B339" s="0" t="s">
        <v>359</v>
      </c>
      <c r="C339" s="0"/>
      <c r="D339" s="0">
        <v>57000</v>
      </c>
      <c r="E339" s="0"/>
      <c r="F339" s="0" t="s">
        <v>3036</v>
      </c>
      <c r="G339" s="0"/>
      <c r="H339" s="0" t="s">
        <v>3576</v>
      </c>
      <c r="I339" s="0" t="s">
        <v>607</v>
      </c>
      <c r="J339" s="0"/>
      <c r="K339" s="0" t="s">
        <v>3672</v>
      </c>
      <c r="L339" s="0" t="s">
        <v>3673</v>
      </c>
    </row>
    <row r="340">
      <c r="A340" s="0" t="s">
        <v>51</v>
      </c>
      <c r="B340" s="0" t="s">
        <v>306</v>
      </c>
      <c r="C340" s="0"/>
      <c r="D340" s="0">
        <v>56100</v>
      </c>
      <c r="E340" s="0"/>
      <c r="F340" s="0" t="s">
        <v>3238</v>
      </c>
      <c r="G340" s="0"/>
      <c r="H340" s="0" t="s">
        <v>3577</v>
      </c>
      <c r="I340" s="0" t="s">
        <v>1780</v>
      </c>
      <c r="J340" s="0"/>
      <c r="K340" s="0" t="s">
        <v>3672</v>
      </c>
      <c r="L340" s="0" t="s">
        <v>3673</v>
      </c>
    </row>
    <row r="341">
      <c r="A341" s="0" t="s">
        <v>51</v>
      </c>
      <c r="B341" s="0" t="s">
        <v>365</v>
      </c>
      <c r="C341" s="0"/>
      <c r="D341" s="0">
        <v>65000</v>
      </c>
      <c r="E341" s="0"/>
      <c r="F341" s="0" t="s">
        <v>3076</v>
      </c>
      <c r="G341" s="0"/>
      <c r="H341" s="0" t="s">
        <v>3578</v>
      </c>
      <c r="I341" s="0" t="s">
        <v>694</v>
      </c>
      <c r="J341" s="0"/>
      <c r="K341" s="0" t="s">
        <v>3672</v>
      </c>
      <c r="L341" s="0" t="s">
        <v>3673</v>
      </c>
    </row>
    <row r="342">
      <c r="A342" s="0" t="s">
        <v>51</v>
      </c>
      <c r="B342" s="0" t="s">
        <v>358</v>
      </c>
      <c r="C342" s="0"/>
      <c r="D342" s="0">
        <v>31000</v>
      </c>
      <c r="E342" s="0"/>
      <c r="F342" s="0" t="s">
        <v>3077</v>
      </c>
      <c r="G342" s="0"/>
      <c r="H342" s="0" t="s">
        <v>3579</v>
      </c>
      <c r="I342" s="0" t="s">
        <v>705</v>
      </c>
      <c r="J342" s="0"/>
      <c r="K342" s="0" t="s">
        <v>3672</v>
      </c>
      <c r="L342" s="0" t="s">
        <v>3673</v>
      </c>
    </row>
    <row r="343">
      <c r="A343" s="0" t="s">
        <v>51</v>
      </c>
      <c r="B343" s="0" t="s">
        <v>359</v>
      </c>
      <c r="C343" s="0"/>
      <c r="D343" s="0">
        <v>54000</v>
      </c>
      <c r="E343" s="0"/>
      <c r="F343" s="0" t="s">
        <v>3040</v>
      </c>
      <c r="G343" s="0"/>
      <c r="H343" s="0" t="s">
        <v>3580</v>
      </c>
      <c r="I343" s="0" t="s">
        <v>595</v>
      </c>
      <c r="J343" s="0"/>
      <c r="K343" s="0" t="s">
        <v>3672</v>
      </c>
      <c r="L343" s="0" t="s">
        <v>3673</v>
      </c>
    </row>
    <row r="344">
      <c r="A344" s="0" t="s">
        <v>51</v>
      </c>
      <c r="B344" s="0" t="s">
        <v>359</v>
      </c>
      <c r="C344" s="0"/>
      <c r="D344" s="0">
        <v>77000</v>
      </c>
      <c r="E344" s="0"/>
      <c r="F344" s="0" t="s">
        <v>3239</v>
      </c>
      <c r="G344" s="0"/>
      <c r="H344" s="0" t="s">
        <v>3581</v>
      </c>
      <c r="I344" s="0" t="s">
        <v>595</v>
      </c>
      <c r="J344" s="0"/>
      <c r="K344" s="0" t="s">
        <v>3672</v>
      </c>
      <c r="L344" s="0" t="s">
        <v>3673</v>
      </c>
    </row>
    <row r="345">
      <c r="A345" s="0" t="s">
        <v>52</v>
      </c>
      <c r="B345" s="0" t="s">
        <v>305</v>
      </c>
      <c r="C345" s="0"/>
      <c r="D345" s="0">
        <v>51000</v>
      </c>
      <c r="E345" s="0"/>
      <c r="F345" s="0" t="s">
        <v>3023</v>
      </c>
      <c r="G345" s="0"/>
      <c r="H345" s="0" t="s">
        <v>3582</v>
      </c>
      <c r="I345" s="0" t="s">
        <v>1765</v>
      </c>
      <c r="J345" s="0"/>
      <c r="K345" s="0" t="s">
        <v>3672</v>
      </c>
      <c r="L345" s="0" t="s">
        <v>3673</v>
      </c>
    </row>
    <row r="346">
      <c r="A346" s="0" t="s">
        <v>52</v>
      </c>
      <c r="B346" s="0" t="s">
        <v>305</v>
      </c>
      <c r="C346" s="0"/>
      <c r="D346" s="0">
        <v>34000</v>
      </c>
      <c r="E346" s="0"/>
      <c r="F346" s="0" t="s">
        <v>3100</v>
      </c>
      <c r="G346" s="0"/>
      <c r="H346" s="0" t="s">
        <v>3582</v>
      </c>
      <c r="I346" s="0" t="s">
        <v>1765</v>
      </c>
      <c r="J346" s="0"/>
      <c r="K346" s="0" t="s">
        <v>3672</v>
      </c>
      <c r="L346" s="0" t="s">
        <v>3673</v>
      </c>
    </row>
    <row r="347">
      <c r="A347" s="0" t="s">
        <v>52</v>
      </c>
      <c r="B347" s="0" t="s">
        <v>305</v>
      </c>
      <c r="C347" s="0"/>
      <c r="D347" s="0">
        <v>49000</v>
      </c>
      <c r="E347" s="0"/>
      <c r="F347" s="0" t="s">
        <v>3031</v>
      </c>
      <c r="G347" s="0"/>
      <c r="H347" s="0" t="s">
        <v>3583</v>
      </c>
      <c r="I347" s="0" t="s">
        <v>1790</v>
      </c>
      <c r="J347" s="0"/>
      <c r="K347" s="0" t="s">
        <v>3672</v>
      </c>
      <c r="L347" s="0" t="s">
        <v>3673</v>
      </c>
    </row>
    <row r="348">
      <c r="A348" s="0" t="s">
        <v>52</v>
      </c>
      <c r="B348" s="0" t="s">
        <v>147</v>
      </c>
      <c r="C348" s="0"/>
      <c r="D348" s="0">
        <v>50000</v>
      </c>
      <c r="E348" s="0"/>
      <c r="F348" s="0" t="s">
        <v>3017</v>
      </c>
      <c r="G348" s="0"/>
      <c r="H348" s="0" t="s">
        <v>3584</v>
      </c>
      <c r="I348" s="0" t="s">
        <v>640</v>
      </c>
      <c r="J348" s="0"/>
      <c r="K348" s="0" t="s">
        <v>3672</v>
      </c>
      <c r="L348" s="0" t="s">
        <v>3673</v>
      </c>
    </row>
    <row r="349">
      <c r="A349" s="0" t="s">
        <v>52</v>
      </c>
      <c r="B349" s="0" t="s">
        <v>286</v>
      </c>
      <c r="C349" s="0"/>
      <c r="D349" s="0">
        <v>100000</v>
      </c>
      <c r="E349" s="0"/>
      <c r="F349" s="0" t="s">
        <v>3058</v>
      </c>
      <c r="G349" s="0"/>
      <c r="H349" s="0" t="s">
        <v>3585</v>
      </c>
      <c r="I349" s="0" t="s">
        <v>3667</v>
      </c>
      <c r="J349" s="0"/>
      <c r="K349" s="0" t="s">
        <v>3672</v>
      </c>
      <c r="L349" s="0" t="s">
        <v>3673</v>
      </c>
    </row>
    <row r="350">
      <c r="A350" s="0" t="s">
        <v>52</v>
      </c>
      <c r="B350" s="0" t="s">
        <v>286</v>
      </c>
      <c r="C350" s="0"/>
      <c r="D350" s="0">
        <v>49600</v>
      </c>
      <c r="E350" s="0"/>
      <c r="F350" s="0" t="s">
        <v>3240</v>
      </c>
      <c r="G350" s="0"/>
      <c r="H350" s="0" t="s">
        <v>3586</v>
      </c>
      <c r="I350" s="0" t="s">
        <v>607</v>
      </c>
      <c r="J350" s="0"/>
      <c r="K350" s="0" t="s">
        <v>3672</v>
      </c>
      <c r="L350" s="0" t="s">
        <v>3673</v>
      </c>
    </row>
    <row r="351">
      <c r="A351" s="0" t="s">
        <v>52</v>
      </c>
      <c r="B351" s="0" t="s">
        <v>305</v>
      </c>
      <c r="C351" s="0"/>
      <c r="D351" s="0">
        <v>90000</v>
      </c>
      <c r="E351" s="0"/>
      <c r="F351" s="0" t="s">
        <v>3048</v>
      </c>
      <c r="G351" s="0"/>
      <c r="H351" s="0" t="s">
        <v>3587</v>
      </c>
      <c r="I351" s="0" t="s">
        <v>1794</v>
      </c>
      <c r="J351" s="0"/>
      <c r="K351" s="0" t="s">
        <v>3672</v>
      </c>
      <c r="L351" s="0" t="s">
        <v>3673</v>
      </c>
    </row>
    <row r="352">
      <c r="A352" s="0" t="s">
        <v>52</v>
      </c>
      <c r="B352" s="0" t="s">
        <v>305</v>
      </c>
      <c r="C352" s="0"/>
      <c r="D352" s="0">
        <v>110000</v>
      </c>
      <c r="E352" s="0"/>
      <c r="F352" s="0" t="s">
        <v>3057</v>
      </c>
      <c r="G352" s="0"/>
      <c r="H352" s="0" t="s">
        <v>3587</v>
      </c>
      <c r="I352" s="0" t="s">
        <v>1794</v>
      </c>
      <c r="J352" s="0"/>
      <c r="K352" s="0" t="s">
        <v>3672</v>
      </c>
      <c r="L352" s="0" t="s">
        <v>3673</v>
      </c>
    </row>
    <row r="353">
      <c r="A353" s="0" t="s">
        <v>52</v>
      </c>
      <c r="B353" s="0" t="s">
        <v>305</v>
      </c>
      <c r="C353" s="0"/>
      <c r="D353" s="0">
        <v>108000</v>
      </c>
      <c r="E353" s="0"/>
      <c r="F353" s="0" t="s">
        <v>3241</v>
      </c>
      <c r="G353" s="0"/>
      <c r="H353" s="0" t="s">
        <v>3588</v>
      </c>
      <c r="I353" s="0" t="s">
        <v>1794</v>
      </c>
      <c r="J353" s="0"/>
      <c r="K353" s="0" t="s">
        <v>3672</v>
      </c>
      <c r="L353" s="0" t="s">
        <v>3673</v>
      </c>
    </row>
    <row r="354">
      <c r="A354" s="0" t="s">
        <v>52</v>
      </c>
      <c r="B354" s="0" t="s">
        <v>356</v>
      </c>
      <c r="C354" s="0"/>
      <c r="D354" s="0">
        <v>44623</v>
      </c>
      <c r="E354" s="0"/>
      <c r="F354" s="0" t="s">
        <v>3242</v>
      </c>
      <c r="G354" s="0"/>
      <c r="H354" s="0" t="s">
        <v>3589</v>
      </c>
      <c r="I354" s="0" t="s">
        <v>644</v>
      </c>
      <c r="J354" s="0"/>
      <c r="K354" s="0" t="s">
        <v>3672</v>
      </c>
      <c r="L354" s="0" t="s">
        <v>3673</v>
      </c>
    </row>
    <row r="355">
      <c r="A355" s="0" t="s">
        <v>53</v>
      </c>
      <c r="B355" s="0" t="s">
        <v>356</v>
      </c>
      <c r="C355" s="0"/>
      <c r="D355" s="0">
        <v>34000</v>
      </c>
      <c r="E355" s="0"/>
      <c r="F355" s="0" t="s">
        <v>3100</v>
      </c>
      <c r="G355" s="0"/>
      <c r="H355" s="0" t="s">
        <v>3590</v>
      </c>
      <c r="I355" s="0" t="s">
        <v>1800</v>
      </c>
      <c r="J355" s="0"/>
      <c r="K355" s="0" t="s">
        <v>3672</v>
      </c>
      <c r="L355" s="0" t="s">
        <v>3673</v>
      </c>
    </row>
    <row r="356">
      <c r="A356" s="0" t="s">
        <v>53</v>
      </c>
      <c r="B356" s="0" t="s">
        <v>380</v>
      </c>
      <c r="C356" s="0"/>
      <c r="D356" s="0">
        <v>89000</v>
      </c>
      <c r="E356" s="0"/>
      <c r="F356" s="0" t="s">
        <v>3243</v>
      </c>
      <c r="G356" s="0"/>
      <c r="H356" s="0" t="s">
        <v>3591</v>
      </c>
      <c r="I356" s="0" t="s">
        <v>1780</v>
      </c>
      <c r="J356" s="0"/>
      <c r="K356" s="0" t="s">
        <v>3672</v>
      </c>
      <c r="L356" s="0" t="s">
        <v>3673</v>
      </c>
    </row>
    <row r="357">
      <c r="A357" s="0" t="s">
        <v>53</v>
      </c>
      <c r="B357" s="0" t="s">
        <v>279</v>
      </c>
      <c r="C357" s="0"/>
      <c r="D357" s="0">
        <v>160000</v>
      </c>
      <c r="E357" s="0"/>
      <c r="F357" s="0" t="s">
        <v>3152</v>
      </c>
      <c r="G357" s="0"/>
      <c r="H357" s="0" t="s">
        <v>3592</v>
      </c>
      <c r="I357" s="0" t="s">
        <v>3668</v>
      </c>
      <c r="J357" s="0"/>
      <c r="K357" s="0" t="s">
        <v>3672</v>
      </c>
      <c r="L357" s="0" t="s">
        <v>3673</v>
      </c>
    </row>
    <row r="358">
      <c r="A358" s="0" t="s">
        <v>53</v>
      </c>
      <c r="B358" s="0" t="s">
        <v>279</v>
      </c>
      <c r="C358" s="0"/>
      <c r="D358" s="0">
        <v>27000</v>
      </c>
      <c r="E358" s="0"/>
      <c r="F358" s="0" t="s">
        <v>3041</v>
      </c>
      <c r="G358" s="0"/>
      <c r="H358" s="0" t="s">
        <v>3593</v>
      </c>
      <c r="I358" s="0" t="s">
        <v>907</v>
      </c>
      <c r="J358" s="0"/>
      <c r="K358" s="0" t="s">
        <v>3672</v>
      </c>
      <c r="L358" s="0" t="s">
        <v>3673</v>
      </c>
    </row>
    <row r="359">
      <c r="A359" s="0" t="s">
        <v>53</v>
      </c>
      <c r="B359" s="0" t="s">
        <v>279</v>
      </c>
      <c r="C359" s="0"/>
      <c r="D359" s="0">
        <v>26000</v>
      </c>
      <c r="E359" s="0"/>
      <c r="F359" s="0" t="s">
        <v>3244</v>
      </c>
      <c r="G359" s="0"/>
      <c r="H359" s="0" t="s">
        <v>3594</v>
      </c>
      <c r="I359" s="0" t="s">
        <v>1654</v>
      </c>
      <c r="J359" s="0"/>
      <c r="K359" s="0" t="s">
        <v>3672</v>
      </c>
      <c r="L359" s="0" t="s">
        <v>3673</v>
      </c>
    </row>
    <row r="360">
      <c r="A360" s="0" t="s">
        <v>53</v>
      </c>
      <c r="B360" s="0" t="s">
        <v>147</v>
      </c>
      <c r="C360" s="0"/>
      <c r="D360" s="0">
        <v>31000</v>
      </c>
      <c r="E360" s="0"/>
      <c r="F360" s="0" t="s">
        <v>3077</v>
      </c>
      <c r="G360" s="0"/>
      <c r="H360" s="0" t="s">
        <v>3595</v>
      </c>
      <c r="I360" s="0" t="s">
        <v>1755</v>
      </c>
      <c r="J360" s="0"/>
      <c r="K360" s="0" t="s">
        <v>3672</v>
      </c>
      <c r="L360" s="0" t="s">
        <v>3673</v>
      </c>
    </row>
    <row r="361">
      <c r="A361" s="0" t="s">
        <v>53</v>
      </c>
      <c r="B361" s="0" t="s">
        <v>306</v>
      </c>
      <c r="C361" s="0"/>
      <c r="D361" s="0">
        <v>28000</v>
      </c>
      <c r="E361" s="0"/>
      <c r="F361" s="0" t="s">
        <v>3125</v>
      </c>
      <c r="G361" s="0"/>
      <c r="H361" s="0"/>
      <c r="I361" s="0" t="s">
        <v>3662</v>
      </c>
      <c r="J361" s="0"/>
      <c r="K361" s="0" t="s">
        <v>3672</v>
      </c>
      <c r="L361" s="0" t="s">
        <v>3673</v>
      </c>
    </row>
    <row r="362">
      <c r="A362" s="0" t="s">
        <v>53</v>
      </c>
      <c r="B362" s="0" t="s">
        <v>306</v>
      </c>
      <c r="C362" s="0"/>
      <c r="D362" s="0">
        <v>28450</v>
      </c>
      <c r="E362" s="0"/>
      <c r="F362" s="0" t="s">
        <v>3245</v>
      </c>
      <c r="G362" s="0"/>
      <c r="H362" s="0" t="s">
        <v>3596</v>
      </c>
      <c r="I362" s="0" t="s">
        <v>1792</v>
      </c>
      <c r="J362" s="0"/>
      <c r="K362" s="0" t="s">
        <v>3672</v>
      </c>
      <c r="L362" s="0" t="s">
        <v>3673</v>
      </c>
    </row>
    <row r="363">
      <c r="A363" s="0" t="s">
        <v>53</v>
      </c>
      <c r="B363" s="0" t="s">
        <v>306</v>
      </c>
      <c r="C363" s="0"/>
      <c r="D363" s="0">
        <v>27460</v>
      </c>
      <c r="E363" s="0"/>
      <c r="F363" s="0" t="s">
        <v>3246</v>
      </c>
      <c r="G363" s="0"/>
      <c r="H363" s="0" t="s">
        <v>3597</v>
      </c>
      <c r="I363" s="0" t="s">
        <v>1792</v>
      </c>
      <c r="J363" s="0"/>
      <c r="K363" s="0" t="s">
        <v>3672</v>
      </c>
      <c r="L363" s="0" t="s">
        <v>3673</v>
      </c>
    </row>
    <row r="364">
      <c r="A364" s="0" t="s">
        <v>53</v>
      </c>
      <c r="B364" s="0" t="s">
        <v>261</v>
      </c>
      <c r="C364" s="0"/>
      <c r="D364" s="0">
        <v>60000</v>
      </c>
      <c r="E364" s="0"/>
      <c r="F364" s="0" t="s">
        <v>3129</v>
      </c>
      <c r="G364" s="0"/>
      <c r="H364" s="0" t="s">
        <v>3598</v>
      </c>
      <c r="I364" s="0" t="s">
        <v>1738</v>
      </c>
      <c r="J364" s="0"/>
      <c r="K364" s="0" t="s">
        <v>3672</v>
      </c>
      <c r="L364" s="0" t="s">
        <v>3673</v>
      </c>
    </row>
    <row r="365">
      <c r="A365" s="0" t="s">
        <v>53</v>
      </c>
      <c r="B365" s="0" t="s">
        <v>253</v>
      </c>
      <c r="C365" s="0"/>
      <c r="D365" s="0">
        <v>97000</v>
      </c>
      <c r="E365" s="0"/>
      <c r="F365" s="0" t="s">
        <v>3247</v>
      </c>
      <c r="G365" s="0"/>
      <c r="H365" s="0" t="s">
        <v>3599</v>
      </c>
      <c r="I365" s="0" t="s">
        <v>1730</v>
      </c>
      <c r="J365" s="0"/>
      <c r="K365" s="0" t="s">
        <v>3672</v>
      </c>
      <c r="L365" s="0" t="s">
        <v>3673</v>
      </c>
    </row>
    <row r="366">
      <c r="A366" s="0" t="s">
        <v>53</v>
      </c>
      <c r="B366" s="0" t="s">
        <v>147</v>
      </c>
      <c r="C366" s="0"/>
      <c r="D366" s="0">
        <v>54000</v>
      </c>
      <c r="E366" s="0"/>
      <c r="F366" s="0" t="s">
        <v>3040</v>
      </c>
      <c r="G366" s="0"/>
      <c r="H366" s="0" t="s">
        <v>3600</v>
      </c>
      <c r="I366" s="0" t="s">
        <v>789</v>
      </c>
      <c r="J366" s="0"/>
      <c r="K366" s="0" t="s">
        <v>3672</v>
      </c>
      <c r="L366" s="0" t="s">
        <v>3673</v>
      </c>
    </row>
    <row r="367">
      <c r="A367" s="0" t="s">
        <v>53</v>
      </c>
      <c r="B367" s="0" t="s">
        <v>147</v>
      </c>
      <c r="C367" s="0"/>
      <c r="D367" s="0">
        <v>55000</v>
      </c>
      <c r="E367" s="0"/>
      <c r="F367" s="0" t="s">
        <v>3021</v>
      </c>
      <c r="G367" s="0"/>
      <c r="H367" s="0" t="s">
        <v>3601</v>
      </c>
      <c r="I367" s="0" t="s">
        <v>1756</v>
      </c>
      <c r="J367" s="0"/>
      <c r="K367" s="0" t="s">
        <v>3672</v>
      </c>
      <c r="L367" s="0" t="s">
        <v>3673</v>
      </c>
    </row>
    <row r="368">
      <c r="A368" s="0" t="s">
        <v>53</v>
      </c>
      <c r="B368" s="0" t="s">
        <v>147</v>
      </c>
      <c r="C368" s="0"/>
      <c r="D368" s="0">
        <v>32500</v>
      </c>
      <c r="E368" s="0"/>
      <c r="F368" s="0" t="s">
        <v>3018</v>
      </c>
      <c r="G368" s="0"/>
      <c r="H368" s="0" t="s">
        <v>3602</v>
      </c>
      <c r="I368" s="0" t="s">
        <v>585</v>
      </c>
      <c r="J368" s="0"/>
      <c r="K368" s="0" t="s">
        <v>3672</v>
      </c>
      <c r="L368" s="0" t="s">
        <v>3673</v>
      </c>
    </row>
    <row r="369">
      <c r="A369" s="0" t="s">
        <v>53</v>
      </c>
      <c r="B369" s="0" t="s">
        <v>147</v>
      </c>
      <c r="C369" s="0"/>
      <c r="D369" s="0">
        <v>30300</v>
      </c>
      <c r="E369" s="0"/>
      <c r="F369" s="0" t="s">
        <v>3248</v>
      </c>
      <c r="G369" s="0"/>
      <c r="H369" s="0" t="s">
        <v>3603</v>
      </c>
      <c r="I369" s="0" t="s">
        <v>1756</v>
      </c>
      <c r="J369" s="0"/>
      <c r="K369" s="0" t="s">
        <v>3672</v>
      </c>
      <c r="L369" s="0" t="s">
        <v>3673</v>
      </c>
    </row>
    <row r="370">
      <c r="A370" s="0" t="s">
        <v>53</v>
      </c>
      <c r="B370" s="0" t="s">
        <v>147</v>
      </c>
      <c r="C370" s="0"/>
      <c r="D370" s="0">
        <v>90000</v>
      </c>
      <c r="E370" s="0"/>
      <c r="F370" s="0" t="s">
        <v>3048</v>
      </c>
      <c r="G370" s="0"/>
      <c r="H370" s="0" t="s">
        <v>3604</v>
      </c>
      <c r="I370" s="0" t="s">
        <v>1794</v>
      </c>
      <c r="J370" s="0"/>
      <c r="K370" s="0" t="s">
        <v>3672</v>
      </c>
      <c r="L370" s="0" t="s">
        <v>3673</v>
      </c>
    </row>
    <row r="371">
      <c r="A371" s="0" t="s">
        <v>53</v>
      </c>
      <c r="B371" s="0" t="s">
        <v>147</v>
      </c>
      <c r="C371" s="0"/>
      <c r="D371" s="0">
        <v>98000</v>
      </c>
      <c r="E371" s="0"/>
      <c r="F371" s="0" t="s">
        <v>3156</v>
      </c>
      <c r="G371" s="0"/>
      <c r="H371" s="0" t="s">
        <v>3605</v>
      </c>
      <c r="I371" s="0" t="s">
        <v>3669</v>
      </c>
      <c r="J371" s="0"/>
      <c r="K371" s="0" t="s">
        <v>3672</v>
      </c>
      <c r="L371" s="0" t="s">
        <v>3673</v>
      </c>
    </row>
    <row r="372">
      <c r="A372" s="0" t="s">
        <v>53</v>
      </c>
      <c r="B372" s="0" t="s">
        <v>147</v>
      </c>
      <c r="C372" s="0"/>
      <c r="D372" s="0">
        <v>30000</v>
      </c>
      <c r="E372" s="0"/>
      <c r="F372" s="0" t="s">
        <v>3016</v>
      </c>
      <c r="G372" s="0"/>
      <c r="H372" s="0" t="s">
        <v>3606</v>
      </c>
      <c r="I372" s="0" t="s">
        <v>1738</v>
      </c>
      <c r="J372" s="0"/>
      <c r="K372" s="0" t="s">
        <v>3672</v>
      </c>
      <c r="L372" s="0" t="s">
        <v>3673</v>
      </c>
    </row>
    <row r="373">
      <c r="A373" s="0" t="s">
        <v>53</v>
      </c>
      <c r="B373" s="0" t="s">
        <v>286</v>
      </c>
      <c r="C373" s="0"/>
      <c r="D373" s="0">
        <v>64000</v>
      </c>
      <c r="E373" s="0"/>
      <c r="F373" s="0" t="s">
        <v>3060</v>
      </c>
      <c r="G373" s="0"/>
      <c r="H373" s="0" t="s">
        <v>3607</v>
      </c>
      <c r="I373" s="0" t="s">
        <v>734</v>
      </c>
      <c r="J373" s="0"/>
      <c r="K373" s="0" t="s">
        <v>3672</v>
      </c>
      <c r="L373" s="0" t="s">
        <v>3673</v>
      </c>
    </row>
    <row r="374">
      <c r="A374" s="0" t="s">
        <v>53</v>
      </c>
      <c r="B374" s="0" t="s">
        <v>251</v>
      </c>
      <c r="C374" s="0"/>
      <c r="D374" s="0">
        <v>32000</v>
      </c>
      <c r="E374" s="0"/>
      <c r="F374" s="0" t="s">
        <v>3109</v>
      </c>
      <c r="G374" s="0"/>
      <c r="H374" s="0" t="s">
        <v>3608</v>
      </c>
      <c r="I374" s="0" t="s">
        <v>803</v>
      </c>
      <c r="J374" s="0"/>
      <c r="K374" s="0" t="s">
        <v>3672</v>
      </c>
      <c r="L374" s="0" t="s">
        <v>3673</v>
      </c>
    </row>
    <row r="375">
      <c r="A375" s="0" t="s">
        <v>53</v>
      </c>
      <c r="B375" s="0" t="s">
        <v>379</v>
      </c>
      <c r="C375" s="0"/>
      <c r="D375" s="0">
        <v>180000</v>
      </c>
      <c r="E375" s="0"/>
      <c r="F375" s="0" t="s">
        <v>3116</v>
      </c>
      <c r="G375" s="0"/>
      <c r="H375" s="0" t="s">
        <v>3609</v>
      </c>
      <c r="I375" s="0" t="s">
        <v>3670</v>
      </c>
      <c r="J375" s="0"/>
      <c r="K375" s="0" t="s">
        <v>3672</v>
      </c>
      <c r="L375" s="0" t="s">
        <v>3673</v>
      </c>
    </row>
    <row r="376">
      <c r="A376" s="0" t="s">
        <v>55</v>
      </c>
      <c r="B376" s="0" t="s">
        <v>305</v>
      </c>
      <c r="C376" s="0"/>
      <c r="D376" s="0">
        <v>44000</v>
      </c>
      <c r="E376" s="0"/>
      <c r="F376" s="0" t="s">
        <v>3022</v>
      </c>
      <c r="G376" s="0"/>
      <c r="H376" s="0" t="s">
        <v>3610</v>
      </c>
      <c r="I376" s="0" t="s">
        <v>1790</v>
      </c>
      <c r="J376" s="0"/>
      <c r="K376" s="0" t="s">
        <v>3672</v>
      </c>
      <c r="L376" s="0" t="s">
        <v>3673</v>
      </c>
    </row>
    <row r="377">
      <c r="A377" s="0" t="s">
        <v>55</v>
      </c>
      <c r="B377" s="0" t="s">
        <v>305</v>
      </c>
      <c r="C377" s="0"/>
      <c r="D377" s="0">
        <v>23000</v>
      </c>
      <c r="E377" s="0"/>
      <c r="F377" s="0" t="s">
        <v>2188</v>
      </c>
      <c r="G377" s="0"/>
      <c r="H377" s="0" t="s">
        <v>3611</v>
      </c>
      <c r="I377" s="0" t="s">
        <v>694</v>
      </c>
      <c r="J377" s="0"/>
      <c r="K377" s="0" t="s">
        <v>3672</v>
      </c>
      <c r="L377" s="0" t="s">
        <v>3673</v>
      </c>
    </row>
    <row r="378">
      <c r="A378" s="0" t="s">
        <v>55</v>
      </c>
      <c r="B378" s="0" t="s">
        <v>380</v>
      </c>
      <c r="C378" s="0"/>
      <c r="D378" s="0">
        <v>29000</v>
      </c>
      <c r="E378" s="0"/>
      <c r="F378" s="0" t="s">
        <v>3035</v>
      </c>
      <c r="G378" s="0"/>
      <c r="H378" s="0" t="s">
        <v>3612</v>
      </c>
      <c r="I378" s="0" t="s">
        <v>637</v>
      </c>
      <c r="J378" s="0"/>
      <c r="K378" s="0" t="s">
        <v>3672</v>
      </c>
      <c r="L378" s="0" t="s">
        <v>3673</v>
      </c>
    </row>
    <row r="379">
      <c r="A379" s="0" t="s">
        <v>55</v>
      </c>
      <c r="B379" s="0" t="s">
        <v>380</v>
      </c>
      <c r="C379" s="0"/>
      <c r="D379" s="0">
        <v>25000</v>
      </c>
      <c r="E379" s="0"/>
      <c r="F379" s="0" t="s">
        <v>3102</v>
      </c>
      <c r="G379" s="0"/>
      <c r="H379" s="0" t="s">
        <v>3613</v>
      </c>
      <c r="I379" s="0" t="s">
        <v>776</v>
      </c>
      <c r="J379" s="0"/>
      <c r="K379" s="0" t="s">
        <v>3672</v>
      </c>
      <c r="L379" s="0" t="s">
        <v>3673</v>
      </c>
    </row>
    <row r="380">
      <c r="A380" s="0" t="s">
        <v>55</v>
      </c>
      <c r="B380" s="0" t="s">
        <v>358</v>
      </c>
      <c r="C380" s="0"/>
      <c r="D380" s="0">
        <v>18000</v>
      </c>
      <c r="E380" s="0"/>
      <c r="F380" s="0" t="s">
        <v>3024</v>
      </c>
      <c r="G380" s="0"/>
      <c r="H380" s="0" t="s">
        <v>3614</v>
      </c>
      <c r="I380" s="0" t="s">
        <v>681</v>
      </c>
      <c r="J380" s="0"/>
      <c r="K380" s="0" t="s">
        <v>3672</v>
      </c>
      <c r="L380" s="0" t="s">
        <v>3673</v>
      </c>
    </row>
    <row r="381">
      <c r="A381" s="0" t="s">
        <v>55</v>
      </c>
      <c r="B381" s="0" t="s">
        <v>279</v>
      </c>
      <c r="C381" s="0"/>
      <c r="D381" s="0">
        <v>45000</v>
      </c>
      <c r="E381" s="0"/>
      <c r="F381" s="0" t="s">
        <v>3083</v>
      </c>
      <c r="G381" s="0"/>
      <c r="H381" s="0" t="s">
        <v>3615</v>
      </c>
      <c r="I381" s="0" t="s">
        <v>1726</v>
      </c>
      <c r="J381" s="0"/>
      <c r="K381" s="0" t="s">
        <v>3672</v>
      </c>
      <c r="L381" s="0" t="s">
        <v>3673</v>
      </c>
    </row>
    <row r="382">
      <c r="A382" s="0" t="s">
        <v>55</v>
      </c>
      <c r="B382" s="0" t="s">
        <v>279</v>
      </c>
      <c r="C382" s="0"/>
      <c r="D382" s="0">
        <v>24200</v>
      </c>
      <c r="E382" s="0"/>
      <c r="F382" s="0" t="s">
        <v>3249</v>
      </c>
      <c r="G382" s="0"/>
      <c r="H382" s="0" t="s">
        <v>3616</v>
      </c>
      <c r="I382" s="0" t="s">
        <v>1726</v>
      </c>
      <c r="J382" s="0"/>
      <c r="K382" s="0" t="s">
        <v>3672</v>
      </c>
      <c r="L382" s="0" t="s">
        <v>3673</v>
      </c>
    </row>
    <row r="383">
      <c r="A383" s="0" t="s">
        <v>55</v>
      </c>
      <c r="B383" s="0" t="s">
        <v>381</v>
      </c>
      <c r="C383" s="0"/>
      <c r="D383" s="0">
        <v>28000</v>
      </c>
      <c r="E383" s="0"/>
      <c r="F383" s="0" t="s">
        <v>3125</v>
      </c>
      <c r="G383" s="0"/>
      <c r="H383" s="0" t="s">
        <v>3617</v>
      </c>
      <c r="I383" s="0" t="s">
        <v>803</v>
      </c>
      <c r="J383" s="0"/>
      <c r="K383" s="0" t="s">
        <v>3672</v>
      </c>
      <c r="L383" s="0" t="s">
        <v>3673</v>
      </c>
    </row>
    <row r="384">
      <c r="A384" s="0" t="s">
        <v>55</v>
      </c>
      <c r="B384" s="0" t="s">
        <v>383</v>
      </c>
      <c r="C384" s="0"/>
      <c r="D384" s="0">
        <v>27000</v>
      </c>
      <c r="E384" s="0"/>
      <c r="F384" s="0" t="s">
        <v>3041</v>
      </c>
      <c r="G384" s="0"/>
      <c r="H384" s="0" t="s">
        <v>3618</v>
      </c>
      <c r="I384" s="0" t="s">
        <v>641</v>
      </c>
      <c r="J384" s="0"/>
      <c r="K384" s="0" t="s">
        <v>3672</v>
      </c>
      <c r="L384" s="0" t="s">
        <v>3673</v>
      </c>
    </row>
    <row r="385">
      <c r="A385" s="0" t="s">
        <v>55</v>
      </c>
      <c r="B385" s="0" t="s">
        <v>384</v>
      </c>
      <c r="C385" s="0"/>
      <c r="D385" s="0">
        <v>15000</v>
      </c>
      <c r="E385" s="0"/>
      <c r="F385" s="0" t="s">
        <v>3250</v>
      </c>
      <c r="G385" s="0"/>
      <c r="H385" s="0" t="s">
        <v>3619</v>
      </c>
      <c r="I385" s="0" t="s">
        <v>803</v>
      </c>
      <c r="J385" s="0"/>
      <c r="K385" s="0" t="s">
        <v>3672</v>
      </c>
      <c r="L385" s="0" t="s">
        <v>3673</v>
      </c>
    </row>
    <row r="386">
      <c r="A386" s="0" t="s">
        <v>55</v>
      </c>
      <c r="B386" s="0" t="s">
        <v>147</v>
      </c>
      <c r="C386" s="0"/>
      <c r="D386" s="0">
        <v>46000</v>
      </c>
      <c r="E386" s="0"/>
      <c r="F386" s="0" t="s">
        <v>3079</v>
      </c>
      <c r="G386" s="0"/>
      <c r="H386" s="0" t="s">
        <v>3620</v>
      </c>
      <c r="I386" s="0" t="s">
        <v>643</v>
      </c>
      <c r="J386" s="0"/>
      <c r="K386" s="0" t="s">
        <v>3672</v>
      </c>
      <c r="L386" s="0" t="s">
        <v>3673</v>
      </c>
    </row>
    <row r="387">
      <c r="A387" s="0" t="s">
        <v>55</v>
      </c>
      <c r="B387" s="0" t="s">
        <v>307</v>
      </c>
      <c r="C387" s="0"/>
      <c r="D387" s="0">
        <v>40000</v>
      </c>
      <c r="E387" s="0"/>
      <c r="F387" s="0" t="s">
        <v>3032</v>
      </c>
      <c r="G387" s="0"/>
      <c r="H387" s="0" t="s">
        <v>3621</v>
      </c>
      <c r="I387" s="0" t="s">
        <v>734</v>
      </c>
      <c r="J387" s="0"/>
      <c r="K387" s="0" t="s">
        <v>3672</v>
      </c>
      <c r="L387" s="0" t="s">
        <v>3673</v>
      </c>
    </row>
    <row r="388">
      <c r="A388" s="0" t="s">
        <v>55</v>
      </c>
      <c r="B388" s="0" t="s">
        <v>3015</v>
      </c>
      <c r="C388" s="0"/>
      <c r="D388" s="0">
        <v>22760</v>
      </c>
      <c r="E388" s="0"/>
      <c r="F388" s="0" t="s">
        <v>3251</v>
      </c>
      <c r="G388" s="0"/>
      <c r="H388" s="0" t="s">
        <v>3622</v>
      </c>
      <c r="I388" s="0" t="s">
        <v>1707</v>
      </c>
      <c r="J388" s="0"/>
      <c r="K388" s="0" t="s">
        <v>3672</v>
      </c>
      <c r="L388" s="0" t="s">
        <v>3673</v>
      </c>
    </row>
    <row r="389">
      <c r="A389" s="0" t="s">
        <v>55</v>
      </c>
      <c r="B389" s="0" t="s">
        <v>147</v>
      </c>
      <c r="C389" s="0"/>
      <c r="D389" s="0">
        <v>38200</v>
      </c>
      <c r="E389" s="0"/>
      <c r="F389" s="0" t="s">
        <v>3252</v>
      </c>
      <c r="G389" s="0"/>
      <c r="H389" s="0" t="s">
        <v>3623</v>
      </c>
      <c r="I389" s="0" t="s">
        <v>884</v>
      </c>
      <c r="J389" s="0"/>
      <c r="K389" s="0" t="s">
        <v>3672</v>
      </c>
      <c r="L389" s="0" t="s">
        <v>3673</v>
      </c>
    </row>
    <row r="390">
      <c r="A390" s="0" t="s">
        <v>55</v>
      </c>
      <c r="B390" s="0" t="s">
        <v>147</v>
      </c>
      <c r="C390" s="0"/>
      <c r="D390" s="0">
        <v>11100</v>
      </c>
      <c r="E390" s="0"/>
      <c r="F390" s="0" t="s">
        <v>3253</v>
      </c>
      <c r="G390" s="0"/>
      <c r="H390" s="0" t="s">
        <v>3624</v>
      </c>
      <c r="I390" s="0" t="s">
        <v>1043</v>
      </c>
      <c r="J390" s="0"/>
      <c r="K390" s="0" t="s">
        <v>3672</v>
      </c>
      <c r="L390" s="0" t="s">
        <v>3673</v>
      </c>
    </row>
    <row r="391">
      <c r="A391" s="0" t="s">
        <v>55</v>
      </c>
      <c r="B391" s="0" t="s">
        <v>147</v>
      </c>
      <c r="C391" s="0"/>
      <c r="D391" s="0">
        <v>19481</v>
      </c>
      <c r="E391" s="0"/>
      <c r="F391" s="0" t="s">
        <v>3254</v>
      </c>
      <c r="G391" s="0"/>
      <c r="H391" s="0" t="s">
        <v>3625</v>
      </c>
      <c r="I391" s="0" t="s">
        <v>907</v>
      </c>
      <c r="J391" s="0"/>
      <c r="K391" s="0" t="s">
        <v>3672</v>
      </c>
      <c r="L391" s="0" t="s">
        <v>3673</v>
      </c>
    </row>
    <row r="392">
      <c r="A392" s="0" t="s">
        <v>55</v>
      </c>
      <c r="B392" s="0" t="s">
        <v>147</v>
      </c>
      <c r="C392" s="0"/>
      <c r="D392" s="0">
        <v>34000</v>
      </c>
      <c r="E392" s="0"/>
      <c r="F392" s="0" t="s">
        <v>3100</v>
      </c>
      <c r="G392" s="0"/>
      <c r="H392" s="0" t="s">
        <v>3626</v>
      </c>
      <c r="I392" s="0" t="s">
        <v>2989</v>
      </c>
      <c r="J392" s="0"/>
      <c r="K392" s="0" t="s">
        <v>3672</v>
      </c>
      <c r="L392" s="0" t="s">
        <v>3673</v>
      </c>
    </row>
    <row r="393">
      <c r="A393" s="0" t="s">
        <v>55</v>
      </c>
      <c r="B393" s="0" t="s">
        <v>349</v>
      </c>
      <c r="C393" s="0"/>
      <c r="D393" s="0">
        <v>-999</v>
      </c>
      <c r="E393" s="0"/>
      <c r="F393" s="0" t="s">
        <v>673</v>
      </c>
      <c r="G393" s="0"/>
      <c r="H393" s="0" t="s">
        <v>3627</v>
      </c>
      <c r="I393" s="0" t="s">
        <v>1802</v>
      </c>
      <c r="J393" s="0"/>
      <c r="K393" s="0" t="s">
        <v>3672</v>
      </c>
      <c r="L393" s="0" t="s">
        <v>3673</v>
      </c>
    </row>
    <row r="394">
      <c r="A394" s="0" t="s">
        <v>55</v>
      </c>
      <c r="B394" s="0" t="s">
        <v>352</v>
      </c>
      <c r="C394" s="0"/>
      <c r="D394" s="0">
        <v>22000</v>
      </c>
      <c r="E394" s="0"/>
      <c r="F394" s="0" t="s">
        <v>3093</v>
      </c>
      <c r="G394" s="0"/>
      <c r="H394" s="0" t="s">
        <v>3628</v>
      </c>
      <c r="I394" s="0" t="s">
        <v>2990</v>
      </c>
      <c r="J394" s="0"/>
      <c r="K394" s="0" t="s">
        <v>3672</v>
      </c>
      <c r="L394" s="0" t="s">
        <v>3673</v>
      </c>
    </row>
    <row r="395">
      <c r="A395" s="0" t="s">
        <v>55</v>
      </c>
      <c r="B395" s="0" t="s">
        <v>352</v>
      </c>
      <c r="C395" s="0"/>
      <c r="D395" s="0">
        <v>17500</v>
      </c>
      <c r="E395" s="0"/>
      <c r="F395" s="0" t="s">
        <v>3255</v>
      </c>
      <c r="G395" s="0"/>
      <c r="H395" s="0" t="s">
        <v>3629</v>
      </c>
      <c r="I395" s="0" t="s">
        <v>2990</v>
      </c>
      <c r="J395" s="0"/>
      <c r="K395" s="0" t="s">
        <v>3672</v>
      </c>
      <c r="L395" s="0" t="s">
        <v>3673</v>
      </c>
    </row>
    <row r="396">
      <c r="A396" s="0" t="s">
        <v>55</v>
      </c>
      <c r="B396" s="0" t="s">
        <v>241</v>
      </c>
      <c r="C396" s="0"/>
      <c r="D396" s="0">
        <v>20000</v>
      </c>
      <c r="E396" s="0"/>
      <c r="F396" s="0" t="s">
        <v>3167</v>
      </c>
      <c r="G396" s="0"/>
      <c r="H396" s="0" t="s">
        <v>3630</v>
      </c>
      <c r="I396" s="0" t="s">
        <v>1765</v>
      </c>
      <c r="J396" s="0"/>
      <c r="K396" s="0" t="s">
        <v>3672</v>
      </c>
      <c r="L396" s="0" t="s">
        <v>3673</v>
      </c>
    </row>
    <row r="397">
      <c r="A397" s="0" t="s">
        <v>55</v>
      </c>
      <c r="B397" s="0" t="s">
        <v>241</v>
      </c>
      <c r="C397" s="0"/>
      <c r="D397" s="0">
        <v>50000</v>
      </c>
      <c r="E397" s="0"/>
      <c r="F397" s="0" t="s">
        <v>3017</v>
      </c>
      <c r="G397" s="0"/>
      <c r="H397" s="0" t="s">
        <v>3631</v>
      </c>
      <c r="I397" s="0" t="s">
        <v>585</v>
      </c>
      <c r="J397" s="0"/>
      <c r="K397" s="0" t="s">
        <v>3672</v>
      </c>
      <c r="L397" s="0" t="s">
        <v>3673</v>
      </c>
    </row>
    <row r="398">
      <c r="A398" s="0" t="s">
        <v>55</v>
      </c>
      <c r="B398" s="0" t="s">
        <v>306</v>
      </c>
      <c r="C398" s="0"/>
      <c r="D398" s="0">
        <v>54000</v>
      </c>
      <c r="E398" s="0"/>
      <c r="F398" s="0" t="s">
        <v>3040</v>
      </c>
      <c r="G398" s="0"/>
      <c r="H398" s="0" t="s">
        <v>3632</v>
      </c>
      <c r="I398" s="0" t="s">
        <v>3671</v>
      </c>
      <c r="J398" s="0"/>
      <c r="K398" s="0" t="s">
        <v>3672</v>
      </c>
      <c r="L398" s="0" t="s">
        <v>3673</v>
      </c>
    </row>
  </sheetData>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N19"/>
  <sheetViews>
    <sheetView workbookViewId="0"/>
  </sheetViews>
  <sheetFormatPr defaultRowHeight="15"/>
  <cols>
    <col min="1" max="1" width="5.453125" customWidth="true"/>
    <col min="2" max="2" width="5.26953125" customWidth="true"/>
    <col min="3" max="3" width="8.08984375" customWidth="true"/>
    <col min="4" max="4" width="4.54296875" customWidth="true"/>
    <col min="5" max="5" width="14.7265625" customWidth="true"/>
    <col min="6" max="6" width="80.26953125" customWidth="true"/>
    <col min="7" max="7" width="4.26953125" customWidth="true"/>
    <col min="8" max="8" width="8.54296875" customWidth="true"/>
    <col min="9" max="9" width="12.54296875" customWidth="true"/>
    <col min="10" max="10" width="8.453125" customWidth="true"/>
    <col min="11" max="11" width="15.26953125" customWidth="true"/>
    <col min="12" max="12" width="126.90625" customWidth="true"/>
    <col min="13" max="13" width="62.1796875" customWidth="true"/>
    <col min="14" max="14" width="12.54296875" customWidth="true"/>
  </cols>
  <sheetData>
    <row r="1">
      <c r="A1" s="0" t="s">
        <v>3674</v>
      </c>
      <c r="B1" s="0" t="s">
        <v>3675</v>
      </c>
      <c r="C1" s="0" t="s">
        <v>5</v>
      </c>
      <c r="D1" s="0" t="s">
        <v>3676</v>
      </c>
      <c r="E1" s="0" t="s">
        <v>3677</v>
      </c>
      <c r="F1" s="0" t="s">
        <v>3678</v>
      </c>
      <c r="G1" s="0" t="s">
        <v>3679</v>
      </c>
      <c r="H1" s="0" t="s">
        <v>239</v>
      </c>
      <c r="I1" s="0" t="s">
        <v>3680</v>
      </c>
      <c r="J1" s="0" t="s">
        <v>3681</v>
      </c>
      <c r="K1" s="0" t="s">
        <v>3682</v>
      </c>
      <c r="L1" s="0" t="s">
        <v>3683</v>
      </c>
      <c r="M1" s="0" t="s">
        <v>3702</v>
      </c>
      <c r="N1" s="0" t="s">
        <v>3721</v>
      </c>
    </row>
    <row r="2">
      <c r="A2" s="0">
        <v>1</v>
      </c>
      <c r="B2" s="0">
        <v>1</v>
      </c>
      <c r="C2" s="0" t="s">
        <v>6</v>
      </c>
      <c r="D2" s="0"/>
      <c r="E2" s="0" t="s">
        <v>216</v>
      </c>
      <c r="F2" s="0" t="s">
        <v>25</v>
      </c>
      <c r="G2" s="0"/>
      <c r="H2" s="0"/>
      <c r="I2" s="0"/>
      <c r="J2" s="0">
        <v>1</v>
      </c>
      <c r="K2" s="0"/>
      <c r="L2" s="0" t="s">
        <v>3684</v>
      </c>
      <c r="M2" s="0" t="s">
        <v>3703</v>
      </c>
      <c r="N2" s="0"/>
    </row>
    <row r="3">
      <c r="A3" s="0">
        <v>1</v>
      </c>
      <c r="B3" s="0">
        <v>1</v>
      </c>
      <c r="C3" s="0" t="s">
        <v>7</v>
      </c>
      <c r="D3" s="0"/>
      <c r="E3" s="0" t="s">
        <v>168</v>
      </c>
      <c r="F3" s="0" t="s">
        <v>26</v>
      </c>
      <c r="G3" s="0"/>
      <c r="H3" s="0" t="s">
        <v>43</v>
      </c>
      <c r="I3" s="0"/>
      <c r="J3" s="0">
        <v>1</v>
      </c>
      <c r="K3" s="0"/>
      <c r="L3" s="0" t="s">
        <v>3685</v>
      </c>
      <c r="M3" s="0" t="s">
        <v>3704</v>
      </c>
      <c r="N3" s="0"/>
    </row>
    <row r="4">
      <c r="A4" s="0">
        <v>1</v>
      </c>
      <c r="B4" s="0">
        <v>1</v>
      </c>
      <c r="C4" s="0" t="s">
        <v>8</v>
      </c>
      <c r="D4" s="0"/>
      <c r="E4" s="0" t="s">
        <v>217</v>
      </c>
      <c r="F4" s="0" t="s">
        <v>27</v>
      </c>
      <c r="G4" s="0"/>
      <c r="H4" s="0"/>
      <c r="I4" s="0"/>
      <c r="J4" s="0">
        <v>1</v>
      </c>
      <c r="K4" s="0"/>
      <c r="L4" s="0" t="s">
        <v>3686</v>
      </c>
      <c r="M4" s="0" t="s">
        <v>3705</v>
      </c>
      <c r="N4" s="0"/>
    </row>
    <row r="5">
      <c r="A5" s="0">
        <v>1</v>
      </c>
      <c r="B5" s="0">
        <v>1</v>
      </c>
      <c r="C5" s="0" t="s">
        <v>9</v>
      </c>
      <c r="D5" s="0"/>
      <c r="E5" s="0" t="s">
        <v>169</v>
      </c>
      <c r="F5" s="0" t="s">
        <v>28</v>
      </c>
      <c r="G5" s="0"/>
      <c r="H5" s="0" t="s">
        <v>44</v>
      </c>
      <c r="I5" s="0"/>
      <c r="J5" s="0">
        <v>1</v>
      </c>
      <c r="K5" s="0"/>
      <c r="L5" s="0" t="s">
        <v>3687</v>
      </c>
      <c r="M5" s="0" t="s">
        <v>3706</v>
      </c>
      <c r="N5" s="0"/>
    </row>
    <row r="6">
      <c r="A6" s="0">
        <v>1</v>
      </c>
      <c r="B6" s="0">
        <v>1</v>
      </c>
      <c r="C6" s="0" t="s">
        <v>10</v>
      </c>
      <c r="D6" s="0"/>
      <c r="E6" s="0" t="s">
        <v>170</v>
      </c>
      <c r="F6" s="0" t="s">
        <v>29</v>
      </c>
      <c r="G6" s="0"/>
      <c r="H6" s="0" t="s">
        <v>45</v>
      </c>
      <c r="I6" s="0"/>
      <c r="J6" s="0">
        <v>1</v>
      </c>
      <c r="K6" s="0"/>
      <c r="L6" s="0" t="s">
        <v>3688</v>
      </c>
      <c r="M6" s="0" t="s">
        <v>3707</v>
      </c>
      <c r="N6" s="0"/>
    </row>
    <row r="7">
      <c r="A7" s="0">
        <v>1</v>
      </c>
      <c r="B7" s="0">
        <v>1</v>
      </c>
      <c r="C7" s="0" t="s">
        <v>11</v>
      </c>
      <c r="D7" s="0"/>
      <c r="E7" s="0" t="s">
        <v>171</v>
      </c>
      <c r="F7" s="0" t="s">
        <v>30</v>
      </c>
      <c r="G7" s="0"/>
      <c r="H7" s="0" t="s">
        <v>46</v>
      </c>
      <c r="I7" s="0"/>
      <c r="J7" s="0">
        <v>1</v>
      </c>
      <c r="K7" s="0"/>
      <c r="L7" s="0" t="s">
        <v>3689</v>
      </c>
      <c r="M7" s="0" t="s">
        <v>3708</v>
      </c>
      <c r="N7" s="0"/>
    </row>
    <row r="8">
      <c r="A8" s="0">
        <v>1</v>
      </c>
      <c r="B8" s="0">
        <v>2</v>
      </c>
      <c r="C8" s="0" t="s">
        <v>12</v>
      </c>
      <c r="D8" s="0"/>
      <c r="E8" s="0" t="s">
        <v>172</v>
      </c>
      <c r="F8" s="0" t="s">
        <v>31</v>
      </c>
      <c r="G8" s="0"/>
      <c r="H8" s="0" t="s">
        <v>47</v>
      </c>
      <c r="I8" s="0"/>
      <c r="J8" s="0">
        <v>1</v>
      </c>
      <c r="K8" s="0"/>
      <c r="L8" s="0" t="s">
        <v>3690</v>
      </c>
      <c r="M8" s="0" t="s">
        <v>3709</v>
      </c>
      <c r="N8" s="0"/>
    </row>
    <row r="9">
      <c r="A9" s="0">
        <v>1</v>
      </c>
      <c r="B9" s="0">
        <v>2</v>
      </c>
      <c r="C9" s="0" t="s">
        <v>13</v>
      </c>
      <c r="D9" s="0"/>
      <c r="E9" s="0" t="s">
        <v>173</v>
      </c>
      <c r="F9" s="0" t="s">
        <v>32</v>
      </c>
      <c r="G9" s="0"/>
      <c r="H9" s="0" t="s">
        <v>48</v>
      </c>
      <c r="I9" s="0"/>
      <c r="J9" s="0">
        <v>1</v>
      </c>
      <c r="K9" s="0"/>
      <c r="L9" s="0" t="s">
        <v>3691</v>
      </c>
      <c r="M9" s="0" t="s">
        <v>3710</v>
      </c>
      <c r="N9" s="0"/>
    </row>
    <row r="10">
      <c r="A10" s="0">
        <v>1</v>
      </c>
      <c r="B10" s="0">
        <v>2</v>
      </c>
      <c r="C10" s="0" t="s">
        <v>14</v>
      </c>
      <c r="D10" s="0"/>
      <c r="E10" s="0" t="s">
        <v>218</v>
      </c>
      <c r="F10" s="0" t="s">
        <v>33</v>
      </c>
      <c r="G10" s="0"/>
      <c r="H10" s="0"/>
      <c r="I10" s="0"/>
      <c r="J10" s="0">
        <v>1</v>
      </c>
      <c r="K10" s="0"/>
      <c r="L10" s="0" t="s">
        <v>3692</v>
      </c>
      <c r="M10" s="0" t="s">
        <v>3711</v>
      </c>
      <c r="N10" s="0"/>
    </row>
    <row r="11">
      <c r="A11" s="0">
        <v>1</v>
      </c>
      <c r="B11" s="0">
        <v>2</v>
      </c>
      <c r="C11" s="0" t="s">
        <v>15</v>
      </c>
      <c r="D11" s="0"/>
      <c r="E11" s="0" t="s">
        <v>174</v>
      </c>
      <c r="F11" s="0" t="s">
        <v>32</v>
      </c>
      <c r="G11" s="0"/>
      <c r="H11" s="0" t="s">
        <v>48</v>
      </c>
      <c r="I11" s="0"/>
      <c r="J11" s="0">
        <v>1</v>
      </c>
      <c r="K11" s="0"/>
      <c r="L11" s="0" t="s">
        <v>3693</v>
      </c>
      <c r="M11" s="0" t="s">
        <v>3712</v>
      </c>
      <c r="N11" s="0"/>
    </row>
    <row r="12">
      <c r="A12" s="0">
        <v>1</v>
      </c>
      <c r="B12" s="0">
        <v>2</v>
      </c>
      <c r="C12" s="0" t="s">
        <v>16</v>
      </c>
      <c r="D12" s="0"/>
      <c r="E12" s="0" t="s">
        <v>175</v>
      </c>
      <c r="F12" s="0" t="s">
        <v>34</v>
      </c>
      <c r="G12" s="0"/>
      <c r="H12" s="0" t="s">
        <v>49</v>
      </c>
      <c r="I12" s="0"/>
      <c r="J12" s="0">
        <v>1</v>
      </c>
      <c r="K12" s="0"/>
      <c r="L12" s="0" t="s">
        <v>3694</v>
      </c>
      <c r="M12" s="0" t="s">
        <v>3713</v>
      </c>
      <c r="N12" s="0"/>
    </row>
    <row r="13">
      <c r="A13" s="0">
        <v>1</v>
      </c>
      <c r="B13" s="0">
        <v>2</v>
      </c>
      <c r="C13" s="0" t="s">
        <v>17</v>
      </c>
      <c r="D13" s="0"/>
      <c r="E13" s="0" t="s">
        <v>176</v>
      </c>
      <c r="F13" s="0" t="s">
        <v>35</v>
      </c>
      <c r="G13" s="0"/>
      <c r="H13" s="0" t="s">
        <v>50</v>
      </c>
      <c r="I13" s="0"/>
      <c r="J13" s="0">
        <v>1</v>
      </c>
      <c r="K13" s="0"/>
      <c r="L13" s="0" t="s">
        <v>3695</v>
      </c>
      <c r="M13" s="0" t="s">
        <v>3714</v>
      </c>
      <c r="N13" s="0"/>
    </row>
    <row r="14">
      <c r="A14" s="0">
        <v>1</v>
      </c>
      <c r="B14" s="0">
        <v>3</v>
      </c>
      <c r="C14" s="0" t="s">
        <v>18</v>
      </c>
      <c r="D14" s="0"/>
      <c r="E14" s="0" t="s">
        <v>177</v>
      </c>
      <c r="F14" s="0" t="s">
        <v>36</v>
      </c>
      <c r="G14" s="0"/>
      <c r="H14" s="0" t="s">
        <v>51</v>
      </c>
      <c r="I14" s="0"/>
      <c r="J14" s="0">
        <v>1</v>
      </c>
      <c r="K14" s="0"/>
      <c r="L14" s="0" t="s">
        <v>3696</v>
      </c>
      <c r="M14" s="0" t="s">
        <v>3715</v>
      </c>
      <c r="N14" s="0"/>
    </row>
    <row r="15">
      <c r="A15" s="0">
        <v>1</v>
      </c>
      <c r="B15" s="0">
        <v>3</v>
      </c>
      <c r="C15" s="0" t="s">
        <v>19</v>
      </c>
      <c r="D15" s="0"/>
      <c r="E15" s="0" t="s">
        <v>219</v>
      </c>
      <c r="F15" s="0" t="s">
        <v>37</v>
      </c>
      <c r="G15" s="0"/>
      <c r="H15" s="0"/>
      <c r="I15" s="0"/>
      <c r="J15" s="0">
        <v>1</v>
      </c>
      <c r="K15" s="0"/>
      <c r="L15" s="0" t="s">
        <v>3697</v>
      </c>
      <c r="M15" s="0" t="s">
        <v>3716</v>
      </c>
      <c r="N15" s="0"/>
    </row>
    <row r="16">
      <c r="A16" s="0">
        <v>1</v>
      </c>
      <c r="B16" s="0">
        <v>3</v>
      </c>
      <c r="C16" s="0" t="s">
        <v>20</v>
      </c>
      <c r="D16" s="0"/>
      <c r="E16" s="0" t="s">
        <v>178</v>
      </c>
      <c r="F16" s="0" t="s">
        <v>38</v>
      </c>
      <c r="G16" s="0"/>
      <c r="H16" s="0" t="s">
        <v>52</v>
      </c>
      <c r="I16" s="0"/>
      <c r="J16" s="0">
        <v>1</v>
      </c>
      <c r="K16" s="0"/>
      <c r="L16" s="0" t="s">
        <v>3698</v>
      </c>
      <c r="M16" s="0" t="s">
        <v>3717</v>
      </c>
      <c r="N16" s="0"/>
    </row>
    <row r="17">
      <c r="A17" s="0">
        <v>1</v>
      </c>
      <c r="B17" s="0">
        <v>4</v>
      </c>
      <c r="C17" s="0" t="s">
        <v>21</v>
      </c>
      <c r="D17" s="0"/>
      <c r="E17" s="0" t="s">
        <v>179</v>
      </c>
      <c r="F17" s="0" t="s">
        <v>39</v>
      </c>
      <c r="G17" s="0"/>
      <c r="H17" s="0" t="s">
        <v>53</v>
      </c>
      <c r="I17" s="0"/>
      <c r="J17" s="0">
        <v>1</v>
      </c>
      <c r="K17" s="0"/>
      <c r="L17" s="0" t="s">
        <v>3699</v>
      </c>
      <c r="M17" s="0" t="s">
        <v>3718</v>
      </c>
      <c r="N17" s="0"/>
    </row>
    <row r="18">
      <c r="A18" s="0">
        <v>1</v>
      </c>
      <c r="B18" s="0">
        <v>4</v>
      </c>
      <c r="C18" s="0" t="s">
        <v>22</v>
      </c>
      <c r="D18" s="0"/>
      <c r="E18" s="0" t="s">
        <v>180</v>
      </c>
      <c r="F18" s="0" t="s">
        <v>40</v>
      </c>
      <c r="G18" s="0"/>
      <c r="H18" s="0" t="s">
        <v>54</v>
      </c>
      <c r="I18" s="0"/>
      <c r="J18" s="0">
        <v>1</v>
      </c>
      <c r="K18" s="0"/>
      <c r="L18" s="0" t="s">
        <v>3700</v>
      </c>
      <c r="M18" s="0" t="s">
        <v>3719</v>
      </c>
      <c r="N18" s="0"/>
    </row>
    <row r="19">
      <c r="A19" s="0">
        <v>1</v>
      </c>
      <c r="B19" s="0">
        <v>4</v>
      </c>
      <c r="C19" s="0" t="s">
        <v>23</v>
      </c>
      <c r="D19" s="0"/>
      <c r="E19" s="0" t="s">
        <v>181</v>
      </c>
      <c r="F19" s="0" t="s">
        <v>41</v>
      </c>
      <c r="G19" s="0"/>
      <c r="H19" s="0" t="s">
        <v>55</v>
      </c>
      <c r="I19" s="0"/>
      <c r="J19" s="0">
        <v>1</v>
      </c>
      <c r="K19" s="0"/>
      <c r="L19" s="0" t="s">
        <v>3701</v>
      </c>
      <c r="M19" s="0" t="s">
        <v>3720</v>
      </c>
      <c r="N19" s="0"/>
    </row>
  </sheetData>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H14"/>
  <sheetViews>
    <sheetView workbookViewId="0"/>
  </sheetViews>
  <sheetFormatPr defaultRowHeight="15"/>
  <cols>
    <col min="1" max="1" width="12.90625" customWidth="true"/>
    <col min="2" max="2" width="16.7265625" customWidth="true"/>
    <col min="3" max="3" width="32" customWidth="true"/>
    <col min="4" max="4" width="17.81640625" customWidth="true"/>
    <col min="5" max="5" width="34.36328125" customWidth="true"/>
    <col min="6" max="6" width="33.36328125" customWidth="true"/>
    <col min="7" max="7" width="34.36328125" customWidth="true"/>
    <col min="8" max="8" width="34.36328125" customWidth="true"/>
  </cols>
  <sheetData>
    <row r="1">
      <c r="A1" s="0" t="s">
        <v>3722</v>
      </c>
      <c r="B1" s="0" t="s">
        <v>3723</v>
      </c>
      <c r="C1" s="0" t="s">
        <v>3724</v>
      </c>
      <c r="D1" s="0" t="s">
        <v>3727</v>
      </c>
      <c r="E1" s="0" t="s">
        <v>3728</v>
      </c>
      <c r="F1" s="0" t="s">
        <v>3741</v>
      </c>
      <c r="G1" s="0" t="s">
        <v>3751</v>
      </c>
      <c r="H1" s="0" t="s">
        <v>3759</v>
      </c>
    </row>
    <row r="2">
      <c r="A2" s="0" t="s">
        <v>43</v>
      </c>
      <c r="B2" s="0" t="s">
        <v>43</v>
      </c>
      <c r="C2" s="0" t="s">
        <v>3725</v>
      </c>
      <c r="D2" s="0" t="s">
        <v>147</v>
      </c>
      <c r="E2" s="0" t="s">
        <v>3729</v>
      </c>
      <c r="F2" s="0" t="s">
        <v>3729</v>
      </c>
      <c r="G2" s="0" t="s">
        <v>3752</v>
      </c>
      <c r="H2" s="0" t="s">
        <v>3752</v>
      </c>
    </row>
    <row r="3">
      <c r="A3" s="0" t="s">
        <v>44</v>
      </c>
      <c r="B3" s="0" t="s">
        <v>44</v>
      </c>
      <c r="C3" s="0" t="s">
        <v>3725</v>
      </c>
      <c r="D3" s="0" t="s">
        <v>147</v>
      </c>
      <c r="E3" s="0" t="s">
        <v>3730</v>
      </c>
      <c r="F3" s="0" t="s">
        <v>3742</v>
      </c>
      <c r="G3" s="0" t="s">
        <v>3753</v>
      </c>
      <c r="H3" s="0" t="s">
        <v>3760</v>
      </c>
    </row>
    <row r="4">
      <c r="A4" s="0" t="s">
        <v>45</v>
      </c>
      <c r="B4" s="0" t="s">
        <v>45</v>
      </c>
      <c r="C4" s="0" t="s">
        <v>3725</v>
      </c>
      <c r="D4" s="0" t="s">
        <v>147</v>
      </c>
      <c r="E4" s="0" t="s">
        <v>3731</v>
      </c>
      <c r="F4" s="0" t="s">
        <v>3743</v>
      </c>
      <c r="G4" s="0" t="s">
        <v>3754</v>
      </c>
      <c r="H4" s="0" t="s">
        <v>3761</v>
      </c>
    </row>
    <row r="5">
      <c r="A5" s="0" t="s">
        <v>46</v>
      </c>
      <c r="B5" s="0" t="s">
        <v>46</v>
      </c>
      <c r="C5" s="0" t="s">
        <v>3725</v>
      </c>
      <c r="D5" s="0" t="s">
        <v>147</v>
      </c>
      <c r="E5" s="0" t="s">
        <v>3732</v>
      </c>
      <c r="F5" s="0" t="s">
        <v>3744</v>
      </c>
      <c r="G5" s="0" t="s">
        <v>3755</v>
      </c>
      <c r="H5" s="0" t="s">
        <v>3762</v>
      </c>
    </row>
    <row r="6">
      <c r="A6" s="0" t="s">
        <v>47</v>
      </c>
      <c r="B6" s="0" t="s">
        <v>47</v>
      </c>
      <c r="C6" s="0" t="s">
        <v>3725</v>
      </c>
      <c r="D6" s="0" t="s">
        <v>147</v>
      </c>
      <c r="E6" s="0" t="s">
        <v>3733</v>
      </c>
      <c r="F6" s="0" t="s">
        <v>3745</v>
      </c>
      <c r="G6" s="0" t="s">
        <v>3748</v>
      </c>
      <c r="H6" s="0" t="s">
        <v>3748</v>
      </c>
    </row>
    <row r="7">
      <c r="A7" s="0" t="s">
        <v>48</v>
      </c>
      <c r="B7" s="0" t="s">
        <v>48</v>
      </c>
      <c r="C7" s="0" t="s">
        <v>3725</v>
      </c>
      <c r="D7" s="0" t="s">
        <v>147</v>
      </c>
      <c r="E7" s="0" t="s">
        <v>3734</v>
      </c>
      <c r="F7" s="0" t="s">
        <v>3729</v>
      </c>
      <c r="G7" s="0" t="s">
        <v>3756</v>
      </c>
      <c r="H7" s="0" t="s">
        <v>3756</v>
      </c>
    </row>
    <row r="8">
      <c r="A8" s="0" t="s">
        <v>49</v>
      </c>
      <c r="B8" s="0" t="s">
        <v>49</v>
      </c>
      <c r="C8" s="0" t="s">
        <v>3725</v>
      </c>
      <c r="D8" s="0" t="s">
        <v>147</v>
      </c>
      <c r="E8" s="0" t="s">
        <v>3735</v>
      </c>
      <c r="F8" s="0" t="s">
        <v>3734</v>
      </c>
      <c r="G8" s="0" t="s">
        <v>3757</v>
      </c>
      <c r="H8" s="0" t="s">
        <v>3763</v>
      </c>
    </row>
    <row r="9">
      <c r="A9" s="0" t="s">
        <v>50</v>
      </c>
      <c r="B9" s="0" t="s">
        <v>50</v>
      </c>
      <c r="C9" s="0" t="s">
        <v>3725</v>
      </c>
      <c r="D9" s="0" t="s">
        <v>147</v>
      </c>
      <c r="E9" s="0" t="s">
        <v>3736</v>
      </c>
      <c r="F9" s="0" t="s">
        <v>3746</v>
      </c>
      <c r="G9" s="0" t="s">
        <v>3752</v>
      </c>
      <c r="H9" s="0" t="s">
        <v>3764</v>
      </c>
    </row>
    <row r="10">
      <c r="A10" s="0" t="s">
        <v>51</v>
      </c>
      <c r="B10" s="0" t="s">
        <v>51</v>
      </c>
      <c r="C10" s="0" t="s">
        <v>3725</v>
      </c>
      <c r="D10" s="0" t="s">
        <v>147</v>
      </c>
      <c r="E10" s="0" t="s">
        <v>3737</v>
      </c>
      <c r="F10" s="0" t="s">
        <v>3747</v>
      </c>
      <c r="G10" s="0" t="s">
        <v>3757</v>
      </c>
      <c r="H10" s="0" t="s">
        <v>3765</v>
      </c>
    </row>
    <row r="11">
      <c r="A11" s="0" t="s">
        <v>52</v>
      </c>
      <c r="B11" s="0" t="s">
        <v>52</v>
      </c>
      <c r="C11" s="0" t="s">
        <v>3725</v>
      </c>
      <c r="D11" s="0" t="s">
        <v>147</v>
      </c>
      <c r="E11" s="0" t="s">
        <v>3738</v>
      </c>
      <c r="F11" s="0" t="s">
        <v>3748</v>
      </c>
      <c r="G11" s="0" t="s">
        <v>3757</v>
      </c>
      <c r="H11" s="0" t="s">
        <v>3764</v>
      </c>
    </row>
    <row r="12">
      <c r="A12" s="0" t="s">
        <v>53</v>
      </c>
      <c r="B12" s="0" t="s">
        <v>53</v>
      </c>
      <c r="C12" s="0" t="s">
        <v>3725</v>
      </c>
      <c r="D12" s="0" t="s">
        <v>147</v>
      </c>
      <c r="E12" s="0" t="s">
        <v>3739</v>
      </c>
      <c r="F12" s="0" t="s">
        <v>3749</v>
      </c>
      <c r="G12" s="0" t="s">
        <v>3743</v>
      </c>
      <c r="H12" s="0" t="s">
        <v>3766</v>
      </c>
    </row>
    <row r="13">
      <c r="A13" s="0" t="s">
        <v>54</v>
      </c>
      <c r="B13" s="0" t="s">
        <v>54</v>
      </c>
      <c r="C13" s="0" t="s">
        <v>3726</v>
      </c>
      <c r="D13" s="0" t="s">
        <v>147</v>
      </c>
      <c r="E13" s="0" t="s">
        <v>3729</v>
      </c>
      <c r="F13" s="0" t="s">
        <v>3729</v>
      </c>
      <c r="G13" s="0" t="s">
        <v>3729</v>
      </c>
      <c r="H13" s="0" t="s">
        <v>3729</v>
      </c>
    </row>
    <row r="14">
      <c r="A14" s="0" t="s">
        <v>55</v>
      </c>
      <c r="B14" s="0" t="s">
        <v>55</v>
      </c>
      <c r="C14" s="0" t="s">
        <v>3725</v>
      </c>
      <c r="D14" s="0" t="s">
        <v>147</v>
      </c>
      <c r="E14" s="0" t="s">
        <v>3740</v>
      </c>
      <c r="F14" s="0" t="s">
        <v>3750</v>
      </c>
      <c r="G14" s="0" t="s">
        <v>3758</v>
      </c>
      <c r="H14" s="0" t="s">
        <v>3735</v>
      </c>
    </row>
  </sheetData>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G14"/>
  <sheetViews>
    <sheetView workbookViewId="0"/>
  </sheetViews>
  <sheetFormatPr defaultRowHeight="15"/>
  <cols>
    <col min="1" max="1" width="12.90625" customWidth="true"/>
    <col min="2" max="2" width="16.7265625" customWidth="true"/>
    <col min="3" max="3" width="32" customWidth="true"/>
    <col min="4" max="4" width="4.54296875" customWidth="true"/>
    <col min="5" max="5" width="32.54296875" customWidth="true"/>
    <col min="6" max="6" width="30.90625" customWidth="true"/>
    <col min="7" max="7" width="27.1796875" customWidth="true"/>
  </cols>
  <sheetData>
    <row r="1">
      <c r="A1" s="0" t="s">
        <v>3722</v>
      </c>
      <c r="B1" s="0" t="s">
        <v>3723</v>
      </c>
      <c r="C1" s="0" t="s">
        <v>3767</v>
      </c>
      <c r="D1" s="0" t="s">
        <v>3768</v>
      </c>
      <c r="E1" s="0" t="s">
        <v>3769</v>
      </c>
      <c r="F1" s="0" t="s">
        <v>3770</v>
      </c>
      <c r="G1" s="0" t="s">
        <v>3771</v>
      </c>
    </row>
    <row r="2">
      <c r="A2" s="0" t="s">
        <v>43</v>
      </c>
      <c r="B2" s="0" t="s">
        <v>43</v>
      </c>
      <c r="C2" s="0" t="s">
        <v>3725</v>
      </c>
      <c r="D2" s="0"/>
      <c r="E2" s="0">
        <v>2</v>
      </c>
      <c r="F2" s="0">
        <v>0</v>
      </c>
      <c r="G2" s="0"/>
    </row>
    <row r="3">
      <c r="A3" s="0" t="s">
        <v>44</v>
      </c>
      <c r="B3" s="0" t="s">
        <v>44</v>
      </c>
      <c r="C3" s="0" t="s">
        <v>3725</v>
      </c>
      <c r="D3" s="0"/>
      <c r="E3" s="0">
        <v>575</v>
      </c>
      <c r="F3" s="0">
        <v>0</v>
      </c>
      <c r="G3" s="0"/>
    </row>
    <row r="4">
      <c r="A4" s="0" t="s">
        <v>45</v>
      </c>
      <c r="B4" s="0" t="s">
        <v>45</v>
      </c>
      <c r="C4" s="0" t="s">
        <v>3725</v>
      </c>
      <c r="D4" s="0"/>
      <c r="E4" s="0">
        <v>378</v>
      </c>
      <c r="F4" s="0">
        <v>0</v>
      </c>
      <c r="G4" s="0"/>
    </row>
    <row r="5">
      <c r="A5" s="0" t="s">
        <v>46</v>
      </c>
      <c r="B5" s="0" t="s">
        <v>46</v>
      </c>
      <c r="C5" s="0" t="s">
        <v>3725</v>
      </c>
      <c r="D5" s="0"/>
      <c r="E5" s="0">
        <v>360</v>
      </c>
      <c r="F5" s="0">
        <v>0</v>
      </c>
      <c r="G5" s="0"/>
    </row>
    <row r="6">
      <c r="A6" s="0" t="s">
        <v>47</v>
      </c>
      <c r="B6" s="0" t="s">
        <v>47</v>
      </c>
      <c r="C6" s="0" t="s">
        <v>3725</v>
      </c>
      <c r="D6" s="0"/>
      <c r="E6" s="0">
        <v>69</v>
      </c>
      <c r="F6" s="0">
        <v>0</v>
      </c>
      <c r="G6" s="0"/>
    </row>
    <row r="7">
      <c r="A7" s="0" t="s">
        <v>48</v>
      </c>
      <c r="B7" s="0" t="s">
        <v>48</v>
      </c>
      <c r="C7" s="0" t="s">
        <v>3725</v>
      </c>
      <c r="D7" s="0"/>
      <c r="E7" s="0">
        <v>17</v>
      </c>
      <c r="F7" s="0">
        <v>0</v>
      </c>
      <c r="G7" s="0"/>
    </row>
    <row r="8">
      <c r="A8" s="0" t="s">
        <v>49</v>
      </c>
      <c r="B8" s="0" t="s">
        <v>49</v>
      </c>
      <c r="C8" s="0" t="s">
        <v>3725</v>
      </c>
      <c r="D8" s="0"/>
      <c r="E8" s="0">
        <v>52</v>
      </c>
      <c r="F8" s="0">
        <v>0</v>
      </c>
      <c r="G8" s="0"/>
    </row>
    <row r="9">
      <c r="A9" s="0" t="s">
        <v>50</v>
      </c>
      <c r="B9" s="0" t="s">
        <v>50</v>
      </c>
      <c r="C9" s="0" t="s">
        <v>3725</v>
      </c>
      <c r="D9" s="0"/>
      <c r="E9" s="0">
        <v>26</v>
      </c>
      <c r="F9" s="0">
        <v>0</v>
      </c>
      <c r="G9" s="0"/>
    </row>
    <row r="10">
      <c r="A10" s="0" t="s">
        <v>51</v>
      </c>
      <c r="B10" s="0" t="s">
        <v>51</v>
      </c>
      <c r="C10" s="0" t="s">
        <v>3725</v>
      </c>
      <c r="D10" s="0"/>
      <c r="E10" s="0">
        <v>136</v>
      </c>
      <c r="F10" s="0">
        <v>0</v>
      </c>
      <c r="G10" s="0"/>
    </row>
    <row r="11">
      <c r="A11" s="0" t="s">
        <v>52</v>
      </c>
      <c r="B11" s="0" t="s">
        <v>52</v>
      </c>
      <c r="C11" s="0" t="s">
        <v>3725</v>
      </c>
      <c r="D11" s="0"/>
      <c r="E11" s="0">
        <v>55</v>
      </c>
      <c r="F11" s="0">
        <v>0</v>
      </c>
      <c r="G11" s="0"/>
    </row>
    <row r="12">
      <c r="A12" s="0" t="s">
        <v>53</v>
      </c>
      <c r="B12" s="0" t="s">
        <v>53</v>
      </c>
      <c r="C12" s="0" t="s">
        <v>3725</v>
      </c>
      <c r="D12" s="0"/>
      <c r="E12" s="0">
        <v>249</v>
      </c>
      <c r="F12" s="0">
        <v>0</v>
      </c>
      <c r="G12" s="0"/>
    </row>
    <row r="13">
      <c r="A13" s="0" t="s">
        <v>54</v>
      </c>
      <c r="B13" s="0" t="s">
        <v>54</v>
      </c>
      <c r="C13" s="0" t="s">
        <v>3726</v>
      </c>
      <c r="D13" s="0"/>
      <c r="E13" s="0">
        <v>0</v>
      </c>
      <c r="F13" s="0">
        <v>0</v>
      </c>
      <c r="G13" s="0"/>
    </row>
    <row r="14">
      <c r="A14" s="0" t="s">
        <v>55</v>
      </c>
      <c r="B14" s="0" t="s">
        <v>55</v>
      </c>
      <c r="C14" s="0" t="s">
        <v>3725</v>
      </c>
      <c r="D14" s="0"/>
      <c r="E14" s="0">
        <v>164</v>
      </c>
      <c r="F14" s="0">
        <v>0</v>
      </c>
      <c r="G14" s="0"/>
    </row>
  </sheetData>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U1"/>
  <sheetViews>
    <sheetView workbookViewId="0"/>
  </sheetViews>
  <sheetFormatPr defaultRowHeight="15"/>
  <cols>
    <col min="1" max="1" width="8.08984375" customWidth="true"/>
    <col min="2" max="2" width="10.36328125" customWidth="true"/>
    <col min="3" max="3" width="7.453125" customWidth="true"/>
    <col min="4" max="4" width="9.7265625" customWidth="true"/>
    <col min="5" max="5" width="10.453125" customWidth="true"/>
    <col min="6" max="6" width="11.81640625" customWidth="true"/>
    <col min="7" max="7" width="12.54296875" customWidth="true"/>
    <col min="8" max="8" width="11.7265625" customWidth="true"/>
    <col min="9" max="9" width="12.453125" customWidth="true"/>
    <col min="10" max="10" width="11.7265625" customWidth="true"/>
    <col min="11" max="11" width="12.453125" customWidth="true"/>
    <col min="12" max="12" width="10.54296875" customWidth="true"/>
    <col min="13" max="13" width="11.26953125" customWidth="true"/>
    <col min="14" max="14" width="5.08984375" customWidth="true"/>
    <col min="15" max="15" width="5.81640625" customWidth="true"/>
    <col min="16" max="16" width="8.54296875" customWidth="true"/>
    <col min="17" max="17" width="9.26953125" customWidth="true"/>
    <col min="18" max="18" width="9.54296875" customWidth="true"/>
    <col min="19" max="19" width="10.26953125" customWidth="true"/>
    <col min="20" max="20" width="11.6328125" customWidth="true"/>
    <col min="21" max="21" width="12" customWidth="true"/>
  </cols>
  <sheetData>
    <row r="1">
      <c r="A1" s="0" t="s">
        <v>5</v>
      </c>
      <c r="B1" s="0" t="s">
        <v>167</v>
      </c>
      <c r="C1" s="0" t="s">
        <v>182</v>
      </c>
      <c r="D1" s="0" t="s">
        <v>56</v>
      </c>
      <c r="E1" s="0" t="s">
        <v>59</v>
      </c>
      <c r="F1" s="0" t="s">
        <v>3772</v>
      </c>
      <c r="G1" s="0" t="s">
        <v>3773</v>
      </c>
      <c r="H1" s="0" t="s">
        <v>3774</v>
      </c>
      <c r="I1" s="0" t="s">
        <v>3775</v>
      </c>
      <c r="J1" s="0" t="s">
        <v>3776</v>
      </c>
      <c r="K1" s="0" t="s">
        <v>3777</v>
      </c>
      <c r="L1" s="0" t="s">
        <v>3778</v>
      </c>
      <c r="M1" s="0" t="s">
        <v>3779</v>
      </c>
      <c r="N1" s="0" t="s">
        <v>3780</v>
      </c>
      <c r="O1" s="0" t="s">
        <v>3781</v>
      </c>
      <c r="P1" s="0" t="s">
        <v>3782</v>
      </c>
      <c r="Q1" s="0" t="s">
        <v>3783</v>
      </c>
      <c r="R1" s="0" t="s">
        <v>3784</v>
      </c>
      <c r="S1" s="0" t="s">
        <v>3785</v>
      </c>
      <c r="T1" s="0" t="s">
        <v>3786</v>
      </c>
      <c r="U1" s="0" t="s">
        <v>3787</v>
      </c>
    </row>
  </sheetData>
</worksheet>
</file>