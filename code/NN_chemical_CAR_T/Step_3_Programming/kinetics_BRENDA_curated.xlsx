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bioelectrodynamics\code\NN_chemical_CAR_T\Step_3_Programming\"/>
    </mc:Choice>
  </mc:AlternateContent>
  <xr:revisionPtr revIDLastSave="0" documentId="13_ncr:1_{D06DD3CF-F91A-4FD2-A22B-08489983CB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lues" sheetId="1" r:id="rId1"/>
    <sheet name="KM details" sheetId="2" r:id="rId2"/>
    <sheet name="SA MW details" sheetId="3" r:id="rId3"/>
    <sheet name="Km records" sheetId="4" r:id="rId4"/>
    <sheet name="kcat records" sheetId="5" r:id="rId5"/>
    <sheet name="SA records" sheetId="6" r:id="rId6"/>
    <sheet name="MW records" sheetId="7" r:id="rId7"/>
    <sheet name="Reaction mapping" sheetId="8" r:id="rId8"/>
    <sheet name="Query status" sheetId="9" r:id="rId9"/>
    <sheet name="EC resolution" sheetId="10" r:id="rId10"/>
    <sheet name="Reference choices" sheetId="11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5" i="1" l="1"/>
  <c r="E155" i="1"/>
  <c r="E19" i="1"/>
  <c r="E18" i="1"/>
  <c r="E10" i="1"/>
  <c r="E6" i="1"/>
  <c r="H3" i="1"/>
  <c r="E3" i="1"/>
  <c r="H181" i="1"/>
  <c r="J181" i="1" s="1"/>
  <c r="H180" i="1"/>
  <c r="J180" i="1" s="1"/>
  <c r="H179" i="1"/>
  <c r="J179" i="1" s="1"/>
  <c r="H178" i="1"/>
  <c r="J178" i="1" s="1"/>
  <c r="H177" i="1"/>
  <c r="J177" i="1" s="1"/>
  <c r="H176" i="1"/>
  <c r="J176" i="1" s="1"/>
  <c r="H175" i="1"/>
  <c r="J175" i="1" s="1"/>
  <c r="H174" i="1"/>
  <c r="J174" i="1" s="1"/>
  <c r="H173" i="1"/>
  <c r="J173" i="1" s="1"/>
  <c r="H172" i="1"/>
  <c r="J172" i="1" s="1"/>
  <c r="H171" i="1"/>
  <c r="J171" i="1" s="1"/>
  <c r="M170" i="1" s="1"/>
  <c r="H170" i="1"/>
  <c r="J170" i="1" s="1"/>
  <c r="L170" i="1" s="1"/>
  <c r="H169" i="1"/>
  <c r="J169" i="1" s="1"/>
  <c r="H168" i="1"/>
  <c r="J168" i="1" s="1"/>
  <c r="M167" i="1" s="1"/>
  <c r="H167" i="1"/>
  <c r="J167" i="1" s="1"/>
  <c r="L167" i="1" s="1"/>
  <c r="H166" i="1"/>
  <c r="J166" i="1" s="1"/>
  <c r="H165" i="1"/>
  <c r="J165" i="1" s="1"/>
  <c r="H164" i="1"/>
  <c r="J164" i="1" s="1"/>
  <c r="H163" i="1"/>
  <c r="J163" i="1" s="1"/>
  <c r="H162" i="1"/>
  <c r="J162" i="1" s="1"/>
  <c r="H161" i="1"/>
  <c r="J161" i="1" s="1"/>
  <c r="H160" i="1"/>
  <c r="J160" i="1" s="1"/>
  <c r="H159" i="1"/>
  <c r="J159" i="1" s="1"/>
  <c r="H158" i="1"/>
  <c r="J158" i="1" s="1"/>
  <c r="H157" i="1"/>
  <c r="J157" i="1" s="1"/>
  <c r="H156" i="1"/>
  <c r="J156" i="1" s="1"/>
  <c r="H155" i="1"/>
  <c r="J155" i="1" s="1"/>
  <c r="H154" i="1"/>
  <c r="J154" i="1" s="1"/>
  <c r="H153" i="1"/>
  <c r="J153" i="1" s="1"/>
  <c r="M152" i="1" s="1"/>
  <c r="H152" i="1"/>
  <c r="J152" i="1" s="1"/>
  <c r="L152" i="1" s="1"/>
  <c r="H151" i="1"/>
  <c r="J151" i="1" s="1"/>
  <c r="H150" i="1"/>
  <c r="J150" i="1" s="1"/>
  <c r="M149" i="1" s="1"/>
  <c r="H149" i="1"/>
  <c r="J149" i="1" s="1"/>
  <c r="L149" i="1" s="1"/>
  <c r="H148" i="1"/>
  <c r="J148" i="1" s="1"/>
  <c r="H147" i="1"/>
  <c r="J147" i="1" s="1"/>
  <c r="H146" i="1"/>
  <c r="J146" i="1" s="1"/>
  <c r="H145" i="1"/>
  <c r="J145" i="1" s="1"/>
  <c r="H144" i="1"/>
  <c r="J144" i="1" s="1"/>
  <c r="H143" i="1"/>
  <c r="J143" i="1" s="1"/>
  <c r="H142" i="1"/>
  <c r="J142" i="1" s="1"/>
  <c r="H141" i="1"/>
  <c r="J141" i="1" s="1"/>
  <c r="H140" i="1"/>
  <c r="J140" i="1" s="1"/>
  <c r="H139" i="1"/>
  <c r="J139" i="1" s="1"/>
  <c r="H138" i="1"/>
  <c r="J138" i="1" s="1"/>
  <c r="H137" i="1"/>
  <c r="J137" i="1" s="1"/>
  <c r="H136" i="1"/>
  <c r="J136" i="1" s="1"/>
  <c r="H135" i="1"/>
  <c r="J135" i="1" s="1"/>
  <c r="M134" i="1" s="1"/>
  <c r="H134" i="1"/>
  <c r="J134" i="1" s="1"/>
  <c r="L134" i="1" s="1"/>
  <c r="H133" i="1"/>
  <c r="J133" i="1" s="1"/>
  <c r="H132" i="1"/>
  <c r="J132" i="1" s="1"/>
  <c r="M131" i="1" s="1"/>
  <c r="H131" i="1"/>
  <c r="J131" i="1" s="1"/>
  <c r="L131" i="1" s="1"/>
  <c r="H130" i="1"/>
  <c r="J130" i="1" s="1"/>
  <c r="H129" i="1"/>
  <c r="J129" i="1" s="1"/>
  <c r="H128" i="1"/>
  <c r="J128" i="1" s="1"/>
  <c r="H127" i="1"/>
  <c r="J127" i="1" s="1"/>
  <c r="H126" i="1"/>
  <c r="J126" i="1" s="1"/>
  <c r="H125" i="1"/>
  <c r="J125" i="1" s="1"/>
  <c r="H124" i="1"/>
  <c r="J124" i="1" s="1"/>
  <c r="H123" i="1"/>
  <c r="J123" i="1" s="1"/>
  <c r="H122" i="1"/>
  <c r="J122" i="1" s="1"/>
  <c r="H121" i="1"/>
  <c r="J121" i="1" s="1"/>
  <c r="H120" i="1"/>
  <c r="J120" i="1" s="1"/>
  <c r="H119" i="1"/>
  <c r="J119" i="1" s="1"/>
  <c r="H118" i="1"/>
  <c r="J118" i="1" s="1"/>
  <c r="H117" i="1"/>
  <c r="J117" i="1" s="1"/>
  <c r="M116" i="1" s="1"/>
  <c r="H116" i="1"/>
  <c r="J116" i="1" s="1"/>
  <c r="H115" i="1"/>
  <c r="J115" i="1" s="1"/>
  <c r="H114" i="1"/>
  <c r="J114" i="1" s="1"/>
  <c r="M113" i="1" s="1"/>
  <c r="H113" i="1"/>
  <c r="J113" i="1" s="1"/>
  <c r="H112" i="1"/>
  <c r="J112" i="1" s="1"/>
  <c r="H111" i="1"/>
  <c r="J111" i="1" s="1"/>
  <c r="H110" i="1"/>
  <c r="J110" i="1" s="1"/>
  <c r="H109" i="1"/>
  <c r="J109" i="1" s="1"/>
  <c r="H108" i="1"/>
  <c r="J108" i="1" s="1"/>
  <c r="H107" i="1"/>
  <c r="J107" i="1" s="1"/>
  <c r="H106" i="1"/>
  <c r="J106" i="1" s="1"/>
  <c r="H105" i="1"/>
  <c r="J105" i="1" s="1"/>
  <c r="H104" i="1"/>
  <c r="J104" i="1" s="1"/>
  <c r="H103" i="1"/>
  <c r="J103" i="1" s="1"/>
  <c r="H102" i="1"/>
  <c r="J102" i="1" s="1"/>
  <c r="H101" i="1"/>
  <c r="J101" i="1" s="1"/>
  <c r="H100" i="1"/>
  <c r="J100" i="1" s="1"/>
  <c r="H99" i="1"/>
  <c r="J99" i="1" s="1"/>
  <c r="M98" i="1" s="1"/>
  <c r="H98" i="1"/>
  <c r="J98" i="1" s="1"/>
  <c r="L98" i="1" s="1"/>
  <c r="H97" i="1"/>
  <c r="J97" i="1" s="1"/>
  <c r="H96" i="1"/>
  <c r="J96" i="1" s="1"/>
  <c r="M95" i="1" s="1"/>
  <c r="H95" i="1"/>
  <c r="J95" i="1" s="1"/>
  <c r="H94" i="1"/>
  <c r="J94" i="1" s="1"/>
  <c r="H93" i="1"/>
  <c r="J93" i="1" s="1"/>
  <c r="H92" i="1"/>
  <c r="J92" i="1" s="1"/>
  <c r="H91" i="1"/>
  <c r="J91" i="1" s="1"/>
  <c r="H90" i="1"/>
  <c r="J90" i="1" s="1"/>
  <c r="H89" i="1"/>
  <c r="J89" i="1" s="1"/>
  <c r="H88" i="1"/>
  <c r="J88" i="1" s="1"/>
  <c r="H87" i="1"/>
  <c r="J87" i="1" s="1"/>
  <c r="H86" i="1"/>
  <c r="J86" i="1" s="1"/>
  <c r="H85" i="1"/>
  <c r="J85" i="1" s="1"/>
  <c r="H84" i="1"/>
  <c r="J84" i="1" s="1"/>
  <c r="H83" i="1"/>
  <c r="J83" i="1" s="1"/>
  <c r="H82" i="1"/>
  <c r="J82" i="1" s="1"/>
  <c r="H81" i="1"/>
  <c r="J81" i="1" s="1"/>
  <c r="M80" i="1" s="1"/>
  <c r="H80" i="1"/>
  <c r="J80" i="1" s="1"/>
  <c r="L80" i="1" s="1"/>
  <c r="H79" i="1"/>
  <c r="J79" i="1" s="1"/>
  <c r="H78" i="1"/>
  <c r="J78" i="1" s="1"/>
  <c r="M77" i="1" s="1"/>
  <c r="H77" i="1"/>
  <c r="J77" i="1" s="1"/>
  <c r="L77" i="1" s="1"/>
  <c r="H76" i="1"/>
  <c r="J76" i="1" s="1"/>
  <c r="H75" i="1"/>
  <c r="J75" i="1" s="1"/>
  <c r="H74" i="1"/>
  <c r="J74" i="1" s="1"/>
  <c r="H73" i="1"/>
  <c r="J73" i="1" s="1"/>
  <c r="H72" i="1"/>
  <c r="J72" i="1" s="1"/>
  <c r="H71" i="1"/>
  <c r="J71" i="1" s="1"/>
  <c r="H70" i="1"/>
  <c r="J70" i="1" s="1"/>
  <c r="H69" i="1"/>
  <c r="J69" i="1" s="1"/>
  <c r="H68" i="1"/>
  <c r="J68" i="1" s="1"/>
  <c r="H67" i="1"/>
  <c r="J67" i="1" s="1"/>
  <c r="H66" i="1"/>
  <c r="J66" i="1" s="1"/>
  <c r="H65" i="1"/>
  <c r="J65" i="1" s="1"/>
  <c r="H64" i="1"/>
  <c r="J64" i="1" s="1"/>
  <c r="H63" i="1"/>
  <c r="J63" i="1" s="1"/>
  <c r="M62" i="1" s="1"/>
  <c r="H62" i="1"/>
  <c r="J62" i="1" s="1"/>
  <c r="L62" i="1" s="1"/>
  <c r="H61" i="1"/>
  <c r="J61" i="1" s="1"/>
  <c r="H60" i="1"/>
  <c r="J60" i="1" s="1"/>
  <c r="M59" i="1" s="1"/>
  <c r="H59" i="1"/>
  <c r="J59" i="1" s="1"/>
  <c r="L59" i="1" s="1"/>
  <c r="H58" i="1"/>
  <c r="J58" i="1" s="1"/>
  <c r="H57" i="1"/>
  <c r="J57" i="1" s="1"/>
  <c r="H56" i="1"/>
  <c r="J56" i="1" s="1"/>
  <c r="H55" i="1"/>
  <c r="J55" i="1" s="1"/>
  <c r="H54" i="1"/>
  <c r="J54" i="1" s="1"/>
  <c r="H53" i="1"/>
  <c r="J53" i="1" s="1"/>
  <c r="H52" i="1"/>
  <c r="J52" i="1" s="1"/>
  <c r="H51" i="1"/>
  <c r="J51" i="1" s="1"/>
  <c r="H50" i="1"/>
  <c r="J50" i="1" s="1"/>
  <c r="H49" i="1"/>
  <c r="J49" i="1" s="1"/>
  <c r="H48" i="1"/>
  <c r="J48" i="1" s="1"/>
  <c r="H47" i="1"/>
  <c r="J47" i="1" s="1"/>
  <c r="H46" i="1"/>
  <c r="J46" i="1" s="1"/>
  <c r="H45" i="1"/>
  <c r="J45" i="1" s="1"/>
  <c r="M44" i="1" s="1"/>
  <c r="H44" i="1"/>
  <c r="J44" i="1" s="1"/>
  <c r="H43" i="1"/>
  <c r="J43" i="1" s="1"/>
  <c r="H42" i="1"/>
  <c r="J42" i="1" s="1"/>
  <c r="M41" i="1" s="1"/>
  <c r="H41" i="1"/>
  <c r="J41" i="1" s="1"/>
  <c r="L41" i="1" s="1"/>
  <c r="H40" i="1"/>
  <c r="J40" i="1" s="1"/>
  <c r="H39" i="1"/>
  <c r="J39" i="1" s="1"/>
  <c r="H38" i="1"/>
  <c r="J38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M26" i="1" s="1"/>
  <c r="H26" i="1"/>
  <c r="J26" i="1" s="1"/>
  <c r="H25" i="1"/>
  <c r="J25" i="1" s="1"/>
  <c r="H24" i="1"/>
  <c r="J24" i="1" s="1"/>
  <c r="M23" i="1" s="1"/>
  <c r="H23" i="1"/>
  <c r="J23" i="1" s="1"/>
  <c r="H22" i="1"/>
  <c r="J22" i="1" s="1"/>
  <c r="H21" i="1"/>
  <c r="J21" i="1" s="1"/>
  <c r="H20" i="1"/>
  <c r="J20" i="1" s="1"/>
  <c r="H19" i="1"/>
  <c r="H18" i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H9" i="1"/>
  <c r="J9" i="1" s="1"/>
  <c r="M8" i="1" s="1"/>
  <c r="H8" i="1"/>
  <c r="J8" i="1" s="1"/>
  <c r="L8" i="1" s="1"/>
  <c r="H7" i="1"/>
  <c r="J7" i="1" s="1"/>
  <c r="H6" i="1"/>
  <c r="H5" i="1"/>
  <c r="J5" i="1" s="1"/>
  <c r="H4" i="1"/>
  <c r="J4" i="1" s="1"/>
  <c r="H2" i="1"/>
  <c r="J2" i="1" s="1"/>
  <c r="L116" i="1" l="1"/>
  <c r="L26" i="1"/>
  <c r="J3" i="1"/>
  <c r="L95" i="1"/>
  <c r="J19" i="1"/>
  <c r="J18" i="1"/>
  <c r="J10" i="1"/>
  <c r="J6" i="1"/>
  <c r="L44" i="1"/>
  <c r="L113" i="1"/>
  <c r="L23" i="1"/>
  <c r="L5" i="1" l="1"/>
  <c r="M5" i="1"/>
</calcChain>
</file>

<file path=xl/sharedStrings.xml><?xml version="1.0" encoding="utf-8"?>
<sst xmlns="http://schemas.openxmlformats.org/spreadsheetml/2006/main" count="69053" uniqueCount="8819">
  <si>
    <t>Reaction pair</t>
  </si>
  <si>
    <t>Motif 1 / Block 0</t>
  </si>
  <si>
    <t>Motif 1 / Block 1</t>
  </si>
  <si>
    <t>Motif 1 / Block 2</t>
  </si>
  <si>
    <t>Motif 1 / Block 3</t>
  </si>
  <si>
    <t>Motif 1 / Block 4</t>
  </si>
  <si>
    <t>Motif 2 / Block 0</t>
  </si>
  <si>
    <t>Motif 2 / Block 1</t>
  </si>
  <si>
    <t>Motif 2 / Block 2</t>
  </si>
  <si>
    <t>Motif 2 / Block 3</t>
  </si>
  <si>
    <t>Motif 2 / Block 4</t>
  </si>
  <si>
    <t>Motif 3 / Block 0</t>
  </si>
  <si>
    <t>Motif 3 / Block 1</t>
  </si>
  <si>
    <t>Motif 3 / Block 2</t>
  </si>
  <si>
    <t>Motif 3 / Block 3</t>
  </si>
  <si>
    <t>Motif 3 / Block 4</t>
  </si>
  <si>
    <t>Motif 4 / Block 0</t>
  </si>
  <si>
    <t>Motif 4 / Block 1</t>
  </si>
  <si>
    <t>Motif 4 / Block 2</t>
  </si>
  <si>
    <t>Motif 4 / Block 3</t>
  </si>
  <si>
    <t>Motif 4 / Block 4</t>
  </si>
  <si>
    <t>Motif 5 / Block 0</t>
  </si>
  <si>
    <t>Motif 5 / Block 1</t>
  </si>
  <si>
    <t>Motif 5 / Block 2</t>
  </si>
  <si>
    <t>Motif 5 / Block 3</t>
  </si>
  <si>
    <t>Motif 5 / Block 4</t>
  </si>
  <si>
    <t>Motif 6 / Block 0</t>
  </si>
  <si>
    <t>Motif 6 / Block 1</t>
  </si>
  <si>
    <t>Motif 6 / Block 2</t>
  </si>
  <si>
    <t>Motif 6 / Block 3</t>
  </si>
  <si>
    <t>Motif 6 / Block 4</t>
  </si>
  <si>
    <t>Motif 7 / Block 0</t>
  </si>
  <si>
    <t>Motif 7 / Block 1</t>
  </si>
  <si>
    <t>Motif 7 / Block 2</t>
  </si>
  <si>
    <t>Motif 7 / Block 3</t>
  </si>
  <si>
    <t>Motif 7 / Block 4</t>
  </si>
  <si>
    <t>Motif 8 / Block 0</t>
  </si>
  <si>
    <t>Motif 8 / Block 1</t>
  </si>
  <si>
    <t>Motif 8 / Block 2</t>
  </si>
  <si>
    <t>Motif 8 / Block 3</t>
  </si>
  <si>
    <t>Motif 8 / Block 4</t>
  </si>
  <si>
    <t>Motif 9 / Block 0</t>
  </si>
  <si>
    <t>Motif 9 / Block 1</t>
  </si>
  <si>
    <t>Motif 9 / Block 2</t>
  </si>
  <si>
    <t>Motif 9 / Block 3</t>
  </si>
  <si>
    <t>Motif 9 / Block 4</t>
  </si>
  <si>
    <t>Motif 10 / Block 0</t>
  </si>
  <si>
    <t>Motif 10 / Block 1</t>
  </si>
  <si>
    <t>Motif 10 / Block 2</t>
  </si>
  <si>
    <t>Motif 10 / Block 3</t>
  </si>
  <si>
    <t>Motif 10 / Block 4</t>
  </si>
  <si>
    <t>Reaction</t>
  </si>
  <si>
    <t>r_CAMP_1</t>
  </si>
  <si>
    <t>r_CAMP_2</t>
  </si>
  <si>
    <t>r_CAMP_3</t>
  </si>
  <si>
    <t>r_Ff</t>
  </si>
  <si>
    <t>r_Fd</t>
  </si>
  <si>
    <t>r_Fr</t>
  </si>
  <si>
    <t>r_Sf</t>
  </si>
  <si>
    <t>r_Sd</t>
  </si>
  <si>
    <t>r_Sr</t>
  </si>
  <si>
    <t>r_I</t>
  </si>
  <si>
    <t>r_T</t>
  </si>
  <si>
    <t>r_cr</t>
  </si>
  <si>
    <t>r_Nf_1</t>
  </si>
  <si>
    <t>r_Nd_1</t>
  </si>
  <si>
    <t>r_Nr_1</t>
  </si>
  <si>
    <t>r_Nf_2</t>
  </si>
  <si>
    <t>r_Nd_2</t>
  </si>
  <si>
    <t>r_Nr_2</t>
  </si>
  <si>
    <t>Enzyme</t>
  </si>
  <si>
    <t>3', 5'-Cyclic-Nucleotide Phosphodiesterase</t>
  </si>
  <si>
    <t>Quinine 3-Monooxygenase</t>
  </si>
  <si>
    <t>2-Oxoglutaramate Amidohydrolase</t>
  </si>
  <si>
    <t>3-Sulfino-Alanine Transaminase (Irreversible)</t>
  </si>
  <si>
    <t>3-Sulfinopyruvate Hydrolase (Spotaneous Reaction)</t>
  </si>
  <si>
    <t>L-Lactate Dehydrogenase</t>
  </si>
  <si>
    <t>Aspartate Transaminase</t>
  </si>
  <si>
    <t>2-Keto-4-Methylthiobutyrate Transamination, Reversible</t>
  </si>
  <si>
    <t>Methionine Adenosyltransferase</t>
  </si>
  <si>
    <t>Methionine Transaminase</t>
  </si>
  <si>
    <t>Y+Lat2 Utilized Transport</t>
  </si>
  <si>
    <t>Cysteine Transaminase</t>
  </si>
  <si>
    <t>Gamma-Glutamylcysteine Synthetase</t>
  </si>
  <si>
    <t>Glutathione Synthetase</t>
  </si>
  <si>
    <t>Glutathione Peroxidase</t>
  </si>
  <si>
    <t>Carbonyl Reductase (NADPH)</t>
  </si>
  <si>
    <t>HMR_0979</t>
  </si>
  <si>
    <t>Glutathione:NAD+ Oxidoreductase</t>
  </si>
  <si>
    <t>Glutathione:Cystine Oxidoreductase</t>
  </si>
  <si>
    <t>Formation of Homocystine</t>
  </si>
  <si>
    <t>S- (Hydroxymethyl)Glutathione Synthase</t>
  </si>
  <si>
    <t>D-Lactaldehyde:NAD+ Oxidoreductase (Glutathione-Formylating)</t>
  </si>
  <si>
    <t>Lactoylglutathione Lyase</t>
  </si>
  <si>
    <t>2, 3-Dihydro-1H-Indole-5, 6-Dione Glutathione Conjugation</t>
  </si>
  <si>
    <t>Formaldehyde Dehydrogenase</t>
  </si>
  <si>
    <t>Glutathione Transferase</t>
  </si>
  <si>
    <t>EC code</t>
  </si>
  <si>
    <t>3.1.4.17</t>
  </si>
  <si>
    <t>1.14.13.67</t>
  </si>
  <si>
    <t>3.5.1.3</t>
  </si>
  <si>
    <t>2.6.1.1</t>
  </si>
  <si>
    <t>1.1.1.27</t>
  </si>
  <si>
    <t>2.6.1.5 2.6.1.57</t>
  </si>
  <si>
    <t>1.1.1.40</t>
  </si>
  <si>
    <t>2.6.1.88</t>
  </si>
  <si>
    <t>2.6.1.3</t>
  </si>
  <si>
    <t>6.3.2.2</t>
  </si>
  <si>
    <t>6.3.2.3</t>
  </si>
  <si>
    <t>1.11.1.9</t>
  </si>
  <si>
    <t>EC:1.11.1.9</t>
  </si>
  <si>
    <t>1.1.1.184</t>
  </si>
  <si>
    <t>EC:1.14.14.1</t>
  </si>
  <si>
    <t>1.8.1.7</t>
  </si>
  <si>
    <t>1.8.4.4</t>
  </si>
  <si>
    <t>4.4.1.22</t>
  </si>
  <si>
    <t>1.1.1.1</t>
  </si>
  <si>
    <t>4.4.1.5</t>
  </si>
  <si>
    <t>2.5.1.18</t>
  </si>
  <si>
    <t>1.2.1.1</t>
  </si>
  <si>
    <t>K_M [mM]</t>
  </si>
  <si>
    <t>SA [μmol/min/mg]</t>
  </si>
  <si>
    <t>MW [mg/μmol]</t>
  </si>
  <si>
    <t>k_cat [s^-1]</t>
  </si>
  <si>
    <t>[E] [mM]</t>
  </si>
  <si>
    <t>k = k_cat [E] / K_M [s^-1]</t>
  </si>
  <si>
    <t>Removed by (* = K_M there is for another substrate)</t>
  </si>
  <si>
    <t>G</t>
  </si>
  <si>
    <t>τ [s]</t>
  </si>
  <si>
    <t>Notes</t>
  </si>
  <si>
    <t xml:space="preserve">Candidate medians require assay, enzyme and direction review. Primary substrate: 3,5-Cyclic Adenosine Monophosphate [camp[c]] (auto-picked (most BRENDA K_M records of 2 substrates; n=1)); EC used: 3.1.4.17. Km n=1; kcat n=0. Km match: relaxed substrate name, ANY organism. Medians may pool different isoforms/assays; not a paired enzyme-specific measurement. k_cat UNMATCHED to the primary substrate: median of 5 records for EC 3.1.4.17 across all substrates. Treat as an order-of-magnitude surrogate. BRENDA turnover number 0.5 1/s was found but NOT used (KcatSource = SAxMW). SA median 0.228 umol/min/mg (n=6; Myxococcus xanthus; Sinorhizobium fredii; Bos taurus () for EC 3.1.4.17. MW median 76500 Da (n=18; Homo sapiens) for EC 3.1.4.17. CHECK THE MASS BASIS: of 46 MW records, 21 mention a subunit/monomer and 15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3.1.4.17. </t>
  </si>
  <si>
    <t xml:space="preserve">EC CONFLICT for RE1587C: the model annotates 1.14.13.67 but BiGG lists 1.14.14.1. The model's code was KEPT and queried. If BiGG is right, every number in this row describes a different enzyme -- set ECOverrides.r_CAMP_2 to override. Candidate medians require assay, enzyme and direction review. Primary substrate unresolved: set PrimarySubstrate or review KM details. </t>
  </si>
  <si>
    <t xml:space="preserve">Candidate medians require assay, enzyme and direction review. Primary substrate: 2-Oxoglutaramate [HC00591[c]] (auto-picked (most BRENDA K_M records of 2 substrates; n=14)); EC used: 3.5.1.3. Km n=14; kcat n=6. Km match: relaxed substrate name, ANY organism. kcat match: relaxed substrate name, ANY organism. Medians may pool different isoforms/assays; not a paired enzyme-specific measurement. BRENDA turnover number 34.15 1/s was found but NOT used (KcatSource = SAxMW). SA median 2.2 umol/min/mg (n=4; Homo sapiens) for EC 3.5.1.3. MW median 35000 Da (n=12; Arabidopsis thaliana; Thermus aquaticus (; Bacillus subtilis (; Homo sapiens (; Rattus norvegicus () for EC 3.5.1.3. CHECK THE MASS BASIS: of 12 MW records, 7 mention a subunit/monomer and 4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3.5.1.3. </t>
  </si>
  <si>
    <t>Candidate medians require assay, enzyme and direction review. Primary substrate: 3-Sulfino-L-Alanine [3sala[c]] (auto-picked (most BRENDA K_M records of 3 substrates; n=2)); EC used: 2.6.1.1. Km n=2; kcat n=0. Km match: relaxed substrate name, ANY organism. Medians may pool different isoforms/assays; not a paired enzyme-specific measurement. k_cat UNMATCHED to the primary substrate: median of 70 records for EC 2.6.1.1 across all substrates. Treat as an order-of-magnitude surrogate. BRENDA turnover number 28.5 1/s was found but NOT used (KcatSource = SAxMW). SA median 110.05 umol/min/mg (n=82; Gallus gallus; Geobacillus thermopakistaniensis; Bos taurus (; Oryctolagus cuniculus; Methanothermobacter thermautotrophicus; Ovis aries; Bradyrhizobium japonicum; Glycine max; Arabidopsis thaliana; Avena sativa (; Pseudomonas putida; Trichomonas vaginalis; Canis lupus familiaris; Medicago sativa; Bacillus sp. (in: firmicutes); Leptosphaeria michotii; Chlamydomonas reinhardtii; Torulopsis candida; Oryza sativa; Saccharolobus solfataricus; Spirodela polyrhiza; Haloferax mediterranei; Lupinus angustifolius; Methanococcus aeolicus; Megathyrsus maximus (; Panicum miliaceum; Thermus thermophilus (; Pinus pinaster; Phormidium lapideum; Hyalomma dromedarii; Escherichia coli (; Cystobasidium minutum; dolphin; Pseudoalteromonas haloplanktis; Escherichia coli; Rattus norvegicus; Plasmodium falciparum; Nostoc sp.; Sus scrofa) for EC 2.6.1.1. MW median 64200 Da (n=69; Saccharomyces cerevisiae; Bos taurus (; Oryctolagus cuniculus; Methanothermobacter thermautotrophicus; Ovis aries; Bradyrhizobium japonicum; Staphylococcus aureus; Avena sativa (; Pseudomonas putida; Trichomonas vaginalis; Medicago sativa; Lupinus albus; Bacillus sp. (in: firmicutes); Chlamydomonas reinhardtii; Daucus carota; Torulopsis candida; Oryza sativa; Saccharolobus solfataricus; Haloferax mediterranei; Lupinus angustifolius; Methanococcus aeolicus; Bubalus bubalis; Phormidium lapideum; Hyalomma dromedarii; Escherichia coli (; Pseudoalteromonas haloplanktis; Magallana gigas; Escherichia coli; Bacillus subtilis; Rattus norvegicus; Sus scrofa; Mycobacterium tuberculosis; Triticum aestivum) for EC 2.6.1.1. CHECK THE MASS BASIS: of 69 MW records, 24 mention a subunit/monomer and 27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2.6.1.1. G/tau assume buffered co-substrates and first-order pool kinetics.</t>
  </si>
  <si>
    <t xml:space="preserve">Candidate medians require assay, enzyme and direction review. Primary substrate unresolved: set PrimarySubstrate or review KM details. SA median 110.05 umol/min/mg (n=82; Gallus gallus; Geobacillus thermopakistaniensis; Bos taurus (; Oryctolagus cuniculus; Methanothermobacter thermautotrophicus; Ovis aries; Bradyrhizobium japonicum; Glycine max; Arabidopsis thaliana; Avena sativa (; Pseudomonas putida; Trichomonas vaginalis; Canis lupus familiaris; Medicago sativa; Bacillus sp. (in: firmicutes); Leptosphaeria michotii; Chlamydomonas reinhardtii; Torulopsis candida; Oryza sativa; Saccharolobus solfataricus; Spirodela polyrhiza; Haloferax mediterranei; Lupinus angustifolius; Methanococcus aeolicus; Megathyrsus maximus (; Panicum miliaceum; Thermus thermophilus (; Pinus pinaster; Phormidium lapideum; Hyalomma dromedarii; Escherichia coli (; Cystobasidium minutum; dolphin; Pseudoalteromonas haloplanktis; Escherichia coli; Rattus norvegicus; Plasmodium falciparum; Nostoc sp.; Sus scrofa) for EC 2.6.1.1. MW median 64200 Da (n=69; Saccharomyces cerevisiae; Bos taurus (; Oryctolagus cuniculus; Methanothermobacter thermautotrophicus; Ovis aries; Bradyrhizobium japonicum; Staphylococcus aureus; Avena sativa (; Pseudomonas putida; Trichomonas vaginalis; Medicago sativa; Lupinus albus; Bacillus sp. (in: firmicutes); Chlamydomonas reinhardtii; Daucus carota; Torulopsis candida; Oryza sativa; Saccharolobus solfataricus; Haloferax mediterranei; Lupinus angustifolius; Methanococcus aeolicus; Bubalus bubalis; Phormidium lapideum; Hyalomma dromedarii; Escherichia coli (; Pseudoalteromonas haloplanktis; Magallana gigas; Escherichia coli; Bacillus subtilis; Rattus norvegicus; Sus scrofa; Mycobacterium tuberculosis; Triticum aestivum) for EC 2.6.1.1. CHECK THE MASS BASIS: of 69 MW records, 24 mention a subunit/monomer and 27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2.6.1.1. </t>
  </si>
  <si>
    <t xml:space="preserve">Candidate medians require assay, enzyme and direction review. Primary substrate: Pyruvate (m_Fd) [pyr[c]] (auto-picked (most BRENDA K_M records of 3 substrates; n=2)); EC used: 1.1.1.27. Km n=2; kcat n=36. Km match: relaxed substrate name, requested organism. kcat match: relaxed substrate name, ANY organism. Medians may pool different isoforms/assays; not a paired enzyme-specific measurement. BRENDA turnover number 195.9 1/s was found but NOT used (KcatSource = SAxMW). SA median 1.747 umol/min/mg (n=9; Homo sapiens) for EC 1.1.1.27. MW median 35000 Da (n=1; Homo sapiens) for EC 1.1.1.27. CHECK THE MASS BASIS: of 33 MW records, 13 mention a subunit/monomer and 13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1.1.1.27. </t>
  </si>
  <si>
    <t>Candidate medians require assay, enzyme and direction review. Primary substrate: 2-Oxoglutarate (m_in) [akg[c]] (auto-picked (most BRENDA K_M records of 2 substrates; n=1)); EC used: 2.6.1.1. Km n=1; kcat n=16. Km match: relaxed substrate name, requested organism. kcat match: relaxed substrate name, ANY organism. Medians may pool different isoforms/assays; not a paired enzyme-specific measurement. BRENDA turnover number 89.5 1/s was found but NOT used (KcatSource = SAxMW). SA median 110.05 umol/min/mg (n=82; Gallus gallus; Geobacillus thermopakistaniensis; Bos taurus (; Oryctolagus cuniculus; Methanothermobacter thermautotrophicus; Ovis aries; Bradyrhizobium japonicum; Glycine max; Arabidopsis thaliana; Avena sativa (; Pseudomonas putida; Trichomonas vaginalis; Canis lupus familiaris; Medicago sativa; Bacillus sp. (in: firmicutes); Leptosphaeria michotii; Chlamydomonas reinhardtii; Torulopsis candida; Oryza sativa; Saccharolobus solfataricus; Spirodela polyrhiza; Haloferax mediterranei; Lupinus angustifolius; Methanococcus aeolicus; Megathyrsus maximus (; Panicum miliaceum; Thermus thermophilus (; Pinus pinaster; Phormidium lapideum; Hyalomma dromedarii; Escherichia coli (; Cystobasidium minutum; dolphin; Pseudoalteromonas haloplanktis; Escherichia coli; Rattus norvegicus; Plasmodium falciparum; Nostoc sp.; Sus scrofa) for EC 2.6.1.1. MW median 64200 Da (n=69; Saccharomyces cerevisiae; Bos taurus (; Oryctolagus cuniculus; Methanothermobacter thermautotrophicus; Ovis aries; Bradyrhizobium japonicum; Staphylococcus aureus; Avena sativa (; Pseudomonas putida; Trichomonas vaginalis; Medicago sativa; Lupinus albus; Bacillus sp. (in: firmicutes); Chlamydomonas reinhardtii; Daucus carota; Torulopsis candida; Oryza sativa; Saccharolobus solfataricus; Haloferax mediterranei; Lupinus angustifolius; Methanococcus aeolicus; Bubalus bubalis; Phormidium lapideum; Hyalomma dromedarii; Escherichia coli (; Pseudoalteromonas haloplanktis; Magallana gigas; Escherichia coli; Bacillus subtilis; Rattus norvegicus; Sus scrofa; Mycobacterium tuberculosis; Triticum aestivum) for EC 2.6.1.1. CHECK THE MASS BASIS: of 69 MW records, 24 mention a subunit/monomer and 27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2.6.1.1. G/tau assume buffered co-substrates and first-order pool kinetics.</t>
  </si>
  <si>
    <t xml:space="preserve">EC 2.6.1.5, 2.6.1.57 RESOLVED FROM BiGG for reaction UNK3r; the model annotates none. Not model-derived. Candidate medians require assay, enzyme and direction review. 2 EC candidates; kept the one with most Km records (set PreferredEC to override). Primary substrate: L-Glutamate (m_Sf) [glu_L[c]] (auto-picked (most BRENDA K_M records of 2 substrates; n=8)); EC used: 2.6.1.5. Km n=6; kcat n=2. Km match: relaxed substrate name, ANY organism. kcat match: relaxed substrate name, ANY organism. Medians may pool different isoforms/assays; not a paired enzyme-specific measurement. Multiple model EC annotations retained without correction. BRENDA turnover number 36.4 1/s was found but NOT used (KcatSource = SAxMW). SA median 400 umol/min/mg (n=9; Rana temporaria (; Rattus norvegicus; Trypanosoma cruzi) for EC 2.6.1.5. MW median 87500 Da (n=30; Papaver somniferum; Leishmania major; Rana temporaria (; Entodinium caudatum; Agama agama; Anchusa officinalis; Staphylococcus aureus; Trypanosoma cruzi; Variovorax paradoxus; Leishmania donovani; Rattus norvegicus; Crithidia fasciculata) for EC 2.6.1.5. CHECK THE MASS BASIS: of 30 MW records, 9 mention a subunit/monomer and 10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2.6.1.5. </t>
  </si>
  <si>
    <t xml:space="preserve">EC CONFLICT for METAT: the model annotates 1.1.1.40 but BiGG lists 2.5.1.6. The model's code was KEPT and queried. If BiGG is right, every number in this row describes a different enzyme -- set ECOverrides.r_Sr to override. Candidate medians require assay, enzyme and direction review. Primary substrate unresolved: set PrimarySubstrate or review KM details. SA median 56.35 umol/min/mg (n=5; Homo sapiens) for EC 1.1.1.40. MW median 64500 Da (n=4; Homo sapiens) for EC 1.1.1.40. CHECK THE MASS BASIS: of 42 MW records, 13 mention a subunit/monomer and 24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1.1.1.40. </t>
  </si>
  <si>
    <t xml:space="preserve">EC 2.6.1.88 from the SHIPPED DEFAULT table for METTRANSc, REPLACING the annotated 3.1.1.3: methionine transaminase: ExPASy 2.6.1.88 is 2-oxocarboxylate + L-Met = 4-methylsulfanyl-2-oxobutanoate + L-amino acid, which is exactly met_L + pyr -&gt; 4mtob + ala_L. The model's 3.1.1.3 is triacylglycerol lipase and BiGG lists no EC. Candidate medians require assay, enzyme and direction review. Primary substrate: L-Methionine (m_Sd) [met_L[c]] (auto-picked (most BRENDA K_M records of 2 substrates; n=1)); EC used: 2.6.1.88. Km n=1; kcat n=0. Km match: relaxed substrate name, ANY organism. Medians may pool different isoforms/assays; not a paired enzyme-specific measurement. SA median 0.36292 umol/min/mg (n=2; Klebsiella pneumoniae) for EC 2.6.1.88. MW median 45647 Da (n=3; Klebsiella pneumoniae; Escherichia coli) for EC 2.6.1.88. CHECK THE MASS BASIS: of 3 MW records, 1 mention a subunit/monomer and 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2.6.1.88. </t>
  </si>
  <si>
    <t xml:space="preserve">No EC in the model, and BiGG lists none for r1796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</si>
  <si>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Candidate medians require assay, enzyme and direction review. Primary substrate: 2-Oxoglutarate (m_in) [akg[c]] (auto-picked (most BRENDA K_M records of 2 substrates; n=1)); EC used: 2.6.1.3. Km n=1; kcat n=0. Km match: relaxed substrate name, ANY organism. Medians may pool different isoforms/assays; not a paired enzyme-specific measurement. SA median 2.085 umol/min/mg (n=1; Rattus norvegicus) for EC 2.6.1.3. MW median 83500 Da (n=3; Rattus norvegicus) for EC 2.6.1.3. CHECK THE MASS BASIS: of 3 MW records, 1 mention a subunit/monomer and 2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2.6.1.3. </t>
  </si>
  <si>
    <t xml:space="preserve">EC 6.3.2.2 RESOLVED FROM BiGG for reaction GLUCYS; the model annotates none. Not model-derived. Candidate medians require assay, enzyme and direction review. Primary substrate: Adenosine Triphosphate [atp[c]] (auto-picked (most BRENDA K_M records of 3 substrates; n=9)); EC used: 6.3.2.2. Km n=9; kcat n=34. Km match: relaxed substrate name, requested organism. kcat match: relaxed substrate name, ANY organism. Medians may pool different isoforms/assays; not a paired enzyme-specific measurement. BRENDA turnover number 3.805 1/s was found but NOT used (KcatSource = SAxMW). SA median 1.49 umol/min/mg (n=22; Homo sapiens) for EC 6.3.2.2. MW median 72400 Da (n=6; Homo sapiens) for EC 6.3.2.2. CHECK THE MASS BASIS: of 51 MW records, 27 mention a subunit/monomer and 16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6.3.2.2. </t>
  </si>
  <si>
    <t xml:space="preserve">EC 6.3.2.3 RESOLVED FROM BiGG for reaction GTHS; the model annotates none. Not model-derived. Candidate medians require assay, enzyme and direction review. Primary substrate: Adenosine Triphosphate [atp[c]] (auto-picked (most BRENDA K_M records of 3 substrates; n=9)); EC used: 6.3.2.3. Km n=9; kcat n=31. Km match: relaxed substrate name, requested organism. kcat match: relaxed substrate name, ANY organism. Medians may pool different isoforms/assays; not a paired enzyme-specific measurement. BRENDA turnover number 2.94 1/s was found but NOT used (KcatSource = SAxMW). SA median 11 umol/min/mg (n=27; Lathyrus oleraceus; Schizosaccharomyces pombe (; [Candida] boidinii; Vigna unguiculata; Plasmodium berghei; Streptococcus agalactiae; Phaseolus vulgaris; Rattus norvegicus; Mus musculus; Escherichia coli (; Rhodotorula diobovata; Rattus norvegicus () for EC 6.3.2.3. MW median 76000 Da (n=26; Lathyrus oleraceus; Schizosaccharomyces pombe (; Myxococcus xanthus; Plasmodium berghei; Streptococcus agalactiae; Pasteurella multocida; Pseudoalteromonas haloplanktis; Streptococcus thermophilus; Escherichia coli (; Synechocystis sp.; Homo sapiens (; Rattus norvegicus (; Saccharomyces cerevisiae; Bos taurus) for EC 6.3.2.3. CHECK THE MASS BASIS: of 26 MW records, 9 mention a subunit/monomer and 13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6.3.2.3. </t>
  </si>
  <si>
    <t xml:space="preserve">Candidate medians require assay, enzyme and direction review. Primary substrate: Reduced Glutathione (m_Nd_1) [gthrd[c]] (auto-picked (most BRENDA K_M records of 2 substrates; n=3)); EC used: 1.11.1.9. Km n=3; kcat n=2. Km match: relaxed substrate name, requested organism. kcat match: relaxed substrate name, requested organism. Medians may pool different isoforms/assays; not a paired enzyme-specific measurement. BRENDA turnover number 343.9 1/s was found but NOT used (KcatSource = SAxMW). SA median 6.1 umol/min/mg (n=10; Homo sapiens) for EC 1.11.1.9. MW median 34000 Da (n=5; Homo sapiens) for EC 1.11.1.9. CHECK THE MASS BASIS: of 33 MW records, 14 mention a subunit/monomer and 13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1.11.1.9. </t>
  </si>
  <si>
    <t xml:space="preserve">Candidate medians require assay, enzyme and direction review. Primary substrate unresolved: set PrimarySubstrate or review KM details. SA median 161.6 umol/min/mg (n=3; Homo sapiens) for EC 1.1.1.184. MW median 48700 Da (n=2; Homo sapiens) for EC 1.1.1.184. CHECK THE MASS BASIS: of 51 MW records, 25 mention a subunit/monomer and 24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1.1.1.184. </t>
  </si>
  <si>
    <t xml:space="preserve">Candidate medians require assay, enzyme and direction review. Primary substrate unresolved: set PrimarySubstrate or review KM details. SA median 0.026 umol/min/mg (n=44; Apium graveolens; Cyprinus carpio; Streptomyces tubercidicus; Silurus glanis; Hypophthalmichthys molitrix; Rheum rhaponticum; Zea mays) for EC 1.14.14.1. MW median 52000 Da (n=1; Homo sapiens) for EC 1.14.14.1. CHECK THE MASS BASIS: of 9 MW records, 5 mention a subunit/monomer and 0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1.14.14.1. </t>
  </si>
  <si>
    <t xml:space="preserve">Candidate medians require assay, enzyme and direction review. Primary substrate: Reduced Glutathione (m_Nd_1) [gthrd[c]] (auto-picked (most BRENDA K_M records of 2 substrates; n=1)); EC used: 1.8.1.7. Km n=1; kcat n=0. Km match: relaxed substrate name, requested organism. Medians may pool different isoforms/assays; not a paired enzyme-specific measurement. k_cat UNMATCHED to the primary substrate: median of 17 records for EC 1.8.1.7 across all substrates. Treat as an order-of-magnitude surrogate. BRENDA turnover number 1.08 1/s was found but NOT used (KcatSource = SAxMW). SA median 31 umol/min/mg (n=16; Homo sapiens) for EC 1.8.1.7. MW median 52099 Da (n=4; Homo sapiens) for EC 1.8.1.7. CHECK THE MASS BASIS: of 74 MW records, 28 mention a subunit/monomer and 38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1.8.1.7. </t>
  </si>
  <si>
    <t xml:space="preserve">Candidate medians require assay, enzyme and direction review. Primary substrate: L-Cystine [Lcystin[c]] (auto-picked (most BRENDA K_M records of 2 substrates; n=1)); EC used: 1.8.4.4. Km n=1; kcat n=0. Km match: relaxed substrate name, ANY organism. Medians may pool different isoforms/assays; not a paired enzyme-specific measurement. SA median 61.6 umol/min/mg (n=1; Saccharomyces cerevisiae) for EC 1.8.4.4. MW median 150000 Da (n=1; Saccharomyces cerevisiae) for EC 1.8.4.4. CHECK THE MASS BASIS: of 1 MW records, 0 mention a subunit/monomer and 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1.8.4.4. </t>
  </si>
  <si>
    <t xml:space="preserve">No EC in the model, and BiGG lists none for LHCYSTIN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</si>
  <si>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Candidate medians require assay, enzyme and direction review. Primary substrate unresolved: set PrimarySubstrate or review KM details. SA median 350 umol/min/mg (n=1; Paracoccus denitrificans) for EC 4.4.1.22. MW median 21000 Da (n=1; Paracoccus denitrificans) for EC 4.4.1.22. CHECK THE MASS BASIS: of 1 MW records, 1 mention a subunit/monomer and 0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4.4.1.22. </t>
  </si>
  <si>
    <t xml:space="preserve">Candidate medians require assay, enzyme and direction review. Primary substrate unresolved: set PrimarySubstrate or review KM details. SA median 4.15 umol/min/mg (n=102; Rattus norvegicus (; Picrophilus oshimae; Magnusiomyces capitatus; Saccharolobus solfataricus; Sus scrofa; Thermoanaerobacter ethanolicus; Thermoplasma acidophilum; Thermus sp.; Geobacillus thermodenitrificans; Saccharomyces cerevisiae (; Saccharomyces cerevisiae; Sulfolobus acidocaldarius; [Candida] maris; Oryctolagus cuniculus; Pyrococcus furiosus; Acetivibrio thermocellus; Thermoanaerobacterium saccharolyticum; Kangiella koreensis; Citrobacter sp. S-77; Komagataeibacter medellinensis; Aminobacter aminovorans; Arabidopsis thaliana; Acetobacter senegalensis; Komagataeibacter xylinus; Acetobacter aceti; Zea mays (; Petroselinum crispum; Entamoeba histolytica; Devosia riboflavina; Mesocricetus auratus (; Drosophila melanogaster (; Meyerozyma guilliermondii; Equus caballus (; Zymomonas mobilis (; Oenococcus oeni; [Candida] sp. (; Megalodesulfovibrio gigas; Mus musculus (; Methylorubrum extorquens; Acetobacter pasteurianus; Triticum monococcum; Thermus thermophilus; Sporotrichum pulverulentum; Carboxydothermus hydrogenoformans; Homo sapiens (; Gluconacetobacter diazotrophicus; Thermomicrobium roseum; Leifsonia sp.; Sulfolobus sp.) for EC 1.1.1.1. MW median 39870 Da (n=5; Homo sapiens) for EC 1.1.1.1. CHECK THE MASS BASIS: of 120 MW records, 39 mention a subunit/monomer and 51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1.1.1.1. </t>
  </si>
  <si>
    <t xml:space="preserve">Candidate medians require assay, enzyme and direction review. Primary substrate: Methylglyoxal [mthgxl[c]] (auto-picked (most BRENDA K_M records of 2 substrates; n=28)); EC used: 4.4.1.5. Km n=28; kcat n=12. Km match: relaxed substrate name, ANY organism. kcat match: relaxed substrate name, ANY organism. Medians may pool different isoforms/assays; not a paired enzyme-specific measurement. BRENDA turnover number 288.5 1/s was found but NOT used (KcatSource = SAxMW). SA median 150 umol/min/mg (n=71; Sus scrofa; Saccharomyces cerevisiae (; Bos taurus; Oryctolagus cuniculus; Aspergillus niger; Pseudomonas aeruginosa (; Pseudomonas putida; Neisseria meningitidis; Trypanosoma cruzi; Plasmodium falciparum; Yersinia pestis; Allium cepa; Onchocerca volvulus; Chlamydomonas reinhardtii (; Leishmania major; Streptococcus mutans; Brassica juncea (; Mus musculus; Macaca radiata; Mytilus galloprovincialis; Aloe vera; Cyberlindnera mrakii (; Leishmania donovani; Homo sapiens (; Rattus norvegicus; Oryza sativa Japonica Group) for EC 4.4.1.5. MW median 30500 Da (n=64; Sus scrofa; Saccharomyces cerevisiae (; Bos taurus; Triticum aestivum (; Ovis aries; Aspergillus niger; Glycine max (; Pseudomonas aeruginosa (; Pseudomonas putida; Neisseria meningitidis; Leishmania donovani; Trypanosoma cruzi; Plasmodium falciparum; Yersinia pestis; Rhodospirillum rubrum; Brassica oleracea; Allium cepa; Onchocerca volvulus; Chlamydomonas reinhardtii (; Brassica juncea (; Mus musculus; Cyberlindnera mrakii (; Escherichia coli; Leishmania major; Lactococcus lactis; Homo sapiens (; Leishmania infantum; Starmerella magnoliae; Rattus norvegicus; Clostridium acetobutylicum; Oryza sativa Japonica Group) for EC 4.4.1.5. CHECK THE MASS BASIS: of 64 MW records, 25 mention a subunit/monomer and 22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4.4.1.5. </t>
  </si>
  <si>
    <t xml:space="preserve">Candidate medians require assay, enzyme and direction review. Primary substrate: Reduced Glutathione (m_Nd_1) [gthrd[c]] (auto-picked (most BRENDA K_M records of 2 substrates; n=12)); EC used: 2.5.1.18. Km n=12; kcat n=1. Km match: relaxed substrate name, requested organism. kcat match: relaxed substrate name, requested organism. Medians may pool different isoforms/assays; not a paired enzyme-specific measurement. BRENDA turnover number 2.52 1/s was found but NOT used (KcatSource = SAxMW). SA median 7.26 umol/min/mg (n=25; Homo sapiens) for EC 2.5.1.18. MW median 25630 Da (n=1; Homo sapiens) for EC 2.5.1.18. CHECK THE MASS BASIS: of 101 MW records, 43 mention a subunit/monomer and 35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2.5.1.18. </t>
  </si>
  <si>
    <t xml:space="preserve">Candidate medians require assay, enzyme and direction review. Primary substrate unresolved: set PrimarySubstrate or review KM details. </t>
  </si>
  <si>
    <t>EC queried</t>
  </si>
  <si>
    <t>2.6.1.5</t>
  </si>
  <si>
    <t>EC transferred from</t>
  </si>
  <si>
    <t>Substrate used</t>
  </si>
  <si>
    <t>adenosine 3',5'-cyclic phosphate</t>
  </si>
  <si>
    <t>2-Oxoglutaramate; Glutaramate</t>
  </si>
  <si>
    <t>L-alanine</t>
  </si>
  <si>
    <t>pyruvate</t>
  </si>
  <si>
    <t>2-oxoglutarate</t>
  </si>
  <si>
    <t>L-glutamate</t>
  </si>
  <si>
    <t>L-methionine</t>
  </si>
  <si>
    <t>ATP</t>
  </si>
  <si>
    <t>glutathione</t>
  </si>
  <si>
    <t>cystine</t>
  </si>
  <si>
    <t>methylglyoxal</t>
  </si>
  <si>
    <t>Organism used</t>
  </si>
  <si>
    <t>Myxococcus xanthus</t>
  </si>
  <si>
    <t>Solanum lycopersicum; Arabidopsis thaliana; Zea mays; Mus musculus (; Homo sapiens (; Rattus norvegicus (</t>
  </si>
  <si>
    <t>Methanococcus aeolicus; Saccharolobus solfataricus</t>
  </si>
  <si>
    <t>SA: Gallus gallus; Geobacillus thermopakistaniensis; Bos taurus (; Oryctolagus cuniculus; Methanothermobacter thermautotrophicus; Ovis aries; Bradyrhizobium japonicum; Glycine max; Arabidopsis thaliana; Avena sativa (; Pseudomonas putida; Trichomonas vaginalis; Canis lupus familiaris; Medicago sativa; Bacillus sp. (in: firmicutes); Leptosphaeria michotii; Chlamydomonas reinhardtii; Torulopsis candida; Oryza sativa; Saccharolobus solfataricus; Spirodela polyrhiza; Haloferax mediterranei; Lupinus angustifolius; Methanococcus aeolicus; Megathyrsus maximus (; Panicum miliaceum; Thermus thermophilus (; Pinus pinaster; Phormidium lapideum; Hyalomma dromedarii; Escherichia coli (; Cystobasidium minutum; dolphin; Pseudoalteromonas haloplanktis; Escherichia coli; Rattus norvegicus; Plasmodium falciparum; Nostoc sp.; Sus scrofa; MW: Saccharomyces cerevisiae; Bos taurus (; Oryctolagus cuniculus; Methanothermobacter thermautotrophicus; Ovis aries; Bradyrhizobium japonicum; Staphylococcus aureus; Avena sativa (; Pseudomonas putida; Trichomonas vaginalis; Medicago sativa; Lupinus albus; Bacillus sp. (in: firmicutes); Chlamydomonas reinhardtii; Daucus carota; Torulopsis candida; Oryza sativa; Saccharolobus solfataricus; Haloferax mediterranei; Lupinus angustifolius; Methanococcus aeolicus; Bubalus bubalis; Phormidium lapideum; Hyalomma dromedarii; Escherichia coli (; Pseudoalteromonas haloplanktis; Magallana gigas; Escherichia coli; Bacillus subtilis; Rattus norvegicus; Sus scrofa; Mycobacterium tuberculosis; Triticum aestivum</t>
  </si>
  <si>
    <t>Homo sapiens</t>
  </si>
  <si>
    <t>Mus musculus; Rattus norvegicus; Arabidopsis thaliana; Petunia x hybrida</t>
  </si>
  <si>
    <t>SA: Homo sapiens; MW: Homo sapiens</t>
  </si>
  <si>
    <t>Arabidopsis thaliana</t>
  </si>
  <si>
    <t>Rattus norvegicus</t>
  </si>
  <si>
    <t>SA: Apium graveolens; Cyprinus carpio; Streptomyces tubercidicus; Silurus glanis; Hypophthalmichthys molitrix; Rheum rhaponticum; Zea mays; MW: Homo sapiens</t>
  </si>
  <si>
    <t>SA: Paracoccus denitrificans; MW: Paracoccus denitrificans</t>
  </si>
  <si>
    <t>SA: Rattus norvegicus (; Picrophilus oshimae; Magnusiomyces capitatus; Saccharolobus solfataricus; Sus scrofa; Thermoanaerobacter ethanolicus; Thermoplasma acidophilum; Thermus sp.; Geobacillus thermodenitrificans; Saccharomyces cerevisiae (; Saccharomyces cerevisiae; Sulfolobus acidocaldarius; [Candida] maris; Oryctolagus cuniculus; Pyrococcus furiosus; Acetivibrio thermocellus; Thermoanaerobacterium saccharolyticum; Kangiella koreensis; Citrobacter sp. S-77; Komagataeibacter medellinensis; Aminobacter aminovorans; Arabidopsis thaliana; Acetobacter senegalensis; Komagataeibacter xylinus; Acetobacter aceti; Zea mays (; Petroselinum crispum; Entamoeba histolytica; Devosia riboflavina; Mesocricetus auratus (; Drosophila melanogaster (; Meyerozyma guilliermondii; Equus caballus (; Zymomonas mobilis (; Oenococcus oeni; [Candida] sp. (; Megalodesulfovibrio gigas; Mus musculus (; Methylorubrum extorquens; Acetobacter pasteurianus; Triticum monococcum; Thermus thermophilus; Sporotrichum pulverulentum; Carboxydothermus hydrogenoformans; Homo sapiens (; Gluconacetobacter diazotrophicus; Thermomicrobium roseum; Leifsonia sp.; Sulfolobus sp.; MW: Homo sapiens</t>
  </si>
  <si>
    <t>Sus scrofa; Saccharomyces cerevisiae (; Ovis aries; Aspergillus niger; Pseudomonas aeruginosa (; Pseudomonas putida; Neisseria meningitidis; Schizosaccharomyces pombe; Yersinia pestis; Onchocerca volvulus; Chlamydomonas reinhardtii (; Aloe vera; Cyberlindnera mrakii (; Homo sapiens (; Rattus norvegicus; Salmonella enterica subsp. enterica serovar Typhimurium</t>
  </si>
  <si>
    <t>Evidence tier</t>
  </si>
  <si>
    <t>K_M by relaxed substrate name, ANY organism | k_cat UNMATCHED substrate (any ligand of EC 3.1.4.17) | k_cat ESTIMATED as SA*MW/60 (EC 3.1.4.17)</t>
  </si>
  <si>
    <t>primary substrate unresolved | EC CONFLICTS WITH BiGG</t>
  </si>
  <si>
    <t>K_M by relaxed substrate name, ANY organism | k_cat by relaxed substrate name, ANY organism | k_cat ESTIMATED as SA*MW/60 (EC 3.5.1.3)</t>
  </si>
  <si>
    <t>K_M by relaxed substrate name, ANY organism | k_cat UNMATCHED substrate (any ligand of EC 2.6.1.1) | k_cat ESTIMATED as SA*MW/60 (EC 2.6.1.1)</t>
  </si>
  <si>
    <t>primary substrate unresolved | k_cat ESTIMATED as SA*MW/60 (EC 2.6.1.1)</t>
  </si>
  <si>
    <t>K_M by relaxed substrate name, requested organism | k_cat by relaxed substrate name, ANY organism | k_cat ESTIMATED as SA*MW/60 (EC 1.1.1.27)</t>
  </si>
  <si>
    <t>K_M by relaxed substrate name, requested organism | k_cat by relaxed substrate name, ANY organism | k_cat ESTIMATED as SA*MW/60 (EC 2.6.1.1)</t>
  </si>
  <si>
    <t>K_M by relaxed substrate name, ANY organism | k_cat by relaxed substrate name, ANY organism | k_cat ESTIMATED as SA*MW/60 (EC 2.6.1.5) | EC RESOLVED FROM BiGG</t>
  </si>
  <si>
    <t>primary substrate unresolved | k_cat ESTIMATED as SA*MW/60 (EC 1.1.1.40) | EC CONFLICTS WITH BiGG</t>
  </si>
  <si>
    <t>K_M by relaxed substrate name, ANY organism | k_cat ESTIMATED as SA*MW/60 (EC 2.6.1.88) | EC FROM SHIPPED DEFAULT TABLE</t>
  </si>
  <si>
    <t>no EC code | no EC anywhere</t>
  </si>
  <si>
    <t>K_M by relaxed substrate name, ANY organism | k_cat ESTIMATED as SA*MW/60 (EC 2.6.1.3)</t>
  </si>
  <si>
    <t>K_M by relaxed substrate name, requested organism | k_cat by relaxed substrate name, ANY organism | k_cat ESTIMATED as SA*MW/60 (EC 6.3.2.2) | EC RESOLVED FROM BiGG</t>
  </si>
  <si>
    <t>K_M by relaxed substrate name, requested organism | k_cat by relaxed substrate name, ANY organism | k_cat ESTIMATED as SA*MW/60 (EC 6.3.2.3) | EC RESOLVED FROM BiGG</t>
  </si>
  <si>
    <t>K_M by relaxed substrate name, requested organism | k_cat by relaxed substrate name, requested organism | k_cat ESTIMATED as SA*MW/60 (EC 1.11.1.9)</t>
  </si>
  <si>
    <t>primary substrate unresolved | k_cat ESTIMATED as SA*MW/60 (EC 1.1.1.184)</t>
  </si>
  <si>
    <t>primary substrate unresolved | k_cat ESTIMATED as SA*MW/60 (EC 1.14.14.1)</t>
  </si>
  <si>
    <t>K_M by relaxed substrate name, requested organism | k_cat UNMATCHED substrate (any ligand of EC 1.8.1.7) | k_cat ESTIMATED as SA*MW/60 (EC 1.8.1.7)</t>
  </si>
  <si>
    <t>K_M by relaxed substrate name, ANY organism | k_cat ESTIMATED as SA*MW/60 (EC 1.8.4.4)</t>
  </si>
  <si>
    <t>primary substrate unresolved | k_cat ESTIMATED as SA*MW/60 (EC 4.4.1.22)</t>
  </si>
  <si>
    <t>primary substrate unresolved | k_cat ESTIMATED as SA*MW/60 (EC 1.1.1.1)</t>
  </si>
  <si>
    <t>K_M by relaxed substrate name, ANY organism | k_cat by relaxed substrate name, ANY organism | k_cat ESTIMATED as SA*MW/60 (EC 4.4.1.5)</t>
  </si>
  <si>
    <t>K_M by relaxed substrate name, requested organism | k_cat by relaxed substrate name, requested organism | k_cat ESTIMATED as SA*MW/60 (EC 2.5.1.18)</t>
  </si>
  <si>
    <t>primary substrate unresolved</t>
  </si>
  <si>
    <t>Reaction ID</t>
  </si>
  <si>
    <t>PDE1</t>
  </si>
  <si>
    <t>RE1587C</t>
  </si>
  <si>
    <t>r0085</t>
  </si>
  <si>
    <t>3SALATAi</t>
  </si>
  <si>
    <t>3SPYRSP</t>
  </si>
  <si>
    <t>LDH_L</t>
  </si>
  <si>
    <t>ASPTA</t>
  </si>
  <si>
    <t>UNK3r</t>
  </si>
  <si>
    <t>METAT</t>
  </si>
  <si>
    <t>METTRANSc</t>
  </si>
  <si>
    <t>CYSTA</t>
  </si>
  <si>
    <t>GLUCYS</t>
  </si>
  <si>
    <t>GTHS</t>
  </si>
  <si>
    <t>GTHP</t>
  </si>
  <si>
    <t>HMR_0960</t>
  </si>
  <si>
    <t>RE3476C</t>
  </si>
  <si>
    <t>r0021</t>
  </si>
  <si>
    <t>CYSGLTH</t>
  </si>
  <si>
    <t>r1377</t>
  </si>
  <si>
    <t>LALDO</t>
  </si>
  <si>
    <t>LGTHL</t>
  </si>
  <si>
    <t>DACGST</t>
  </si>
  <si>
    <t>FALDH</t>
  </si>
  <si>
    <t>RE1916C</t>
  </si>
  <si>
    <t>EC used</t>
  </si>
  <si>
    <t>2.6.1.57</t>
  </si>
  <si>
    <t>1.14.14.1</t>
  </si>
  <si>
    <t>Substrate</t>
  </si>
  <si>
    <t>3,5-Cyclic Adenosine Monophosphate [camp[c]]</t>
  </si>
  <si>
    <t>Water [h2o[c]]</t>
  </si>
  <si>
    <t>Estrone [estrone[c]]</t>
  </si>
  <si>
    <t>Proton [h[c]]</t>
  </si>
  <si>
    <t>Nicotinamide Adenine Dinucleotide Phosphate - Reduced [nadph[c]]</t>
  </si>
  <si>
    <t>Oxygen [o2[c]]</t>
  </si>
  <si>
    <t>2-Oxoglutaramate [HC00591[c]]</t>
  </si>
  <si>
    <t>3-Sulfino-L-Alanine [3sala[c]]</t>
  </si>
  <si>
    <t>2-Oxoglutarate (m_in) [akg[c]]</t>
  </si>
  <si>
    <t>3-Sulfinopyruvate (m_Ff) [3snpyr[c]]</t>
  </si>
  <si>
    <t>Nicotinamide Adenine Dinucleotide - Reduced [nadh[c]]</t>
  </si>
  <si>
    <t>Pyruvate (m_Fd) [pyr[c]]</t>
  </si>
  <si>
    <t>L-Aspartate [asp_L[c]]</t>
  </si>
  <si>
    <t>2-Keto-4-Methylthiobutyrate [2kmb[c]]</t>
  </si>
  <si>
    <t>L-Glutamate (m_Sf) [glu_L[c]]</t>
  </si>
  <si>
    <t>Adenosine Triphosphate [atp[c]]</t>
  </si>
  <si>
    <t>L-Methionine (m_Sd) [met_L[c]]</t>
  </si>
  <si>
    <t>L-Cysteine (m_c) [cys_L[c]]</t>
  </si>
  <si>
    <t>Gamma-L-Glutamyl-L-Cysteine (m_Nf_1) [glucys[c]]</t>
  </si>
  <si>
    <t>Glycine [gly[c]]</t>
  </si>
  <si>
    <t>Reduced Glutathione (m_Nd_1) [gthrd[c]]</t>
  </si>
  <si>
    <t>Hydrogen Peroxide [h2o2[c]]</t>
  </si>
  <si>
    <t>5(S)-Hydroperoxyeicosatetraenoic Acid [5HPET[c]]</t>
  </si>
  <si>
    <t>5-Hydroxyeicosatetraenoate (m_Nf_2) [C04805[c]]</t>
  </si>
  <si>
    <t>Nicotinamide Adenine Dinucleotide Phosphate [nadp[c]]</t>
  </si>
  <si>
    <t>5-Oxo-(6E,8Z,11Z,14Z)-Eicosatetraenoic Acid (m_out) [CE2084[c]]</t>
  </si>
  <si>
    <t>Nicotinamide Adenine Dinucleotide [nad[c]]</t>
  </si>
  <si>
    <t>L-Cystine [Lcystin[c]]</t>
  </si>
  <si>
    <t>Formaldehyde [fald[c]]</t>
  </si>
  <si>
    <t>(R)-Lactaldehyde [lald_D[c]]</t>
  </si>
  <si>
    <t>Methylglyoxal [mthgxl[c]]</t>
  </si>
  <si>
    <t>2,3-Dihydro-1H-Indole-5,6-Dione [23dh1i56dio[c]]</t>
  </si>
  <si>
    <t>L-Dopaquinone [dopaqn[c]]</t>
  </si>
  <si>
    <t>On values sheet</t>
  </si>
  <si>
    <t>candidate</t>
  </si>
  <si>
    <t>no</t>
  </si>
  <si>
    <t>n</t>
  </si>
  <si>
    <t>min</t>
  </si>
  <si>
    <t>median</t>
  </si>
  <si>
    <t>max</t>
  </si>
  <si>
    <t>K_M taken from</t>
  </si>
  <si>
    <t>Aspergillus fumigatus; Escherichia coli</t>
  </si>
  <si>
    <t>r1796</t>
  </si>
  <si>
    <t>LHCYSTIN</t>
  </si>
  <si>
    <t>EC in model</t>
  </si>
  <si>
    <t>SA taken from</t>
  </si>
  <si>
    <t>local BRENDA median; Myxococcus xanthus; Sinorhizobium fredii; Bos taurus (</t>
  </si>
  <si>
    <t>local BRENDA median; Homo sapiens</t>
  </si>
  <si>
    <t>local BRENDA median; Gallus gallus; Geobacillus thermopakistaniensis; Bos taurus (; Oryctolagus cuniculus; Methanothermobacter thermautotrophicus; Ovis aries; Bradyrhizobium japonicum; Glycine max; Arabidopsis thaliana; Avena sativa (; Pseudomonas putida; Trichomonas vaginalis; Canis lupus familiaris; Medicago sativa; Bacillus sp. (in: firmicutes); Leptosphaeria michotii; Chlamydomonas reinhardtii; Torulopsis candida; Oryza sativa; Saccharolobus solfataricus; Spirodela polyrhiza; Haloferax mediterranei; Lupinus angustifolius; Methanococcus aeolicus; Megathyrsus maximus (; Panicum miliaceum; Thermus thermophilus (; Pinus pinaster; Phormidium lapideum; Hyalomma dromedarii; Escherichia coli (; Cystobasidium minutum; dolphin; Pseudoalteromonas haloplanktis; Escherichia coli; Rattus norvegicus; Plasmodium falciparum; Nostoc sp.; Sus scrofa</t>
  </si>
  <si>
    <t>local BRENDA median; Rana temporaria (; Rattus norvegicus; Trypanosoma cruzi</t>
  </si>
  <si>
    <t>local BRENDA median; Klebsiella pneumoniae</t>
  </si>
  <si>
    <t>local BRENDA median; Rattus norvegicus</t>
  </si>
  <si>
    <t>local BRENDA median; Lathyrus oleraceus; Schizosaccharomyces pombe (; [Candida] boidinii; Vigna unguiculata; Plasmodium berghei; Streptococcus agalactiae; Phaseolus vulgaris; Rattus norvegicus; Mus musculus; Escherichia coli (; Rhodotorula diobovata; Rattus norvegicus (</t>
  </si>
  <si>
    <t>local BRENDA median; Apium graveolens; Cyprinus carpio; Streptomyces tubercidicus; Silurus glanis; Hypophthalmichthys molitrix; Rheum rhaponticum; Zea mays</t>
  </si>
  <si>
    <t>local BRENDA median; Saccharomyces cerevisiae</t>
  </si>
  <si>
    <t>local BRENDA median; Paracoccus denitrificans</t>
  </si>
  <si>
    <t>local BRENDA median; Rattus norvegicus (; Picrophilus oshimae; Magnusiomyces capitatus; Saccharolobus solfataricus; Sus scrofa; Thermoanaerobacter ethanolicus; Thermoplasma acidophilum; Thermus sp.; Geobacillus thermodenitrificans; Saccharomyces cerevisiae (; Saccharomyces cerevisiae; Sulfolobus acidocaldarius; [Candida] maris; Oryctolagus cuniculus; Pyrococcus furiosus; Acetivibrio thermocellus; Thermoanaerobacterium saccharolyticum; Kangiella koreensis; Citrobacter sp. S-77; Komagataeibacter medellinensis; Aminobacter aminovorans; Arabidopsis thaliana; Acetobacter senegalensis; Komagataeibacter xylinus; Acetobacter aceti; Zea mays (; Petroselinum crispum; Entamoeba histolytica; Devosia riboflavina; Mesocricetus auratus (; Drosophila melanogaster (; Meyerozyma guilliermondii; Equus caballus (; Zymomonas mobilis (; Oenococcus oeni; [Candida] sp. (; Megalodesulfovibrio gigas; Mus musculus (; Methylorubrum extorquens; Acetobacter pasteurianus; Triticum monococcum; Thermus thermophilus; Sporotrichum pulverulentum; Carboxydothermus hydrogenoformans; Homo sapiens (; Gluconacetobacter diazotrophicus; Thermomicrobium roseum; Leifsonia sp.; Sulfolobus sp.</t>
  </si>
  <si>
    <t>local BRENDA median; Sus scrofa; Saccharomyces cerevisiae (; Bos taurus; Oryctolagus cuniculus; Aspergillus niger; Pseudomonas aeruginosa (; Pseudomonas putida; Neisseria meningitidis; Trypanosoma cruzi; Plasmodium falciparum; Yersinia pestis; Allium cepa; Onchocerca volvulus; Chlamydomonas reinhardtii (; Leishmania major; Streptococcus mutans; Brassica juncea (; Mus musculus; Macaca radiata; Mytilus galloprovincialis; Aloe vera; Cyberlindnera mrakii (; Leishmania donovani; Homo sapiens (; Rattus norvegicus; Oryza sativa Japonica Group</t>
  </si>
  <si>
    <t>MW [Da]</t>
  </si>
  <si>
    <t>MW taken from</t>
  </si>
  <si>
    <t>local BRENDA median; Arabidopsis thaliana; Thermus aquaticus (; Bacillus subtilis (; Homo sapiens (; Rattus norvegicus (</t>
  </si>
  <si>
    <t>local BRENDA median; Saccharomyces cerevisiae; Bos taurus (; Oryctolagus cuniculus; Methanothermobacter thermautotrophicus; Ovis aries; Bradyrhizobium japonicum; Staphylococcus aureus; Avena sativa (; Pseudomonas putida; Trichomonas vaginalis; Medicago sativa; Lupinus albus; Bacillus sp. (in: firmicutes); Chlamydomonas reinhardtii; Daucus carota; Torulopsis candida; Oryza sativa; Saccharolobus solfataricus; Haloferax mediterranei; Lupinus angustifolius; Methanococcus aeolicus; Bubalus bubalis; Phormidium lapideum; Hyalomma dromedarii; Escherichia coli (; Pseudoalteromonas haloplanktis; Magallana gigas; Escherichia coli; Bacillus subtilis; Rattus norvegicus; Sus scrofa; Mycobacterium tuberculosis; Triticum aestivum</t>
  </si>
  <si>
    <t>local BRENDA median; Papaver somniferum; Leishmania major; Rana temporaria (; Entodinium caudatum; Agama agama; Anchusa officinalis; Staphylococcus aureus; Trypanosoma cruzi; Variovorax paradoxus; Leishmania donovani; Rattus norvegicus; Crithidia fasciculata</t>
  </si>
  <si>
    <t>local BRENDA median; Klebsiella pneumoniae; Escherichia coli</t>
  </si>
  <si>
    <t>local BRENDA median; Lathyrus oleraceus; Schizosaccharomyces pombe (; Myxococcus xanthus; Plasmodium berghei; Streptococcus agalactiae; Pasteurella multocida; Pseudoalteromonas haloplanktis; Streptococcus thermophilus; Escherichia coli (; Synechocystis sp.; Homo sapiens (; Rattus norvegicus (; Saccharomyces cerevisiae; Bos taurus</t>
  </si>
  <si>
    <t>local BRENDA median; Sus scrofa; Saccharomyces cerevisiae (; Bos taurus; Triticum aestivum (; Ovis aries; Aspergillus niger; Glycine max (; Pseudomonas aeruginosa (; Pseudomonas putida; Neisseria meningitidis; Leishmania donovani; Trypanosoma cruzi; Plasmodium falciparum; Yersinia pestis; Rhodospirillum rubrum; Brassica oleracea; Allium cepa; Onchocerca volvulus; Chlamydomonas reinhardtii (; Brassica juncea (; Mus musculus; Cyberlindnera mrakii (; Escherichia coli; Leishmania major; Lactococcus lactis; Homo sapiens (; Leishmania infantum; Starmerella magnoliae; Rattus norvegicus; Clostridium acetobutylicum; Oryza sativa Japonica Group</t>
  </si>
  <si>
    <t>EC note</t>
  </si>
  <si>
    <t>SA/MW are per-enzyme EC medians (not per-substrate).</t>
  </si>
  <si>
    <t>EC</t>
  </si>
  <si>
    <t>organism</t>
  </si>
  <si>
    <t>Pseudomonas aeruginosa</t>
  </si>
  <si>
    <t>Dictyostelium discoideum</t>
  </si>
  <si>
    <t>Xenopus laevis</t>
  </si>
  <si>
    <t>Corynebacterium glutamicum</t>
  </si>
  <si>
    <t>Mycobacterium tuberculosis</t>
  </si>
  <si>
    <t>Trypanosoma cruzi</t>
  </si>
  <si>
    <t>Drosophila melanogaster</t>
  </si>
  <si>
    <t>Sinorhizobium fredii</t>
  </si>
  <si>
    <t>Anabaena sp.</t>
  </si>
  <si>
    <t>Saccharomyces cerevisiae</t>
  </si>
  <si>
    <t>Arthrobacter sp.</t>
  </si>
  <si>
    <t>Thermotoga maritima</t>
  </si>
  <si>
    <t>Mus musculus</t>
  </si>
  <si>
    <t>Bos taurus (</t>
  </si>
  <si>
    <t>Solanum lycopersicum</t>
  </si>
  <si>
    <t>Thermus aquaticus (</t>
  </si>
  <si>
    <t>Zea mays</t>
  </si>
  <si>
    <t>Bacillus subtilis (</t>
  </si>
  <si>
    <t>Mus musculus (</t>
  </si>
  <si>
    <t>Homo sapiens (</t>
  </si>
  <si>
    <t>Rattus norvegicus (</t>
  </si>
  <si>
    <t>Gallus gallus</t>
  </si>
  <si>
    <t>Geobacillus thermopakistaniensis</t>
  </si>
  <si>
    <t>Advenella mimigardefordensis</t>
  </si>
  <si>
    <t>Oryctolagus cuniculus</t>
  </si>
  <si>
    <t>Ovis aries</t>
  </si>
  <si>
    <t>Trichomonas vaginalis</t>
  </si>
  <si>
    <t>Canis lupus familiaris</t>
  </si>
  <si>
    <t>Medicago sativa</t>
  </si>
  <si>
    <t>Lupinus albus</t>
  </si>
  <si>
    <t>Bacillus sp. (in: firmicutes)</t>
  </si>
  <si>
    <t>Chlamydomonas reinhardtii</t>
  </si>
  <si>
    <t>Oryza sativa</t>
  </si>
  <si>
    <t>Saccharolobus solfataricus</t>
  </si>
  <si>
    <t>Spirodela polyrhiza</t>
  </si>
  <si>
    <t>Lupinus angustifolius</t>
  </si>
  <si>
    <t>Methanococcus aeolicus</t>
  </si>
  <si>
    <t>Megathyrsus maximus (</t>
  </si>
  <si>
    <t>Panicum miliaceum</t>
  </si>
  <si>
    <t>Bubalus bubalis</t>
  </si>
  <si>
    <t>Eleusine coracana</t>
  </si>
  <si>
    <t>Atriplex spongiosa</t>
  </si>
  <si>
    <t>Phormidium lapideum</t>
  </si>
  <si>
    <t>Hyalomma dromedarii</t>
  </si>
  <si>
    <t>Escherichia coli (</t>
  </si>
  <si>
    <t>Escherichia coli</t>
  </si>
  <si>
    <t>Trypanosoma brucei</t>
  </si>
  <si>
    <t>Thermus thermophilus</t>
  </si>
  <si>
    <t>Bacillus subtilis</t>
  </si>
  <si>
    <t>Sinorhizobium meliloti</t>
  </si>
  <si>
    <t>Triticum aestivum</t>
  </si>
  <si>
    <t>Sphyraena ensis</t>
  </si>
  <si>
    <t>Sphyraena barracuda</t>
  </si>
  <si>
    <t>Clupea harengus</t>
  </si>
  <si>
    <t>Agama stellio stellio</t>
  </si>
  <si>
    <t>Cryptosporidium parvum</t>
  </si>
  <si>
    <t>Plasmodium malariae</t>
  </si>
  <si>
    <t>Plasmodium ovale</t>
  </si>
  <si>
    <t>Babesia bovis</t>
  </si>
  <si>
    <t>Enterococcus mundtii</t>
  </si>
  <si>
    <t>Geobacillus stearothermophilus</t>
  </si>
  <si>
    <t>Taenia asiatica</t>
  </si>
  <si>
    <t>Rhizopus delemar</t>
  </si>
  <si>
    <t>Rhizopus oryzae ATCC 9363</t>
  </si>
  <si>
    <t>Thermoanaerobacter ethanolicus</t>
  </si>
  <si>
    <t>Solanum tuberosum</t>
  </si>
  <si>
    <t>Deinococcus radiodurans</t>
  </si>
  <si>
    <t>Lactococcus lactis</t>
  </si>
  <si>
    <t>Plasmodium vivax</t>
  </si>
  <si>
    <t>Plasmodium falciparum</t>
  </si>
  <si>
    <t>Priestia megaterium</t>
  </si>
  <si>
    <t>Heyndrickxia coagulans</t>
  </si>
  <si>
    <t>Sus scrofa</t>
  </si>
  <si>
    <t>Faxonius virilis</t>
  </si>
  <si>
    <t>Limosilactobacillus fermentum</t>
  </si>
  <si>
    <t>Acinetobacter calcoaceticus</t>
  </si>
  <si>
    <t>Lacticaseibacillus casei</t>
  </si>
  <si>
    <t>Sporolactobacillus inulinus</t>
  </si>
  <si>
    <t>Lactiplantibacillus plantarum</t>
  </si>
  <si>
    <t>Lacticaseibacillus casei (</t>
  </si>
  <si>
    <t>Pediococcus pentosaceus</t>
  </si>
  <si>
    <t>Lactobacillus sp.</t>
  </si>
  <si>
    <t>Latilactobacillus curvatus</t>
  </si>
  <si>
    <t>Lactuca sativa</t>
  </si>
  <si>
    <t>Nocardia asteroides</t>
  </si>
  <si>
    <t>[Bacillus] caldolyticus</t>
  </si>
  <si>
    <t>Plasmodium berghei</t>
  </si>
  <si>
    <t>Molinema dessetae</t>
  </si>
  <si>
    <t>Lactobacillus acidophilus</t>
  </si>
  <si>
    <t>Streptococcus uberis (</t>
  </si>
  <si>
    <t>Lactococcus cremoris</t>
  </si>
  <si>
    <t>Streptococcus mutans</t>
  </si>
  <si>
    <t>Ipomoea batatas</t>
  </si>
  <si>
    <t>Lactobacillus helveticus</t>
  </si>
  <si>
    <t>Gadus morhua</t>
  </si>
  <si>
    <t>Thermus caldophilus (</t>
  </si>
  <si>
    <t>Aggregatibacter actinomycetemcomitans</t>
  </si>
  <si>
    <t>Pelophylax perezi</t>
  </si>
  <si>
    <t>Homarus americanus</t>
  </si>
  <si>
    <t>Capsella bursa-pastoris (</t>
  </si>
  <si>
    <t>Epidalea calamita</t>
  </si>
  <si>
    <t>Saduria entomon</t>
  </si>
  <si>
    <t>Papaver somniferum</t>
  </si>
  <si>
    <t>Trichoderma viride</t>
  </si>
  <si>
    <t>Oncorhynchus mykiss</t>
  </si>
  <si>
    <t>Anchusa officinalis</t>
  </si>
  <si>
    <t>Variovorax paradoxus</t>
  </si>
  <si>
    <t>Petunia x hybrida</t>
  </si>
  <si>
    <t>Leishmania donovani</t>
  </si>
  <si>
    <t>Prunella vulgaris</t>
  </si>
  <si>
    <t>Felis catus</t>
  </si>
  <si>
    <t>Brevibacillus brevis</t>
  </si>
  <si>
    <t>Brevibacterium linens</t>
  </si>
  <si>
    <t>Vigna radiata (</t>
  </si>
  <si>
    <t>Candida albicans</t>
  </si>
  <si>
    <t>Azospirillum brasilense (</t>
  </si>
  <si>
    <t>Flavobacterium sp.</t>
  </si>
  <si>
    <t>Candida maltosa</t>
  </si>
  <si>
    <t>Aspergillus fumigatus</t>
  </si>
  <si>
    <t>Thermococcus litoralis</t>
  </si>
  <si>
    <t>Paracoccus denitrificans</t>
  </si>
  <si>
    <t>Pyrococcus furiosus</t>
  </si>
  <si>
    <t>Klebsiella aerogenes</t>
  </si>
  <si>
    <t>Hydrilla verticillata</t>
  </si>
  <si>
    <t>Nicotiana tabacum</t>
  </si>
  <si>
    <t>Streptomyces coelicolor</t>
  </si>
  <si>
    <t>Thermococcus kodakarensis</t>
  </si>
  <si>
    <t>Arabidopsis thaliana (</t>
  </si>
  <si>
    <t>Pigeon</t>
  </si>
  <si>
    <t>Ricinus communis</t>
  </si>
  <si>
    <t>Anas platyrhynchos</t>
  </si>
  <si>
    <t>Azospirillum brasilense</t>
  </si>
  <si>
    <t>Sorghum bicolor</t>
  </si>
  <si>
    <t>Leishmania mexicana</t>
  </si>
  <si>
    <t>Kitasatospora aureofaciens</t>
  </si>
  <si>
    <t>Mesembryanthemum crystallinum</t>
  </si>
  <si>
    <t>Flaveria floridana</t>
  </si>
  <si>
    <t>Columba livia</t>
  </si>
  <si>
    <t>Leishmania major</t>
  </si>
  <si>
    <t>Methylosinus trichosporium</t>
  </si>
  <si>
    <t>Egeria densa</t>
  </si>
  <si>
    <t>Columba sp.</t>
  </si>
  <si>
    <t>Mangifera indica</t>
  </si>
  <si>
    <t>Cenchrus purpureus</t>
  </si>
  <si>
    <t>Haloxylon persicum</t>
  </si>
  <si>
    <t>Mortierella alpina</t>
  </si>
  <si>
    <t>Populus trichocarpa</t>
  </si>
  <si>
    <t>Mesembryanthemum cordifolium</t>
  </si>
  <si>
    <t>Klebsiella pneumoniae</t>
  </si>
  <si>
    <t>Proteus mirabilis</t>
  </si>
  <si>
    <t>Ascaris suum</t>
  </si>
  <si>
    <t>[Candida] boidinii</t>
  </si>
  <si>
    <t>Xanthomonas campestris</t>
  </si>
  <si>
    <t>Allium cepa</t>
  </si>
  <si>
    <t>Agrobacterium tumefaciens</t>
  </si>
  <si>
    <t>Streptococcus agalactiae</t>
  </si>
  <si>
    <t>Nostoc sp.</t>
  </si>
  <si>
    <t>Pasteurella multocida</t>
  </si>
  <si>
    <t>Onchocerca volvulus</t>
  </si>
  <si>
    <t>Streptococcus thermophilus</t>
  </si>
  <si>
    <t>Brassica juncea</t>
  </si>
  <si>
    <t>Synechocystis sp.</t>
  </si>
  <si>
    <t>Actinobacillus pleuropneumoniae</t>
  </si>
  <si>
    <t>Actinobacillus succinogenes</t>
  </si>
  <si>
    <t>Pseudoalteromonas haloplanktis</t>
  </si>
  <si>
    <t>Bos taurus</t>
  </si>
  <si>
    <t>Spinacia oleracea</t>
  </si>
  <si>
    <t>Lathyrus oleraceus</t>
  </si>
  <si>
    <t>Schizosaccharomyces pombe (</t>
  </si>
  <si>
    <t>Setaria cervi</t>
  </si>
  <si>
    <t>Glycine max</t>
  </si>
  <si>
    <t>Aloe vera</t>
  </si>
  <si>
    <t>Lucilia cuprina</t>
  </si>
  <si>
    <t>Brugia pahangi</t>
  </si>
  <si>
    <t>Lateolabrax japonicus</t>
  </si>
  <si>
    <t>Haemophilus influenzae (</t>
  </si>
  <si>
    <t>Thunnus maccoyii</t>
  </si>
  <si>
    <t>Pseudoalteromonas sp. ANT506</t>
  </si>
  <si>
    <t>Bacillus cereus</t>
  </si>
  <si>
    <t>Pichia kudriavzevii</t>
  </si>
  <si>
    <t>Sporobolomyces salmonicolor</t>
  </si>
  <si>
    <t>Cricetulus griseus</t>
  </si>
  <si>
    <t>Gluconobacter oxydans</t>
  </si>
  <si>
    <t>Methanobacterium palustre</t>
  </si>
  <si>
    <t>Cavia porcellus</t>
  </si>
  <si>
    <t>Starmerella magnoliae</t>
  </si>
  <si>
    <t>Candida parapsilosis</t>
  </si>
  <si>
    <t>Kluyveromyces marxianus</t>
  </si>
  <si>
    <t>Aeropyrum pernix</t>
  </si>
  <si>
    <t>Bacillus licheniformis</t>
  </si>
  <si>
    <t>Candida tropicalis</t>
  </si>
  <si>
    <t>Rhodococcus ruber</t>
  </si>
  <si>
    <t>Neospora caninum</t>
  </si>
  <si>
    <t>Psychrobacter sp. ANT206</t>
  </si>
  <si>
    <t>Saccharomyces cerevisiae (</t>
  </si>
  <si>
    <t>Phycomyces blakesleeanus</t>
  </si>
  <si>
    <t>Spinacia oleracea (</t>
  </si>
  <si>
    <t>Lathyrus oleraceus (</t>
  </si>
  <si>
    <t>Hemicentrotus pulcherrimus</t>
  </si>
  <si>
    <t>Acidithiobacillus ferrooxidans</t>
  </si>
  <si>
    <t>Schistosoma mansoni</t>
  </si>
  <si>
    <t>Equus caballus</t>
  </si>
  <si>
    <t>Oryza sativa (</t>
  </si>
  <si>
    <t>Allochromatium vinosum</t>
  </si>
  <si>
    <t>Anabaena sp. (</t>
  </si>
  <si>
    <t>Camelus dromedarius</t>
  </si>
  <si>
    <t>Cyberlindnera mrakii</t>
  </si>
  <si>
    <t>Phaeodactylum tricornutum</t>
  </si>
  <si>
    <t>Chlamydomonas reinhardtii (</t>
  </si>
  <si>
    <t>Picea rubens</t>
  </si>
  <si>
    <t>Limnospira maxima (</t>
  </si>
  <si>
    <t>Trachemys scripta</t>
  </si>
  <si>
    <t>Moniezia expansa</t>
  </si>
  <si>
    <t>Triticum turgidum subsp. durum</t>
  </si>
  <si>
    <t>Pteris vittata</t>
  </si>
  <si>
    <t>Badhamia polycephala</t>
  </si>
  <si>
    <t>Taenia crassiceps</t>
  </si>
  <si>
    <t>Colwellia psychrerythraea</t>
  </si>
  <si>
    <t>Lithobates sylvaticus</t>
  </si>
  <si>
    <t>Pteris ensiformis</t>
  </si>
  <si>
    <t>Cenchrus americanus</t>
  </si>
  <si>
    <t>Haemonchus contortus</t>
  </si>
  <si>
    <t>Picrophilus oshimae</t>
  </si>
  <si>
    <t>Corynebacterium glutamicum R</t>
  </si>
  <si>
    <t>Magnusiomyces capitatus</t>
  </si>
  <si>
    <t>Thermus sp.</t>
  </si>
  <si>
    <t>Saccharomyces pastorianus</t>
  </si>
  <si>
    <t>Geobacillus thermodenitrificans</t>
  </si>
  <si>
    <t>Euglena gracilis</t>
  </si>
  <si>
    <t>Sulfolobus acidocaldarius</t>
  </si>
  <si>
    <t>Ogataea angusta</t>
  </si>
  <si>
    <t>Scyliorhinus canicula</t>
  </si>
  <si>
    <t>Haloferax volcanii</t>
  </si>
  <si>
    <t>Moraxella sp.</t>
  </si>
  <si>
    <t>Yokenella sp.</t>
  </si>
  <si>
    <t>Mycobacterium sp.</t>
  </si>
  <si>
    <t>Aspergillus nidulans</t>
  </si>
  <si>
    <t>Pyrobaculum calidifontis</t>
  </si>
  <si>
    <t>Citrobacter sp. S-77</t>
  </si>
  <si>
    <t>Sphingomonas sp. A1</t>
  </si>
  <si>
    <t>Hordeum vulgare (</t>
  </si>
  <si>
    <t>Zea mays (</t>
  </si>
  <si>
    <t>Glycine max (</t>
  </si>
  <si>
    <t>Petroselinum crispum</t>
  </si>
  <si>
    <t>Devosia riboflavina</t>
  </si>
  <si>
    <t>Brassica napus</t>
  </si>
  <si>
    <t>Natronomonas pharaonis</t>
  </si>
  <si>
    <t>Mesocricetus auratus (</t>
  </si>
  <si>
    <t>Drosophila melanogaster (</t>
  </si>
  <si>
    <t>Meyerozyma guilliermondii</t>
  </si>
  <si>
    <t>Equus caballus (</t>
  </si>
  <si>
    <t>Zymomonas mobilis (</t>
  </si>
  <si>
    <t>Brevibacterium sp.</t>
  </si>
  <si>
    <t>Oenococcus oeni</t>
  </si>
  <si>
    <t>Hafnia alvei</t>
  </si>
  <si>
    <t>[Candida] sp. (</t>
  </si>
  <si>
    <t>Megalodesulfovibrio gigas</t>
  </si>
  <si>
    <t>Methylorubrum extorquens</t>
  </si>
  <si>
    <t>Fragaria x ananassa</t>
  </si>
  <si>
    <t>Acetobacter pasteurianus</t>
  </si>
  <si>
    <t>Klebsiella oxytoca</t>
  </si>
  <si>
    <t>Chlamydomonas moewusii</t>
  </si>
  <si>
    <t>Coturnix coturnix (</t>
  </si>
  <si>
    <t>Sporotrichum pulverulentum</t>
  </si>
  <si>
    <t>Drosophila virilis</t>
  </si>
  <si>
    <t>Parageobacillus thermoglucosidasius</t>
  </si>
  <si>
    <t>Drosophila simulans</t>
  </si>
  <si>
    <t>Scaptodrosophila lebanonensis</t>
  </si>
  <si>
    <t>Saimiri sciureus (</t>
  </si>
  <si>
    <t>Alligator mississippiensis</t>
  </si>
  <si>
    <t>Carboxydothermus hydrogenoformans</t>
  </si>
  <si>
    <t>Thermomicrobium roseum</t>
  </si>
  <si>
    <t>Crocus sativus</t>
  </si>
  <si>
    <t>Flavobacterium frigidimaris</t>
  </si>
  <si>
    <t>Leifsonia sp.</t>
  </si>
  <si>
    <t>Sulfolobus sp.</t>
  </si>
  <si>
    <t>Aspergillus niger</t>
  </si>
  <si>
    <t>Pseudomonas aeruginosa (</t>
  </si>
  <si>
    <t>Pseudomonas putida</t>
  </si>
  <si>
    <t>Neisseria meningitidis</t>
  </si>
  <si>
    <t>Schizosaccharomyces pombe</t>
  </si>
  <si>
    <t>Yersinia pestis</t>
  </si>
  <si>
    <t>Brassica sp.</t>
  </si>
  <si>
    <t>Mytilus galloprovincialis</t>
  </si>
  <si>
    <t>Cyberlindnera mrakii (</t>
  </si>
  <si>
    <t>Oryza sativa Japonica Group</t>
  </si>
  <si>
    <t>Salmonella enterica subsp. enterica serovar Typhimurium</t>
  </si>
  <si>
    <t>Paraburkholderia xenovorans</t>
  </si>
  <si>
    <t>Synechococcus elongatus (</t>
  </si>
  <si>
    <t>Pinus tabuliformis</t>
  </si>
  <si>
    <t>Macrobrachium vollenhovenii</t>
  </si>
  <si>
    <t>Syrphus ribesii</t>
  </si>
  <si>
    <t>Myathropa florea</t>
  </si>
  <si>
    <t>Apis mellifera macedonica</t>
  </si>
  <si>
    <t>Atactodea striata</t>
  </si>
  <si>
    <t>Trachemys scripta elegans</t>
  </si>
  <si>
    <t>Bemisia tabaci</t>
  </si>
  <si>
    <t>Pagrus major</t>
  </si>
  <si>
    <t>Liposcelis bostrychophila</t>
  </si>
  <si>
    <t>Liposcelis entomophila</t>
  </si>
  <si>
    <t>Haloarcula hispanica</t>
  </si>
  <si>
    <t>Fasciola gigantica</t>
  </si>
  <si>
    <t>Hyphantria cunea</t>
  </si>
  <si>
    <t>Hordeum vulgare</t>
  </si>
  <si>
    <t>Bulinus truncatus</t>
  </si>
  <si>
    <t>Chelonia mydas</t>
  </si>
  <si>
    <t>Alternaria brassicicola</t>
  </si>
  <si>
    <t>Alburnus tarichi</t>
  </si>
  <si>
    <t>Schistosoma japonicum</t>
  </si>
  <si>
    <t>Bombyx mori</t>
  </si>
  <si>
    <t>Alitta succinea</t>
  </si>
  <si>
    <t>Taenia solium</t>
  </si>
  <si>
    <t>Anopheles dirus</t>
  </si>
  <si>
    <t>Thermosynechococcus vestitus</t>
  </si>
  <si>
    <t>Anopheles gambiae</t>
  </si>
  <si>
    <t>Clonorchis sinensis</t>
  </si>
  <si>
    <t>Brucella anthropi</t>
  </si>
  <si>
    <t>Wuchereria bancrofti</t>
  </si>
  <si>
    <t>Tetranychus urticae</t>
  </si>
  <si>
    <t>Liposcelis paeta</t>
  </si>
  <si>
    <t>Lepidochelys olivacea</t>
  </si>
  <si>
    <t>Eretmochelys imbricata</t>
  </si>
  <si>
    <t>Musca domestica</t>
  </si>
  <si>
    <t>Phanerodontia chrysosporium</t>
  </si>
  <si>
    <t>Nilaparvata lugens</t>
  </si>
  <si>
    <t>Cydia pomonella</t>
  </si>
  <si>
    <t>Salix babylonica</t>
  </si>
  <si>
    <t>Gelatoporia subvermispora</t>
  </si>
  <si>
    <t>Danio rerio</t>
  </si>
  <si>
    <t>Novosphingobium aromaticivorans</t>
  </si>
  <si>
    <t>Hippocampus abdominalis</t>
  </si>
  <si>
    <t>Acidovorax sp. KKS102</t>
  </si>
  <si>
    <t>Pinus brutia</t>
  </si>
  <si>
    <t>Schistocerca gregaria</t>
  </si>
  <si>
    <t>Aedes aegypti</t>
  </si>
  <si>
    <t>Macaca mulatta (</t>
  </si>
  <si>
    <t>Hevea brasiliensis</t>
  </si>
  <si>
    <t>Rhodotorula mucilaginosa</t>
  </si>
  <si>
    <t>Plutella xylostella</t>
  </si>
  <si>
    <t>Penaeus vannamei</t>
  </si>
  <si>
    <t>Trichinella spiralis</t>
  </si>
  <si>
    <t>Mucor mucedo</t>
  </si>
  <si>
    <t>Caretta caretta</t>
  </si>
  <si>
    <t>Plasmodium yoelii</t>
  </si>
  <si>
    <t>Callithrix jacchus</t>
  </si>
  <si>
    <t>Setaria faberi</t>
  </si>
  <si>
    <t>Solenopsis invicta</t>
  </si>
  <si>
    <t>substrate</t>
  </si>
  <si>
    <t>3',5'-cAMP</t>
  </si>
  <si>
    <t>cAMP</t>
  </si>
  <si>
    <t>cGMP</t>
  </si>
  <si>
    <t>3',5'-cGMP</t>
  </si>
  <si>
    <t>5'-ATP</t>
  </si>
  <si>
    <t>5'-AMP</t>
  </si>
  <si>
    <t>guanosine 3',5'-cyclic phosphate</t>
  </si>
  <si>
    <t>2',3'-cAMP</t>
  </si>
  <si>
    <t>5'-pApG</t>
  </si>
  <si>
    <t>5'-pApA</t>
  </si>
  <si>
    <t>2-Oxoglutaramate</t>
  </si>
  <si>
    <t>2-hydroxysuccinamate</t>
  </si>
  <si>
    <t>2-oxosuccinamate</t>
  </si>
  <si>
    <t>hydroxylamine</t>
  </si>
  <si>
    <t>succinate</t>
  </si>
  <si>
    <t>succinamate</t>
  </si>
  <si>
    <t>gamma-monomethyl-2-oxoglutaramate</t>
  </si>
  <si>
    <t>Glutaramate</t>
  </si>
  <si>
    <t>methylamine</t>
  </si>
  <si>
    <t>gamma-methyl 2-oxoglutarate</t>
  </si>
  <si>
    <t>gamma-ethyl 2-oxoglutarate</t>
  </si>
  <si>
    <t>p-methylphenyl glutarate</t>
  </si>
  <si>
    <t>methyl succinate</t>
  </si>
  <si>
    <t>p-methoxyphenyl glutarate</t>
  </si>
  <si>
    <t>phenyl glutarate</t>
  </si>
  <si>
    <t>succinyl hydroxamate</t>
  </si>
  <si>
    <t>methyl glutarate</t>
  </si>
  <si>
    <t>p-chlorophenyl glutarate</t>
  </si>
  <si>
    <t>propyl glutarate</t>
  </si>
  <si>
    <t>ethyl succinate</t>
  </si>
  <si>
    <t>ethyl glutarate</t>
  </si>
  <si>
    <t>methanol</t>
  </si>
  <si>
    <t>L-aspartate</t>
  </si>
  <si>
    <t>kynurenine</t>
  </si>
  <si>
    <t>L-cysteine</t>
  </si>
  <si>
    <t>oxaloacetate</t>
  </si>
  <si>
    <t>L-2-amino-4-methoxy-4-oxobutanoic acid</t>
  </si>
  <si>
    <t>L-cysteine sulfinic acid</t>
  </si>
  <si>
    <t>pyridoxyl 5'-phosphate</t>
  </si>
  <si>
    <t>L-tyrosine</t>
  </si>
  <si>
    <t>2-oxo-4-phenyl-butanoic acid</t>
  </si>
  <si>
    <t>3,4-dimethoxyphenylpyruvate</t>
  </si>
  <si>
    <t>L-phenylalanine</t>
  </si>
  <si>
    <t>phenylpyruvate</t>
  </si>
  <si>
    <t>4-methoxyphenylpyruvate</t>
  </si>
  <si>
    <t>L-Lys</t>
  </si>
  <si>
    <t>2-methoxyphenylpyruvate</t>
  </si>
  <si>
    <t>3-methoxyphenylpyruvate</t>
  </si>
  <si>
    <t>L-tryptophan</t>
  </si>
  <si>
    <t>L-Phe</t>
  </si>
  <si>
    <t>L-Asp</t>
  </si>
  <si>
    <t>L-kynurenine</t>
  </si>
  <si>
    <t>NADH</t>
  </si>
  <si>
    <t>NAD+</t>
  </si>
  <si>
    <t>(S)-lactate</t>
  </si>
  <si>
    <t>APAD+</t>
  </si>
  <si>
    <t>APADH</t>
  </si>
  <si>
    <t>3-acetylpyridine adenine dinucleotide</t>
  </si>
  <si>
    <t>Lactate</t>
  </si>
  <si>
    <t>L-lactate</t>
  </si>
  <si>
    <t>NADP+</t>
  </si>
  <si>
    <t>Hydroxypyruvate</t>
  </si>
  <si>
    <t>glyoxylate</t>
  </si>
  <si>
    <t>2-oxobutanoate</t>
  </si>
  <si>
    <t>NADPH</t>
  </si>
  <si>
    <t>3,4-Dihydroxyphenylpyruvate</t>
  </si>
  <si>
    <t>2-oxobutyrate</t>
  </si>
  <si>
    <t>2-oxovalerate</t>
  </si>
  <si>
    <t>2-oxoisocaproate</t>
  </si>
  <si>
    <t>4-hydroxyphenylpyruvate</t>
  </si>
  <si>
    <t>2-Oxohexanoate</t>
  </si>
  <si>
    <t>p-hydroxyphenylpyruvate</t>
  </si>
  <si>
    <t>(S)-beta-phenylalanine</t>
  </si>
  <si>
    <t>3-(4-hydroxyphenyl)-2-oxopropanoate</t>
  </si>
  <si>
    <t>2-oxo-3-phenylpropanoate</t>
  </si>
  <si>
    <t>alpha-ketomethiobutyrate</t>
  </si>
  <si>
    <t>4-methylthio-2-oxobutanoate</t>
  </si>
  <si>
    <t>3,4-dihydroxyphenylalanine</t>
  </si>
  <si>
    <t>tryptophan</t>
  </si>
  <si>
    <t>phenylalanine</t>
  </si>
  <si>
    <t>L-leucine</t>
  </si>
  <si>
    <t>Indolepyruvate</t>
  </si>
  <si>
    <t>hydroxyphenylpyruvate</t>
  </si>
  <si>
    <t>pyridoxal 5'-phosphate</t>
  </si>
  <si>
    <t>L-5-methyltryptophan</t>
  </si>
  <si>
    <t>L-histidine</t>
  </si>
  <si>
    <t>L-5-fluorotryptophan</t>
  </si>
  <si>
    <t>L-glutamine</t>
  </si>
  <si>
    <t>L-arogenate</t>
  </si>
  <si>
    <t>prephenate</t>
  </si>
  <si>
    <t>alpha-aminoadipate</t>
  </si>
  <si>
    <t>3-(4-hydroxyphenyl)pyruvate</t>
  </si>
  <si>
    <t>2-oxo-4-methylpentanoate</t>
  </si>
  <si>
    <t>2-oxoadipate</t>
  </si>
  <si>
    <t>(S)-malate</t>
  </si>
  <si>
    <t>L-malate</t>
  </si>
  <si>
    <t>CO2</t>
  </si>
  <si>
    <t>2-oxo-4-methylthiobutanoate</t>
  </si>
  <si>
    <t>L-isoleucine</t>
  </si>
  <si>
    <t>L-valine</t>
  </si>
  <si>
    <t>L-Cys</t>
  </si>
  <si>
    <t>2-aminobutyrate</t>
  </si>
  <si>
    <t>L-Glu</t>
  </si>
  <si>
    <t>4-aminobutyrate</t>
  </si>
  <si>
    <t>L-2-aminobutanoate</t>
  </si>
  <si>
    <t>L-alpha-aminobutyrate</t>
  </si>
  <si>
    <t>L-2-aminobutyric acid</t>
  </si>
  <si>
    <t>L-threonine</t>
  </si>
  <si>
    <t>L-taurine</t>
  </si>
  <si>
    <t>L-serine</t>
  </si>
  <si>
    <t>glycine</t>
  </si>
  <si>
    <t>L-aminobutanoate</t>
  </si>
  <si>
    <t>1-aminobutyrate</t>
  </si>
  <si>
    <t>gamma-L-Glu-L-Cys</t>
  </si>
  <si>
    <t>L-2-aminobutyrate</t>
  </si>
  <si>
    <t>cysteine</t>
  </si>
  <si>
    <t>glutamate</t>
  </si>
  <si>
    <t>(S)-beta-amino-iso-butyrate</t>
  </si>
  <si>
    <t>(R)-beta-amino-iso-butyrate</t>
  </si>
  <si>
    <t>gamma-(alpha-aminomethyl)Glu-2-aminobutyrate</t>
  </si>
  <si>
    <t>gamma-Glu-L-2-aminobutyrate</t>
  </si>
  <si>
    <t>gamma-Glu-S-methylcysteine</t>
  </si>
  <si>
    <t>Gly</t>
  </si>
  <si>
    <t>gamma-Glu-2-aminobutyrate</t>
  </si>
  <si>
    <t>gamma-Glu-Cys</t>
  </si>
  <si>
    <t>beta-Ala</t>
  </si>
  <si>
    <t>gamma-L-glutamyl-L-cysteine</t>
  </si>
  <si>
    <t>gamma-Glu-L-Cys</t>
  </si>
  <si>
    <t>gamma-glutamyl-alpha-aminobutyrate</t>
  </si>
  <si>
    <t>gamma-L-Glu-aminobutanoate</t>
  </si>
  <si>
    <t>gamma-L-Glu-L-alpha-aminobutyrate</t>
  </si>
  <si>
    <t>N-acetyl-L-Cys</t>
  </si>
  <si>
    <t>N-acetyl-L-2-aminobutyrate</t>
  </si>
  <si>
    <t>linolenic acid hydroperoxide</t>
  </si>
  <si>
    <t>tert-butyl hydroperoxide</t>
  </si>
  <si>
    <t>cumene hydroperoxide</t>
  </si>
  <si>
    <t>H2O2</t>
  </si>
  <si>
    <t>GSH</t>
  </si>
  <si>
    <t>cumene peroxide</t>
  </si>
  <si>
    <t>L-alpha-phosphatidylcholine hydroperoxide</t>
  </si>
  <si>
    <t>tert-butylhydroperoxide</t>
  </si>
  <si>
    <t>cholesterol 7beta-hydroperoxide</t>
  </si>
  <si>
    <t>cholesterol 5alpha-hydroperoxide</t>
  </si>
  <si>
    <t>cholesterol 7alpha-hydroperoxide</t>
  </si>
  <si>
    <t>menadione</t>
  </si>
  <si>
    <t>2-benzoylpyridine</t>
  </si>
  <si>
    <t>Pyridine-4-aldehyde</t>
  </si>
  <si>
    <t>Pyridine-3-aldehyde</t>
  </si>
  <si>
    <t>1,4-Naphthoquinone</t>
  </si>
  <si>
    <t>daunorubicin</t>
  </si>
  <si>
    <t>3-benzoylpyridine</t>
  </si>
  <si>
    <t>4-Nitroacetophenone</t>
  </si>
  <si>
    <t>1,4-benzoquinone</t>
  </si>
  <si>
    <t>loxoprofen</t>
  </si>
  <si>
    <t>2-methyl-1,4-benzoquinone</t>
  </si>
  <si>
    <t>acetohexamide</t>
  </si>
  <si>
    <t>4-acetylpyridine</t>
  </si>
  <si>
    <t>befunolol</t>
  </si>
  <si>
    <t>benzoylformic acid ethyl ester</t>
  </si>
  <si>
    <t>heptanophenone</t>
  </si>
  <si>
    <t>acenaphthenequinone</t>
  </si>
  <si>
    <t>4-benzoylpyridine</t>
  </si>
  <si>
    <t>all-trans-retinal</t>
  </si>
  <si>
    <t>1-phenylisatin</t>
  </si>
  <si>
    <t>n-butyrophenone</t>
  </si>
  <si>
    <t>2,3-heptanedione</t>
  </si>
  <si>
    <t>valerophenone</t>
  </si>
  <si>
    <t>all-trans-retinol</t>
  </si>
  <si>
    <t>S-1-phenyl-1-butanol</t>
  </si>
  <si>
    <t>hexanophenone</t>
  </si>
  <si>
    <t>2,3-Hexanedione</t>
  </si>
  <si>
    <t>16-ketoestrone</t>
  </si>
  <si>
    <t>2,3-Pentanedione</t>
  </si>
  <si>
    <t>isatin</t>
  </si>
  <si>
    <t>4-hexanoylpyridine</t>
  </si>
  <si>
    <t>9-cis-retinal</t>
  </si>
  <si>
    <t>ethyl 4-chloroacetoacetate</t>
  </si>
  <si>
    <t>t-butyl 6-cyano-(5R)-hydroxy-3-oxohexanoate</t>
  </si>
  <si>
    <t>ethyl 2-oxo-4-phenylbutanoate</t>
  </si>
  <si>
    <t>4-nitrobenzaldehyde</t>
  </si>
  <si>
    <t>diacetyl</t>
  </si>
  <si>
    <t>propanone</t>
  </si>
  <si>
    <t>(R)-2-butanol</t>
  </si>
  <si>
    <t>2-propanol</t>
  </si>
  <si>
    <t>(S)-2-butanol</t>
  </si>
  <si>
    <t>Cyclopentanol</t>
  </si>
  <si>
    <t>Cyclopentanone</t>
  </si>
  <si>
    <t>2-Pentanone</t>
  </si>
  <si>
    <t>acetoin</t>
  </si>
  <si>
    <t>2-butanol</t>
  </si>
  <si>
    <t>2-butanone</t>
  </si>
  <si>
    <t>2,3-Butanediol</t>
  </si>
  <si>
    <t>cyclohexanone</t>
  </si>
  <si>
    <t>methyl-1,4-benzoquinone</t>
  </si>
  <si>
    <t>pyridine 4-aldehyde</t>
  </si>
  <si>
    <t>pyridine 3-aldehyde</t>
  </si>
  <si>
    <t>crotonaldehyde</t>
  </si>
  <si>
    <t>acetone</t>
  </si>
  <si>
    <t>Benzalacetone</t>
  </si>
  <si>
    <t>acetaldehyde</t>
  </si>
  <si>
    <t>ethyl 4-chloro-3-oxobutanoate</t>
  </si>
  <si>
    <t>ketopantoyl lactone</t>
  </si>
  <si>
    <t>methyl 4-chloro-3-oxobutanoate</t>
  </si>
  <si>
    <t>ethyl 2-chloro-3-oxobutanoate</t>
  </si>
  <si>
    <t>methyl 2-chloro-3-oxobutanoate</t>
  </si>
  <si>
    <t>ethyl pyruvate</t>
  </si>
  <si>
    <t>ethyl 2-oxobutanoate</t>
  </si>
  <si>
    <t>9,10-phenanthrenequinone</t>
  </si>
  <si>
    <t>1,2-naphthoquinone</t>
  </si>
  <si>
    <t>9,10-phenantrenequinone</t>
  </si>
  <si>
    <t>doxorubicin</t>
  </si>
  <si>
    <t>S-nitrosoglutathione</t>
  </si>
  <si>
    <t>oracin</t>
  </si>
  <si>
    <t>3-glutathionyl-propanal</t>
  </si>
  <si>
    <t>3-glutathionyl-hexanal</t>
  </si>
  <si>
    <t>3-glutathionyl-nonanal</t>
  </si>
  <si>
    <t>glutathionyl-nonanal</t>
  </si>
  <si>
    <t>4-(methylnitrosamino)-1-(3-pyridyl)-1-butanone</t>
  </si>
  <si>
    <t>2-hydroxyacetophenone</t>
  </si>
  <si>
    <t>1-(3-methyl-4-oxidoquinoxalin-2-yl)ethanone</t>
  </si>
  <si>
    <t>1-(3-methyl-1,4-dioxidoquinoxalin-2-yl)ethanone</t>
  </si>
  <si>
    <t>2,2,2-trifluoroacetophenone</t>
  </si>
  <si>
    <t>ethyl 2-oxo-4-phenylbutyrate</t>
  </si>
  <si>
    <t>ethyl 2-methylacetoacetate</t>
  </si>
  <si>
    <t>Phenylglyoxal</t>
  </si>
  <si>
    <t>methyl glyoxal</t>
  </si>
  <si>
    <t>p-toluquinone</t>
  </si>
  <si>
    <t>prostaglandin E2</t>
  </si>
  <si>
    <t>estrone</t>
  </si>
  <si>
    <t>testosterone</t>
  </si>
  <si>
    <t>5alpha-androstan-17beta-ol-3-one</t>
  </si>
  <si>
    <t>benzoylpyridine</t>
  </si>
  <si>
    <t>prostaglandin E1</t>
  </si>
  <si>
    <t>2-nitrobenzaldehyde</t>
  </si>
  <si>
    <t>pyridine-4-carboxaldehyde</t>
  </si>
  <si>
    <t>2,3-Butanedione</t>
  </si>
  <si>
    <t>5alpha-androstane-3,17-dione</t>
  </si>
  <si>
    <t>3-glutathionyl-4-hydroxynonanal</t>
  </si>
  <si>
    <t>4-oxonon-2-enal</t>
  </si>
  <si>
    <t>glutathione-4-oxonon-2-enal</t>
  </si>
  <si>
    <t>ubiquinone-1</t>
  </si>
  <si>
    <t>Prostaglandin B2</t>
  </si>
  <si>
    <t>4-formylbenzoic acid</t>
  </si>
  <si>
    <t>Adrenochrome</t>
  </si>
  <si>
    <t>9,10-phenanthroline</t>
  </si>
  <si>
    <t>9,10-phenanthrenquinone</t>
  </si>
  <si>
    <t>1-phenyl-1,2-propanedione</t>
  </si>
  <si>
    <t>hexaphenone</t>
  </si>
  <si>
    <t>pyridin-4-yl hexanoate</t>
  </si>
  <si>
    <t>propiophenone</t>
  </si>
  <si>
    <t>benzil</t>
  </si>
  <si>
    <t>2,3-hexandione</t>
  </si>
  <si>
    <t>nonanophenone</t>
  </si>
  <si>
    <t>butyrophenone</t>
  </si>
  <si>
    <t>dodecanoic acid</t>
  </si>
  <si>
    <t>palmitoleic acid</t>
  </si>
  <si>
    <t>13-methyl-tetradecanoic acid</t>
  </si>
  <si>
    <t>stearic acid</t>
  </si>
  <si>
    <t>cytochrome c</t>
  </si>
  <si>
    <t>hexadecanoic acid</t>
  </si>
  <si>
    <t>tetradecanoic acid</t>
  </si>
  <si>
    <t>12-methyl-tetradecanoic acid</t>
  </si>
  <si>
    <t>linoleic acid</t>
  </si>
  <si>
    <t>myristic acid</t>
  </si>
  <si>
    <t>oleic acid</t>
  </si>
  <si>
    <t>omega-(p-nitrophenyl)decanoic acid</t>
  </si>
  <si>
    <t>omega-(p-nitrophenyl)dodecanoic acid</t>
  </si>
  <si>
    <t>omega-(p-nitrophenyl)octanoic acid</t>
  </si>
  <si>
    <t>(1S)-cis-permethrin</t>
  </si>
  <si>
    <t>fenthion</t>
  </si>
  <si>
    <t>fenthion-sulfoxide</t>
  </si>
  <si>
    <t>(1R)-cis-permethrin</t>
  </si>
  <si>
    <t>(1S)-trans-permethrin</t>
  </si>
  <si>
    <t>(1R)-trans-permethrin</t>
  </si>
  <si>
    <t>7-ethoxyresorufin</t>
  </si>
  <si>
    <t>GSSG</t>
  </si>
  <si>
    <t>glutathione disulfide</t>
  </si>
  <si>
    <t>S-allylmercaptoglutathione disulfide</t>
  </si>
  <si>
    <t>glutathione-S-sulfonate</t>
  </si>
  <si>
    <t>bis-N,N'-(gamma-glutamylcystine)</t>
  </si>
  <si>
    <t>FAD</t>
  </si>
  <si>
    <t>quinoline-5,8-dione</t>
  </si>
  <si>
    <t>7-methylquinoline-5,8-dione</t>
  </si>
  <si>
    <t>6-methylquinoline-5,8-dione</t>
  </si>
  <si>
    <t>6,7-dimethylquinoline-5,8-dione</t>
  </si>
  <si>
    <t>quinoxaline-5,8-dione</t>
  </si>
  <si>
    <t>5,5'-dithiobis(2-nitrobenzoic acid)</t>
  </si>
  <si>
    <t>ferricyanide</t>
  </si>
  <si>
    <t>mixed disulfide of CoA and glutathione</t>
  </si>
  <si>
    <t>trypanothione</t>
  </si>
  <si>
    <t>N1-monoglutathionylspermidine glutathione disulfide</t>
  </si>
  <si>
    <t>diallyl trisulfide</t>
  </si>
  <si>
    <t>mixed disulfide of coenzyme A and glutathione</t>
  </si>
  <si>
    <t>(E)-ajoene</t>
  </si>
  <si>
    <t>(Z)-ajoene</t>
  </si>
  <si>
    <t>benzyl alcohol</t>
  </si>
  <si>
    <t>1-Octanol</t>
  </si>
  <si>
    <t>3beta,12alpha-dihydroxy-5beta-cholanoate</t>
  </si>
  <si>
    <t>3beta,7alpha,12alpha-trihydroxy-5beta-cholanoate</t>
  </si>
  <si>
    <t>1-butanol</t>
  </si>
  <si>
    <t>octanal</t>
  </si>
  <si>
    <t>12-hydroxydodecanoate</t>
  </si>
  <si>
    <t>3beta-7alpha-dihydroxy-5beta-cholanoate</t>
  </si>
  <si>
    <t>Cyclohexanol</t>
  </si>
  <si>
    <t>5beta-androstan-3beta-ol-17 one</t>
  </si>
  <si>
    <t>ethanol</t>
  </si>
  <si>
    <t>m-nitrobenzaldehyde</t>
  </si>
  <si>
    <t>1-Pentanol</t>
  </si>
  <si>
    <t>2-Buten-1-ol</t>
  </si>
  <si>
    <t>Butanal</t>
  </si>
  <si>
    <t>3beta,7alpha-12alpha-trihydroxy-5beta-cholanoate</t>
  </si>
  <si>
    <t>Octanol</t>
  </si>
  <si>
    <t>propanal</t>
  </si>
  <si>
    <t>n-Pentanal</t>
  </si>
  <si>
    <t>n-butanol</t>
  </si>
  <si>
    <t>n-Propanol</t>
  </si>
  <si>
    <t>N-benzyl-3-pyrrolidinone</t>
  </si>
  <si>
    <t>(S)-N-benzyl-3-pyrrolidinol</t>
  </si>
  <si>
    <t>Isobutyraldehyde</t>
  </si>
  <si>
    <t>1-Hexanol</t>
  </si>
  <si>
    <t>1-Heptanol</t>
  </si>
  <si>
    <t>trans-cinnamaldehyde</t>
  </si>
  <si>
    <t>benzaldehyde</t>
  </si>
  <si>
    <t>Butyraldehyde</t>
  </si>
  <si>
    <t>4-methoxybenzyl alcohol</t>
  </si>
  <si>
    <t>(S)-2-pentanol</t>
  </si>
  <si>
    <t>2-ethoxyethanol</t>
  </si>
  <si>
    <t>(R)-2-pentanol</t>
  </si>
  <si>
    <t>3-Pentanol</t>
  </si>
  <si>
    <t>1-propanol</t>
  </si>
  <si>
    <t>mevaldate</t>
  </si>
  <si>
    <t>1-formyl-8-methylpyrene</t>
  </si>
  <si>
    <t>1-formylpyrene</t>
  </si>
  <si>
    <t>1-formyl-6-methylpyrene</t>
  </si>
  <si>
    <t>4-formylpyrene</t>
  </si>
  <si>
    <t>4-hydroxymethylpyrene</t>
  </si>
  <si>
    <t>2-formylpyrene</t>
  </si>
  <si>
    <t>1-hydroxymethyl-8-methylpyrene</t>
  </si>
  <si>
    <t>1-hydroxymethylpyrene</t>
  </si>
  <si>
    <t>1-hydroxymethyl-6-methylpyrene</t>
  </si>
  <si>
    <t>2-hydroxymethylpyrene</t>
  </si>
  <si>
    <t>p-Methoxybenzaldehyde</t>
  </si>
  <si>
    <t>p-methoxybenzyl alcohol</t>
  </si>
  <si>
    <t>beta-NAD+</t>
  </si>
  <si>
    <t>furfural</t>
  </si>
  <si>
    <t>5-hydroxymethylfurfural</t>
  </si>
  <si>
    <t>phenylglyoxylic acid</t>
  </si>
  <si>
    <t>formaldehyde</t>
  </si>
  <si>
    <t>glycolaldehyde</t>
  </si>
  <si>
    <t>4-amino-1-butanol</t>
  </si>
  <si>
    <t>5-amino-1-pentanol</t>
  </si>
  <si>
    <t>6-amino-1-hexanol</t>
  </si>
  <si>
    <t>12-hydroxylauric acid methyl ester</t>
  </si>
  <si>
    <t>12-oxolauric acid methyl ester</t>
  </si>
  <si>
    <t>iso-propanol</t>
  </si>
  <si>
    <t>tert-butanol</t>
  </si>
  <si>
    <t>1,3-Propanediol</t>
  </si>
  <si>
    <t>Isopropanol</t>
  </si>
  <si>
    <t>Isopentanol</t>
  </si>
  <si>
    <t>3-methylcyclohexanone</t>
  </si>
  <si>
    <t>(R)-alpha-tetralol</t>
  </si>
  <si>
    <t>(R)-1-indanol</t>
  </si>
  <si>
    <t>ethyl benzoylformate</t>
  </si>
  <si>
    <t>methyl o-chlorobenzoylformate</t>
  </si>
  <si>
    <t>cis-decahydro-1-naphthol</t>
  </si>
  <si>
    <t>(S)-alpha-tetralol</t>
  </si>
  <si>
    <t>(S)-1-indanol</t>
  </si>
  <si>
    <t>methyl benzoylformate</t>
  </si>
  <si>
    <t>cycloheptanol</t>
  </si>
  <si>
    <t>3-Methylcyclohexanol</t>
  </si>
  <si>
    <t>2,2-dichloroacetophenone</t>
  </si>
  <si>
    <t>isoborneol</t>
  </si>
  <si>
    <t>2',3',4',5',6'-pentafluoroacetophenone</t>
  </si>
  <si>
    <t>tetralin-1-ol</t>
  </si>
  <si>
    <t>1-Indanol</t>
  </si>
  <si>
    <t>ethyl 3-methyl-2-oxobutyrate</t>
  </si>
  <si>
    <t>2-decanone</t>
  </si>
  <si>
    <t>2-Octanone</t>
  </si>
  <si>
    <t>4-methoxyphenylacetone</t>
  </si>
  <si>
    <t>2-Heptanone</t>
  </si>
  <si>
    <t>2-nonanone</t>
  </si>
  <si>
    <t>2-Pentanol</t>
  </si>
  <si>
    <t>tert-butyl acetoacetate</t>
  </si>
  <si>
    <t>2-Hexanone</t>
  </si>
  <si>
    <t>Butan-2,3-diol</t>
  </si>
  <si>
    <t>cinnamaldehyde</t>
  </si>
  <si>
    <t>cinnamyl alcohol</t>
  </si>
  <si>
    <t>1-phenylethanol</t>
  </si>
  <si>
    <t>(2E)-but-2-enal</t>
  </si>
  <si>
    <t>(2E)-but-2-en-1-ol</t>
  </si>
  <si>
    <t>butan-1-ol</t>
  </si>
  <si>
    <t>propan-2-ol</t>
  </si>
  <si>
    <t>Glutaraldehyde</t>
  </si>
  <si>
    <t>1,4-Butanediol</t>
  </si>
  <si>
    <t>D-xylonate</t>
  </si>
  <si>
    <t>D-altronate</t>
  </si>
  <si>
    <t>D-gluconate</t>
  </si>
  <si>
    <t>D-mannonate</t>
  </si>
  <si>
    <t>D-ribonate</t>
  </si>
  <si>
    <t>D-allonate</t>
  </si>
  <si>
    <t>D-talonate</t>
  </si>
  <si>
    <t>2-dehydro-3-deoxy-D-gluconate</t>
  </si>
  <si>
    <t>D-arabitol</t>
  </si>
  <si>
    <t>D-sorbitol</t>
  </si>
  <si>
    <t>3-hydroxy-2-butanone</t>
  </si>
  <si>
    <t>ethylene glycol</t>
  </si>
  <si>
    <t>n-Hexanol</t>
  </si>
  <si>
    <t>butan-2-ol</t>
  </si>
  <si>
    <t>Hexanol</t>
  </si>
  <si>
    <t>9-cis-retinol</t>
  </si>
  <si>
    <t>acycloNAD+</t>
  </si>
  <si>
    <t>(S)-2-octanol</t>
  </si>
  <si>
    <t>5beta-androstan-3beta-ol-17-one</t>
  </si>
  <si>
    <t>hexaldehyde</t>
  </si>
  <si>
    <t>5beta-cholanic acid-3-one</t>
  </si>
  <si>
    <t>13-cis-retinal</t>
  </si>
  <si>
    <t>11-cis-retinal</t>
  </si>
  <si>
    <t>11-cis-retinol</t>
  </si>
  <si>
    <t>5beta-androstan-17beta-ol-3-one</t>
  </si>
  <si>
    <t>allyl alcohol</t>
  </si>
  <si>
    <t>crotyl alcohol</t>
  </si>
  <si>
    <t>3-oxo-5beta-androstan-17beta-ol</t>
  </si>
  <si>
    <t>butanol</t>
  </si>
  <si>
    <t>5beta-Pregnan-21-ol-3,20-dione hemisuccinate</t>
  </si>
  <si>
    <t>Propanol</t>
  </si>
  <si>
    <t>4-Methyl-1-pentanol</t>
  </si>
  <si>
    <t>propionaldehyde</t>
  </si>
  <si>
    <t>3-Pentanone</t>
  </si>
  <si>
    <t>Pentanol</t>
  </si>
  <si>
    <t>(R)-2-octanol</t>
  </si>
  <si>
    <t>13-cis-retinol</t>
  </si>
  <si>
    <t>Valeraldehyde</t>
  </si>
  <si>
    <t>acetophenone</t>
  </si>
  <si>
    <t>capronaldehyde</t>
  </si>
  <si>
    <t>4-chloroacetophenone</t>
  </si>
  <si>
    <t>phenylacetaldehyde</t>
  </si>
  <si>
    <t>pentan-2-ol</t>
  </si>
  <si>
    <t>4-methoxybenzylalcohol</t>
  </si>
  <si>
    <t>Anisaldehyde</t>
  </si>
  <si>
    <t>2-Methylcyclohexanol</t>
  </si>
  <si>
    <t>4-bromobenzyl alcohol</t>
  </si>
  <si>
    <t>4-bromobenzylalcohol</t>
  </si>
  <si>
    <t>(+/-)-3-methylcyclohexanone</t>
  </si>
  <si>
    <t>4-carboxybenzaldehyde</t>
  </si>
  <si>
    <t>3-bromobenzyl alcohol</t>
  </si>
  <si>
    <t>4-methoxybenzaldehyde</t>
  </si>
  <si>
    <t>3-bromobenzylalcohol</t>
  </si>
  <si>
    <t>benzylalcohol</t>
  </si>
  <si>
    <t>3-Methoxybenzyl alcohol</t>
  </si>
  <si>
    <t>3-methoxybenzylalcohol</t>
  </si>
  <si>
    <t>butan-2-one</t>
  </si>
  <si>
    <t>propan-1-ol</t>
  </si>
  <si>
    <t>3-methylbutan-2-one</t>
  </si>
  <si>
    <t>pentan-3-ol</t>
  </si>
  <si>
    <t>(R)-2-phenylpropanol</t>
  </si>
  <si>
    <t>3-phenylpropanol</t>
  </si>
  <si>
    <t>(S)-2-phenylpropanol</t>
  </si>
  <si>
    <t>2-phenylpropionaldehyde</t>
  </si>
  <si>
    <t>1,2-propanediol</t>
  </si>
  <si>
    <t>glycerol</t>
  </si>
  <si>
    <t>ethyl oxo(phenyl)acetate</t>
  </si>
  <si>
    <t>alpha-tetralol</t>
  </si>
  <si>
    <t>alpha-tetralone</t>
  </si>
  <si>
    <t>methylbenzoylformate</t>
  </si>
  <si>
    <t>methyl oxo(phenyl)acetate</t>
  </si>
  <si>
    <t>(S)-(+)-1-indanol</t>
  </si>
  <si>
    <t>(S)-(+)-alpha-tetraol</t>
  </si>
  <si>
    <t>3-Methoxybenzaldehyde</t>
  </si>
  <si>
    <t>1-phenyl-1,2-propandione</t>
  </si>
  <si>
    <t>(S)-1-phenylethanol</t>
  </si>
  <si>
    <t>(S)-(-)-1-phenylethanol</t>
  </si>
  <si>
    <t>1-Indanone</t>
  </si>
  <si>
    <t>pentan-1-ol</t>
  </si>
  <si>
    <t>octan-1-ol</t>
  </si>
  <si>
    <t>cis-4-methylcyclohexanol</t>
  </si>
  <si>
    <t>R-(+)-cis-verbenol</t>
  </si>
  <si>
    <t>R-(+)-trans-bicyclo(2.2.1)-heptanol</t>
  </si>
  <si>
    <t>4-methylpentan-1-ol</t>
  </si>
  <si>
    <t>trans-4-methylcyclohexanol</t>
  </si>
  <si>
    <t>2-methylpropan-1-ol</t>
  </si>
  <si>
    <t>S-(-)-trans-bicyclo(2.2.1)-heptanol</t>
  </si>
  <si>
    <t>S-(-)-1-phenylethanol</t>
  </si>
  <si>
    <t>R-(+)-1-phenylethanol</t>
  </si>
  <si>
    <t>S-(-)-cis-bicyclo(2.2.1)-heptanol</t>
  </si>
  <si>
    <t>S-(-)-2-methylbutan-1-ol</t>
  </si>
  <si>
    <t>hexan-1-ol</t>
  </si>
  <si>
    <t>heptan-4-ol</t>
  </si>
  <si>
    <t>16-hydroxyhexadecanoate</t>
  </si>
  <si>
    <t>4-hydroxy-retinol</t>
  </si>
  <si>
    <t>retinol</t>
  </si>
  <si>
    <t>5beta-Pregnan-3beta-ol-20-one</t>
  </si>
  <si>
    <t>4-oxo-retinal</t>
  </si>
  <si>
    <t>3-Phenyl-1-propanol</t>
  </si>
  <si>
    <t>3,4-dihydro-retinal</t>
  </si>
  <si>
    <t>tryptophol</t>
  </si>
  <si>
    <t>3,4-dihydro-retinol</t>
  </si>
  <si>
    <t>5beta-pregnan-3,20-dione</t>
  </si>
  <si>
    <t>Vanillyl alcohol</t>
  </si>
  <si>
    <t>12-Hydroxydodecanoic acid</t>
  </si>
  <si>
    <t>2-deoxy-D-ribose</t>
  </si>
  <si>
    <t>phenyl trifluoromethyl ketone</t>
  </si>
  <si>
    <t>alpha-deuteriophenylglyoxal</t>
  </si>
  <si>
    <t>glutathione-methylglyoxal hemithioacetal</t>
  </si>
  <si>
    <t>perdeuteriomethylglyoxal</t>
  </si>
  <si>
    <t>4,5-Dioxovalerate</t>
  </si>
  <si>
    <t>methylglyoxal/glutathione hemithioacetal</t>
  </si>
  <si>
    <t>(R)-S-lactoylglutathione</t>
  </si>
  <si>
    <t>glutathionylspermidine</t>
  </si>
  <si>
    <t>glutathione-phenylglyoxal</t>
  </si>
  <si>
    <t>homoglutathione-phenylglyoxal</t>
  </si>
  <si>
    <t>glutathione-methylglyoxal</t>
  </si>
  <si>
    <t>gamma-glutamylcysteine-methylglyoxal hemithioacetal</t>
  </si>
  <si>
    <t>homoglutathione-methylglyoxal</t>
  </si>
  <si>
    <t>gamma-glutamylcysteine-phenylglyoxal hemithioacetal</t>
  </si>
  <si>
    <t>glutathione-glyoxal hemithioacetal</t>
  </si>
  <si>
    <t>reduced trypanothione</t>
  </si>
  <si>
    <t>glutathione isopropyl ester</t>
  </si>
  <si>
    <t>S-D-lactoyltrypanothione</t>
  </si>
  <si>
    <t>glutathione ethyl ester</t>
  </si>
  <si>
    <t>N-[3-[(4-aminobutyl)amino]propyl]-L-gamma-glutamyl-L-cysteinylglycine</t>
  </si>
  <si>
    <t>S-mandoyltrypanothione</t>
  </si>
  <si>
    <t>p-hydroxyphenylglyoxal</t>
  </si>
  <si>
    <t>m-methoxyphenylglyoxal</t>
  </si>
  <si>
    <t>p-chlorophenylglyoxal</t>
  </si>
  <si>
    <t>p-phenylphenylglyoxal</t>
  </si>
  <si>
    <t>4-bromophenylglyoxal</t>
  </si>
  <si>
    <t>4-methylphenylglyoxal</t>
  </si>
  <si>
    <t>2,4-dimethylphenylglyoxal</t>
  </si>
  <si>
    <t>kethoxal</t>
  </si>
  <si>
    <t>p-methoxyphenylglyoxal</t>
  </si>
  <si>
    <t>reduced glutathione</t>
  </si>
  <si>
    <t>1,3-Bis-(2-chloroethyl)-1-nitrosourea</t>
  </si>
  <si>
    <t>1-chloro-2,4-dinitrobenzene</t>
  </si>
  <si>
    <t>phenethyl-isothiocyanate</t>
  </si>
  <si>
    <t>1-chloro-2,3-dinitrobenzene</t>
  </si>
  <si>
    <t>7-Chloro-4-nitrobenzo-2-oxa-1,3-diazole</t>
  </si>
  <si>
    <t>(R,R)-trans-stilbene oxide</t>
  </si>
  <si>
    <t>1,2-epoxy-3-(p-nitrophenoxy)propane</t>
  </si>
  <si>
    <t>(S)-styrene-7,8-oxide</t>
  </si>
  <si>
    <t>brostallicin</t>
  </si>
  <si>
    <t>(+)-2-bromo-3-(4-nitrophenyl)propanoic acid</t>
  </si>
  <si>
    <t>(S,S)-trans-stilbene oxide</t>
  </si>
  <si>
    <t>1,2-dichloro-4-nitrobenzene</t>
  </si>
  <si>
    <t>(R,R)-1-phenylpropylene oxide</t>
  </si>
  <si>
    <t>(S,S)-1-phenylpropylene oxide</t>
  </si>
  <si>
    <t>(R)-styrene-7,8-oxide</t>
  </si>
  <si>
    <t>maleylacetone</t>
  </si>
  <si>
    <t>cryptophycin 52</t>
  </si>
  <si>
    <t>2,4-dinitro-1-iodobenzene</t>
  </si>
  <si>
    <t>monochlorobimane</t>
  </si>
  <si>
    <t>iodohexane</t>
  </si>
  <si>
    <t>iodobutane</t>
  </si>
  <si>
    <t>iodomethane</t>
  </si>
  <si>
    <t>trans-4-phenyl-3-butene-2-one</t>
  </si>
  <si>
    <t>trans-2-nonenal</t>
  </si>
  <si>
    <t>hexa-2,4-dienal</t>
  </si>
  <si>
    <t>4-nitroquinoline-1-oxide</t>
  </si>
  <si>
    <t>4-hydroxynonenal</t>
  </si>
  <si>
    <t>3,4-dinitrobenzoic acid</t>
  </si>
  <si>
    <t>1,2-dinitrobenzene</t>
  </si>
  <si>
    <t>Ethacrynic acid</t>
  </si>
  <si>
    <t>4-nitrophenyl acetate</t>
  </si>
  <si>
    <t>fluorodifen</t>
  </si>
  <si>
    <t>7-chloro-4-nitrobenz-2-oxa-1,3-diazole</t>
  </si>
  <si>
    <t>gamma-Glu-Cys-Sar</t>
  </si>
  <si>
    <t>Tic-Cys-Gly</t>
  </si>
  <si>
    <t>gamma-Glu-Cys-Aib</t>
  </si>
  <si>
    <t>Hyp-Cys-Gly</t>
  </si>
  <si>
    <t>acetyl-gamma-Glu-Cys-Gly</t>
  </si>
  <si>
    <t>3,4-dinitrobenzanilide</t>
  </si>
  <si>
    <t>acrolein</t>
  </si>
  <si>
    <t>4-Chloro-7-nitrobenzo-2-oxa-1,3-diazole</t>
  </si>
  <si>
    <t>4-hydroxy-(E)-2-nonenal</t>
  </si>
  <si>
    <t>alachlor</t>
  </si>
  <si>
    <t>1-chloro-2,3-dinitrobenzoate</t>
  </si>
  <si>
    <t>5-Pregnene-3,20-dione</t>
  </si>
  <si>
    <t>phenethyl isothiocyanate</t>
  </si>
  <si>
    <t>5-androstene-3,17-dione</t>
  </si>
  <si>
    <t>4-nitrophenyl butyrate</t>
  </si>
  <si>
    <t>tert-butyl peroxide</t>
  </si>
  <si>
    <t>allyl-isothiocyanate</t>
  </si>
  <si>
    <t>sulforaphane</t>
  </si>
  <si>
    <t>dehydroascorbate</t>
  </si>
  <si>
    <t>metolachlor</t>
  </si>
  <si>
    <t>trans-o-hydroxybenzylidene pyruvic acid</t>
  </si>
  <si>
    <t>2-hydroxychromene-2-carboxylic acid</t>
  </si>
  <si>
    <t>5-chloromethylfluorescein diacetate</t>
  </si>
  <si>
    <t>4-methylumbelliferyl acetate</t>
  </si>
  <si>
    <t>alpha-O-(beta-methylumbelliferyl)acetovanillone</t>
  </si>
  <si>
    <t>beta-(2-methoxyphenoxy)-gamma-hydroxypropiovanillone</t>
  </si>
  <si>
    <t>4-nitrobenzyl chloride</t>
  </si>
  <si>
    <t>1-Fluoro-2,4-dinitrobenzene</t>
  </si>
  <si>
    <t>hydroxyethyldisulfide</t>
  </si>
  <si>
    <t>2-hydroxyethyl disulfide</t>
  </si>
  <si>
    <t>Dichloroacetate</t>
  </si>
  <si>
    <t>S-phenylacetylglutathione</t>
  </si>
  <si>
    <t>Dichloroacetic acid</t>
  </si>
  <si>
    <t>styrene 7,8-oxide</t>
  </si>
  <si>
    <t>1-iodohexane</t>
  </si>
  <si>
    <t>1-Iodobutane</t>
  </si>
  <si>
    <t>1-iodomethane</t>
  </si>
  <si>
    <t>Atrazine</t>
  </si>
  <si>
    <t>value</t>
  </si>
  <si>
    <t>valueMaximum</t>
  </si>
  <si>
    <t>rawValue</t>
  </si>
  <si>
    <t>0.007</t>
  </si>
  <si>
    <t>0.0125</t>
  </si>
  <si>
    <t>0.0002</t>
  </si>
  <si>
    <t>0.005</t>
  </si>
  <si>
    <t>0.00075</t>
  </si>
  <si>
    <t>0.03</t>
  </si>
  <si>
    <t>1.23</t>
  </si>
  <si>
    <t>2.54</t>
  </si>
  <si>
    <t>0.15</t>
  </si>
  <si>
    <t>0.0316</t>
  </si>
  <si>
    <t>0.0782</t>
  </si>
  <si>
    <t>0.0153</t>
  </si>
  <si>
    <t>0.006</t>
  </si>
  <si>
    <t>0.0185</t>
  </si>
  <si>
    <t>0.0205</t>
  </si>
  <si>
    <t>0.01942</t>
  </si>
  <si>
    <t>0.01797</t>
  </si>
  <si>
    <t>0.0014</t>
  </si>
  <si>
    <t>0.003</t>
  </si>
  <si>
    <t>0.012</t>
  </si>
  <si>
    <t>0.0033</t>
  </si>
  <si>
    <t>0.025</t>
  </si>
  <si>
    <t>0.0016</t>
  </si>
  <si>
    <t>0.0052</t>
  </si>
  <si>
    <t>0.0038</t>
  </si>
  <si>
    <t>0.002</t>
  </si>
  <si>
    <t>0.00023</t>
  </si>
  <si>
    <t>0.0018</t>
  </si>
  <si>
    <t>0.0001</t>
  </si>
  <si>
    <t>0.045</t>
  </si>
  <si>
    <t>0.0042</t>
  </si>
  <si>
    <t>0.0037</t>
  </si>
  <si>
    <t>0.0057</t>
  </si>
  <si>
    <t>0.35</t>
  </si>
  <si>
    <t>0.11</t>
  </si>
  <si>
    <t>0.0988</t>
  </si>
  <si>
    <t>0.0773</t>
  </si>
  <si>
    <t>0.0968</t>
  </si>
  <si>
    <t>0.1047</t>
  </si>
  <si>
    <t>0.1157</t>
  </si>
  <si>
    <t>0.1175</t>
  </si>
  <si>
    <t>0.1048</t>
  </si>
  <si>
    <t>0.1913</t>
  </si>
  <si>
    <t>0.1539</t>
  </si>
  <si>
    <t>6.82</t>
  </si>
  <si>
    <t>12.82</t>
  </si>
  <si>
    <t>0.355</t>
  </si>
  <si>
    <t>0.204</t>
  </si>
  <si>
    <t>0.1</t>
  </si>
  <si>
    <t>0.09</t>
  </si>
  <si>
    <t>0.125</t>
  </si>
  <si>
    <t>0.0088</t>
  </si>
  <si>
    <t>0.0009</t>
  </si>
  <si>
    <t>0.032</t>
  </si>
  <si>
    <t>0.4</t>
  </si>
  <si>
    <t>0.45</t>
  </si>
  <si>
    <t>1</t>
  </si>
  <si>
    <t>8.8e-05</t>
  </si>
  <si>
    <t>0.8</t>
  </si>
  <si>
    <t>0.0023</t>
  </si>
  <si>
    <t>0.0017</t>
  </si>
  <si>
    <t>0.00018</t>
  </si>
  <si>
    <t>0.034</t>
  </si>
  <si>
    <t>0.0013</t>
  </si>
  <si>
    <t>2e-05</t>
  </si>
  <si>
    <t>0.0024</t>
  </si>
  <si>
    <t>0.34</t>
  </si>
  <si>
    <t>1.6</t>
  </si>
  <si>
    <t>0.00097</t>
  </si>
  <si>
    <t>9.3e-05</t>
  </si>
  <si>
    <t>7.9e-05</t>
  </si>
  <si>
    <t>0.095</t>
  </si>
  <si>
    <t>0.00024</t>
  </si>
  <si>
    <t>0.04</t>
  </si>
  <si>
    <t>7</t>
  </si>
  <si>
    <t>0.015</t>
  </si>
  <si>
    <t>0.0012</t>
  </si>
  <si>
    <t>0.042</t>
  </si>
  <si>
    <t>0.0032</t>
  </si>
  <si>
    <t>0.033</t>
  </si>
  <si>
    <t>0.035</t>
  </si>
  <si>
    <t>0.0027</t>
  </si>
  <si>
    <t>0.0075</t>
  </si>
  <si>
    <t>0.0028</t>
  </si>
  <si>
    <t>0.00029</t>
  </si>
  <si>
    <t>0.00047</t>
  </si>
  <si>
    <t>9.4e-05</t>
  </si>
  <si>
    <t>0.0464</t>
  </si>
  <si>
    <t>6.49</t>
  </si>
  <si>
    <t>5.58</t>
  </si>
  <si>
    <t>6.13</t>
  </si>
  <si>
    <t>4.43</t>
  </si>
  <si>
    <t>100</t>
  </si>
  <si>
    <t>30</t>
  </si>
  <si>
    <t>1.34</t>
  </si>
  <si>
    <t>6.42</t>
  </si>
  <si>
    <t>5.31</t>
  </si>
  <si>
    <t>1.3</t>
  </si>
  <si>
    <t>50</t>
  </si>
  <si>
    <t>63</t>
  </si>
  <si>
    <t>0.14</t>
  </si>
  <si>
    <t>0.23</t>
  </si>
  <si>
    <t>0.017</t>
  </si>
  <si>
    <t>1.27</t>
  </si>
  <si>
    <t>1.48</t>
  </si>
  <si>
    <t>0.195</t>
  </si>
  <si>
    <t>9</t>
  </si>
  <si>
    <t>3</t>
  </si>
  <si>
    <t>55</t>
  </si>
  <si>
    <t>0.06</t>
  </si>
  <si>
    <t>0.2</t>
  </si>
  <si>
    <t>2</t>
  </si>
  <si>
    <t>8</t>
  </si>
  <si>
    <t>3.1</t>
  </si>
  <si>
    <t>1.8</t>
  </si>
  <si>
    <t>0.01</t>
  </si>
  <si>
    <t>3.3</t>
  </si>
  <si>
    <t>0.7</t>
  </si>
  <si>
    <t>4</t>
  </si>
  <si>
    <t>3.7</t>
  </si>
  <si>
    <t>6.8</t>
  </si>
  <si>
    <t>8.3</t>
  </si>
  <si>
    <t>17</t>
  </si>
  <si>
    <t>5.4</t>
  </si>
  <si>
    <t>4.1</t>
  </si>
  <si>
    <t>0.0054</t>
  </si>
  <si>
    <t>25</t>
  </si>
  <si>
    <t>3.8</t>
  </si>
  <si>
    <t>18</t>
  </si>
  <si>
    <t>31</t>
  </si>
  <si>
    <t>3.6</t>
  </si>
  <si>
    <t>9.9</t>
  </si>
  <si>
    <t>52</t>
  </si>
  <si>
    <t>43</t>
  </si>
  <si>
    <t>5000</t>
  </si>
  <si>
    <t>0.29</t>
  </si>
  <si>
    <t>0.33</t>
  </si>
  <si>
    <t>0.36</t>
  </si>
  <si>
    <t>2.1</t>
  </si>
  <si>
    <t>0.088</t>
  </si>
  <si>
    <t>0.3</t>
  </si>
  <si>
    <t>0.08</t>
  </si>
  <si>
    <t>0.25</t>
  </si>
  <si>
    <t>29.4</t>
  </si>
  <si>
    <t>2.34</t>
  </si>
  <si>
    <t>2.5</t>
  </si>
  <si>
    <t>0.039</t>
  </si>
  <si>
    <t>8.57</t>
  </si>
  <si>
    <t>0.17</t>
  </si>
  <si>
    <t>3.9</t>
  </si>
  <si>
    <t>6.9</t>
  </si>
  <si>
    <t>0.093</t>
  </si>
  <si>
    <t>0.098</t>
  </si>
  <si>
    <t>0.062</t>
  </si>
  <si>
    <t>0.96</t>
  </si>
  <si>
    <t>1.7</t>
  </si>
  <si>
    <t>2.2</t>
  </si>
  <si>
    <t>0.51</t>
  </si>
  <si>
    <t>6.5</t>
  </si>
  <si>
    <t>0.027</t>
  </si>
  <si>
    <t>1.2</t>
  </si>
  <si>
    <t>0.39</t>
  </si>
  <si>
    <t>0.031</t>
  </si>
  <si>
    <t>19.4</t>
  </si>
  <si>
    <t>18.5</t>
  </si>
  <si>
    <t>1.5</t>
  </si>
  <si>
    <t>20.3</t>
  </si>
  <si>
    <t>2.6</t>
  </si>
  <si>
    <t>0.044</t>
  </si>
  <si>
    <t>3.88</t>
  </si>
  <si>
    <t>2.53</t>
  </si>
  <si>
    <t>0.55</t>
  </si>
  <si>
    <t>2.4</t>
  </si>
  <si>
    <t>0.048</t>
  </si>
  <si>
    <t>0.105</t>
  </si>
  <si>
    <t>13.2</t>
  </si>
  <si>
    <t>0.043</t>
  </si>
  <si>
    <t>0.22</t>
  </si>
  <si>
    <t>2.05</t>
  </si>
  <si>
    <t>0.5</t>
  </si>
  <si>
    <t>0.43</t>
  </si>
  <si>
    <t>0.78</t>
  </si>
  <si>
    <t>1.33</t>
  </si>
  <si>
    <t>0.58</t>
  </si>
  <si>
    <t>2.04</t>
  </si>
  <si>
    <t>2.45</t>
  </si>
  <si>
    <t>0.26</t>
  </si>
  <si>
    <t>0.02</t>
  </si>
  <si>
    <t>22</t>
  </si>
  <si>
    <t>12</t>
  </si>
  <si>
    <t>3.5</t>
  </si>
  <si>
    <t>0.049</t>
  </si>
  <si>
    <t>2.3</t>
  </si>
  <si>
    <t>13</t>
  </si>
  <si>
    <t>0.065</t>
  </si>
  <si>
    <t>0.07</t>
  </si>
  <si>
    <t>0.023</t>
  </si>
  <si>
    <t>20</t>
  </si>
  <si>
    <t>0.085</t>
  </si>
  <si>
    <t>0.075</t>
  </si>
  <si>
    <t>32</t>
  </si>
  <si>
    <t>0.056</t>
  </si>
  <si>
    <t>0.087</t>
  </si>
  <si>
    <t>7.5</t>
  </si>
  <si>
    <t>3.2</t>
  </si>
  <si>
    <t>0.13</t>
  </si>
  <si>
    <t>14</t>
  </si>
  <si>
    <t>4.6</t>
  </si>
  <si>
    <t>1.4</t>
  </si>
  <si>
    <t>0.32</t>
  </si>
  <si>
    <t>12.2</t>
  </si>
  <si>
    <t>17.4</t>
  </si>
  <si>
    <t>0.12</t>
  </si>
  <si>
    <t>0.85</t>
  </si>
  <si>
    <t>0.75</t>
  </si>
  <si>
    <t>5.7</t>
  </si>
  <si>
    <t>5</t>
  </si>
  <si>
    <t>0.67</t>
  </si>
  <si>
    <t>15.1</t>
  </si>
  <si>
    <t>0.00025</t>
  </si>
  <si>
    <t>0.37</t>
  </si>
  <si>
    <t>1.43</t>
  </si>
  <si>
    <t>0.59</t>
  </si>
  <si>
    <t>0.77</t>
  </si>
  <si>
    <t>0.071</t>
  </si>
  <si>
    <t>0.86</t>
  </si>
  <si>
    <t>1.01</t>
  </si>
  <si>
    <t>0.24</t>
  </si>
  <si>
    <t>15</t>
  </si>
  <si>
    <t>2.17</t>
  </si>
  <si>
    <t>0.92</t>
  </si>
  <si>
    <t>4.4</t>
  </si>
  <si>
    <t>4.12</t>
  </si>
  <si>
    <t>105</t>
  </si>
  <si>
    <t>4.24</t>
  </si>
  <si>
    <t>189</t>
  </si>
  <si>
    <t>10.32</t>
  </si>
  <si>
    <t>5.84</t>
  </si>
  <si>
    <t>4.92</t>
  </si>
  <si>
    <t>10.14</t>
  </si>
  <si>
    <t>12.07</t>
  </si>
  <si>
    <t>11.56</t>
  </si>
  <si>
    <t>1.9</t>
  </si>
  <si>
    <t>2.8</t>
  </si>
  <si>
    <t>1.1</t>
  </si>
  <si>
    <t>0.46</t>
  </si>
  <si>
    <t>0.108</t>
  </si>
  <si>
    <t>0.48</t>
  </si>
  <si>
    <t>29</t>
  </si>
  <si>
    <t>37</t>
  </si>
  <si>
    <t>5.2</t>
  </si>
  <si>
    <t>20.62</t>
  </si>
  <si>
    <t>2.06</t>
  </si>
  <si>
    <t>22.5</t>
  </si>
  <si>
    <t>140</t>
  </si>
  <si>
    <t>56</t>
  </si>
  <si>
    <t>6.6</t>
  </si>
  <si>
    <t>26</t>
  </si>
  <si>
    <t>0.6</t>
  </si>
  <si>
    <t>6.7</t>
  </si>
  <si>
    <t>1.47</t>
  </si>
  <si>
    <t>1.25</t>
  </si>
  <si>
    <t>1.75</t>
  </si>
  <si>
    <t>0.724</t>
  </si>
  <si>
    <t>1.95</t>
  </si>
  <si>
    <t>16</t>
  </si>
  <si>
    <t>8.2</t>
  </si>
  <si>
    <t>8.5</t>
  </si>
  <si>
    <t>0.052</t>
  </si>
  <si>
    <t>0.057</t>
  </si>
  <si>
    <t>0.18</t>
  </si>
  <si>
    <t>7.1</t>
  </si>
  <si>
    <t>10</t>
  </si>
  <si>
    <t>0.037</t>
  </si>
  <si>
    <t>9.3</t>
  </si>
  <si>
    <t>0.0142</t>
  </si>
  <si>
    <t>0.0143</t>
  </si>
  <si>
    <t>0.19</t>
  </si>
  <si>
    <t>0.133</t>
  </si>
  <si>
    <t>8.1</t>
  </si>
  <si>
    <t>0.0085</t>
  </si>
  <si>
    <t>0.0166</t>
  </si>
  <si>
    <t>0.0169</t>
  </si>
  <si>
    <t>0.0303</t>
  </si>
  <si>
    <t>0.1973</t>
  </si>
  <si>
    <t>0.009</t>
  </si>
  <si>
    <t>0.168</t>
  </si>
  <si>
    <t>0.143</t>
  </si>
  <si>
    <t>11.3</t>
  </si>
  <si>
    <t>0.014</t>
  </si>
  <si>
    <t>93</t>
  </si>
  <si>
    <t>0.408</t>
  </si>
  <si>
    <t>0.311</t>
  </si>
  <si>
    <t>0.0081</t>
  </si>
  <si>
    <t>0.41</t>
  </si>
  <si>
    <t>0.9</t>
  </si>
  <si>
    <t>2.7</t>
  </si>
  <si>
    <t>0.93</t>
  </si>
  <si>
    <t>0.05</t>
  </si>
  <si>
    <t>2.76</t>
  </si>
  <si>
    <t>19.3</t>
  </si>
  <si>
    <t>0.074</t>
  </si>
  <si>
    <t>1.88</t>
  </si>
  <si>
    <t>10.26</t>
  </si>
  <si>
    <t>8.4</t>
  </si>
  <si>
    <t>105.1</t>
  </si>
  <si>
    <t>4.8</t>
  </si>
  <si>
    <t>47.4</t>
  </si>
  <si>
    <t>60</t>
  </si>
  <si>
    <t>4.7</t>
  </si>
  <si>
    <t>77</t>
  </si>
  <si>
    <t>0.21</t>
  </si>
  <si>
    <t>0.16</t>
  </si>
  <si>
    <t>0.364</t>
  </si>
  <si>
    <t>0.054</t>
  </si>
  <si>
    <t>2.9</t>
  </si>
  <si>
    <t>0.058</t>
  </si>
  <si>
    <t>0.077</t>
  </si>
  <si>
    <t>0.182</t>
  </si>
  <si>
    <t>0.155</t>
  </si>
  <si>
    <t>10.2</t>
  </si>
  <si>
    <t>0.086</t>
  </si>
  <si>
    <t>0.123</t>
  </si>
  <si>
    <t>34</t>
  </si>
  <si>
    <t>1.91</t>
  </si>
  <si>
    <t>0.99</t>
  </si>
  <si>
    <t>21.78</t>
  </si>
  <si>
    <t>10.73</t>
  </si>
  <si>
    <t>0.0156</t>
  </si>
  <si>
    <t>0.0127</t>
  </si>
  <si>
    <t>0.0653</t>
  </si>
  <si>
    <t>0.0026</t>
  </si>
  <si>
    <t>0.0137</t>
  </si>
  <si>
    <t>0.0468</t>
  </si>
  <si>
    <t>1.96</t>
  </si>
  <si>
    <t>2.18</t>
  </si>
  <si>
    <t>0.353</t>
  </si>
  <si>
    <t>34.2</t>
  </si>
  <si>
    <t>32.9</t>
  </si>
  <si>
    <t>0.197</t>
  </si>
  <si>
    <t>2.47</t>
  </si>
  <si>
    <t>11.37</t>
  </si>
  <si>
    <t>0.083</t>
  </si>
  <si>
    <t>1.86</t>
  </si>
  <si>
    <t>8.23</t>
  </si>
  <si>
    <t>5.75</t>
  </si>
  <si>
    <t>420</t>
  </si>
  <si>
    <t>67</t>
  </si>
  <si>
    <t>1.76</t>
  </si>
  <si>
    <t>280</t>
  </si>
  <si>
    <t>0.018</t>
  </si>
  <si>
    <t>0.011</t>
  </si>
  <si>
    <t>0.055</t>
  </si>
  <si>
    <t>0.016</t>
  </si>
  <si>
    <t>0.047</t>
  </si>
  <si>
    <t>0.116</t>
  </si>
  <si>
    <t>0.021</t>
  </si>
  <si>
    <t>360</t>
  </si>
  <si>
    <t>0.069</t>
  </si>
  <si>
    <t>0.024</t>
  </si>
  <si>
    <t>109</t>
  </si>
  <si>
    <t>1.15</t>
  </si>
  <si>
    <t>0.066</t>
  </si>
  <si>
    <t>0.38</t>
  </si>
  <si>
    <t>158</t>
  </si>
  <si>
    <t>44</t>
  </si>
  <si>
    <t>7.7</t>
  </si>
  <si>
    <t>0.019</t>
  </si>
  <si>
    <t>0.42</t>
  </si>
  <si>
    <t>0.95</t>
  </si>
  <si>
    <t>13.3</t>
  </si>
  <si>
    <t>0.113</t>
  </si>
  <si>
    <t>0.398</t>
  </si>
  <si>
    <t>0.152</t>
  </si>
  <si>
    <t>0.62</t>
  </si>
  <si>
    <t>0.171</t>
  </si>
  <si>
    <t>0.312</t>
  </si>
  <si>
    <t>0.117</t>
  </si>
  <si>
    <t>0.517</t>
  </si>
  <si>
    <t>0.537</t>
  </si>
  <si>
    <t>0.541</t>
  </si>
  <si>
    <t>0.735</t>
  </si>
  <si>
    <t>0.822</t>
  </si>
  <si>
    <t>0.966</t>
  </si>
  <si>
    <t>1.016</t>
  </si>
  <si>
    <t>0.061</t>
  </si>
  <si>
    <t>1.79</t>
  </si>
  <si>
    <t>1100</t>
  </si>
  <si>
    <t>0.078</t>
  </si>
  <si>
    <t>0.145</t>
  </si>
  <si>
    <t>0.94</t>
  </si>
  <si>
    <t>0.909</t>
  </si>
  <si>
    <t>0.616</t>
  </si>
  <si>
    <t>0.515</t>
  </si>
  <si>
    <t>0.567</t>
  </si>
  <si>
    <t>0.641</t>
  </si>
  <si>
    <t>0.803</t>
  </si>
  <si>
    <t>0.862</t>
  </si>
  <si>
    <t>1.191</t>
  </si>
  <si>
    <t>90.04</t>
  </si>
  <si>
    <t>1.82</t>
  </si>
  <si>
    <t>6.33</t>
  </si>
  <si>
    <t>7.83</t>
  </si>
  <si>
    <t>56.13</t>
  </si>
  <si>
    <t>9.6</t>
  </si>
  <si>
    <t>14.8</t>
  </si>
  <si>
    <t>20.4</t>
  </si>
  <si>
    <t>11.4</t>
  </si>
  <si>
    <t>4.9</t>
  </si>
  <si>
    <t>7.3</t>
  </si>
  <si>
    <t>5.3</t>
  </si>
  <si>
    <t>8.8</t>
  </si>
  <si>
    <t>0.84</t>
  </si>
  <si>
    <t>4.3</t>
  </si>
  <si>
    <t>11.1</t>
  </si>
  <si>
    <t>7.9</t>
  </si>
  <si>
    <t>13.8</t>
  </si>
  <si>
    <t>3.468</t>
  </si>
  <si>
    <t>4.581</t>
  </si>
  <si>
    <t>42.67</t>
  </si>
  <si>
    <t>0.7809</t>
  </si>
  <si>
    <t>0.8103</t>
  </si>
  <si>
    <t>3.572</t>
  </si>
  <si>
    <t>5.055</t>
  </si>
  <si>
    <t>0.74</t>
  </si>
  <si>
    <t>1.28</t>
  </si>
  <si>
    <t>42.9</t>
  </si>
  <si>
    <t>0.807</t>
  </si>
  <si>
    <t>3.43</t>
  </si>
  <si>
    <t>7.62</t>
  </si>
  <si>
    <t>3.33</t>
  </si>
  <si>
    <t>10.1</t>
  </si>
  <si>
    <t>0.455</t>
  </si>
  <si>
    <t>3.06</t>
  </si>
  <si>
    <t>3.46</t>
  </si>
  <si>
    <t>6.94</t>
  </si>
  <si>
    <t>24.2</t>
  </si>
  <si>
    <t>4.72</t>
  </si>
  <si>
    <t>10.8</t>
  </si>
  <si>
    <t>8.14</t>
  </si>
  <si>
    <t>52.06</t>
  </si>
  <si>
    <t>870</t>
  </si>
  <si>
    <t>580</t>
  </si>
  <si>
    <t>3300</t>
  </si>
  <si>
    <t>80</t>
  </si>
  <si>
    <t>3.4</t>
  </si>
  <si>
    <t>38</t>
  </si>
  <si>
    <t>21.4</t>
  </si>
  <si>
    <t>17.9</t>
  </si>
  <si>
    <t>5.1</t>
  </si>
  <si>
    <t>0.57</t>
  </si>
  <si>
    <t>1.64</t>
  </si>
  <si>
    <t>1.07</t>
  </si>
  <si>
    <t>0.31</t>
  </si>
  <si>
    <t>9.8</t>
  </si>
  <si>
    <t>7.8</t>
  </si>
  <si>
    <t>1.05</t>
  </si>
  <si>
    <t>1.44</t>
  </si>
  <si>
    <t>0.97</t>
  </si>
  <si>
    <t>1.37</t>
  </si>
  <si>
    <t>16.6</t>
  </si>
  <si>
    <t>0.001</t>
  </si>
  <si>
    <t>0.44</t>
  </si>
  <si>
    <t>0.49</t>
  </si>
  <si>
    <t>2.39</t>
  </si>
  <si>
    <t>1.55</t>
  </si>
  <si>
    <t>2.37</t>
  </si>
  <si>
    <t>4.62</t>
  </si>
  <si>
    <t>0.059</t>
  </si>
  <si>
    <t>0.079</t>
  </si>
  <si>
    <t>12.22</t>
  </si>
  <si>
    <t>0.28</t>
  </si>
  <si>
    <t>5.8</t>
  </si>
  <si>
    <t>0.83</t>
  </si>
  <si>
    <t>0.68</t>
  </si>
  <si>
    <t>3.13</t>
  </si>
  <si>
    <t>0.026</t>
  </si>
  <si>
    <t>0.27</t>
  </si>
  <si>
    <t>0.053</t>
  </si>
  <si>
    <t>1.68</t>
  </si>
  <si>
    <t>11.5</t>
  </si>
  <si>
    <t>1.45</t>
  </si>
  <si>
    <t>5.19</t>
  </si>
  <si>
    <t>3.59</t>
  </si>
  <si>
    <t>7.04</t>
  </si>
  <si>
    <t>4.76</t>
  </si>
  <si>
    <t>4.28</t>
  </si>
  <si>
    <t>0.54</t>
  </si>
  <si>
    <t>11.8</t>
  </si>
  <si>
    <t>0.76</t>
  </si>
  <si>
    <t>1.31</t>
  </si>
  <si>
    <t>70</t>
  </si>
  <si>
    <t>2.08</t>
  </si>
  <si>
    <t>0.69</t>
  </si>
  <si>
    <t>0.00171</t>
  </si>
  <si>
    <t>1.46</t>
  </si>
  <si>
    <t>0.00429</t>
  </si>
  <si>
    <t>1.06</t>
  </si>
  <si>
    <t>3.63</t>
  </si>
  <si>
    <t>0.072</t>
  </si>
  <si>
    <t>0.00014</t>
  </si>
  <si>
    <t>0.0008</t>
  </si>
  <si>
    <t>0.00017</t>
  </si>
  <si>
    <t>0.00015</t>
  </si>
  <si>
    <t>0.0043</t>
  </si>
  <si>
    <t>6</t>
  </si>
  <si>
    <t>0.0123</t>
  </si>
  <si>
    <t>0.00039</t>
  </si>
  <si>
    <t>2.68</t>
  </si>
  <si>
    <t>0.1595</t>
  </si>
  <si>
    <t>6.4</t>
  </si>
  <si>
    <t>0.107</t>
  </si>
  <si>
    <t>18.1</t>
  </si>
  <si>
    <t>0.0049</t>
  </si>
  <si>
    <t>0.0031</t>
  </si>
  <si>
    <t>0.0045</t>
  </si>
  <si>
    <t>0.0046</t>
  </si>
  <si>
    <t>0.0019</t>
  </si>
  <si>
    <t>0.0089</t>
  </si>
  <si>
    <t>0.0069</t>
  </si>
  <si>
    <t>1.54</t>
  </si>
  <si>
    <t>0.384</t>
  </si>
  <si>
    <t>0.244</t>
  </si>
  <si>
    <t>2.29</t>
  </si>
  <si>
    <t>6.55</t>
  </si>
  <si>
    <t>0.0128</t>
  </si>
  <si>
    <t>0.073</t>
  </si>
  <si>
    <t>1.12</t>
  </si>
  <si>
    <t>0.0131</t>
  </si>
  <si>
    <t>0.0149</t>
  </si>
  <si>
    <t>0.0159</t>
  </si>
  <si>
    <t>0.0503</t>
  </si>
  <si>
    <t>0.0412</t>
  </si>
  <si>
    <t>0.0036</t>
  </si>
  <si>
    <t>0.47</t>
  </si>
  <si>
    <t>0.0086</t>
  </si>
  <si>
    <t>0.0276</t>
  </si>
  <si>
    <t>0.0154</t>
  </si>
  <si>
    <t>0.0135</t>
  </si>
  <si>
    <t>0.0147</t>
  </si>
  <si>
    <t>0.008</t>
  </si>
  <si>
    <t>0.0082</t>
  </si>
  <si>
    <t>0.038</t>
  </si>
  <si>
    <t>0.0102</t>
  </si>
  <si>
    <t>2.96</t>
  </si>
  <si>
    <t>16.9</t>
  </si>
  <si>
    <t>26.3</t>
  </si>
  <si>
    <t>0.00296</t>
  </si>
  <si>
    <t>0.205</t>
  </si>
  <si>
    <t>0.0721</t>
  </si>
  <si>
    <t>138.9</t>
  </si>
  <si>
    <t>48.2</t>
  </si>
  <si>
    <t>0.0065</t>
  </si>
  <si>
    <t>0.041</t>
  </si>
  <si>
    <t>0.0103</t>
  </si>
  <si>
    <t>7.6</t>
  </si>
  <si>
    <t>0.53</t>
  </si>
  <si>
    <t>0.157</t>
  </si>
  <si>
    <t>0.65</t>
  </si>
  <si>
    <t>0.81</t>
  </si>
  <si>
    <t>0.046</t>
  </si>
  <si>
    <t>0.0099</t>
  </si>
  <si>
    <t>0.00179</t>
  </si>
  <si>
    <t>0.00283</t>
  </si>
  <si>
    <t>0.00207</t>
  </si>
  <si>
    <t>13.33</t>
  </si>
  <si>
    <t>0.064</t>
  </si>
  <si>
    <t>4.5</t>
  </si>
  <si>
    <t>0.0472</t>
  </si>
  <si>
    <t>0.0034</t>
  </si>
  <si>
    <t>1.08</t>
  </si>
  <si>
    <t>0.666</t>
  </si>
  <si>
    <t>0.00315</t>
  </si>
  <si>
    <t>3.41</t>
  </si>
  <si>
    <t>0.0415</t>
  </si>
  <si>
    <t>2.19</t>
  </si>
  <si>
    <t>0.036</t>
  </si>
  <si>
    <t>0.004</t>
  </si>
  <si>
    <t>24</t>
  </si>
  <si>
    <t>0.89</t>
  </si>
  <si>
    <t>11</t>
  </si>
  <si>
    <t>0.0053</t>
  </si>
  <si>
    <t>0.00139</t>
  </si>
  <si>
    <t>0.0072</t>
  </si>
  <si>
    <t>0.0039</t>
  </si>
  <si>
    <t>0.0048</t>
  </si>
  <si>
    <t>5.6</t>
  </si>
  <si>
    <t>36</t>
  </si>
  <si>
    <t>0.98</t>
  </si>
  <si>
    <t>1.03</t>
  </si>
  <si>
    <t>23</t>
  </si>
  <si>
    <t>5.9</t>
  </si>
  <si>
    <t>7.2</t>
  </si>
  <si>
    <t>0.0092</t>
  </si>
  <si>
    <t>27.9</t>
  </si>
  <si>
    <t>18.6</t>
  </si>
  <si>
    <t>0.216</t>
  </si>
  <si>
    <t>116</t>
  </si>
  <si>
    <t>18.35</t>
  </si>
  <si>
    <t>5.5</t>
  </si>
  <si>
    <t>0.013</t>
  </si>
  <si>
    <t>0.00118</t>
  </si>
  <si>
    <t>0.00188</t>
  </si>
  <si>
    <t>2.46</t>
  </si>
  <si>
    <t>1.42</t>
  </si>
  <si>
    <t>2.01</t>
  </si>
  <si>
    <t>11.93</t>
  </si>
  <si>
    <t>4.2</t>
  </si>
  <si>
    <t>2.85</t>
  </si>
  <si>
    <t>1.77</t>
  </si>
  <si>
    <t>7.44</t>
  </si>
  <si>
    <t>9.53</t>
  </si>
  <si>
    <t>22.2</t>
  </si>
  <si>
    <t>0.91</t>
  </si>
  <si>
    <t>6.36</t>
  </si>
  <si>
    <t>10.4</t>
  </si>
  <si>
    <t>9.1</t>
  </si>
  <si>
    <t>42</t>
  </si>
  <si>
    <t>13.9</t>
  </si>
  <si>
    <t>11.2</t>
  </si>
  <si>
    <t>39.2</t>
  </si>
  <si>
    <t>25.3</t>
  </si>
  <si>
    <t>46.1</t>
  </si>
  <si>
    <t>31.6</t>
  </si>
  <si>
    <t>40.3</t>
  </si>
  <si>
    <t>57.3</t>
  </si>
  <si>
    <t>37.5</t>
  </si>
  <si>
    <t>46.9</t>
  </si>
  <si>
    <t>45</t>
  </si>
  <si>
    <t>0.022</t>
  </si>
  <si>
    <t>0.61</t>
  </si>
  <si>
    <t>150</t>
  </si>
  <si>
    <t>130</t>
  </si>
  <si>
    <t>6.1</t>
  </si>
  <si>
    <t>9.4</t>
  </si>
  <si>
    <t>380</t>
  </si>
  <si>
    <t>0.87</t>
  </si>
  <si>
    <t>21.74</t>
  </si>
  <si>
    <t>774.39</t>
  </si>
  <si>
    <t>80.44</t>
  </si>
  <si>
    <t>143.53</t>
  </si>
  <si>
    <t>92.65</t>
  </si>
  <si>
    <t>116.3</t>
  </si>
  <si>
    <t>49.36</t>
  </si>
  <si>
    <t>1755.4</t>
  </si>
  <si>
    <t>1.41</t>
  </si>
  <si>
    <t>0.00011</t>
  </si>
  <si>
    <t>0.00019</t>
  </si>
  <si>
    <t>0.00046</t>
  </si>
  <si>
    <t>0.00053</t>
  </si>
  <si>
    <t>0.0051</t>
  </si>
  <si>
    <t>0.00016</t>
  </si>
  <si>
    <t>0.0041</t>
  </si>
  <si>
    <t>1.73</t>
  </si>
  <si>
    <t>0.88</t>
  </si>
  <si>
    <t>15.7</t>
  </si>
  <si>
    <t>1.51</t>
  </si>
  <si>
    <t>3.12</t>
  </si>
  <si>
    <t>1.57</t>
  </si>
  <si>
    <t>0.147</t>
  </si>
  <si>
    <t>0.166</t>
  </si>
  <si>
    <t>0.138</t>
  </si>
  <si>
    <t>0.161</t>
  </si>
  <si>
    <t>0.082</t>
  </si>
  <si>
    <t>0.156</t>
  </si>
  <si>
    <t>28.9</t>
  </si>
  <si>
    <t>0.622</t>
  </si>
  <si>
    <t>34.7</t>
  </si>
  <si>
    <t>229</t>
  </si>
  <si>
    <t>0.82</t>
  </si>
  <si>
    <t>0.63</t>
  </si>
  <si>
    <t>1.38</t>
  </si>
  <si>
    <t>4.47</t>
  </si>
  <si>
    <t>1.14</t>
  </si>
  <si>
    <t>3.57</t>
  </si>
  <si>
    <t>7.16</t>
  </si>
  <si>
    <t>1.93</t>
  </si>
  <si>
    <t>1.21</t>
  </si>
  <si>
    <t>2.15</t>
  </si>
  <si>
    <t>18.2</t>
  </si>
  <si>
    <t>0.71</t>
  </si>
  <si>
    <t>6.64</t>
  </si>
  <si>
    <t>33</t>
  </si>
  <si>
    <t>0.399</t>
  </si>
  <si>
    <t>0.186</t>
  </si>
  <si>
    <t>0.445</t>
  </si>
  <si>
    <t>1.18</t>
  </si>
  <si>
    <t>0.279</t>
  </si>
  <si>
    <t>15.2</t>
  </si>
  <si>
    <t>0.953</t>
  </si>
  <si>
    <t>0.352</t>
  </si>
  <si>
    <t>3.76</t>
  </si>
  <si>
    <t>0.857</t>
  </si>
  <si>
    <t>0.969</t>
  </si>
  <si>
    <t>0.707</t>
  </si>
  <si>
    <t>0.199</t>
  </si>
  <si>
    <t>0.385</t>
  </si>
  <si>
    <t>0.091</t>
  </si>
  <si>
    <t>1.22</t>
  </si>
  <si>
    <t>2.13</t>
  </si>
  <si>
    <t>28</t>
  </si>
  <si>
    <t>23.8</t>
  </si>
  <si>
    <t>13.4</t>
  </si>
  <si>
    <t>0.624</t>
  </si>
  <si>
    <t>6.3</t>
  </si>
  <si>
    <t>81</t>
  </si>
  <si>
    <t>0.592</t>
  </si>
  <si>
    <t>19</t>
  </si>
  <si>
    <t>170</t>
  </si>
  <si>
    <t>0.089</t>
  </si>
  <si>
    <t>0.146</t>
  </si>
  <si>
    <t>0.346</t>
  </si>
  <si>
    <t>16.1</t>
  </si>
  <si>
    <t>1.67</t>
  </si>
  <si>
    <t>0.175</t>
  </si>
  <si>
    <t>3.45</t>
  </si>
  <si>
    <t>0.129</t>
  </si>
  <si>
    <t>0.194</t>
  </si>
  <si>
    <t>0.954</t>
  </si>
  <si>
    <t>4.17</t>
  </si>
  <si>
    <t>2.16</t>
  </si>
  <si>
    <t>0.273</t>
  </si>
  <si>
    <t>0.271</t>
  </si>
  <si>
    <t>0.785</t>
  </si>
  <si>
    <t>0.189</t>
  </si>
  <si>
    <t>6.59</t>
  </si>
  <si>
    <t>1.69</t>
  </si>
  <si>
    <t>3.34</t>
  </si>
  <si>
    <t>1.94</t>
  </si>
  <si>
    <t>0.425</t>
  </si>
  <si>
    <t>0.695</t>
  </si>
  <si>
    <t>4.04</t>
  </si>
  <si>
    <t>7.57</t>
  </si>
  <si>
    <t>7.03</t>
  </si>
  <si>
    <t>2.25</t>
  </si>
  <si>
    <t>0.762</t>
  </si>
  <si>
    <t>4.33</t>
  </si>
  <si>
    <t>1.85</t>
  </si>
  <si>
    <t>1.87</t>
  </si>
  <si>
    <t>3.53</t>
  </si>
  <si>
    <t>23.3</t>
  </si>
  <si>
    <t>29.8</t>
  </si>
  <si>
    <t>0.136</t>
  </si>
  <si>
    <t>0.407</t>
  </si>
  <si>
    <t>0.099</t>
  </si>
  <si>
    <t>0.66</t>
  </si>
  <si>
    <t>0.73</t>
  </si>
  <si>
    <t>1.24</t>
  </si>
  <si>
    <t>51</t>
  </si>
  <si>
    <t>2.66</t>
  </si>
  <si>
    <t>1.02</t>
  </si>
  <si>
    <t>2.07</t>
  </si>
  <si>
    <t>1.13</t>
  </si>
  <si>
    <t>0.299</t>
  </si>
  <si>
    <t>1.56</t>
  </si>
  <si>
    <t>0.356</t>
  </si>
  <si>
    <t>0.063</t>
  </si>
  <si>
    <t>0.248</t>
  </si>
  <si>
    <t>2.52</t>
  </si>
  <si>
    <t>1.26</t>
  </si>
  <si>
    <t>0.452</t>
  </si>
  <si>
    <t>0.913</t>
  </si>
  <si>
    <t>9.7</t>
  </si>
  <si>
    <t>0.111</t>
  </si>
  <si>
    <t>0.316</t>
  </si>
  <si>
    <t>0.00229</t>
  </si>
  <si>
    <t>0.2088</t>
  </si>
  <si>
    <t>12.6</t>
  </si>
  <si>
    <t>9.87</t>
  </si>
  <si>
    <t>5.93</t>
  </si>
  <si>
    <t>8.99</t>
  </si>
  <si>
    <t>7.96</t>
  </si>
  <si>
    <t>15.88</t>
  </si>
  <si>
    <t>19.08</t>
  </si>
  <si>
    <t>0.208</t>
  </si>
  <si>
    <t>0.144</t>
  </si>
  <si>
    <t>0.52</t>
  </si>
  <si>
    <t>0.029</t>
  </si>
  <si>
    <t>0.028</t>
  </si>
  <si>
    <t>0.319</t>
  </si>
  <si>
    <t>0.64</t>
  </si>
  <si>
    <t>5.4e-07</t>
  </si>
  <si>
    <t>8.9e-08</t>
  </si>
  <si>
    <t>6.2e-07</t>
  </si>
  <si>
    <t>9.7e-08</t>
  </si>
  <si>
    <t>0.0136</t>
  </si>
  <si>
    <t>9.5</t>
  </si>
  <si>
    <t>250</t>
  </si>
  <si>
    <t>7.4</t>
  </si>
  <si>
    <t>39</t>
  </si>
  <si>
    <t>21</t>
  </si>
  <si>
    <t>61</t>
  </si>
  <si>
    <t>0.0167</t>
  </si>
  <si>
    <t>0.067</t>
  </si>
  <si>
    <t>0.096</t>
  </si>
  <si>
    <t>0.132</t>
  </si>
  <si>
    <t>0.0073</t>
  </si>
  <si>
    <t>0.163</t>
  </si>
  <si>
    <t>0.051</t>
  </si>
  <si>
    <t>0.167</t>
  </si>
  <si>
    <t>0.335</t>
  </si>
  <si>
    <t>0.0207</t>
  </si>
  <si>
    <t>0.134</t>
  </si>
  <si>
    <t>0.287</t>
  </si>
  <si>
    <t>0.0078</t>
  </si>
  <si>
    <t>0.0354</t>
  </si>
  <si>
    <t>0.0238</t>
  </si>
  <si>
    <t>0.239</t>
  </si>
  <si>
    <t>0.159</t>
  </si>
  <si>
    <t>0.231</t>
  </si>
  <si>
    <t>0.325</t>
  </si>
  <si>
    <t>5.85</t>
  </si>
  <si>
    <t>0.0852</t>
  </si>
  <si>
    <t>7.84</t>
  </si>
  <si>
    <t>0.0225</t>
  </si>
  <si>
    <t>1.09</t>
  </si>
  <si>
    <t>0.832</t>
  </si>
  <si>
    <t>0.0327</t>
  </si>
  <si>
    <t>2.93</t>
  </si>
  <si>
    <t>0.0315</t>
  </si>
  <si>
    <t>0.0564</t>
  </si>
  <si>
    <t>0.0393</t>
  </si>
  <si>
    <t>0.0471</t>
  </si>
  <si>
    <t>7.89</t>
  </si>
  <si>
    <t>1.35</t>
  </si>
  <si>
    <t>1.58</t>
  </si>
  <si>
    <t>1.61</t>
  </si>
  <si>
    <t>8.45</t>
  </si>
  <si>
    <t>8.03</t>
  </si>
  <si>
    <t>8.67</t>
  </si>
  <si>
    <t>10.27</t>
  </si>
  <si>
    <t>1.5e-06</t>
  </si>
  <si>
    <t>1.8e-06</t>
  </si>
  <si>
    <t>3e-07</t>
  </si>
  <si>
    <t>0.0022</t>
  </si>
  <si>
    <t>0.386</t>
  </si>
  <si>
    <t>0.354</t>
  </si>
  <si>
    <t>0.00183</t>
  </si>
  <si>
    <t>0.00214</t>
  </si>
  <si>
    <t>0.435</t>
  </si>
  <si>
    <t>0.0218</t>
  </si>
  <si>
    <t>0.338</t>
  </si>
  <si>
    <t>0.0199</t>
  </si>
  <si>
    <t>0.469</t>
  </si>
  <si>
    <t>0.0539</t>
  </si>
  <si>
    <t>1.855</t>
  </si>
  <si>
    <t>0.076</t>
  </si>
  <si>
    <t>0.0612</t>
  </si>
  <si>
    <t>0.104</t>
  </si>
  <si>
    <t>0.118</t>
  </si>
  <si>
    <t>0.527</t>
  </si>
  <si>
    <t>0.188</t>
  </si>
  <si>
    <t>0.0145</t>
  </si>
  <si>
    <t>0.176</t>
  </si>
  <si>
    <t>0.0229</t>
  </si>
  <si>
    <t>0.173</t>
  </si>
  <si>
    <t>0.345</t>
  </si>
  <si>
    <t>0.329</t>
  </si>
  <si>
    <t>0.309</t>
  </si>
  <si>
    <t>0.0905</t>
  </si>
  <si>
    <t>0.0246</t>
  </si>
  <si>
    <t>0.343</t>
  </si>
  <si>
    <t>0.247</t>
  </si>
  <si>
    <t>6.7e-08</t>
  </si>
  <si>
    <t>5.3e-08</t>
  </si>
  <si>
    <t>7.9e-08</t>
  </si>
  <si>
    <t>5.8e-08</t>
  </si>
  <si>
    <t>0.249</t>
  </si>
  <si>
    <t>0.084</t>
  </si>
  <si>
    <t>0.0025</t>
  </si>
  <si>
    <t>0.102</t>
  </si>
  <si>
    <t>0.0165</t>
  </si>
  <si>
    <t>0.0118</t>
  </si>
  <si>
    <t>0.0386</t>
  </si>
  <si>
    <t>0.0509</t>
  </si>
  <si>
    <t>0.0129</t>
  </si>
  <si>
    <t>0.0551</t>
  </si>
  <si>
    <t>0.0064</t>
  </si>
  <si>
    <t>0.0104</t>
  </si>
  <si>
    <t>0.0245</t>
  </si>
  <si>
    <t>0.0319</t>
  </si>
  <si>
    <t>0.0618</t>
  </si>
  <si>
    <t>0.101</t>
  </si>
  <si>
    <t>0.0044</t>
  </si>
  <si>
    <t>0.115</t>
  </si>
  <si>
    <t>0.131</t>
  </si>
  <si>
    <t>0.106</t>
  </si>
  <si>
    <t>0.126</t>
  </si>
  <si>
    <t>0.01546</t>
  </si>
  <si>
    <t>0.03843</t>
  </si>
  <si>
    <t>0.02662</t>
  </si>
  <si>
    <t>0.00601</t>
  </si>
  <si>
    <t>0.06202</t>
  </si>
  <si>
    <t>0.06896</t>
  </si>
  <si>
    <t>0.01695</t>
  </si>
  <si>
    <t>11.6</t>
  </si>
  <si>
    <t>0.0015</t>
  </si>
  <si>
    <t>0.154</t>
  </si>
  <si>
    <t>0.00078</t>
  </si>
  <si>
    <t>0.172</t>
  </si>
  <si>
    <t>2.31</t>
  </si>
  <si>
    <t>0.234</t>
  </si>
  <si>
    <t>0.404</t>
  </si>
  <si>
    <t>0.4104</t>
  </si>
  <si>
    <t>0.0858</t>
  </si>
  <si>
    <t>0.0562</t>
  </si>
  <si>
    <t>0.0822</t>
  </si>
  <si>
    <t>0.0715</t>
  </si>
  <si>
    <t>0.114</t>
  </si>
  <si>
    <t>0.56</t>
  </si>
  <si>
    <t>0.00052</t>
  </si>
  <si>
    <t>0.0355</t>
  </si>
  <si>
    <t>0.00706</t>
  </si>
  <si>
    <t>0.0213</t>
  </si>
  <si>
    <t>0.0106</t>
  </si>
  <si>
    <t>0.139</t>
  </si>
  <si>
    <t>0.121</t>
  </si>
  <si>
    <t>0.00682</t>
  </si>
  <si>
    <t>0.00446</t>
  </si>
  <si>
    <t>0.0091</t>
  </si>
  <si>
    <t>0.0059</t>
  </si>
  <si>
    <t>0.0047</t>
  </si>
  <si>
    <t>0.0138</t>
  </si>
  <si>
    <t>0.0286</t>
  </si>
  <si>
    <t>0.097</t>
  </si>
  <si>
    <t>0.377</t>
  </si>
  <si>
    <t>4.58</t>
  </si>
  <si>
    <t>0.0465</t>
  </si>
  <si>
    <t>0.0109</t>
  </si>
  <si>
    <t>0.0555</t>
  </si>
  <si>
    <t>0.0526</t>
  </si>
  <si>
    <t>0.413</t>
  </si>
  <si>
    <t>0.0095</t>
  </si>
  <si>
    <t>0.158</t>
  </si>
  <si>
    <t>0.224</t>
  </si>
  <si>
    <t>0.0312</t>
  </si>
  <si>
    <t>0.363</t>
  </si>
  <si>
    <t>0.4208</t>
  </si>
  <si>
    <t>0.0595</t>
  </si>
  <si>
    <t>1.65</t>
  </si>
  <si>
    <t>0.0323</t>
  </si>
  <si>
    <t>0.0746</t>
  </si>
  <si>
    <t>0.2625</t>
  </si>
  <si>
    <t>0.0263</t>
  </si>
  <si>
    <t>0.0531</t>
  </si>
  <si>
    <t>0.1449</t>
  </si>
  <si>
    <t>0.1538</t>
  </si>
  <si>
    <t>0.217</t>
  </si>
  <si>
    <t>0.128</t>
  </si>
  <si>
    <t>220</t>
  </si>
  <si>
    <t>230</t>
  </si>
  <si>
    <t>78</t>
  </si>
  <si>
    <t>0.149</t>
  </si>
  <si>
    <t>0.276</t>
  </si>
  <si>
    <t>340</t>
  </si>
  <si>
    <t>0.164</t>
  </si>
  <si>
    <t>1900</t>
  </si>
  <si>
    <t>11.9</t>
  </si>
  <si>
    <t>10.3</t>
  </si>
  <si>
    <t>19.6</t>
  </si>
  <si>
    <t>35.1</t>
  </si>
  <si>
    <t>3.04</t>
  </si>
  <si>
    <t>7.49</t>
  </si>
  <si>
    <t>0.79</t>
  </si>
  <si>
    <t>8.47</t>
  </si>
  <si>
    <t>66</t>
  </si>
  <si>
    <t>11.7</t>
  </si>
  <si>
    <t>37.4</t>
  </si>
  <si>
    <t>0.0005</t>
  </si>
  <si>
    <t>0.00055</t>
  </si>
  <si>
    <t>0.0021</t>
  </si>
  <si>
    <t>0.00031</t>
  </si>
  <si>
    <t>0.00057</t>
  </si>
  <si>
    <t>0.0029</t>
  </si>
  <si>
    <t>0.00059</t>
  </si>
  <si>
    <t>0.00032</t>
  </si>
  <si>
    <t>0.00131</t>
  </si>
  <si>
    <t>0.00048</t>
  </si>
  <si>
    <t>0.00037</t>
  </si>
  <si>
    <t>0.00115</t>
  </si>
  <si>
    <t>0.00149</t>
  </si>
  <si>
    <t>0.00028</t>
  </si>
  <si>
    <t>0.00092</t>
  </si>
  <si>
    <t>3.5e-05</t>
  </si>
  <si>
    <t>12.7</t>
  </si>
  <si>
    <t>0.0283</t>
  </si>
  <si>
    <t>3.6e-05</t>
  </si>
  <si>
    <t>2.09</t>
  </si>
  <si>
    <t>3.68</t>
  </si>
  <si>
    <t>4.71</t>
  </si>
  <si>
    <t>7.55</t>
  </si>
  <si>
    <t>12.1</t>
  </si>
  <si>
    <t>49</t>
  </si>
  <si>
    <t>53</t>
  </si>
  <si>
    <t>0.122</t>
  </si>
  <si>
    <t>18.8</t>
  </si>
  <si>
    <t>16.7</t>
  </si>
  <si>
    <t>41</t>
  </si>
  <si>
    <t>2.83</t>
  </si>
  <si>
    <t>0.243</t>
  </si>
  <si>
    <t>8.56</t>
  </si>
  <si>
    <t>9.45</t>
  </si>
  <si>
    <t>41.4</t>
  </si>
  <si>
    <t>9.03</t>
  </si>
  <si>
    <t>24.45</t>
  </si>
  <si>
    <t>37.55</t>
  </si>
  <si>
    <t>42.74</t>
  </si>
  <si>
    <t>37.65</t>
  </si>
  <si>
    <t>71.98</t>
  </si>
  <si>
    <t>88.32</t>
  </si>
  <si>
    <t>7.75</t>
  </si>
  <si>
    <t>17.8</t>
  </si>
  <si>
    <t>26.9</t>
  </si>
  <si>
    <t>6.71</t>
  </si>
  <si>
    <t>34.9</t>
  </si>
  <si>
    <t>39.8</t>
  </si>
  <si>
    <t>10.9</t>
  </si>
  <si>
    <t>2.95</t>
  </si>
  <si>
    <t>16.5</t>
  </si>
  <si>
    <t>12.9</t>
  </si>
  <si>
    <t>0.611</t>
  </si>
  <si>
    <t>294.23</t>
  </si>
  <si>
    <t>23.82</t>
  </si>
  <si>
    <t>568.84</t>
  </si>
  <si>
    <t>23.64</t>
  </si>
  <si>
    <t>197</t>
  </si>
  <si>
    <t>23.5</t>
  </si>
  <si>
    <t>8.7</t>
  </si>
  <si>
    <t>0.0004</t>
  </si>
  <si>
    <t>0.396</t>
  </si>
  <si>
    <t>0.286</t>
  </si>
  <si>
    <t>0.333</t>
  </si>
  <si>
    <t>1.16</t>
  </si>
  <si>
    <t>1.39</t>
  </si>
  <si>
    <t>0.215</t>
  </si>
  <si>
    <t>0.752</t>
  </si>
  <si>
    <t>5.15</t>
  </si>
  <si>
    <t>0.703</t>
  </si>
  <si>
    <t>13.7</t>
  </si>
  <si>
    <t>2.44</t>
  </si>
  <si>
    <t>5.43</t>
  </si>
  <si>
    <t>0.694</t>
  </si>
  <si>
    <t>0.596</t>
  </si>
  <si>
    <t>5.01</t>
  </si>
  <si>
    <t>39.7</t>
  </si>
  <si>
    <t>0.00694</t>
  </si>
  <si>
    <t>49.5</t>
  </si>
  <si>
    <t>86.8</t>
  </si>
  <si>
    <t>57.8</t>
  </si>
  <si>
    <t>5.11</t>
  </si>
  <si>
    <t>0.127</t>
  </si>
  <si>
    <t>244</t>
  </si>
  <si>
    <t>30.2</t>
  </si>
  <si>
    <t>61.3</t>
  </si>
  <si>
    <t>5.65</t>
  </si>
  <si>
    <t>550</t>
  </si>
  <si>
    <t>460</t>
  </si>
  <si>
    <t>7.43</t>
  </si>
  <si>
    <t>350</t>
  </si>
  <si>
    <t>0.251</t>
  </si>
  <si>
    <t>16.11</t>
  </si>
  <si>
    <t>97.37</t>
  </si>
  <si>
    <t>73</t>
  </si>
  <si>
    <t>27.5</t>
  </si>
  <si>
    <t>121</t>
  </si>
  <si>
    <t>85</t>
  </si>
  <si>
    <t>35</t>
  </si>
  <si>
    <t>260</t>
  </si>
  <si>
    <t>120</t>
  </si>
  <si>
    <t>90</t>
  </si>
  <si>
    <t>110</t>
  </si>
  <si>
    <t>200</t>
  </si>
  <si>
    <t>240</t>
  </si>
  <si>
    <t>76</t>
  </si>
  <si>
    <t>690</t>
  </si>
  <si>
    <t>0.185</t>
  </si>
  <si>
    <t>41.3</t>
  </si>
  <si>
    <t>29.9</t>
  </si>
  <si>
    <t>320</t>
  </si>
  <si>
    <t>3.31</t>
  </si>
  <si>
    <t>3.42</t>
  </si>
  <si>
    <t>8.92</t>
  </si>
  <si>
    <t>4.68</t>
  </si>
  <si>
    <t>0.137</t>
  </si>
  <si>
    <t>40</t>
  </si>
  <si>
    <t>75</t>
  </si>
  <si>
    <t>0.148</t>
  </si>
  <si>
    <t>0.242</t>
  </si>
  <si>
    <t>14.1</t>
  </si>
  <si>
    <t>1.92</t>
  </si>
  <si>
    <t>13.6</t>
  </si>
  <si>
    <t>14.2</t>
  </si>
  <si>
    <t>0.257</t>
  </si>
  <si>
    <t>31.7</t>
  </si>
  <si>
    <t>43.9</t>
  </si>
  <si>
    <t>53.8</t>
  </si>
  <si>
    <t>53.9</t>
  </si>
  <si>
    <t>56.2</t>
  </si>
  <si>
    <t>93.3</t>
  </si>
  <si>
    <t>118</t>
  </si>
  <si>
    <t>135</t>
  </si>
  <si>
    <t>193</t>
  </si>
  <si>
    <t>268</t>
  </si>
  <si>
    <t>27</t>
  </si>
  <si>
    <t>1.11</t>
  </si>
  <si>
    <t>7.05</t>
  </si>
  <si>
    <t>31.1</t>
  </si>
  <si>
    <t>47.3</t>
  </si>
  <si>
    <t>51.7</t>
  </si>
  <si>
    <t>0.225</t>
  </si>
  <si>
    <t>12.4</t>
  </si>
  <si>
    <t>184</t>
  </si>
  <si>
    <t>0.864</t>
  </si>
  <si>
    <t>26.7</t>
  </si>
  <si>
    <t>0.487</t>
  </si>
  <si>
    <t>255</t>
  </si>
  <si>
    <t>1625</t>
  </si>
  <si>
    <t>3.09</t>
  </si>
  <si>
    <t>2.58</t>
  </si>
  <si>
    <t>5.38</t>
  </si>
  <si>
    <t>4.46</t>
  </si>
  <si>
    <t>7.72</t>
  </si>
  <si>
    <t>25.78</t>
  </si>
  <si>
    <t>6.66</t>
  </si>
  <si>
    <t>3.54</t>
  </si>
  <si>
    <t>9.69</t>
  </si>
  <si>
    <t>15.84</t>
  </si>
  <si>
    <t>11.46</t>
  </si>
  <si>
    <t>19.96</t>
  </si>
  <si>
    <t>19.93</t>
  </si>
  <si>
    <t>0.0035</t>
  </si>
  <si>
    <t>27.6</t>
  </si>
  <si>
    <t>64</t>
  </si>
  <si>
    <t>1.99</t>
  </si>
  <si>
    <t>4.16</t>
  </si>
  <si>
    <t>6.44</t>
  </si>
  <si>
    <t>3.01</t>
  </si>
  <si>
    <t>5.22</t>
  </si>
  <si>
    <t>10.6</t>
  </si>
  <si>
    <t>6.2</t>
  </si>
  <si>
    <t>0.72</t>
  </si>
  <si>
    <t>0.0007</t>
  </si>
  <si>
    <t>210</t>
  </si>
  <si>
    <t>290</t>
  </si>
  <si>
    <t>0.0074</t>
  </si>
  <si>
    <t>0.0087</t>
  </si>
  <si>
    <t>180</t>
  </si>
  <si>
    <t>310</t>
  </si>
  <si>
    <t>0.0079</t>
  </si>
  <si>
    <t>560</t>
  </si>
  <si>
    <t>710</t>
  </si>
  <si>
    <t>1.04</t>
  </si>
  <si>
    <t>57.5</t>
  </si>
  <si>
    <t>0.0172</t>
  </si>
  <si>
    <t>0.109</t>
  </si>
  <si>
    <t>0.207</t>
  </si>
  <si>
    <t>0.0284</t>
  </si>
  <si>
    <t>0.0272</t>
  </si>
  <si>
    <t>0.192</t>
  </si>
  <si>
    <t>0.0998</t>
  </si>
  <si>
    <t>0.406</t>
  </si>
  <si>
    <t>0.588</t>
  </si>
  <si>
    <t>0.362</t>
  </si>
  <si>
    <t>2.03</t>
  </si>
  <si>
    <t>2.11</t>
  </si>
  <si>
    <t>0.068</t>
  </si>
  <si>
    <t>0.0146</t>
  </si>
  <si>
    <t>1.84</t>
  </si>
  <si>
    <t>0.298</t>
  </si>
  <si>
    <t>105.4</t>
  </si>
  <si>
    <t>4.53</t>
  </si>
  <si>
    <t>0.0178</t>
  </si>
  <si>
    <t>0.223</t>
  </si>
  <si>
    <t>2.59</t>
  </si>
  <si>
    <t>4.44</t>
  </si>
  <si>
    <t>0.0139</t>
  </si>
  <si>
    <t>0.347</t>
  </si>
  <si>
    <t>4.74</t>
  </si>
  <si>
    <t>0.00324</t>
  </si>
  <si>
    <t>0.417</t>
  </si>
  <si>
    <t>2.57</t>
  </si>
  <si>
    <t>0.768</t>
  </si>
  <si>
    <t>123.6</t>
  </si>
  <si>
    <t>17.34</t>
  </si>
  <si>
    <t>20.45</t>
  </si>
  <si>
    <t>25.26</t>
  </si>
  <si>
    <t>60.89</t>
  </si>
  <si>
    <t>9.81</t>
  </si>
  <si>
    <t>0.294</t>
  </si>
  <si>
    <t>0.409</t>
  </si>
  <si>
    <t>0.474</t>
  </si>
  <si>
    <t>0.00027</t>
  </si>
  <si>
    <t>0.00089</t>
  </si>
  <si>
    <t>0.00026</t>
  </si>
  <si>
    <t>1.89</t>
  </si>
  <si>
    <t>4.23</t>
  </si>
  <si>
    <t>4.96</t>
  </si>
  <si>
    <t>0.212</t>
  </si>
  <si>
    <t>0.0006</t>
  </si>
  <si>
    <t>2.22</t>
  </si>
  <si>
    <t>10.07</t>
  </si>
  <si>
    <t>78.76</t>
  </si>
  <si>
    <t>0.01424</t>
  </si>
  <si>
    <t>0.00958</t>
  </si>
  <si>
    <t>0.2313</t>
  </si>
  <si>
    <t>0.04835</t>
  </si>
  <si>
    <t>29.2</t>
  </si>
  <si>
    <t>0.285</t>
  </si>
  <si>
    <t>0.293</t>
  </si>
  <si>
    <t>0.0175</t>
  </si>
  <si>
    <t>0.547</t>
  </si>
  <si>
    <t>0.7447</t>
  </si>
  <si>
    <t>0.3257</t>
  </si>
  <si>
    <t>1.59</t>
  </si>
  <si>
    <t>2.67</t>
  </si>
  <si>
    <t>2.43</t>
  </si>
  <si>
    <t>4.35</t>
  </si>
  <si>
    <t>2.33</t>
  </si>
  <si>
    <t>0.494</t>
  </si>
  <si>
    <t>1.19</t>
  </si>
  <si>
    <t>3.11</t>
  </si>
  <si>
    <t>2.35</t>
  </si>
  <si>
    <t>1.78</t>
  </si>
  <si>
    <t>0.655</t>
  </si>
  <si>
    <t>0.424</t>
  </si>
  <si>
    <t>0.228</t>
  </si>
  <si>
    <t>0.557</t>
  </si>
  <si>
    <t>0.749</t>
  </si>
  <si>
    <t>0.629</t>
  </si>
  <si>
    <t>0.577</t>
  </si>
  <si>
    <t>0.572</t>
  </si>
  <si>
    <t>0.753</t>
  </si>
  <si>
    <t>1.66</t>
  </si>
  <si>
    <t>1.62</t>
  </si>
  <si>
    <t>3.22</t>
  </si>
  <si>
    <t>2.24</t>
  </si>
  <si>
    <t>0.232</t>
  </si>
  <si>
    <t>3.18</t>
  </si>
  <si>
    <t>0.00219</t>
  </si>
  <si>
    <t>0.000161</t>
  </si>
  <si>
    <t>3.36</t>
  </si>
  <si>
    <t>3.095</t>
  </si>
  <si>
    <t>3.933</t>
  </si>
  <si>
    <t>13.96</t>
  </si>
  <si>
    <t>13.93</t>
  </si>
  <si>
    <t>2.71</t>
  </si>
  <si>
    <t>3.79</t>
  </si>
  <si>
    <t>0.0512</t>
  </si>
  <si>
    <t>0.0304</t>
  </si>
  <si>
    <t>223.6</t>
  </si>
  <si>
    <t>0.373</t>
  </si>
  <si>
    <t>0.324</t>
  </si>
  <si>
    <t>0.307</t>
  </si>
  <si>
    <t>0.221</t>
  </si>
  <si>
    <t>0.781</t>
  </si>
  <si>
    <t>0.882</t>
  </si>
  <si>
    <t>0.743</t>
  </si>
  <si>
    <t>1.487</t>
  </si>
  <si>
    <t>1.117</t>
  </si>
  <si>
    <t>3.661</t>
  </si>
  <si>
    <t>3.866</t>
  </si>
  <si>
    <t>0.395</t>
  </si>
  <si>
    <t>0.0709</t>
  </si>
  <si>
    <t>6e-05</t>
  </si>
  <si>
    <t>20.7</t>
  </si>
  <si>
    <t>0.0406</t>
  </si>
  <si>
    <t>0.00094</t>
  </si>
  <si>
    <t>1.081</t>
  </si>
  <si>
    <t>0.0608</t>
  </si>
  <si>
    <t>1.442</t>
  </si>
  <si>
    <t>0.0755</t>
  </si>
  <si>
    <t>0.0726</t>
  </si>
  <si>
    <t>1.372</t>
  </si>
  <si>
    <t>1.342</t>
  </si>
  <si>
    <t>1.626</t>
  </si>
  <si>
    <t>7.23</t>
  </si>
  <si>
    <t>3.92</t>
  </si>
  <si>
    <t>0.237</t>
  </si>
  <si>
    <t>0.0728</t>
  </si>
  <si>
    <t>0.0067</t>
  </si>
  <si>
    <t>0.0084</t>
  </si>
  <si>
    <t>0.119</t>
  </si>
  <si>
    <t>0.191</t>
  </si>
  <si>
    <t>0.615</t>
  </si>
  <si>
    <t>0.774</t>
  </si>
  <si>
    <t>0.654</t>
  </si>
  <si>
    <t>0.252</t>
  </si>
  <si>
    <t>0.0662</t>
  </si>
  <si>
    <t>0.0679</t>
  </si>
  <si>
    <t>0.853</t>
  </si>
  <si>
    <t>0.0648</t>
  </si>
  <si>
    <t>0.0256</t>
  </si>
  <si>
    <t>4.853</t>
  </si>
  <si>
    <t>0.503</t>
  </si>
  <si>
    <t>0.0214</t>
  </si>
  <si>
    <t>0.0273</t>
  </si>
  <si>
    <t>0.0788</t>
  </si>
  <si>
    <t>0.0771</t>
  </si>
  <si>
    <t>0.0615</t>
  </si>
  <si>
    <t>0.439</t>
  </si>
  <si>
    <t>0.0524</t>
  </si>
  <si>
    <t>0.1033</t>
  </si>
  <si>
    <t>0.759</t>
  </si>
  <si>
    <t>6.178</t>
  </si>
  <si>
    <t>1.222</t>
  </si>
  <si>
    <t>0.491</t>
  </si>
  <si>
    <t>4.269</t>
  </si>
  <si>
    <t>0.473</t>
  </si>
  <si>
    <t>0.201</t>
  </si>
  <si>
    <t>0.996</t>
  </si>
  <si>
    <t>4.819</t>
  </si>
  <si>
    <t>1.003</t>
  </si>
  <si>
    <t>5.121</t>
  </si>
  <si>
    <t>2.364</t>
  </si>
  <si>
    <t>0.141</t>
  </si>
  <si>
    <t>2.266</t>
  </si>
  <si>
    <t>1.183</t>
  </si>
  <si>
    <t>2.074</t>
  </si>
  <si>
    <t>0.893</t>
  </si>
  <si>
    <t>2.628</t>
  </si>
  <si>
    <t>2.785</t>
  </si>
  <si>
    <t>0.284</t>
  </si>
  <si>
    <t>0.732</t>
  </si>
  <si>
    <t>3.372</t>
  </si>
  <si>
    <t>2.144</t>
  </si>
  <si>
    <t>0.262</t>
  </si>
  <si>
    <t>1.273</t>
  </si>
  <si>
    <t>0.402</t>
  </si>
  <si>
    <t>0.305</t>
  </si>
  <si>
    <t>0.00033</t>
  </si>
  <si>
    <t>0.602</t>
  </si>
  <si>
    <t>0.00022</t>
  </si>
  <si>
    <t>3e-05</t>
  </si>
  <si>
    <t>0.00049</t>
  </si>
  <si>
    <t>0.412</t>
  </si>
  <si>
    <t>0.01461</t>
  </si>
  <si>
    <t>0.01162</t>
  </si>
  <si>
    <t>3.81</t>
  </si>
  <si>
    <t>6.76</t>
  </si>
  <si>
    <t>4.21</t>
  </si>
  <si>
    <t>1727</t>
  </si>
  <si>
    <t>773.44</t>
  </si>
  <si>
    <t>532.43</t>
  </si>
  <si>
    <t>466.1</t>
  </si>
  <si>
    <t>3.66</t>
  </si>
  <si>
    <t>0.653</t>
  </si>
  <si>
    <t>0.599</t>
  </si>
  <si>
    <t>0.696</t>
  </si>
  <si>
    <t>1.502</t>
  </si>
  <si>
    <t>0.453</t>
  </si>
  <si>
    <t>0.651</t>
  </si>
  <si>
    <t>1.863</t>
  </si>
  <si>
    <t>1.393</t>
  </si>
  <si>
    <t>5.509</t>
  </si>
  <si>
    <t>2.155</t>
  </si>
  <si>
    <t>2.432</t>
  </si>
  <si>
    <t>1.298</t>
  </si>
  <si>
    <t>1.262</t>
  </si>
  <si>
    <t>3.607</t>
  </si>
  <si>
    <t>113</t>
  </si>
  <si>
    <t>26.1</t>
  </si>
  <si>
    <t>14.3</t>
  </si>
  <si>
    <t>0.457</t>
  </si>
  <si>
    <t>2.91</t>
  </si>
  <si>
    <t>3.69</t>
  </si>
  <si>
    <t>0.179</t>
  </si>
  <si>
    <t>0.531</t>
  </si>
  <si>
    <t>0.269</t>
  </si>
  <si>
    <t>0.183</t>
  </si>
  <si>
    <t>0.365</t>
  </si>
  <si>
    <t>2.284</t>
  </si>
  <si>
    <t>1.49</t>
  </si>
  <si>
    <t>2.75</t>
  </si>
  <si>
    <t>2.42</t>
  </si>
  <si>
    <t>1.17</t>
  </si>
  <si>
    <t>2.26</t>
  </si>
  <si>
    <t>6.38</t>
  </si>
  <si>
    <t>rawValueMaximum</t>
  </si>
  <si>
    <t>commentary</t>
  </si>
  <si>
    <t>#13# pH and temperature not specified in the  publication &lt;111&gt;</t>
  </si>
  <si>
    <t>#14# isoform PDE7, 22°C, pH 7.0 &lt;67&gt;</t>
  </si>
  <si>
    <t>#14# isoform PDE3, 22°C, pH 7.0 &lt;67&gt;</t>
  </si>
  <si>
    <t>#14# isoform PDE2, 22°C, pH 7.0 &lt;67&gt;</t>
  </si>
  <si>
    <t>#14# isoform PDE1, 22°C, pH 7.0 &lt;67&gt;</t>
  </si>
  <si>
    <t>#17# apparent value, at pH 7.5 and 30°C &lt;112&gt;</t>
  </si>
  <si>
    <t>#2# PDE1 &lt;41&gt;</t>
  </si>
  <si>
    <t>#2# PDE11 &lt;41&gt;</t>
  </si>
  <si>
    <t>#2# pH and temperature not specified in the  publication &lt;110&gt;</t>
  </si>
  <si>
    <t>#20# PdeA, in 50 mM Tris-HCl, pH 8.0, 0.05 mM  MnCl2, at 40°C &lt;89&gt;</t>
  </si>
  <si>
    <t>#20# PdeB, in 50 mM Tris-HCl, pH 8.0, 0.05 mM  MnCl2, at 40°C &lt;89&gt;</t>
  </si>
  <si>
    <t>#20# isoform PdeA, pH and temperature not  specified in the publication &lt;111&gt;</t>
  </si>
  <si>
    <t>#20# pH 7.0, 55°C &lt;98&gt;</t>
  </si>
  <si>
    <t>#20# PdeA, in 50 mM Tris-HCl, pH 8.0, 0.05  mM MnCl2, at 40°C &lt;89&gt;</t>
  </si>
  <si>
    <t>#20# PdeB, in 50 mM Tris-HCl, pH 8.0, 0.05 mM  MnCl2, at 40°C &lt;89&gt;; #20# isoform PdeB, pH and temperature not specified in the publication &lt;111&gt;</t>
  </si>
  <si>
    <t>#20# PdeB, in 50 mM Tris-HCl, pH 8.0, 0.05  mM MnCl2, at 40°C &lt;89&gt;</t>
  </si>
  <si>
    <t>#21# pH 7.5, 30°C &lt;39&gt;</t>
  </si>
  <si>
    <t>#22# pH and temperature not specified in the  publication &lt;111&gt;</t>
  </si>
  <si>
    <t>#24# pH 7.5 &lt;37&gt;</t>
  </si>
  <si>
    <t>#40# pH and temperature not specified in the  publication &lt;111&gt;</t>
  </si>
  <si>
    <t>#43# pH 7.5, 22°C &lt;104&gt;</t>
  </si>
  <si>
    <t>#43# pH 7.5, 22°C, presence of 10 mM MgCl2  &lt;104&gt;</t>
  </si>
  <si>
    <t>#43# pH 7.5, 22°C, presence of 1 mM EDTA  &lt;104&gt;</t>
  </si>
  <si>
    <t>#43# pH 7.5, 22°C, presence of 10 mM ZnCl2  &lt;104&gt;</t>
  </si>
  <si>
    <t>#43# pH 7.5, 22°C, presence of 10 mM MnCl2  &lt;104&gt;</t>
  </si>
  <si>
    <t>#44# pH 7.5, 30°C &lt;103&gt;</t>
  </si>
  <si>
    <t>#45# pH 8.5, 23°C &lt;107&gt;</t>
  </si>
  <si>
    <t>#5# soluble enzyme &lt;4&gt;</t>
  </si>
  <si>
    <t>#5# particulate enzyme &lt;4&gt;</t>
  </si>
  <si>
    <t>#6# catalytic domain of PDE2A (PDE2A residues  578-919</t>
  </si>
  <si>
    <t>#6# isoform PDE11A1 &lt;68&gt;</t>
  </si>
  <si>
    <t>#6# isoform PDE11A1 &lt;68&gt;; #6# isoform PDE11A2 &lt;68&gt;</t>
  </si>
  <si>
    <t>#6# isoform PDE11A4 &lt;68&gt;</t>
  </si>
  <si>
    <t>#6# isoform PDE3A-136 &lt;58&gt;</t>
  </si>
  <si>
    <t>#6# isoform PDE11A3 &lt;68&gt;</t>
  </si>
  <si>
    <t>#6# isoform PDE1C, pH 7.4 &lt;75&gt;</t>
  </si>
  <si>
    <t>#6# 30°C, pH 7.5, PDE11A4 &lt;56&gt;</t>
  </si>
  <si>
    <t>#6# isoform PDE11A2 &lt;68&gt;</t>
  </si>
  <si>
    <t>#6# isoform PDE3A-118 &lt;58&gt;</t>
  </si>
  <si>
    <t>#6# isoform PDE3A-94 &lt;58&gt;</t>
  </si>
  <si>
    <t>#9# two forms of phosphodiesterase &lt;16&gt;</t>
  </si>
  <si>
    <t>#9# 30°C, pH 8.0, PDE3A &lt;32&gt;</t>
  </si>
  <si>
    <t>#9# brain 63 kDA isozyme &lt;35&gt;</t>
  </si>
  <si>
    <t>#9# heart isozyme &lt;35&gt;</t>
  </si>
  <si>
    <t>#9# lung isozyme &lt;35&gt;</t>
  </si>
  <si>
    <t>#9# brain 60 kDA isozyme &lt;35&gt;</t>
  </si>
  <si>
    <t>#9# 30°C, pH 8.0, PDE3B &lt;32&gt;</t>
  </si>
  <si>
    <t>#9# 30°C, pH 8.0, PDE2 &lt;32&gt;</t>
  </si>
  <si>
    <t>#9# 30°C, pH 8.0, PDE1 &lt;32&gt;</t>
  </si>
  <si>
    <t>#14# pH 8.5, 37°C &lt;18&gt;</t>
  </si>
  <si>
    <t>#19# pH 8.5, 30°C, recombinant  His-tagged enzyme &lt;16&gt;</t>
  </si>
  <si>
    <t>#2# with substrate succinamate &lt;3&gt;</t>
  </si>
  <si>
    <t>#21# pH 8.5, 37°C &lt;18&gt;</t>
  </si>
  <si>
    <t>#22# pH 8.5, 37°C &lt;18&gt;</t>
  </si>
  <si>
    <t>#3# with substrate succinamate &lt;3&gt;</t>
  </si>
  <si>
    <t>#4# pH 7.2, 30°C &lt;13&gt;</t>
  </si>
  <si>
    <t>#4# pH 8.5, 30°C &lt;13&gt;</t>
  </si>
  <si>
    <t>#6# Km (open chain form</t>
  </si>
  <si>
    <t>#7# pH 8.5, only 0.3% of  alpha-ketoglutaramate exists in open-chain structure &lt;1&gt;; #6# apparent Km, 37°C, pH 8.5, vmax: 5.9 micromol/mg*min &lt;14&gt;</t>
  </si>
  <si>
    <t>#7# with substrate, acyl donor: p-methylphenyl  glutarate, Km for total methylamine, for free-base form of methylamine, Km is about 102 times smaller &lt;5&gt;</t>
  </si>
  <si>
    <t>#7# hydrolysis &lt;9&gt;</t>
  </si>
  <si>
    <t>#7# with substrate, acyl donor: p-methylphenyl  glutarate &lt;5&gt;</t>
  </si>
  <si>
    <t>#7# hydrolysis &lt;5&gt;</t>
  </si>
  <si>
    <t>#7# hydroxaminolysis &lt;9&gt;</t>
  </si>
  <si>
    <t>#7# true Km of omega-amidase for  alpha-ketoglutaramate open-chain structure may be of the order of 0.01 mM &lt;1,9&gt;</t>
  </si>
  <si>
    <t>#7# hydroxaminolysis, substrate: glutaramate  &lt;9&gt;</t>
  </si>
  <si>
    <t>#7# with substrate, acyl donor: glutaramate  &lt;5&gt;</t>
  </si>
  <si>
    <t>#7# hydroxaminolysis, substrate: succinamate  &lt;9&gt;</t>
  </si>
  <si>
    <t>#7# with substrate, acyl donor: methyl  glutarate &lt;5&gt;</t>
  </si>
  <si>
    <t>#7# 37°C, pH 8.5, vmax: 20.6  micromol/mg*min &lt;14&gt;</t>
  </si>
  <si>
    <t>#7# with substrate, acyl donor: methyl  glutarate, Km for total methylamine, for free-base form of methylamine, Km is about 102 times smaller &lt;5&gt;</t>
  </si>
  <si>
    <t>#7# hydroxaminolysis, substrate: methyl  glutarate &lt;9&gt;</t>
  </si>
  <si>
    <t>#7# with substrate, acyl donor: glutaramate, Km  for total methylamine, for free-base form of methylamine, Km is about 102 times smaller &lt;5&gt;</t>
  </si>
  <si>
    <t>#7# with substrate, acyl donor: glutaramate &lt;5&gt;</t>
  </si>
  <si>
    <t>#1# recombinant deletion mutant, pH 7.5, 25°C  &lt;64&gt;</t>
  </si>
  <si>
    <t>#1# recombinant mutant C166A, pH 7.5, 25°C  &lt;64&gt;</t>
  </si>
  <si>
    <t>#1# recombinant deletion mutant, pH 7.5,  25°C &lt;64&gt;</t>
  </si>
  <si>
    <t>#1# recombinant premature isozyme pmAspAT,  pH 7.5, 25°C &lt;64&gt;</t>
  </si>
  <si>
    <t>#1# recombinant mutant C166S, pH 7.5, 25°C  &lt;64&gt;</t>
  </si>
  <si>
    <t>#1# recombinant isozyme mAspAT, pH 7.5, 25°C  &lt;64&gt;</t>
  </si>
  <si>
    <t>#1# pH 7.4, 30°C &lt;46&gt;</t>
  </si>
  <si>
    <t>#79# pH 8.0, 45°C &lt;128&gt;; #1#  recombinant isozyme mAspAT, pH 7.5, 25°C &lt;64&gt;; #13# cytosolic isozyme, pH 8.0, 37°C &lt;21&gt;</t>
  </si>
  <si>
    <t>#1# recombinant mutant C166S, pH 7.5,  25°C &lt;64&gt;; #55# isozyme Asp-DEAE-1, pH 8.0 &lt;6&gt;</t>
  </si>
  <si>
    <t>#70# 60°C &lt;109&gt;; #1# recombinant premature  isozyme pmAspAT, pH 7.5, 25°C &lt;64&gt;</t>
  </si>
  <si>
    <t>#100# at pH 7.4 and 37°C &lt;156&gt;</t>
  </si>
  <si>
    <t>#103# using L-aspartate as a cosubstrate,  at pH 8.0 and 60°C &lt;161&gt;</t>
  </si>
  <si>
    <t>#104# at pH 7.4 and 30°C &lt;151&gt;</t>
  </si>
  <si>
    <t>#11# pH 7.4, 25°C &lt;23&gt;</t>
  </si>
  <si>
    <t>#11# pH 7.4, 25°C &lt;23&gt;; #49# isozyme  cAspAT, alpha-form, pH 8.0, 25°C &lt;56&gt;; #96# allozyme AAT-2a, pH 7.5, 25°C &lt;137&gt;</t>
  </si>
  <si>
    <t>#13# cytosolic isozyme, pH 8.0, 37°C &lt;21&gt;</t>
  </si>
  <si>
    <t>#13# mitochondrial isozyme, pH 8.0, 37°C  &lt;21&gt;</t>
  </si>
  <si>
    <t>#15# mitochondrial isozyme, pH 7.4, 25°C &lt;29&gt;</t>
  </si>
  <si>
    <t>#15# cytosolic isozyme, pH 7.4, 25°C  &lt;29&gt;</t>
  </si>
  <si>
    <t>#15# mitochondrial isozyme, pH 7.4, 25°C  &lt;29&gt;</t>
  </si>
  <si>
    <t>#15# cytosolic isozyme, pH 7.4, 25°C &lt;29&gt;;  #49# isozyme cAspAT, gamma-form, pH 8.0, 25°C &lt;56&gt;; #28# pH 8.0, 50°C &lt;41&gt;</t>
  </si>
  <si>
    <t>#22# 30°C &lt;8&gt;</t>
  </si>
  <si>
    <t>#23# cytosolic isozyme &lt;31&gt;</t>
  </si>
  <si>
    <t>#23# mitochondrial isozyme &lt;31&gt;</t>
  </si>
  <si>
    <t>#26# isozyme AAT-2, including forms 2a, 2b  and 2c, pH 8.0 &lt;47&gt;</t>
  </si>
  <si>
    <t>#26# isozyme AAT-1, pH 8.0 &lt;47&gt;</t>
  </si>
  <si>
    <t>#26# isozyme AAT-2, including forms 2a, 2b  and 2c, pH 8.0 &lt;47&gt;; #103# at pH 8.0 and 60°C &lt;161&gt;</t>
  </si>
  <si>
    <t>#27# isozyme AAT2,  25°C &lt;70&gt;</t>
  </si>
  <si>
    <t>#27# isozyme AAT1,  25°C &lt;70&gt;</t>
  </si>
  <si>
    <t>#28# pH 8.0, 50°C &lt;41&gt;; #69# pH 8,  cosubstrate: L-Asp, mutant enzyme A12T/P13T/N34D/T109S/G261A/S285G/A293D/N297S &lt;75&gt;</t>
  </si>
  <si>
    <t>#3# pH 7.8, 25°C &lt;48&gt;</t>
  </si>
  <si>
    <t>#3# pH 7.8, 25°C &lt;48&gt;; #26# isozyme  AAT-1, pH 8.0 &lt;47&gt;</t>
  </si>
  <si>
    <t>#36# isoenzyme AAT-1, pH 7.8, 37°C &lt;12&gt;</t>
  </si>
  <si>
    <t>#36# isoenzyme AAT-2 &lt;12&gt;</t>
  </si>
  <si>
    <t>#36# isoenzyme AAT-2, pH 7.8, 37°C &lt;12&gt;</t>
  </si>
  <si>
    <t>#45# pH 7.5, 37°C &lt;3&gt;; #36# isoenzyme  AAT-2, pH 7.8, 37°C &lt;12&gt;</t>
  </si>
  <si>
    <t>#48# pH 8.3, 25°C &lt;28&gt;; #36# isoenzyme  AAT-1, pH 7.8, 37°C &lt;12&gt;</t>
  </si>
  <si>
    <t>#36# isoenzyme AAT-1 &lt;12&gt;; #97# allozyme  AAT-3c, pH 7.5, 25°C &lt;137&gt;</t>
  </si>
  <si>
    <t>#37# pH 8.5, 60°C, recombinant enzyme  &lt;130&gt;</t>
  </si>
  <si>
    <t>#37# pH 8.5, 60°C, recombinant  enzyme &lt;130&gt;</t>
  </si>
  <si>
    <t>#38# cytoplasmic enzyme, in 0.05 M potassium  phosphate buffer (pH 7.5</t>
  </si>
  <si>
    <t>#38# mitochondrial enzyme, in 0.05 M  potassium phosphate buffer (pH 7.5</t>
  </si>
  <si>
    <t>#38# cytoplasmic enzyme, in 0.05 M  potassium phosphate buffer (pH 7.5</t>
  </si>
  <si>
    <t>#42# isozyme AAT-P1, pH 7.6, 25°C &lt;52&gt;</t>
  </si>
  <si>
    <t>#42# isozyme AAT-P2, pH 7.6, 25°C &lt;52&gt;</t>
  </si>
  <si>
    <t>#45# pH 7.5, 37°C &lt;3&gt;; #57# pH  8.0, 45°C &lt;63&gt;; #42# isozyme AAT-P2, pH 7.6, 25°C &lt;52&gt;; #52# isozyme AspAT-3, 25°C, pH 8.0 &lt;40&gt;; #49# isozyme cAspAT, gamma-form, pH 8.0, 25°C &lt;56&gt;</t>
  </si>
  <si>
    <t>#42# isozyme AAT-P1, pH 7.6, 25°C &lt;52&gt;;  #49# isozyme pAsp-AT, beta-form, pH 8.0, 25°C &lt;56&gt;</t>
  </si>
  <si>
    <t>#42# isozyme AAT-P2, pH 7.6, 25°C &lt;52&gt;;  #49# isozyme pAsp-AT and cAspAT, alpha-form, pH 8.0, 25°C &lt;56&gt;</t>
  </si>
  <si>
    <t>#55# isozyme Asp-DEAE-1, pH 8.0 &lt;6&gt;; #42#  isozyme AAT-P1, pH 7.6, 25°C &lt;52&gt;</t>
  </si>
  <si>
    <t>#42# isozyme AAT-P2, pH 7.6, 25°C &lt;52&gt;; #96#  allozyme AAT-2a, pH 7.5, 25°C &lt;137&gt;</t>
  </si>
  <si>
    <t>#45# pH 7.5, 37°C &lt;3&gt;</t>
  </si>
  <si>
    <t>#48# pH 8.0, 25°C &lt;28&gt;</t>
  </si>
  <si>
    <t>#48# pH 8.3, 25°C &lt;28&gt;; #49# isozyme  pAsp-AT, gamma-form, pH 8.0, 25°C &lt;56&gt;</t>
  </si>
  <si>
    <t>#48# pH 8.0, 25°C &lt;28&gt;; #49# isozyme cAspAT,  gamma-form, pH 8.0, 25°C &lt;56&gt;</t>
  </si>
  <si>
    <t>#49# isozyme pAspAT, alpha-form, pH 8.0,  25°C &lt;56&gt;</t>
  </si>
  <si>
    <t>#49# isozyme cAspAT, alpha-form, pH 8.0,  25°C &lt;56&gt;</t>
  </si>
  <si>
    <t>#49# isozyme pAspAT, gamma-form, pH 8.0,  25°C &lt;56&gt;</t>
  </si>
  <si>
    <t>#49# isozyme cAspAT, beta-form, pH 8.0,  25°C &lt;56&gt;</t>
  </si>
  <si>
    <t>#49# isozyme pAspAT, beta-form, pH 8.0, 25°C  &lt;56&gt;</t>
  </si>
  <si>
    <t>#49# isozyme pAspAT, beta-form, pH 8.0,  25°C &lt;56&gt;</t>
  </si>
  <si>
    <t>#49# isozyme cAspAT, gamma-form, pH 8.0,  25°C &lt;56&gt;</t>
  </si>
  <si>
    <t>#49# isozyme pAspAT, alpha-form, pH 8.0, 25°C  &lt;56&gt;</t>
  </si>
  <si>
    <t>#49# isozyme mAspAT, pH 8.0, 25°C &lt;56&gt;</t>
  </si>
  <si>
    <t>#49# isozyme pAspAT, gamma-form, pH 8.0, 25°C  &lt;56&gt;</t>
  </si>
  <si>
    <t>#49# isozyme cAspAT, beta-form, pH 8.0, 25°C  &lt;56&gt;</t>
  </si>
  <si>
    <t>#49# isozyme mAspAT, pH 8.0, 25°C  &lt;56&gt;; #96# allozyme AAT-2b, pH 7.5, 25°C &lt;137&gt;; #96# allozyme AAT-2c, pH 7.5, 25°C &lt;137&gt;; #97# allozyme AAT-3a, pH 7.5, 25°C &lt;137&gt;</t>
  </si>
  <si>
    <t>#49# isozyme cAspAT, alpha-form, pH 8.0,  25°C &lt;56&gt;; #97# allozyme AAT-3b, pH 7.5, 25°C &lt;137&gt;</t>
  </si>
  <si>
    <t>#49# isozyme cAspAT, beta-form, pH 8.0, 25°C  &lt;56&gt;; #97# allozyme AAT-3c, pH 7.5, 25°C &lt;137&gt;</t>
  </si>
  <si>
    <t>#51# pH 7.5, 35°C &lt;127&gt;</t>
  </si>
  <si>
    <t>#52# isozyme AspAT-1, 25°C, pH 8.0 &lt;40&gt;</t>
  </si>
  <si>
    <t>#52# isozyme AspAT-3, 25°C, pH 8.0 &lt;40&gt;</t>
  </si>
  <si>
    <t>#52# isozyme AspAT-3, 25°C, pH 8.0 &lt;40&gt;;  #77# wild-type, pH 8.0, 25°C &lt;62&gt;</t>
  </si>
  <si>
    <t>#55# isozyme Asp-DEAE-2, pH 8.0 &lt;6&gt;</t>
  </si>
  <si>
    <t>#55# isozyme Asp-DEAE-1, pH 8.0 &lt;6&gt;</t>
  </si>
  <si>
    <t>#57# pH 8.0, 45°C &lt;63&gt;</t>
  </si>
  <si>
    <t>#59# isozyme AST II, 37°C, pH 7.5 &lt;71&gt;</t>
  </si>
  <si>
    <t>#6# pH 7.6, 25°C &lt;2&gt;</t>
  </si>
  <si>
    <t>#6# 25°C, pH 8.0 &lt;9&gt;</t>
  </si>
  <si>
    <t>#6# wild-type, pH 8.4, 25°C &lt;72&gt;</t>
  </si>
  <si>
    <t>#6# wild-type enzyme &lt;79&gt;</t>
  </si>
  <si>
    <t>#6# mutant enzyme R292E/L18H  &lt;79&gt;</t>
  </si>
  <si>
    <t>#6# mutant enzyme  N165Y/R316H/A381T/P399L, at pH 8.0 and 40°C &lt;150&gt;</t>
  </si>
  <si>
    <t>#6# mutant enzyme N165Y/R316H/A381T/P399L,  at pH 8.0 and 40°C &lt;150&gt;</t>
  </si>
  <si>
    <t>#6# mutant enzyme R292E/L18H &lt;79&gt;</t>
  </si>
  <si>
    <t>#6# wild type enzyme, at pH 8.0 and 40°C  &lt;150&gt;</t>
  </si>
  <si>
    <t>#6# wild type enzyme, at pH  8.0 and 40°C &lt;150&gt;</t>
  </si>
  <si>
    <t>#6# wild type enzyme, at pH 8.0  and 40°C &lt;150&gt;</t>
  </si>
  <si>
    <t>#6# wild-type, pH 8.4, 25°C &lt;72&gt;; #13#  mitochondrial isozyme, pH 8.0, 37°C &lt;21&gt;; #68# pH 7.5, 25°C, recombinant wild-type enzyme &lt;159&gt;</t>
  </si>
  <si>
    <t>#6# pH 7.6, 25°C &lt;2&gt;; #36# L-glutamate,  isoenzyme AAT-1 &lt;12&gt;</t>
  </si>
  <si>
    <t>#49# isozyme mAspAT, pH 8.0, 25°C &lt;56&gt;; #6#  25°C, pH 8.0 &lt;9&gt;</t>
  </si>
  <si>
    <t>#68# pH 7.5, 25°C, recombinant mutant E108K  &lt;159&gt;</t>
  </si>
  <si>
    <t>#68# pH 7.5, 25°C, recombinant mutant A168G  &lt;159&gt;</t>
  </si>
  <si>
    <t>#68# pH 7.5, 25°C, recombinant wild-type  enzyme &lt;159&gt;</t>
  </si>
  <si>
    <t>#68# pH 7.5, 25°C, recombinant mutant T84V  &lt;159&gt;</t>
  </si>
  <si>
    <t>#69# pH 8, mutant enzyme  A12T/P13T/N34D/T109S/G261A/S285G/A293D/N297S &lt;75&gt;</t>
  </si>
  <si>
    <t>#69# pH 7.5, 25°C, mutant I33Q/Y214Q/R280Y  &lt;126&gt;</t>
  </si>
  <si>
    <t>#69# pH 7.5, 25°C, wild-type &lt;126&gt;</t>
  </si>
  <si>
    <t>#69# at pH 7.4 and 30°C &lt;151&gt;</t>
  </si>
  <si>
    <t>#69# pH 8, cosubstrate: L-Phe, mutant  enzyme A12T/P13T/N34D/T109S/G261A/S285G/A293D/N297S &lt;75&gt;</t>
  </si>
  <si>
    <t>#7# cytosolic isozyme, pH 6.8, 37°C &lt;58&gt;</t>
  </si>
  <si>
    <t>#70# 60°C &lt;109&gt;</t>
  </si>
  <si>
    <t>#71# pH 7.5, 37°C &lt;114&gt;</t>
  </si>
  <si>
    <t>#72# pH 7.5, 37°C &lt;114&gt;</t>
  </si>
  <si>
    <t>#73# pH 7.5, 37°C &lt;114&gt;</t>
  </si>
  <si>
    <t>#74# pH 7.5, 37°C &lt;114&gt;</t>
  </si>
  <si>
    <t>#77# wild-type, pH 8.0, 25°C &lt;62&gt;</t>
  </si>
  <si>
    <t>#79# pH 8.0, 45°C &lt;128&gt;</t>
  </si>
  <si>
    <t>#8# cytoplasmic enzyme &lt;89&gt;</t>
  </si>
  <si>
    <t>#8# mitochondrial enzyme &lt;89&gt;</t>
  </si>
  <si>
    <t>#8# enzyme from nonsynaptic mitochondrion,  pH 7.8, 30°C &lt;104&gt;</t>
  </si>
  <si>
    <t>#8# at pH 7.4 &lt;103&gt;</t>
  </si>
  <si>
    <t>#8# enzyme from synaptic mitochondrion,  pH 7.8, 30°C &lt;104&gt;; #38# mitochondrial enzyme, in 0.05 M potassium phosphate buffer (pH 7.5</t>
  </si>
  <si>
    <t>#90# pH 8.0, 30°C &lt;139&gt;</t>
  </si>
  <si>
    <t>#96# allozyme AAT-2a, pH 7.5, 25°C &lt;137&gt;</t>
  </si>
  <si>
    <t>#96# allozyme AAT-2c, pH 7.5, 25°C &lt;137&gt;</t>
  </si>
  <si>
    <t>#96# allozyme AAT-2b, pH 7.5, 25°C &lt;137&gt;</t>
  </si>
  <si>
    <t>#96# allozyme AAT-2c, pH 7.5, 25°C  &lt;137&gt;; #97# allozyme AAT-3b, pH 7.5, 25°C &lt;137&gt;</t>
  </si>
  <si>
    <t>#97# allozyme AAT-3c, pH 7.5, 25°C &lt;137&gt;</t>
  </si>
  <si>
    <t>#97# allozyme AAT-3b, pH 7.5, 25°C &lt;137&gt;</t>
  </si>
  <si>
    <t>#97# allozyme AAT-3a, pH 7.5, 25°C &lt;137&gt;</t>
  </si>
  <si>
    <t>#109# pH 7.1, 25°C, isoenzyme LDH-A4 &lt;48&gt;</t>
  </si>
  <si>
    <t>#162# anoxic enzyme, pH 6.7, 25°C &lt;127&gt;</t>
  </si>
  <si>
    <t>#109# pH 7.2, 25°C, isoenzyme LDH-A2B2 &lt;48&gt;</t>
  </si>
  <si>
    <t>#121,124,125# 25°C &lt;59&gt;; #109# pH  7.6, 25°C, isoenzyme LDH-B4 &lt;48&gt;</t>
  </si>
  <si>
    <t>#11# immobilized recombinant enzyme, pH 7.0,  25°C &lt;132&gt;</t>
  </si>
  <si>
    <t>#11# pH 8.0, 25°C, in absence of aldolase &lt;50&gt;</t>
  </si>
  <si>
    <t>#122# 25°C &lt;59&gt;; #98# 15°C &lt;32&gt;;  #160# pH 8.5, 25°C, isozyme M4 &lt;121&gt;; #11# soluble recombinant enzyme, pH 7.0, 25°C &lt;132&gt;</t>
  </si>
  <si>
    <t>#110# pH 7.5, 25°C &lt;45&gt;</t>
  </si>
  <si>
    <t>S</t>
  </si>
  <si>
    <t>#110# pH 7.5, 25°C &lt;45&gt;; #111# pH 8.0, 25°C  &lt;53&gt;</t>
  </si>
  <si>
    <t>#111# pH 8.0, 25°C &lt;53&gt;</t>
  </si>
  <si>
    <t>#111# pH 5.5, 25°C, recombinant enzyme &lt;130&gt;</t>
  </si>
  <si>
    <t>#112# pH 7.5, 25°C &lt;43&gt;</t>
  </si>
  <si>
    <t>#112# pH 9.2,  25°C &lt;43&gt;</t>
  </si>
  <si>
    <t>#112# pH 9.2, 25°C &lt;43&gt;</t>
  </si>
  <si>
    <t>#113# pH 7.5, 25°C &lt;43&gt;</t>
  </si>
  <si>
    <t>#113# pH 9.2,  25°C &lt;43&gt;</t>
  </si>
  <si>
    <t>#113# pH 9.2, 25°C &lt;43&gt;</t>
  </si>
  <si>
    <t>#118# pH 7.5, temperature not specified in the  publication, mutant D241N LDH-2, with 3 mM fructose-1,6-bisphosphate &lt;129&gt;</t>
  </si>
  <si>
    <t>#118# pH 5.5, temperature not specified in the  publication, wild-type LDH-2, with 3 mM fructose-1,6-bisphosphate &lt;129&gt;</t>
  </si>
  <si>
    <t>#118# pH 5.5, temperature not specified in the  publication, mutant D241N LDH-2, with 3 mM fructose-1,6-bisphosphate &lt;129&gt;</t>
  </si>
  <si>
    <t>#118# pH 5.5, temperature not specified in the  publication, mutant D241N LDH-2, without fructose-1,6-bisphosphate &lt;129&gt;</t>
  </si>
  <si>
    <t>#118# pH 7.5, temperature not specified in the  publication, wild-type LDH-2, with 3 mM fructose-1,6-bisphosphate &lt;129&gt;</t>
  </si>
  <si>
    <t>#12# measured without D-fructose 1,6-bisphosphate,  wild-type enzyme &lt;70&gt;</t>
  </si>
  <si>
    <t>#12# pH 6.0, 25°C, recombinant mutant D38R in  presence of fructose 1,6-bisphosphate &lt;73&gt;</t>
  </si>
  <si>
    <t>#12# pH 6.0, 25°C, recombinant wild-type enzyme in  absence of fructose 1,6-bisphosphate &lt;73&gt;</t>
  </si>
  <si>
    <t>#12# pH 6.0, 25°C, recombinant wild-type enzyme  in presence of fructose 1,6-bisphosphate &lt;73&gt;</t>
  </si>
  <si>
    <t>#12# pH 6.0, 25°C, recombinant mutant D38R in  absence of fructose 1,6-bisphosphate &lt;73&gt;</t>
  </si>
  <si>
    <t>#12# measured with D-fructose  1,6-bisphosphate, wild-type enzyme &lt;70&gt;</t>
  </si>
  <si>
    <t>#12,15# measured without D-fructose  1,6-bisphosphate, hybrid enzyme constructed from fragments of the LDH genes from Bacillus stearothermophilus (coding for aa 15-100</t>
  </si>
  <si>
    <t>#12,15# measured with D-fructose 1,6-bisphosphate  &lt;70&gt;; #12,15# measured without D-fructose 1,6-bisphosphate, hybrid enzyme constructed from fragments of the LDH genes from Bacillus stearothermophilus (coding for aa 15-100</t>
  </si>
  <si>
    <t>#12,15# measured with D-fructose  1,6-bisphosphate, hybrid enzyme constructed from fragments of the LDH genes from Bacillus stearothermophilus (coding for aa 15-100</t>
  </si>
  <si>
    <t>#16# pH 6.9, 90 mM Tris-maleate buffer, pH  6.9, 0.5 mM fructose 1,6-diphosphate &lt;25&gt;; #12# measured with D-fructose 1,6-bisphosphate, wild-type enzyme &lt;70&gt;</t>
  </si>
  <si>
    <t>#132# LDHB, in the presence of 0.25 mM NADH &lt;98&gt;</t>
  </si>
  <si>
    <t>#132# LDHB, in the presence of 0.15 mM NADH  &lt;98&gt;</t>
  </si>
  <si>
    <t>#132# LDHB, in the presence of 3.75 mM NAD+  &lt;98&gt;</t>
  </si>
  <si>
    <t>#133# LDHB, in the presence of 0.2 mM NADH &lt;98&gt;</t>
  </si>
  <si>
    <t>#133# LDHB, in the presence of 0.15 mM NADH  &lt;98&gt;</t>
  </si>
  <si>
    <t>#133# LDHB, in the presence of 0.125 mM NADH  &lt;98&gt;</t>
  </si>
  <si>
    <t>#133# LDHB, in the presence of 3.75 mM NAD+  &lt;98&gt;</t>
  </si>
  <si>
    <t>#145# pH 6.0, 30°C, isozyme LDHB &lt;87&gt;; #133#  LDHB, in the presence of 0.25 mM NADH &lt;98&gt;</t>
  </si>
  <si>
    <t>#136# pH 7.0, 70°C, recombinant enzyme &lt;108&gt;</t>
  </si>
  <si>
    <t>#139# pH 6.0, 25°C, recombinant wild-type  enzyme &lt;92&gt;</t>
  </si>
  <si>
    <t>#139# 25°C, pH 8, mutant enzyme  F16Q/I37K/D38SC81S/N85R, activated by fructose 1,6-diphosphate &lt;66&gt;</t>
  </si>
  <si>
    <t>#139# 25°C, pH 8, wild-type enzyme, activated by  fructose 1,6-diphosphate &lt;66&gt;</t>
  </si>
  <si>
    <t>#139# 25°C, pH 8, mutant enzyme F16Q/C81S/N85R,  activated by fructose 1,6-diphosphate &lt;66&gt;</t>
  </si>
  <si>
    <t>#141# pH 7.0, 0°C, recombinant enzyme &lt;90&gt;</t>
  </si>
  <si>
    <t>#142# pH 7.0, 0°C, recombinant enzyme &lt;90&gt;</t>
  </si>
  <si>
    <t>#145# pH 7.0, 30°C, isozyme LDH &lt;87&gt;</t>
  </si>
  <si>
    <t>#145# pH 7.0, 30°C, isozyme LDHB &lt;87&gt;</t>
  </si>
  <si>
    <t>#145# pH 6.0, 30°C, isozyme LDH &lt;87&gt;</t>
  </si>
  <si>
    <t>#145# pH 6.0, 30°C, isozyme LDHB &lt;87&gt;</t>
  </si>
  <si>
    <t>#146# pH 9.2,  25°C &lt;43&gt;</t>
  </si>
  <si>
    <t>#146# pH 7.5, 25°C &lt;43&gt;</t>
  </si>
  <si>
    <t>#146# pH 9.2, 25°C &lt;43&gt;</t>
  </si>
  <si>
    <t>#146,147# pH 7.5, 25°C &lt;43&gt;</t>
  </si>
  <si>
    <t>#147# pH 9.2, 25°C &lt;43&gt;</t>
  </si>
  <si>
    <t>#147# pH 9.2,  25°C &lt;43&gt;</t>
  </si>
  <si>
    <t>#15# measured with D-fructose 1,6-bisphosphate,  wild-type enzyme &lt;70&gt;</t>
  </si>
  <si>
    <t>#15# measured without D-fructose 1,6-bisphosphate,  wild-type enzyme &lt;70&gt;</t>
  </si>
  <si>
    <t>#15# measured with D-fructose 1,6-bisphosphate,  wild-type enzyme &lt;70&gt;; #155# pH 5.5, temperature not specified in the publication, LDH-1, with 3 mM fructose-1,6-bisphosphate &lt;129&gt;</t>
  </si>
  <si>
    <t>#155# pH 7.5, temperature not specified in the  publication, LDH-1, with 3 mM fructose-1,6-bisphosphate &lt;129&gt;</t>
  </si>
  <si>
    <t>#155# pH 5.5, temperature not specified in the  publication, LDH-1, with 3 mM fructose-1,6-bisphosphate &lt;129&gt;</t>
  </si>
  <si>
    <t>#157# recombinant enzyme, pH 6.5, 55°C &lt;133&gt;</t>
  </si>
  <si>
    <t>#158# pH 8.0, temperature not specified in the  publication, healthy breast tissue enzyme &lt;124&gt;</t>
  </si>
  <si>
    <t>#158# pH 8.0, temperature not specified in the  publication, breast cancer tissue enzyme &lt;124&gt;</t>
  </si>
  <si>
    <t>#16# without fructose 1,6-diphosphate &lt;1,25&gt;</t>
  </si>
  <si>
    <t>#16# in presence of 1 mM fructose 1,6-diphosphate  &lt;25&gt;; #16# in presence of 1.0 mM fructose 1,6-diphosphate &lt;1&gt;</t>
  </si>
  <si>
    <t>#132# LDHB, in the presence of 0.125 mM  NADH &lt;98&gt;; #118# pH 5.5, temperature not specified in the publication, mutant D241N LDH-2, without fructose-1,6-bisphosphate &lt;129&gt;</t>
  </si>
  <si>
    <t>#16# pH 6.9, 90 mM Tris-maleate buffer, pH  6.9, 0.5 mM fructose 1,6-diphosphate &lt;25&gt;; #58# pH 6.5 &lt;16&gt;; #145# pH 6.0, 30°C, isozyme LDH &lt;87&gt;</t>
  </si>
  <si>
    <t>#160# pH 8.5, 25°C, isozyme M4 &lt;121&gt;</t>
  </si>
  <si>
    <t>#160,161# pH 8.5, 25°C, isozyme H2M2 &lt;121&gt;</t>
  </si>
  <si>
    <t>#160,161# pH 8.5, 25°C, isozyme H2M2  &lt;121&gt;</t>
  </si>
  <si>
    <t>#161# pH 8.5, 25°C, isozyme H4 &lt;121&gt;</t>
  </si>
  <si>
    <t>#162# aerobic control enzyme, pH 7.2, 25°C  &lt;127&gt;</t>
  </si>
  <si>
    <t>#162# aerobic control enzyme, pH 6.7, 25°C  &lt;127&gt;</t>
  </si>
  <si>
    <t>#162# anoxic enzyme, pH 8.5, 25°C &lt;127&gt;</t>
  </si>
  <si>
    <t>#162# aerobic control enzyme, pH 8.5, 25°C &lt;127&gt;</t>
  </si>
  <si>
    <t>#162# anoxic enzyme, pH 7.2, 25°C &lt;127&gt;</t>
  </si>
  <si>
    <t>#167# pH 6, 25°C &lt;152&gt;</t>
  </si>
  <si>
    <t>#171# wild-type, presence of  D-fructose-1,6-diphosphate, pH 5.5, 30°C &lt;147&gt;</t>
  </si>
  <si>
    <t>#171# mutant Q88R, presence of  D-fructose-1,6-diphosphate, pH 5.5, 30°C &lt;147&gt;</t>
  </si>
  <si>
    <t>#171# mutant I229A, presence of  D-fructose-1,6-diphosphate, pH 5.5, 30°C &lt;147&gt;</t>
  </si>
  <si>
    <t>#171# wild-type, pH 5.5, 30°C &lt;147&gt;</t>
  </si>
  <si>
    <t>#171# mutant Q88R, pH 5.5, 30°C &lt;147&gt;</t>
  </si>
  <si>
    <t>#171# mutant I229A, pH 5.5, 30°C &lt;147&gt;</t>
  </si>
  <si>
    <t>#173# isoform LDHL1, pH 7, 45°C &lt;150&gt;</t>
  </si>
  <si>
    <t>#29# pH 5.4 &lt;1&gt;</t>
  </si>
  <si>
    <t>#20# in presence of 0.02 mM fructose  1,6-diphosphate &lt;5&gt;</t>
  </si>
  <si>
    <t>#20# fructose 1,6-diphosphate has no effect &lt;5&gt;</t>
  </si>
  <si>
    <t>#29# pH 7.4 &lt;1&gt;; #110# pH 7.5, 25°C &lt;45&gt;</t>
  </si>
  <si>
    <t>#30# pH 6.5, 30°C, purified enzyme &lt;88&gt;</t>
  </si>
  <si>
    <t>#39# pH 7.5 &lt;86&gt;</t>
  </si>
  <si>
    <t>#39# pH 7.5 &lt;51&gt;</t>
  </si>
  <si>
    <t>#39# wild-type enzyme &lt;29&gt;</t>
  </si>
  <si>
    <t>#39# mutant enzyme S163L &lt;29&gt;</t>
  </si>
  <si>
    <t>#40# pH 6.2 &lt;18&gt;</t>
  </si>
  <si>
    <t>#97# 20°C, pH 7 &lt;31&gt;</t>
  </si>
  <si>
    <t>#46# pH 7.5 &lt;51&gt;</t>
  </si>
  <si>
    <t>#46# pH 7.5 &lt;51&gt;; #97# 15°C, pH 8 &lt;31&gt;</t>
  </si>
  <si>
    <t>#58# pH 7.3, isoenzyme I &lt;16&gt;</t>
  </si>
  <si>
    <t>#54# in presence of fructose 1,6-diphosphate &lt;4&gt;</t>
  </si>
  <si>
    <t>#54# in absence of fructose 1,6-diphosphate &lt;4&gt;</t>
  </si>
  <si>
    <t>#54# pH 7.0, 30°C, recombinant enzyme, with 1 mM  D-fructose-1,6-bisphophate &lt;128&gt;</t>
  </si>
  <si>
    <t>#54# in presence of fructose 1,6-diphosphate  &lt;4&gt;; #132# LDHB, in the presence of 0.2 mM NADH &lt;98&gt;</t>
  </si>
  <si>
    <t>#55# tetrameric enzyme form &lt;28&gt;</t>
  </si>
  <si>
    <t>#97# 15°C, pH 7 &lt;31&gt;; #55# octameric enzyme  form &lt;28&gt;</t>
  </si>
  <si>
    <t>#58# pH 7.3, isoenzyme I and isoenzyme II &lt;16&gt;</t>
  </si>
  <si>
    <t>#58# pH 6.5, isoenzyme II &lt;16&gt;</t>
  </si>
  <si>
    <t>#58# pH 7.3, isoenzyme II &lt;16&gt;</t>
  </si>
  <si>
    <t>#58# pH 8.2, isoenzyme II &lt;16&gt;</t>
  </si>
  <si>
    <t>#6# pH 7.5, 25°C, recombinant mutant  I12V/R81Q/M85E/G210A/V214I &lt;92&gt;</t>
  </si>
  <si>
    <t>#68# with 1.0 mM fructose 1,6-diphosphate  &lt;39&gt;</t>
  </si>
  <si>
    <t>#61# pH 7.0, 4°C &lt;47&gt;</t>
  </si>
  <si>
    <t>#68# in absence of fructose 1,6-diphosphate  &lt;39&gt;; #118# pH 5.5, temperature not specified in the publication, wild-type LDH-2, with 3 mM fructose-1,6-bisphosphate &lt;129&gt;</t>
  </si>
  <si>
    <t>#147# pH 7.5, 25°C &lt;43&gt;</t>
  </si>
  <si>
    <t>#75# pH not specified in the publication,  temperature not specified in the publication &lt;112&gt;</t>
  </si>
  <si>
    <t>#76# 15°C, pH 7 &lt;31&gt;</t>
  </si>
  <si>
    <t>#76# 15°C, pH 8 &lt;31&gt;</t>
  </si>
  <si>
    <t>#76# 20°C, pH 7 &lt;31&gt;</t>
  </si>
  <si>
    <t>#76# 20°C, pH 7.4 &lt;31&gt;</t>
  </si>
  <si>
    <t>#76# 15°C, pH 7.4 &lt;31&gt;</t>
  </si>
  <si>
    <t>#76# 20°C, pH 8 &lt;31&gt;</t>
  </si>
  <si>
    <t>#76# 30°C, pH 7.4 &lt;31&gt;</t>
  </si>
  <si>
    <t>#76,97# 30°C, pH 7 &lt;31&gt;</t>
  </si>
  <si>
    <t>#98# 25°C &lt;32&gt;</t>
  </si>
  <si>
    <t>#97# 20°C, pH 8 &lt;31&gt;</t>
  </si>
  <si>
    <t>#97# 15°C, pH 7.4 &lt;31&gt;</t>
  </si>
  <si>
    <t>#97# 30°C, pH 7.4 &lt;31&gt;</t>
  </si>
  <si>
    <t>#97# 30°C, pH 8 &lt;31&gt;</t>
  </si>
  <si>
    <t>#97# 20°C, pH 7.4 &lt;31&gt;</t>
  </si>
  <si>
    <t>#98# 10°C &lt;32&gt;</t>
  </si>
  <si>
    <t>#98# at 0°C and at 5°C &lt;32&gt;</t>
  </si>
  <si>
    <t>#98# 20°C &lt;32&gt;; #123# 25°C &lt;59&gt;; #112#  pH 7.5, 25°C &lt;43&gt;</t>
  </si>
  <si>
    <t>#98# 30°C &lt;32&gt;; #136# pH 5.8, 60°C,  recombinant enzyme &lt;108&gt;</t>
  </si>
  <si>
    <t>#10# pH 8.5, 30°C &lt;52&gt;</t>
  </si>
  <si>
    <t>#10# pH 8.5, 30°C &lt;52&gt;; #20# mutant  R315K, pH 7.5, 37°C &lt;33&gt;</t>
  </si>
  <si>
    <t>#11# pH 7.6, 37°C &lt;13&gt;</t>
  </si>
  <si>
    <t>#12# in liver &lt;45&gt;</t>
  </si>
  <si>
    <t>#12# in white muscle &lt;45&gt;</t>
  </si>
  <si>
    <t>#18# pH 9.2, 40°C, isoenzyme TAT-3 &lt;14&gt;</t>
  </si>
  <si>
    <t>#18# pH 9.2, 40°C, isoenzyme TAT-1 &lt;14&gt;</t>
  </si>
  <si>
    <t>#18# pH 9.2, 40°C, isoenzyme TAT-2 &lt;14&gt;</t>
  </si>
  <si>
    <t>#19# mutant R20A, pH 7.5, 37°C &lt;33&gt;</t>
  </si>
  <si>
    <t>#19# mutant N17S, pH 7.5, 37°C &lt;33&gt;; #19# mutant  R20A, pH 7.5, 37°C &lt;33&gt;</t>
  </si>
  <si>
    <t>#19# wild-type, pH 7.5, 37°C &lt;33&gt;</t>
  </si>
  <si>
    <t>#19# mutant N17S, pH 7.5, 37°C &lt;33&gt;</t>
  </si>
  <si>
    <t>#19# mutant R20A, pH 7.5, 37°C &lt;33&gt;; #20#  mutant R315K, pH 7.5, 37°C &lt;33&gt;</t>
  </si>
  <si>
    <t>#2# pH 7.0, 38°C &lt;53&gt;</t>
  </si>
  <si>
    <t>#2# pH 7.0, 38°C &lt;53&gt;; #29# cosubstrate  phenylalanine, pH 10.0, 30°C &lt;54&gt;</t>
  </si>
  <si>
    <t>#20# mutant N54S, pH 7.5, 37°C  &lt;33&gt;</t>
  </si>
  <si>
    <t>#20# wild-type, pH 7.5, 37°C &lt;33&gt;</t>
  </si>
  <si>
    <t>#20# mutant N54S, pH 7.5, 37°C &lt;33&gt;</t>
  </si>
  <si>
    <t>#20# wild-type, pH 7.5, 37°C &lt;33&gt;;  #20# mutant R315K, pH 7.5, 37°C &lt;33&gt;</t>
  </si>
  <si>
    <t>#20# mutant R315K, pH 7.5, 37°C &lt;33&gt;</t>
  </si>
  <si>
    <t>#25# pH 7.6, 30°C &lt;48&gt;</t>
  </si>
  <si>
    <t>#26# pH 8.2, 30°C &lt;49&gt;</t>
  </si>
  <si>
    <t>4-hydroxyphenyl</t>
  </si>
  <si>
    <t>#29# cosubstrate L-tyrosine, pH 10.0, 30°C  &lt;54&gt;</t>
  </si>
  <si>
    <t>#29# cosubstrate phenylpyruvate, pH 10.0, 30°C  &lt;54&gt;</t>
  </si>
  <si>
    <t>#29# cosubstrate 4-hydroxyphenylpyruvate,  pH 10.0, 30°C &lt;54&gt;</t>
  </si>
  <si>
    <t>#29# cosubstrate phenylpyruvate, pH 10.0,  30°C &lt;54&gt;</t>
  </si>
  <si>
    <t>#29# cosubstrate L-glutamate, pH 10.0, 30°C  &lt;54&gt;</t>
  </si>
  <si>
    <t>#29# cosubstrate phenylalanine, pH  10.0, 30°C &lt;54&gt;</t>
  </si>
  <si>
    <t>#29# cosubstrate 2-oxoglutarate, pH 10.0,  30°C &lt;54&gt;</t>
  </si>
  <si>
    <t>#3# aspartate aminotransferase with mutations  HEX and I73V, A293D, pH 8.0, 25°C &lt;34&gt;</t>
  </si>
  <si>
    <t>#3# aspartate aminotransferase with mutations  HEX and I73V, pH 8.0, 25°C &lt;34&gt;</t>
  </si>
  <si>
    <t>#3# aspartate aminotransferase with mutations  HEX and A293D, pH 8.0, 25°C &lt;34&gt;</t>
  </si>
  <si>
    <t>#33# with pyruvate as cosubstrate, at pH 8.0  and 37°C &lt;58&gt;</t>
  </si>
  <si>
    <t>#33# N-terminal domain, with pyruvate as  cosubstrate, at pH 8.0 and 37°C &lt;62&gt;</t>
  </si>
  <si>
    <t>#33# C-terminal domain, with pyruvate as  cosubstrate, at pH 8.0 and 37°C &lt;62&gt;</t>
  </si>
  <si>
    <t>#33# with L-tyrosine as cosubstrate, at pH 8.0  and 37°C &lt;58&gt;</t>
  </si>
  <si>
    <t>#33# with alpha-ketomethiobutyrate as  cosubstrate, at pH 8.0 and 37°C &lt;58&gt;</t>
  </si>
  <si>
    <t>#33# with L-tyrosine as  cosubstrate, at pH 8.0 and 37°C &lt;58&gt;</t>
  </si>
  <si>
    <t>#33# with pyruvate as cosubstrate, at pH  8.0 and 37°C &lt;58&gt;</t>
  </si>
  <si>
    <t>#36# isoform TAT2, with  L-glutamate as cosubstrate, at pH 8.5 and 30°C &lt;59&gt;</t>
  </si>
  <si>
    <t>#36# isoform TAT2, with 2-oxoglutarate as  cosubstrate, at pH 8.5 and 30°C &lt;59&gt;</t>
  </si>
  <si>
    <t>#36# isoform TAT2, with  L-tyrosine as cosubstrate, at pH 8.5 and 30°C &lt;59&gt;</t>
  </si>
  <si>
    <t>#36# isoform TAT2, with L-glutamate as  cosubstrate, at pH 8.5 and 30°C &lt;59&gt;</t>
  </si>
  <si>
    <t>#36# isoform TAT2, with L-tyrosine as  cosubstrate, at pH 8.5 and 30°C &lt;59&gt;</t>
  </si>
  <si>
    <t>#37# isoform TAT1, with  L-glutamate as cosubstrate, at pH 8.5 and 30°C &lt;59&gt;</t>
  </si>
  <si>
    <t>#37# isoform TAT1, with L-tyrosine as  cosubstrate, at pH 8.5 and 30°C &lt;59&gt;</t>
  </si>
  <si>
    <t>#37# isoform TAT1, with 2-oxoglutarate as  cosubstrate, at pH 8.5 and 30°C &lt;59&gt;</t>
  </si>
  <si>
    <t>#37# isoform TAT1, with L-glutamate as  cosubstrate, at pH 8.5 and 30°C &lt;59&gt;</t>
  </si>
  <si>
    <t>#37# isoform TAT1, with  L-tyrosine as cosubstrate, at pH 8.5 and 30°C &lt;59&gt;</t>
  </si>
  <si>
    <t>#38# with 2-oxoglutarate as cosubstrate, at pH  8.0 and 30°C &lt;63&gt;</t>
  </si>
  <si>
    <t>#38# with L-glutamate as cosubstrate, at  pH 8.0 and 30°C &lt;63&gt;</t>
  </si>
  <si>
    <t>#38# with L-tyrosine as cosubstrate, at pH  8.0 and 30°C &lt;63&gt;</t>
  </si>
  <si>
    <t>#38# with L-glutamate as  cosubstrate, at pH 8.0 and 30°C &lt;63&gt;</t>
  </si>
  <si>
    <t>#38# with 2-oxoglutarate as cosubstrate,  at pH 8.0 and 30°C &lt;63&gt;</t>
  </si>
  <si>
    <t>#38# with L-glutamate as cosubstrate, at pH  8.0 and 30°C &lt;63&gt;</t>
  </si>
  <si>
    <t>#38# with 2-oxoglutarate as cosubstrate, at  pH 8.0 and 30°C &lt;63&gt;</t>
  </si>
  <si>
    <t>#38# with L-tyrosine as cosubstrate, at pH 8.0  and 30°C &lt;63&gt;</t>
  </si>
  <si>
    <t>#4# mutant enzyme I249A &lt;36&gt;</t>
  </si>
  <si>
    <t>#4# wild type enzyme &lt;36&gt;</t>
  </si>
  <si>
    <t>#5# pH 7.6, 37°C, enzyme form III &lt;7&gt;</t>
  </si>
  <si>
    <t>#5# pH 7.6, 37°C, enzyme form I &lt;7&gt;</t>
  </si>
  <si>
    <t>#5# pH 7.6, 37°C, enzyme form II &lt;7&gt;</t>
  </si>
  <si>
    <t>#5# pH 7.6, 37°C, enzyme form IV &lt;7&gt;</t>
  </si>
  <si>
    <t>#5# pH 7.2, 37°C &lt;15&gt;</t>
  </si>
  <si>
    <t>#5# pH 7.9, 37°C &lt;12&gt;</t>
  </si>
  <si>
    <t>#8# pH 7.0, 37°C, tyrosine as co-substrate &lt;21&gt;</t>
  </si>
  <si>
    <t>#8# pH 7.0, 37°C, pyruvate as co-substrate &lt;21&gt;</t>
  </si>
  <si>
    <t>#8# pH 7.0, 37°C, tyrosine as co-substrate  &lt;21&gt;</t>
  </si>
  <si>
    <t>#8# pH 7.0, 37°C, pyruvate as co-substrate  &lt;21&gt;</t>
  </si>
  <si>
    <t>#9# pH 7.6, 37°C &lt;23&gt;; #20# wild-type, pH  7.5, 37°C &lt;33&gt;</t>
  </si>
  <si>
    <t>#1# pH 8.0 &lt;9&gt;</t>
  </si>
  <si>
    <t>#10,13# 37°C &lt;22&gt;</t>
  </si>
  <si>
    <t>#12# pH 8.5, 37°C &lt;8&gt;</t>
  </si>
  <si>
    <t>#12# pH 8.5, 37°C &lt;8&gt;; #24# aromatic amino  acid transferase from strain CB 6 &lt;14&gt;</t>
  </si>
  <si>
    <t>#19# pH 7.0, 22°C &lt;46&gt;; #47# pH and  temperature not specified in the publication &lt;55&gt;</t>
  </si>
  <si>
    <t>#2# pH 7.6, 37°C, isoenzyme B2 &lt;17&gt;</t>
  </si>
  <si>
    <t>#2# pH 7.5, 37°C &lt;18&gt;</t>
  </si>
  <si>
    <t>#2# pH 7.6, 37°C, isoenzyme A &lt;17&gt;</t>
  </si>
  <si>
    <t>#4# pH 7.6, 37°C &lt;6&gt;</t>
  </si>
  <si>
    <t>#2# pH 7.6, 37°C, isoenzyme B2 &lt;17&gt;; #7#  cosubstrate 2-oxoglutarate &lt;13&gt;</t>
  </si>
  <si>
    <t>#21# cosubstrate L-tyrosine &lt;23&gt;</t>
  </si>
  <si>
    <t>#21# cosubstrate L-tryptophan &lt;23&gt;</t>
  </si>
  <si>
    <t>#24# aromatic amino acid transferase from  strain CB 6 &lt;14&gt;</t>
  </si>
  <si>
    <t>#24# aromatic amino acid transferase from strain  CB 60 &lt;14&gt;</t>
  </si>
  <si>
    <t>#24# aromatic amino acid transferase from  strain CB 60 &lt;14&gt;</t>
  </si>
  <si>
    <t>#25# pH 8.6, 37°C, AAT I &lt;16&gt;</t>
  </si>
  <si>
    <t>#27# pH 7.4, 25°C, recombinant enzyme,  with cosubstrate L-tryptophan &lt;54&gt;</t>
  </si>
  <si>
    <t>#27# pH 7.4, 25°C, recombinant enzyme, with  cosubstrate 2-oxoglutarate &lt;54&gt;</t>
  </si>
  <si>
    <t>#27# pH 7.4, 25°C, recombinant enzyme,  with cosubstrate L-glutamate &lt;54&gt;</t>
  </si>
  <si>
    <t>#27# pH 7.4, 25°C, recombinant enzyme,  with cosubstrate 2-oxoglutarate &lt;54&gt;</t>
  </si>
  <si>
    <t>#27# pH 7.4, 25°C, recombinant enzyme, with  cosubstrate alpha-aminoadipate &lt;54&gt;</t>
  </si>
  <si>
    <t>#29# pH 7.5, 37°C, cosubstrate: L-tyrosine,  aromatic aminotransferase II &lt;19&gt;</t>
  </si>
  <si>
    <t>#29# pH 7.5, 37°C, cosubstrate:  L-phenylalanine, aromatic aminotransferase I &lt;19&gt;; #29# pH 7.5, 37°C, cosubstrate: L-phenylalanine, aromatic aminotransferase II &lt;19&gt;</t>
  </si>
  <si>
    <t>#29# pH 7.5, 37°C, cosubstrate: L-tyrosine,  aromatic aminotransferase I &lt;19&gt;</t>
  </si>
  <si>
    <t>#29# pH 7.5, 37°C, aromatic  aminotransferase I &lt;19&gt;</t>
  </si>
  <si>
    <t>#29# pH 7.5, 37°C, aromatic aminotransferase I  &lt;19&gt;</t>
  </si>
  <si>
    <t>#29# pH 7.5, 37°C, cosubstrate:  L-tryptophan, aromatic aminotransferase II &lt;19&gt;</t>
  </si>
  <si>
    <t>#29# pH 7.5, 37°C, cosubstrate:  L-tryptophan, aromatic aminotransferase I &lt;19&gt;</t>
  </si>
  <si>
    <t>#29# pH 7.5, 37°C, aromatic  aminotransferase II &lt;19&gt;</t>
  </si>
  <si>
    <t>#29# pH 7.5, 37°C, aromatic aminotransferase  II &lt;19&gt;</t>
  </si>
  <si>
    <t>#31# pH 7.6, 78°C, isoenzyme ArAT-I &lt;7&gt;</t>
  </si>
  <si>
    <t>#31# pH 7.6, 78°C, isoenzyme ArAT-II &lt;7&gt;</t>
  </si>
  <si>
    <t>#34# pH 8.0, 25°C, cosubstrate aspartate  &lt;25&gt;</t>
  </si>
  <si>
    <t>#34# pH 8.0, 25°C, cosubstrate tryptophan  &lt;25&gt;</t>
  </si>
  <si>
    <t>#34# pH 8.0, 25°C, cosubstrate 2-oxoglutarate  &lt;25&gt;</t>
  </si>
  <si>
    <t>#34# at pH 7.4 and 30°C &lt;53&gt;</t>
  </si>
  <si>
    <t>#4# pH 8.0, 25°C &lt;10&gt;</t>
  </si>
  <si>
    <t>#4# pH 8.0, 25°C, cosubstrate tyrosine &lt;10&gt;</t>
  </si>
  <si>
    <t>#4# pH 7.6, 37°C &lt;6&gt;; #4# pH 8.0, 25°C,  cosubstrate 2-oxoglutarate &lt;10&gt;</t>
  </si>
  <si>
    <t>#4# pH 8.0, 25°C, single-turnover, wild-type  enzyme &lt;21&gt;</t>
  </si>
  <si>
    <t>#4# pH 8.0, 25°C, cosubstrate aspartate  &lt;10&gt;</t>
  </si>
  <si>
    <t>#4# pH 8.0, 25°C, cosubstrate 2-oxoglutarate  &lt;10&gt;</t>
  </si>
  <si>
    <t>#4# pH 7.3, 37°C &lt;4&gt;</t>
  </si>
  <si>
    <t>#4# pH 7.6, 37°C &lt;6&gt;; #4# pH 8.0, 25°C,  single-turnover, wild-type enzyme &lt;21&gt;</t>
  </si>
  <si>
    <t>#4# pH 8.0, 25°C, cosubstrate  phenylalanine &lt;10&gt;; #24# aromatic amino acid transferase from strain CB 60 &lt;14&gt;</t>
  </si>
  <si>
    <t>#34# pH 8.0, 25°C, cosubstrate aspartate  &lt;25&gt;; #4# pH 8.0, 25°C, cosubstrate tryptophan &lt;10&gt;</t>
  </si>
  <si>
    <t>#41# pH 7.0, 22°C &lt;46&gt;</t>
  </si>
  <si>
    <t>#41# pH 7.0, 22°C &lt;46&gt;; #41# pH and  temperature not specified in the publication, with L-glutamate &lt;55&gt;</t>
  </si>
  <si>
    <t>#41# pH and temperature not specified in the  publication, with 2-oxoglutarate &lt;55&gt;</t>
  </si>
  <si>
    <t>#41# pH and temperature not specified in  the publication, with L-glutamate &lt;55&gt;</t>
  </si>
  <si>
    <t>#41# pH and temperature not  specified in the publication, with L-glutamate &lt;55&gt;</t>
  </si>
  <si>
    <t>#41# pH and temperature not specified in  the publication &lt;55&gt;</t>
  </si>
  <si>
    <t>#41# pH and temperature not specified  in the publication, with 2-oxoglutarate &lt;55&gt;</t>
  </si>
  <si>
    <t>#41# pH and temperature not specified in  the publication, with 2-oxoglutarate &lt;55&gt;</t>
  </si>
  <si>
    <t>#46# pH and temperature not specified in  the publication &lt;55&gt;</t>
  </si>
  <si>
    <t>#46# pH and temperature not specified in the  publication &lt;55&gt;</t>
  </si>
  <si>
    <t>#46# pH and temperature not specified in the  publication, with L-glutamate &lt;55&gt;</t>
  </si>
  <si>
    <t>#46# pH and temperature not specified  in the publication &lt;55&gt;</t>
  </si>
  <si>
    <t>#5# cosubstrate phenylalanine &lt;5&gt;</t>
  </si>
  <si>
    <t>#5# pH 8.0. 37°C &lt;5&gt;</t>
  </si>
  <si>
    <t>#6# pH 7.6, 80°C &lt;43&gt;; #6# pH 7.6, 80°C,  cosubstrate 2-oxoglutarate &lt;7&gt;</t>
  </si>
  <si>
    <t>#6# pH 7.6, 80°C &lt;7,43&gt;</t>
  </si>
  <si>
    <t>#6# pH 7.6, 80°C &lt;43&gt;</t>
  </si>
  <si>
    <t>#6# pH 7.6, 80°C, cosubstrate 2-oxoglutarate  &lt;7&gt;</t>
  </si>
  <si>
    <t>#6# pH 7.6, 80°C &lt;43&gt;; #27# pH 7.4, 25°C,  recombinant enzyme, with cosubstrate 2-oxoglutarate &lt;54&gt;</t>
  </si>
  <si>
    <t>#6# pH 7.6, 80°C, cosubstrate 2-oxoglutarate  &lt;7&gt;; #29# pH 7.5, 37°C, aromatic aminotransferase II &lt;19&gt;</t>
  </si>
  <si>
    <t>#7# cosubstrate 2-oxoglutarate &lt;13&gt;</t>
  </si>
  <si>
    <t>#7# cosubstrate glutamate &lt;13&gt;</t>
  </si>
  <si>
    <t>#7# cosubstrate tryptophan &lt;13&gt;</t>
  </si>
  <si>
    <t>#101# recombinant NADP-ME2 &lt;46&gt;</t>
  </si>
  <si>
    <t>#131# mutant A387G, pH 7.0 &lt;34&gt;</t>
  </si>
  <si>
    <t>#112# pH 7.0, isozyme NADP-ME1 &lt;64&gt;</t>
  </si>
  <si>
    <t>#112# pH 7.3, isozyme NADP-ME1 &lt;64&gt;</t>
  </si>
  <si>
    <t>#113# pH 7.0, isozyme NADP-ME2 &lt;64&gt;</t>
  </si>
  <si>
    <t>#12# activation by Mn2+ &lt;3&gt;</t>
  </si>
  <si>
    <t>#12# activation by Mg2+ &lt;3&gt;; #139# pH 8.0,  70°C, recombinant mutant R221G &lt;112&gt;</t>
  </si>
  <si>
    <t>#122# pH 7.0 &lt;70&gt;</t>
  </si>
  <si>
    <t>#122# pH 7.5 &lt;70&gt;</t>
  </si>
  <si>
    <t>#123# pH 7.0 &lt;70&gt;</t>
  </si>
  <si>
    <t>#131# at pH 8.0, temperature not specified in  the publication &lt;118&gt;</t>
  </si>
  <si>
    <t>#131# mutant A392G, pH 7.0 &lt;34&gt;</t>
  </si>
  <si>
    <t>#131# wild type enzyme, at pH 8.0 and 25°C  &lt;137&gt;</t>
  </si>
  <si>
    <t>#131# mutant enzyme S419A, at pH 8.0 and 25°C  &lt;137&gt;</t>
  </si>
  <si>
    <t>#132# pH 8.0, 30°C, recombinant enzyme &lt;82&gt;</t>
  </si>
  <si>
    <t>#134# pH 7.4, 30°C, recombinant mutant E73K  &lt;100&gt;</t>
  </si>
  <si>
    <t>#134# pH 7.4, 30°C, recombinant mutant S102D  &lt;100&gt;</t>
  </si>
  <si>
    <t>#134# mutant enzyme S102D, at pH 7.4 and 30°C  &lt;100&gt;</t>
  </si>
  <si>
    <t>#134# pH 7.4, 30°C, recombinant mutant  S57K/N59E/E73K/S102D/H74K/D78P/D80E/D87G/D90E/K106S/Q121S/L125H &lt;100&gt;</t>
  </si>
  <si>
    <t>#134# pH 7.4, 30°C, recombinant mutant  S57K/N59E/E73K/S102D &lt;100&gt;</t>
  </si>
  <si>
    <t>#134# pH 7.4, 30°C, recombinant mutant  N59E/E73K/S102D &lt;100&gt;; #134# pH 7.4, 30°C, recombinant mutant S57K &lt;100&gt;</t>
  </si>
  <si>
    <t>#134# mutant enzyme N59E/E73K/S102D, at pH 7.4  and 30°C &lt;100&gt;; #134# mutant enzyme S57K, at pH 7.4 and 30°C &lt;100&gt;</t>
  </si>
  <si>
    <t>#134# pH 7.4, 30°C, recombinant mutant N59E/E73K  &lt;100&gt;</t>
  </si>
  <si>
    <t>#134# pH 7.4, 30°C, recombinant mutant  S57K/N59E/E73K/S102D/H74K/D78P/D80E/D87G/K106S/Q121S/L125H &lt;100&gt;</t>
  </si>
  <si>
    <t>#134# mutant enzyme  S57K/N59E/E73K/S102D/H74K/D78P/D80E/D87G/K106S/Q121S/L125H, at pH 7.4 and 30°C &lt;100&gt;</t>
  </si>
  <si>
    <t>#134# pH 7.4, 30°C, recombinant mutant  57K/N59E/E73K/S102D/H74K/D78P/D80E/D87G &lt;100&gt;; #134# pH 7.4, 30°C, recombinant wild-type enzyme &lt;100&gt;</t>
  </si>
  <si>
    <t>#134# wild type enzyme, at pH 7.4 and 30°C  &lt;100&gt;; #134# mutant enzyme S57K/N59E/E73K/S102D/H74K/D78P/D80E/D87G, at pH 7.4 and 30°C &lt;100&gt;</t>
  </si>
  <si>
    <t>#134# pH 7.4, 30°C, recombinant mutant N59E  &lt;100&gt;</t>
  </si>
  <si>
    <t>#134# mutant enzyme N59E, at pH 7.4 and 30°C  &lt;100&gt;</t>
  </si>
  <si>
    <t>#134# pH 7.4, 30°C, recombinant mutant  S57K/N59E/E73K &lt;100&gt;</t>
  </si>
  <si>
    <t>#134# mutant enzyme S57K/N59E/E73K, at pH 7.4  and 30°C &lt;100&gt;</t>
  </si>
  <si>
    <t>#134# pH 7.4, 30°C, recombinant mutant  [51-105]_c-NADP-ME &lt;100&gt;</t>
  </si>
  <si>
    <t>#139# pH 8.0, 70°C, recombinant mutant I310V  &lt;112&gt;</t>
  </si>
  <si>
    <t>#139# pH 8.0, 70°C, recombinant mutant  R221G/K228R/I310V &lt;112&gt;</t>
  </si>
  <si>
    <t>#139# pH 8.0, 70°C, recombinant mutant K228R  &lt;112&gt;</t>
  </si>
  <si>
    <t>#139# pH 8.0, 70°C, recombinant wild-type enzyme  &lt;112&gt;</t>
  </si>
  <si>
    <t>#139# pH 8.0, 70°C, recombinant mutant R221G/K228R  &lt;112&gt;</t>
  </si>
  <si>
    <t>#139# pH 8.0, 70°C, recombinant mutant K228R &lt;112&gt;</t>
  </si>
  <si>
    <t>#139# pH 8.0, 70°C, recombinant mutant  R221G/K22P8R/I310V &lt;112&gt;</t>
  </si>
  <si>
    <t>#139# pH 8.0, 70°C, recombinant mutant  R221G/K228R &lt;112&gt;</t>
  </si>
  <si>
    <t>#139# pH 8.0, 70°C, recombinant mutant R221G &lt;112&gt;</t>
  </si>
  <si>
    <t>#139# pH 8.0, 70°C, recombinant mutant I310V &lt;112&gt;</t>
  </si>
  <si>
    <t>#14# pH 8.0, 30°C, light &lt;36&gt;</t>
  </si>
  <si>
    <t>#14# mutant K435L/K436L, pH 8.0, 30°C &lt;30&gt;</t>
  </si>
  <si>
    <t>#14# pH 8.0, 30°C, dark &lt;36&gt;</t>
  </si>
  <si>
    <t>#14# mutant Q503E of isoform C4-NADP-ME, at pH  7.0 and 25°C &lt;133&gt;</t>
  </si>
  <si>
    <t>#14# pH 7.0, wild-type non-C4-NADP-ME isozyme &lt;58&gt;</t>
  </si>
  <si>
    <t>#14# mutant DelN/A339E of isoform nonC4-NADP-ME,  at pH 7.0 and 25°C &lt;133&gt;</t>
  </si>
  <si>
    <t>#14# mutant K225I, pH 8.0, 30°C &lt;30&gt;</t>
  </si>
  <si>
    <t>#14# wild type isoform C4-NADP-ME, at pH 7.0 and  25°C &lt;133&gt;</t>
  </si>
  <si>
    <t>#14# mutant E339A of isoform C4-NADP-ME, at pH  7.0 and 25°C &lt;133&gt;; #14# mutant L544F of isoform C4-NADP-ME, at pH 7.0 and 25°C &lt;133&gt;</t>
  </si>
  <si>
    <t>#14# mutant DelN/I140F/A339E of isoform  nonC4-NADP-ME, at pH 7.0 and 25°C &lt;133&gt;</t>
  </si>
  <si>
    <t>#14# mutant I140F/A339E of isoform nonC4-NADP-ME,  at pH 7.0 and 25°C &lt;133&gt;</t>
  </si>
  <si>
    <t>#14# pH 8.0, 30°C, reduced isozyme  ZmC4-NADP-ME, mutant C231A &lt;89&gt;; #131# pH 8.0, 30°C, mutant C231A &lt;89&gt;; #14# mutant A339E of isoform nonC4-NADP-ME, at pH 7.0 and 25°C &lt;133&gt;</t>
  </si>
  <si>
    <t>#131# recombinant enzyme, pH 7.0 &lt;34&gt;</t>
  </si>
  <si>
    <t>#131# mutant R237L, pH 7.0 &lt;34&gt;; #14# mutant  R237L, pH 8.0, 30°C &lt;30&gt;</t>
  </si>
  <si>
    <t>#131# wild-type enzyme, pH 7.0 &lt;34&gt;; #14#  wild-type enzyme, pH 8.0, 30°C &lt;30&gt;</t>
  </si>
  <si>
    <t>#14# pH 7.0, 30°C, oxidized isozyme  ZmC4-NADP-ME &lt;89&gt;; #131# pH 7.0, 30°C, wild-type, treated with diamide &lt;89&gt;</t>
  </si>
  <si>
    <t>#14# pH 8.0, 30°C, reduced isozyme  ZmC4-NADP-ME &lt;89&gt;; #131# pH 8.0, 30°C, wild-type, treated with dithiothreitol &lt;89&gt;</t>
  </si>
  <si>
    <t>#14# pH 8.0, 30°C, oxidized isozyme  ZmC4-NADP-ME &lt;89&gt;; #131# pH 8.0, 30°C, wild-type, treated with diamide &lt;89&gt;</t>
  </si>
  <si>
    <t>#14# pH 8.0, 30°C, reduced isozyme  ZmC4-NADP-ME, mutant C192A &lt;89&gt;; #131# pH 8.0, 30°C, mutant C192A &lt;89&gt;</t>
  </si>
  <si>
    <t>#14# pH 8.0, 30°C, reduced isozyme  ZmC4-NADP-ME, mutant C270A &lt;89&gt;; #131# pH 8.0, 30°C, mutant C270A &lt;89&gt;</t>
  </si>
  <si>
    <t>#14# pH 7.0, 30°C, reduced isozyme  ZmC4-NADP-ME &lt;89&gt;; #131# pH 7.0, 30°C, wild-type, treated with dithiothreitol &lt;89&gt;</t>
  </si>
  <si>
    <t>#131# wild-type enzyme, pH 7.0 &lt;34&gt;; #14#  wild-type enzyme, pH 8.0, 30°C &lt;30&gt;; #14# at pH 8.0, temperature not specified in the publication &lt;108&gt;; #139# pH 8.0, 70°C, recombinant wild-type enzyme &lt;112&gt;</t>
  </si>
  <si>
    <t>#14# mutant F140I of isoform C4-NADP-ME, at pH  7.0 and 25°C &lt;133&gt;</t>
  </si>
  <si>
    <t>#14# mutant I140F of isoform nonC4-NADP-ME, at  pH 7.0 and 25°C &lt;133&gt;</t>
  </si>
  <si>
    <t>#33# at pH 7.4 and 37°C &lt;132&gt;; #14# mutant DelN  of isoform nonC4-NADP-ME, at pH 7.0 and 25°C &lt;133&gt;; #14# wild type isoform nonC4-NADP-ME, at pH 7.0 and 25°C &lt;133&gt;</t>
  </si>
  <si>
    <t>#14# pH 7.0, wild-type C4-NADP-ME isozyme &lt;58&gt;;  #45# at pH 7.4 and 37°C &lt;132&gt;</t>
  </si>
  <si>
    <t>#18# pH 7.5, NADP-ME4 &lt;45&gt;; #18# pH 7.5, 30°C,  isozyme NADP-ME4 &lt;66&gt;</t>
  </si>
  <si>
    <t>#18# pH 7.0, 30°C, isozyme NADP-ME1 &lt;66&gt;</t>
  </si>
  <si>
    <t>#18# pH 7.0, 30°C, isozyme NADP-ME4 &lt;66&gt;</t>
  </si>
  <si>
    <t>#18# pH 7.5, NADP-ME1 &lt;45&gt;; #18# pH 7.5, 30°C,  isozyme NADP-ME1 &lt;66&gt;</t>
  </si>
  <si>
    <t>#18# pH 7.5, NADP-ME2 &lt;45&gt;; #18# pH 7.5, 30°C,  isozyme NADP-ME2 &lt;66&gt;</t>
  </si>
  <si>
    <t>#18# pH 7.0, 30°C, isozyme NADP-ME2 &lt;66&gt;</t>
  </si>
  <si>
    <t>#18# pH 7.0, 30°C, isozyme NADP-ME3 &lt;66&gt;</t>
  </si>
  <si>
    <t>#123# pH 7.5 &lt;70&gt;; #18# pH 7.5, NADP-ME3  &lt;45&gt;; #18# pH 7.5, 30°C, isozyme NADP-ME3 &lt;66&gt;</t>
  </si>
  <si>
    <t>#20# isozyme ME2, with NADPH and CO2, pH 7.4,  temperature not specified in the publication &lt;77&gt;; #20# pH and temperature not specified in the publication, recombinant isozyme ME2, in presence of 0.5 mM Mn2+ &lt;77&gt;</t>
  </si>
  <si>
    <t>#20# isozyme ME1, with NADPH and CO2, pH 7.4,  temperature not specified in the publication &lt;77&gt;; #20# pH and temperature not specified in the publication, recombinant isozyme ME1, in presence of 0.5 mM Mn2+ &lt;77&gt;</t>
  </si>
  <si>
    <t>#20# isozyme ME1, pH 7.4, temperature not  specified in the publication &lt;77&gt;; #20# pH and temperature not specified in the publication, recombinant isozyme ME1, in presence of 0.5 mM Mn2+ &lt;77&gt;</t>
  </si>
  <si>
    <t>#21# pH 7.5 &lt;6&gt;; #20# isozyme ME2, pH 7.4,  temperature not specified in the publication &lt;77&gt;; #20# pH and temperature not specified in the publication, recombinant isozyme ME2, in presence of 0.5 mM Mn2+ &lt;77&gt;</t>
  </si>
  <si>
    <t>#21# pH 8.5 &lt;6&gt;</t>
  </si>
  <si>
    <t>#21# pH 7.5 &lt;6&gt;</t>
  </si>
  <si>
    <t>#21# pH 6.5 &lt;6&gt;</t>
  </si>
  <si>
    <t>#23# pH 7.6-7.7, 25°C &lt;29&gt;</t>
  </si>
  <si>
    <t>#24# isozyme ME1, pH 7.4, temperature not  specified in the publication &lt;77&gt;; #24# pH and temperature not specified in the publication, recombinant isozyme ME1, in presence of 0.5 mM Mn2+ &lt;77&gt;</t>
  </si>
  <si>
    <t>#24# isozyme ME2, pH 7.4, temperature not  specified in the publication &lt;77&gt;; #24# pH and temperature not specified in the publication, recombinant isozyme ME2, in presence of 0.5 mM Mn2+ &lt;77&gt;</t>
  </si>
  <si>
    <t>#24# isozyme ME2, with NADPH and CO2, pH 7.4,  temperature not specified in the publication &lt;77&gt;; #24# pH and temperature not specified in the publication, recombinant isozyme ME2, in presence of 0.5 mM Mn2+ &lt;77&gt;</t>
  </si>
  <si>
    <t>#24# isozyme ME1, with NADPH and CO2, pH 7.4,  temperature not specified in the publication &lt;77&gt;; #24# pH and temperature not specified in the publication, recombinant isozyme ME1, in presence of 0.5 mM Mn2+ &lt;77&gt;</t>
  </si>
  <si>
    <t>#134# mutant enzyme N59E/E73K, at pH 7.4 and  30°C &lt;100&gt;</t>
  </si>
  <si>
    <t>#30# at pH 8.0 and 30°C &lt;120&gt;</t>
  </si>
  <si>
    <t>#31# at pH 8.0, temperature not specified in the  publication &lt;108&gt;</t>
  </si>
  <si>
    <t>#34# at pH 8.0, temperature not specified in the  publication &lt;108&gt;</t>
  </si>
  <si>
    <t>#35# 60°C, pH 8.0 &lt;48&gt;</t>
  </si>
  <si>
    <t>#35# pH 7.0, 60°C &lt;94&gt;; #134# mutant enzyme  E73K, at pH 7.4 and 30°C &lt;100&gt;</t>
  </si>
  <si>
    <t>#44# pH 7.4, 25°C, mutant enzyme D235A &lt;41&gt;</t>
  </si>
  <si>
    <t>#44# pH 7.4, 25°C, mutant enzyme D258A &lt;41&gt;</t>
  </si>
  <si>
    <t>#44# pH 7.4, 25°C, mutant enzyme D257A &lt;41&gt;</t>
  </si>
  <si>
    <t>#44# pH 7.4, 25°C, Mn2+-activated, wild-type  enzyme &lt;41&gt;</t>
  </si>
  <si>
    <t>#44# pH 7.4, 25°C, mutant enzyme E234A &lt;41&gt;;  #134# mutant enzyme S57K/N59E/E73K/S102D/H74K/D78P/D80E/D87G/D90E/K106S/Q121S/L125H, at pH 7.4 and 30°C &lt;100&gt;</t>
  </si>
  <si>
    <t>#46# at pH 7.0 and 30°C &lt;119&gt;</t>
  </si>
  <si>
    <t>#51# pH 4.5, 25°C, wild-type enzyme &lt;49&gt;</t>
  </si>
  <si>
    <t>#52# at 5.0 mM Mn2+ &lt;17&gt;</t>
  </si>
  <si>
    <t>#52# at 1.0 mM Mn2+ &lt;17&gt;</t>
  </si>
  <si>
    <t>#6# pH 7.5, recombinant MaeB &lt;55&gt;</t>
  </si>
  <si>
    <t>#62# at pH 7.5 and 33°C &lt;96&gt;</t>
  </si>
  <si>
    <t>#65# recombinant isozyme PtNADP-ME3, pH 7.5, 30°C  &lt;87&gt;</t>
  </si>
  <si>
    <t>#65# recombinant isozyme PtNADP-ME2, pH 7.5, 30°C  &lt;87&gt;</t>
  </si>
  <si>
    <t>#65# recombinant isozyme PtNADP-ME1, pH 7.5, 30°C  &lt;87&gt;</t>
  </si>
  <si>
    <t>#65# recombinant isozyme PtNADP-ME4, pH 7.5, 30°C  &lt;87&gt;</t>
  </si>
  <si>
    <t>#131# mutant A387G, pH 7.0 &lt;34&gt;; #69# pH 7.3,  30°C, isozyme 2 &lt;39&gt;</t>
  </si>
  <si>
    <t>#7# cytosolic enzyme &lt;18&gt;</t>
  </si>
  <si>
    <t>#7# mutant enzyme H142A, in 50 mM Tris-HCl, pH 7.4,  at 30°C &lt;71&gt;; #7# mutant enzyme H51A/D139A, in 50 mM Tris-HCl, pH 7.4, at 30°C &lt;71&gt;</t>
  </si>
  <si>
    <t>#7# mutant enzyme D568A, in 50 mM Tris-HCl, pH 7.4,  at 30°C &lt;71&gt;; #7# mutant enzyme W572A, in 50 mM Tris-HCl, pH 7.4, at 30°C &lt;71&gt;; #7# wild-type enzyme, pH 7.4, 30°C &lt;92&gt;</t>
  </si>
  <si>
    <t>#7# wild type enzyme, in 50 mM Tris-HCl, pH 7.4, at  30°C &lt;71&gt;</t>
  </si>
  <si>
    <t>#7# with NADP+ as cosubstrate &lt;22&gt;</t>
  </si>
  <si>
    <t>#7# mutants E314A/S346K/K347Y/K362H and  E314A/S346I/K347D/K362H, pH 7.4, 30°C &lt;92&gt;</t>
  </si>
  <si>
    <t>#7# wild type enzyme, in 50 mMTris-HCl (pH 7.4</t>
  </si>
  <si>
    <t>#7# mutant S346K/K347Y, pH 7.4, 30°C &lt;92&gt;</t>
  </si>
  <si>
    <t>#7# mutant S346K/K347Y/K362H, pH 7.4, 30°C &lt;92&gt;</t>
  </si>
  <si>
    <t>#7# mutant S347Y/K362Q, pH 7.4, 30°C &lt;92&gt;</t>
  </si>
  <si>
    <t>#7# mutant S346K/K347Y/K362Q, pH 7.4, 30°C &lt;92&gt;</t>
  </si>
  <si>
    <t>#7# mutant enzyme H142A/D568A, in 50 mM Tris-HCl,  pH 7.4, at 30°C &lt;71&gt;</t>
  </si>
  <si>
    <t>#7# mutant E314A/S346K/K347Y/K362Q, pH 7.4, 30°C &lt;92&gt;</t>
  </si>
  <si>
    <t>#7# mutant E314A/S346K/K347Y/K362H, pH 7.4, 30°C &lt;92&gt;</t>
  </si>
  <si>
    <t>#7# recombinant ME1, pH 7.4, temperature not  specified in the publication &lt;76&gt;</t>
  </si>
  <si>
    <t>#7# mutant enzyme H51A/D90A, in 50 mM Tris-HCl, pH  7.4, at 30°C &lt;71&gt;</t>
  </si>
  <si>
    <t>#7# mutant K362H, pH 7.4, 30°C &lt;92&gt;</t>
  </si>
  <si>
    <t>#7# mutant S346K, pH 7.4, 30°C &lt;92&gt;</t>
  </si>
  <si>
    <t>#7# mutant K347Y, pH 7.4, 30°C &lt;92&gt;</t>
  </si>
  <si>
    <t>#7# mutant E314A, pH 7.4, 30°C &lt;92&gt;</t>
  </si>
  <si>
    <t>#7# mutant E314A/S346K, pH 7.4, 30°C &lt;92&gt;</t>
  </si>
  <si>
    <t>#7# mutant enzyme H51A, in 50 mM Tris-HCl, pH 7.4,  at 30°C &lt;71&gt;</t>
  </si>
  <si>
    <t>#7# mutant K362H, pH 7.4, 30°C &lt;92&gt;; #7# mutant  S346K/K362Q, pH 7.4, 30°C &lt;92&gt;</t>
  </si>
  <si>
    <t>#7# mutant enzyme D90A, in 50 mM Tris-HCl, pH 7.4,  at 30°C &lt;71&gt;</t>
  </si>
  <si>
    <t>#7# mutant enzyme D139A, in 50 mM Tris-HCl, pH  7.4, at 30°C &lt;71&gt;</t>
  </si>
  <si>
    <t>#7# mutant K362Q, pH 7.4, 30°C &lt;92&gt;</t>
  </si>
  <si>
    <t>#7# mutant S346K/K362Q, pH 7.4, 30°C &lt;92&gt;</t>
  </si>
  <si>
    <t>#7# mutants S346K/K347Y/K362H and  E314A/S346I/K347D/K362H, pH 7.4, 30°C &lt;92&gt;</t>
  </si>
  <si>
    <t>#7# mutant S346I/K347D/K362H, pH 7.4, 30°C &lt;92&gt;</t>
  </si>
  <si>
    <t>#7# in 50 mM Tris-HCl (pH 7.4</t>
  </si>
  <si>
    <t>#7# wild-type enzyme, pH 7.4, 30°C &lt;92&gt;</t>
  </si>
  <si>
    <t>#7# with NAD+ as cosubstrate &lt;22&gt;</t>
  </si>
  <si>
    <t>#134# mutant enzyme S57K/N59E/E73K/S102D, at  pH 7.4 and 30°C &lt;100&gt;</t>
  </si>
  <si>
    <t>#35# 60°C, pH 8.0 &lt;48&gt;; #7# mutant E314A/S346K,  pH 7.4, 30°C &lt;92&gt;</t>
  </si>
  <si>
    <t>#131# mutant A392G, pH 7.0 &lt;34&gt;; #7# mutant  K347Y, pH 7.4, 30°C &lt;92&gt;; #65# recombinant isozyme PtNADP-ME5, pH 7.5, 30°C &lt;87&gt;</t>
  </si>
  <si>
    <t>#69# pH 7.3, 30°C, isozyme 2 &lt;39&gt;; #7# mutant  S346K, pH 7.4, 30°C &lt;92&gt;</t>
  </si>
  <si>
    <t>#70# pH 7.6, 25°C &lt;32&gt;</t>
  </si>
  <si>
    <t>#9# cytosolic enzyme &lt;9&gt;</t>
  </si>
  <si>
    <t>#9# mitochondrial enzyme &lt;9&gt;</t>
  </si>
  <si>
    <t>#91# recombinant NADP-ME2 &lt;46&gt;</t>
  </si>
  <si>
    <t>#2# recombinant enzyme, with  L-tyrosine as cosubstrate, in 10 mM phosphate buffer (pH 7.4</t>
  </si>
  <si>
    <t>#2# recombinant enzyme, in 10 mM phosphate  buffer (pH 7.4</t>
  </si>
  <si>
    <t>#3# apparent Km value, at pH 7.4, 37°C &lt;1&gt;</t>
  </si>
  <si>
    <t>#3# apparent Km value, with  L-leucine as cosubstrate, at pH 7.4, 37°C &lt;1&gt;</t>
  </si>
  <si>
    <t>#3# apparent Km value, at pH 7.4, 37°C  &lt;1&gt;</t>
  </si>
  <si>
    <t>#5# recombinant enzyme, pH  and temperature not specified in the publication &lt;2&gt;</t>
  </si>
  <si>
    <t>#5# recombinant enzyme, pH and temperature  not specified in the publication &lt;2&gt;</t>
  </si>
  <si>
    <t>#1# 25°C, recombinant His-tagged wild-type  catalytic subunit with recombinant His-tagged mutant modifier subunit C213S/C214S/C267S &lt;55&gt;</t>
  </si>
  <si>
    <t>#1# 25°C, recombinant His-tagged wild-type  enzyme &lt;55&gt;</t>
  </si>
  <si>
    <t>#1# 25°C, recombinant His-tagged wild-type  catalytic subunit &lt;55&gt;</t>
  </si>
  <si>
    <t>#13# L-Glu &lt;32&gt;</t>
  </si>
  <si>
    <t>#14# pH 7, mutant enzyme C364S &lt;94&gt;</t>
  </si>
  <si>
    <t>#14# pH 7, wild-type enzyme &lt;94&gt;</t>
  </si>
  <si>
    <t>#14# pH 7, mutant enzyme C102S &lt;94&gt;</t>
  </si>
  <si>
    <t>#14# pH 7, mutant enzyme C251S &lt;94&gt;</t>
  </si>
  <si>
    <t>#14# pH 7, mutant enzyme C349S &lt;94&gt;</t>
  </si>
  <si>
    <t>#18# above, mutant Q321A, pH 8.0, 37°C, in presence of  Mg2+ &lt;52&gt;</t>
  </si>
  <si>
    <t>#18# mutant R487A, pH 8.0, 37°C &lt;41&gt;</t>
  </si>
  <si>
    <t>#18# mutant T323A, pH 8.0, 37°C &lt;41&gt;</t>
  </si>
  <si>
    <t>#18# wild-type enzyme, pH 8.0, 37°C, in presence of  Mn2+ &lt;52&gt;</t>
  </si>
  <si>
    <t>#18# mutant R491A, pH 8.0, 37°C &lt;41&gt;</t>
  </si>
  <si>
    <t>#18# wild-type enzyme, pH 8.0, 37°C, in presence  of Mn2+ &lt;52&gt;</t>
  </si>
  <si>
    <t>#18# mutant E489A, pH 8.0, 37°C, in presence of Mg2+  &lt;52&gt;</t>
  </si>
  <si>
    <t>#18# mutant R179A, pH 8.0, 37°C &lt;41&gt;</t>
  </si>
  <si>
    <t>#18# wild-type enzyme and mutant C319A, pH 8.0, 37°C  &lt;50&gt;</t>
  </si>
  <si>
    <t>#18# mutant R366A, pH 8.0, 37°C &lt;41&gt;</t>
  </si>
  <si>
    <t>#18# wild-type enzyme, pH 8.0, 37°C,  in presence of Mg2+ &lt;52&gt;; #18# wild-type, pH 8.0, 37°C &lt;41&gt;</t>
  </si>
  <si>
    <t>#18# mutant E93A, pH 8.0, 37°C, in presence of Mg2+  &lt;52&gt;</t>
  </si>
  <si>
    <t>#18# mutant Q321A, pH 8.0, 37°C, in presence of Mn2+  &lt;52&gt;; #18# mutant R487A, pH 8.0, 37°C &lt;41&gt;</t>
  </si>
  <si>
    <t>#18# mutant E489A, pH 8.0, 37°C, in presence  of Mn2+ &lt;52&gt;</t>
  </si>
  <si>
    <t>#18# wild-type enzyme, pH 8.0, 37°C, in presence of  Mg2+ &lt;52&gt;; #18# wild-type, pH 8.0, 37°C &lt;41&gt;</t>
  </si>
  <si>
    <t>#18# mutant E489A, pH 8.0, 37°C, in presence  of Mg2+ &lt;52&gt;; #18# mutant Q321A, pH 8.0, 37°C, in presence of Mn2+ &lt;52&gt;</t>
  </si>
  <si>
    <t>#18# wild-type enzyme, pH 8.0, 37°C  &lt;50&gt;</t>
  </si>
  <si>
    <t>#18# mutant Q321A, pH 8.0, 37°C, in  presence of Mn2+ &lt;52&gt;</t>
  </si>
  <si>
    <t>#18# wild-type enzyme, pH 8.0, 37°C &lt;41&gt;</t>
  </si>
  <si>
    <t>#18# wild-type enzyme, pH 8.0, 37°C &lt;50&gt;</t>
  </si>
  <si>
    <t>#18# wild-type enzyme, pH 8.0, 37°C,  in presence of Mn2+ &lt;52&gt;</t>
  </si>
  <si>
    <t>#18# mutant E489A, pH 8.0, 37°C, in  presence of Mg2+ &lt;52&gt;; #18# mutant R487A, pH 8.0, 37°C &lt;41&gt;</t>
  </si>
  <si>
    <t>#18# mutant R474A, pH 8.0, 37°C &lt;41&gt;</t>
  </si>
  <si>
    <t>#18# mutant T323A, pH 8.0, 37°C  &lt;41&gt;</t>
  </si>
  <si>
    <t>#18# mutant Q321A, pH 8.0, 37°C, in  presence of Mg2+ &lt;52&gt;</t>
  </si>
  <si>
    <t>#18# mutant C319A, pH 8.0, 37°C &lt;50&gt;</t>
  </si>
  <si>
    <t>#18# mutant C319A, pH 8.0, 37°C  &lt;50&gt;</t>
  </si>
  <si>
    <t>#18# mutant E489A, pH 8.0, 37°C, in  presence of Mn2+ &lt;52&gt;</t>
  </si>
  <si>
    <t>#18# mutant R179A, pH 8.0, 37°C  &lt;41&gt;</t>
  </si>
  <si>
    <t>#18# mutant R474A, pH 8.0, 37°C &lt;41&gt;; #35# in  the absence of Cd2+, pH and temperature not specified in the publication &lt;177&gt;</t>
  </si>
  <si>
    <t>#48# strain B &lt;35&gt;; #18# mutant E489A, pH 8.0,  37°C, in presence of Mn2+ &lt;52&gt;</t>
  </si>
  <si>
    <t>#48# strain KM &lt;35&gt;; #18# mutant T323A, pH  8.0, 37°C &lt;41&gt;</t>
  </si>
  <si>
    <t>#18# wild-type enzyme, pH 8.0, 37°C, in  presence of Mg2+ &lt;52&gt;; #18# wild-type, pH 8.0, 37°C &lt;41&gt;</t>
  </si>
  <si>
    <t>#18# mutant E93A, pH 8.0, 37°C, in presence  of Mg2+ &lt;52&gt;; #78# pH 8.5, 40°C, recombinant His-tagged enzyme &lt;155&gt;</t>
  </si>
  <si>
    <t>#2# at pH 8.2 and 37°C &lt;170&gt;</t>
  </si>
  <si>
    <t>#2# 37°C, pH 7.2, holoenzyme &lt;64,71&gt;</t>
  </si>
  <si>
    <t>#2# 37°C, pH 7.2, catalytic subunit GCLC  &lt;64,71&gt;</t>
  </si>
  <si>
    <t>#2# 37°C, pH 7.2, catalytic subunit GCLC &lt;64,71&gt;</t>
  </si>
  <si>
    <t>#18# mutant Q321A, pH 8.0, 37°C, in  presence of Mg2+ &lt;52&gt;; #18# mutant R474A, pH 8.0, 37°C &lt;41&gt;; #2# 37°C, pH 7.2, catalytic subunit GCLC &lt;64,71&gt;</t>
  </si>
  <si>
    <t>#46# pH 8.2, 25°C &lt;73&gt;; #2# 37°C, pH 7.2,  holoenzyme &lt;64,71&gt;</t>
  </si>
  <si>
    <t>#3# pH 8.0, 25°C, mutant  C106S,C164S,C205S,C223S,C357S,C433S,C439S &lt;151&gt;; #3# pH 8.0, 25°C, mutant C106S/C164S/C205S/C223S/C357S/C372S/C395S/C433S/C439S/S372C/S395Y &lt;151&gt;</t>
  </si>
  <si>
    <t>#3# pH 8.0, 25°C, mutant  C106S/C164S/C205S/C223S/C357S/C372S/C395S/C433S/C439S/R374Q/V375F &lt;151&gt;</t>
  </si>
  <si>
    <t>#3# pH 8.0, 25°C, mutant  C106S/C164S/C205S/C223S/C357S/C372S/C395S/C433S/C439S/C372S/S395W &lt;151&gt;</t>
  </si>
  <si>
    <t>#3# pH 8.0, 25°C, mutant  C106S,C164S,C205S,C223S,C357S,C433S,C439S, in presence of DTT &lt;151&gt;</t>
  </si>
  <si>
    <t>#3# pH 8.0, 25°C, mutant  C106S,C164S,C205S,C223S,C357S,C433S,C439S &lt;151&gt;; #3# pH 8.0, 25°C, mutant C106S/C164S/C205S/C223S/C357S/C372S/C395S/C433S/C439S/R374Q/V375F &lt;151&gt;</t>
  </si>
  <si>
    <t>#3# pH 8.0, 25°C, wild-type enzyme &lt;151&gt;</t>
  </si>
  <si>
    <t>#3# pH 8.0, 25°C, mutant  C106S/C164S/C205S/C223S/C357S/C372S/C395S/C433S/C439S/R374Q/V375F &lt;151&gt;; #3# pH 8.0, 25°C, wild-type enzyme, in presence of DTT &lt;151&gt;</t>
  </si>
  <si>
    <t>#3# strain KM &lt;1&gt;</t>
  </si>
  <si>
    <t>#3# pH 8.0, 25°C, mutant  C106S,C164S,C205S,C223S,C357S,C433S,C439S &lt;151&gt;</t>
  </si>
  <si>
    <t>#3# pH 8.0, 25°C, wild-type enzyme &lt;151&gt;; #3#  pH 8.0, 25°C, mutant C106S,C164S,C205S,C223S,C357S,C433S,C439S, in presence of DTT &lt;151&gt;</t>
  </si>
  <si>
    <t>#3# pH 8.0, 25°C, wild-type enzyme, in presence of  DTT &lt;151&gt;</t>
  </si>
  <si>
    <t>#3# pH 8.0, 25°C, mutant  C106S/C164S/C205S/C223S/C357S/C372S/C395S/C433S/C439S/S372C/S395Y &lt;151&gt;</t>
  </si>
  <si>
    <t>#3# pH 8.0, 25°C, wild-type enzyme, in  presence of DTT &lt;151&gt;</t>
  </si>
  <si>
    <t>#3# strain W &lt;1&gt;; #4# wild-type, catalytic subunit,  pH 8.0, 37°C &lt;144&gt;</t>
  </si>
  <si>
    <t>#3# strain W &lt;1&gt;; #4# recombinant wild-type  holoenzyme, pH 8.0, 37°C &lt;39&gt;</t>
  </si>
  <si>
    <t>#3# strain W &lt;1&gt;</t>
  </si>
  <si>
    <t>#5# L-Cys &lt;33&gt;; #5# ATP, holoenzyme and recombinant  heavy subunit &lt;5,16&gt;; #3# strain KM &lt;1&gt;</t>
  </si>
  <si>
    <t>#3# strain KM &lt;1&gt;; #5# L-Glu,  holoenzyme &lt;33&gt;; #5# L-Glu, kidney enzyme &lt;27&gt;</t>
  </si>
  <si>
    <t>#32# mutant enzyme L267M, at pH 7.0 and 37°C &lt;182&gt;</t>
  </si>
  <si>
    <t>#32# wild type enzyme, at pH 7.0 and 37°C  &lt;182&gt;</t>
  </si>
  <si>
    <t>#32# mutant enzyme F308L, at pH 7.0 and 37°C  &lt;182&gt;</t>
  </si>
  <si>
    <t>#32# mutant enzyme F308L, at pH 7.0 and 37°C &lt;182&gt;</t>
  </si>
  <si>
    <t>#32# mutant enzyme L267M, at pH 7.0 and 37°C  &lt;182&gt;</t>
  </si>
  <si>
    <t>#32# wild type enzyme, at pH 7.0 and 37°C &lt;182&gt;</t>
  </si>
  <si>
    <t>#32# mutant enzyme F308L at pH 7.0 and 37°C  &lt;182&gt;</t>
  </si>
  <si>
    <t>#32# mutant enzyme W233F, at pH 7.0 and 37°C &lt;182&gt;</t>
  </si>
  <si>
    <t>#32# mutant enzyme W233F, at pH 7.0 and 37°C  &lt;182&gt;</t>
  </si>
  <si>
    <t>#32# mutant enzyme L267M at pH 7.0 and 37°C  &lt;182&gt;</t>
  </si>
  <si>
    <t>#49# 37°C &lt;74&gt;</t>
  </si>
  <si>
    <t>#35# in the absence of Cd2+, pH and  temperature not specified in the publication &lt;177&gt;</t>
  </si>
  <si>
    <t>#35# in the presence of 0.1 mM Cd2+, pH and  temperature not specified in the publication &lt;177&gt;</t>
  </si>
  <si>
    <t>#40# pH 8.4, 25°C &lt;76&gt;</t>
  </si>
  <si>
    <t>#38# pH 8.2 &lt;134&gt;</t>
  </si>
  <si>
    <t>#39# pH 8.4, 37°C, mutant enzyme D520stop &lt;84&gt;</t>
  </si>
  <si>
    <t>#39# pH 8.4, 37°C, mutant enzyme K526A &lt;84&gt;</t>
  </si>
  <si>
    <t>#39# pH 8.4, 37°C, mutant enzyme G441stop &lt;84&gt;</t>
  </si>
  <si>
    <t>#39# pH 8.4, 37°C, mutant enzyme R508stop &lt;84&gt;</t>
  </si>
  <si>
    <t>#39# pH 8.4, 37°C, mutant enzyme E494stop &lt;84&gt;; #39#  pH 8.4, 37°C, mutant enzyme G441stop &lt;84&gt;</t>
  </si>
  <si>
    <t>#39# pH 8.4, 37°C, mutant enzyme H144A &lt;84&gt;</t>
  </si>
  <si>
    <t>#39# pH 8.4, 37°C, mutant enzyme Y464stop &lt;84&gt;</t>
  </si>
  <si>
    <t>#39# pH 8.4, 37°C, mutant enzyme E494stop &lt;84&gt;</t>
  </si>
  <si>
    <t>#4# mutant R127C, catalytic subunit, pH 8.0, 37°C  &lt;144&gt;</t>
  </si>
  <si>
    <t>#4# mutant H370L, CGL holoenzyme, pH 8.0, 37°C  &lt;144&gt;</t>
  </si>
  <si>
    <t>#4# mutant P138L, CGL holoenzyme, pH 8.0, 37°C &lt;144&gt;</t>
  </si>
  <si>
    <t>#4# mutant H370L, CGL holoenzyme, pH 8.0, 37°C &lt;144&gt;</t>
  </si>
  <si>
    <t>#4# pH 8.2, 37°C &lt;60&gt;</t>
  </si>
  <si>
    <t>#4# holoenzyme, pH 8.0, 37°C &lt;126&gt;</t>
  </si>
  <si>
    <t>#4# mutant R127C, CGL holoenzyme, pH 8.0, 37°C &lt;144&gt;</t>
  </si>
  <si>
    <t>#4# recombinant catalytic subunit, pH 8.0, 37°C  &lt;37&gt;; #4# recombinant mutant C553G holoenzyme, pH 8.0, 37°C &lt;39&gt;</t>
  </si>
  <si>
    <t>#4# recombinant catalytic subunit, pH  8.0, 37°C &lt;37&gt;</t>
  </si>
  <si>
    <t>#4# wild-type, CGL holoenzyme, pH 8.0, 37°C &lt;144&gt;</t>
  </si>
  <si>
    <t>#4# holoenzyme &lt;35&gt;; #4# pH 8.2, 37°C &lt;60&gt;</t>
  </si>
  <si>
    <t>#4# mutant R127C, CGL holoenzyme, pH 8.0, 37°C  &lt;144&gt;</t>
  </si>
  <si>
    <t>#4# mutant R127C, pH 8.0, 37°C &lt;45&gt;</t>
  </si>
  <si>
    <t>#4# recombinant mutant C553G holoenzyme, pH 8.0, 37°C  &lt;39&gt;</t>
  </si>
  <si>
    <t>#4# catalytic subunit, pH 8.0, 37°C &lt;126&gt;</t>
  </si>
  <si>
    <t>#4# recombinant holoenzyme, pH 8.0, 37°C &lt;37&gt;;  #4# recombinant wild-type holoenzyme, pH 8.0, 37°C &lt;39&gt;</t>
  </si>
  <si>
    <t>#4# mutant P138L, catalytic subunit, pH 8.0, 37°C  &lt;144&gt;</t>
  </si>
  <si>
    <t>#4# mutant P414L, catalytic subunit, pH 8.0, 37°C  &lt;144&gt;</t>
  </si>
  <si>
    <t>#4# heavy subunit &lt;35&gt;</t>
  </si>
  <si>
    <t>#4# mutant P138L, CGL holoenzyme, pH 8.0, 37°C  &lt;144&gt;</t>
  </si>
  <si>
    <t>#4# catalytic subunit, pH 8.0, 37°C  &lt;126&gt;</t>
  </si>
  <si>
    <t>#4# recombinant mutant C553G holoenzyme, pH  8.0, 37°C &lt;39&gt;</t>
  </si>
  <si>
    <t>#4# mutant R127C, catalytic subunit, pH 8.0, 37°C  &lt;144&gt;; #4# mutant R127C, CGL holoenzyme, pH 8.0, 37°C &lt;144&gt;</t>
  </si>
  <si>
    <t>#4# recombinant catalytic subunit, pH 8.0, 37°C  &lt;37&gt;</t>
  </si>
  <si>
    <t>#4# recombinant holoenzyme, pH 8.0, 37°C  &lt;37&gt;</t>
  </si>
  <si>
    <t>#4# recombinant wild-type holoenzyme, pH  8.0, 37°C &lt;39&gt;</t>
  </si>
  <si>
    <t>#4# wild-type, catalytic subunit, pH 8.0, 37°C  &lt;144&gt;</t>
  </si>
  <si>
    <t>#4# wild-type enzyme, pH 8.0, 37°C  &lt;45&gt;</t>
  </si>
  <si>
    <t>#4# wild-type, catalytic subunit, pH 8.0, 37°C &lt;144&gt;</t>
  </si>
  <si>
    <t>#4# wild-type enzyme, pH 8.0, 37°C &lt;45&gt;</t>
  </si>
  <si>
    <t>#4# holoenzyme &lt;35&gt;</t>
  </si>
  <si>
    <t>#47# wild-type, pH 8.0 &lt;125&gt;; #4# mutant P138L,  CGL holoenzyme, pH 8.0, 37°C &lt;144&gt;; #4# mutant P414L, catalytic subunit, pH 8.0, 37°C &lt;144&gt;</t>
  </si>
  <si>
    <t>#48# strain W &lt;35&gt;; #4# holoenzyme &lt;35&gt;; #4#  pH 8.2, 37°C &lt;60&gt;</t>
  </si>
  <si>
    <t>#48# strain W &lt;35&gt;; #4# recombinant  holoenzyme, pH 8.0, 37°C &lt;37&gt;</t>
  </si>
  <si>
    <t>#46# pH 8.2, 25°C &lt;73&gt;; #46# 25°C, pH 8.2 &lt;73&gt;</t>
  </si>
  <si>
    <t>#46# 25°C, pH 8.2 &lt;73&gt;</t>
  </si>
  <si>
    <t>#46# pH 8.2, 25°C &lt;73&gt;</t>
  </si>
  <si>
    <t>#47# wild-type, pH 8.0 &lt;125&gt;</t>
  </si>
  <si>
    <t>#47# mutant C266A, pH 8.0 &lt;125&gt;</t>
  </si>
  <si>
    <t>#47# mutant C266S, pH 8.0 &lt;125&gt;</t>
  </si>
  <si>
    <t>#48# strain B &lt;35&gt;</t>
  </si>
  <si>
    <t>#48# strain B &lt;35&gt;; #73# pH 7.5, 25°C,  mutant R167K &lt;152&gt;</t>
  </si>
  <si>
    <t>#5# enzyme from embryo homogenate and from  visceral yolk sac homogenate &lt;80&gt;</t>
  </si>
  <si>
    <t>#5# recombinant heavy subunit &lt;33&gt;</t>
  </si>
  <si>
    <t>#5# 2-aminobutanoate, kidney enzyme  &lt;27&gt;; #5# L-Glu, liver enzyme &lt;27&gt;</t>
  </si>
  <si>
    <t>#5# enzyme from embryo homogenate &lt;80&gt;</t>
  </si>
  <si>
    <t>#5# catalytic subunit &lt;48&gt;; #5# heavy subunit  &lt;35&gt;</t>
  </si>
  <si>
    <t>#5# enzyme from visceral yolk sac homogenate  &lt;80&gt;</t>
  </si>
  <si>
    <t>#5# liver enzyme &lt;27&gt;</t>
  </si>
  <si>
    <t>#19# GTP &lt;9&gt;</t>
  </si>
  <si>
    <t>#5,19# L-2-aminobutanoate &lt;9,33&gt;</t>
  </si>
  <si>
    <t>#5# holoenzyme &lt;35&gt;</t>
  </si>
  <si>
    <t>#5# holoenzyme &lt;35,48&gt;</t>
  </si>
  <si>
    <t>#48# strain KM &lt;35&gt;; #5# heavy subunit and  holoenzyme &lt;35&gt;</t>
  </si>
  <si>
    <t>#51# wild type enzyme, at pH 7.0, temperature  not specified in the publication &lt;172&gt;</t>
  </si>
  <si>
    <t>#51# pH 7.0, 25°C, mutant DELTA85 &lt;69&gt;</t>
  </si>
  <si>
    <t>#51# wild type enzyme, at pH 7.0, temperature not  specified in the publication &lt;172&gt;</t>
  </si>
  <si>
    <t>#57# pH 8.0, 37°C &lt;58&gt;</t>
  </si>
  <si>
    <t>#61# 37°C &lt;74&gt;</t>
  </si>
  <si>
    <t>#73# pH 7.5, 25°C, mutant H121A &lt;152&gt;</t>
  </si>
  <si>
    <t>#73# pH 7.5, 25°C, wild-type enzyme &lt;152&gt;</t>
  </si>
  <si>
    <t>#73# pH 7.5, 25°C, mutant T117S &lt;152&gt;</t>
  </si>
  <si>
    <t>#73# pH 7.5, 25°C, mutant R167K &lt;152&gt;</t>
  </si>
  <si>
    <t>#73# pH 7.5, 25°C, mutant H121Q &lt;152&gt;</t>
  </si>
  <si>
    <t>#73# pH 7.5, 25°C, mutant R248K &lt;152&gt;</t>
  </si>
  <si>
    <t>#77# pH 8.5, 40°C, recombinant His-tagged  enzyme &lt;155&gt;</t>
  </si>
  <si>
    <t>#77# pH 8.5, 40°C, recombinant His-tagged enzyme  &lt;155&gt;</t>
  </si>
  <si>
    <t>#78# pH 8.5, 40°C, recombinant His-tagged enzyme  &lt;155&gt;</t>
  </si>
  <si>
    <t>#79# pH 8.0, 15°C, recombinant enzyme  &lt;157&gt;; #78# pH 8.5, 40°C, recombinant His-tagged enzyme &lt;155&gt;</t>
  </si>
  <si>
    <t>#79# pH 8.0, 15°C, recombinant enzyme &lt;157&gt;</t>
  </si>
  <si>
    <t>R</t>
  </si>
  <si>
    <t>alpha-aminomethyl</t>
  </si>
  <si>
    <t>#55# pH 7.8, 10°C, recombinant enzyme, ATPase  activity &lt;90&gt;</t>
  </si>
  <si>
    <t>#25# mutant enzyme T23S, at pH 7.0 and 37°C &lt;106&gt;</t>
  </si>
  <si>
    <t>#25# mutant enzyme M239L, at pH 7.0 and 37°C &lt;106&gt;</t>
  </si>
  <si>
    <t>#25# wild type enzyme, at pH  7.0 and 37°C &lt;106&gt;</t>
  </si>
  <si>
    <t>#25# mutant enzyme A170G, at  pH 7.0 and 37°C &lt;106&gt;</t>
  </si>
  <si>
    <t>#25# mutant enzyme M239L, at pH 7.0 and 37°C  &lt;106&gt;</t>
  </si>
  <si>
    <t>#25# mutant enzyme A170G, at pH 7.0 and 37°C &lt;106&gt;</t>
  </si>
  <si>
    <t>#25# mutant enzyme T23S, at  pH 7.0 and 37°C &lt;106&gt;</t>
  </si>
  <si>
    <t>#25# wild type enzyme, at pH 7.0 and 37°C &lt;106&gt;</t>
  </si>
  <si>
    <t>#25# mutant enzyme A170G, at pH 7.0 and 37°C  &lt;106&gt;</t>
  </si>
  <si>
    <t>#25# mutant enzyme M239L, at  pH 7.0 and 37°C &lt;106&gt;</t>
  </si>
  <si>
    <t>#27# pH 8.2, 37°C &lt;85&gt;</t>
  </si>
  <si>
    <t>#27# pH 8.2, temperature not specified in the  publication &lt;85&gt;</t>
  </si>
  <si>
    <t>#29# mutant enzyme D448A, in 150 mM  Tris-HCl buffer, pH 8.4, 100 mM KCl, 40 mM MgCl2, 0.3 mM EDTA &lt;64&gt;; #29# mutant enzyme K526A, in 150 mM Tris-HCl buffer, pH 8.4, 100 mM KCl, 40 mM MgCl2, 0.3 mM EDTA &lt;64&gt;</t>
  </si>
  <si>
    <t>#29# mutant enzyme K489A, in 150 mM  Tris-HCl buffer, pH 8.4, 100 mM KCl, 40 mM MgCl2, 0.3 mM EDTA &lt;64&gt;</t>
  </si>
  <si>
    <t>#29# mutant enzyme K489A, in 150 mM Tris-HCl buffer, pH  8.4, 100 mM KCl, 40 mM MgCl2, 0.3 mM EDTA &lt;64&gt;</t>
  </si>
  <si>
    <t>#29# mutant enzyme D448A, in 150 mM Tris-HCl buffer,  pH 8.4, 100 mM KCl, 40 mM MgCl2, 0.3 mM EDTA &lt;64&gt;</t>
  </si>
  <si>
    <t>#29# mutant enzyme K489A, in 150 mM Tris-HCl buffer,  pH 8.4, 100 mM KCl, 40 mM MgCl2, 0.3 mM EDTA &lt;64&gt;</t>
  </si>
  <si>
    <t>#29# mutant enzyme K526A, in 150 mM Tris-HCl buffer,  pH 8.4, 100 mM KCl, 40 mM MgCl2, 0.3 mM EDTA &lt;64&gt;</t>
  </si>
  <si>
    <t>#29# mutant enzyme K526A &lt;64&gt;</t>
  </si>
  <si>
    <t>#29# wild type enzyme &lt;64&gt;; #32# inTris-HCl buffer  (200 mM, pH 8.2</t>
  </si>
  <si>
    <t>#32# inTris-HCl buffer (200 mM, pH 8.2</t>
  </si>
  <si>
    <t>#32# pH 8.2, 25°C &lt;60&gt;</t>
  </si>
  <si>
    <t>#40# pH 8.0, 30°C, with Gly as  cosubstrate &lt;56&gt;</t>
  </si>
  <si>
    <t>#40# pH 8.0, 30°C &lt;56&gt;</t>
  </si>
  <si>
    <t>#41# 37°C &lt;57&gt;</t>
  </si>
  <si>
    <t>#42# pH 8.0, 30°C &lt;56&gt;</t>
  </si>
  <si>
    <t>#43# pH 8.0, 30°C, with beta-Ala as  cosubstrate &lt;56&gt;</t>
  </si>
  <si>
    <t>#43# pH 8.0, 30°C &lt;56&gt;</t>
  </si>
  <si>
    <t>#44# pH 8.0, 30°C, with Gly as cosubstrate  &lt;56&gt;</t>
  </si>
  <si>
    <t>#44# pH 8.0, 30°C &lt;56&gt;</t>
  </si>
  <si>
    <t>#47# 25°C, pH 7.5 &lt;58&gt;; #47# wild type enzyme, at  25°C in 100 mM HEPES (pH 7.5</t>
  </si>
  <si>
    <t>#47# mutant enzyme Q226A, at 25°C in 100 mM HEPES  (pH 7.5</t>
  </si>
  <si>
    <t>#47# mutant enzyme S153A, at 25°C in 100  mM HEPES (pH 7.5</t>
  </si>
  <si>
    <t>#47# mutant enzyme R454A, at 25°C in 100 mM HEPES (pH  7.5</t>
  </si>
  <si>
    <t>#47# mutant enzyme E220Q, at 25°C in 100 mM HEPES (pH  7.5</t>
  </si>
  <si>
    <t>#47# mutant enzyme K456M, at 25°C in 100 mM HEPES (pH  7.5</t>
  </si>
  <si>
    <t>#47# mutant enzyme R132K, at 25°C in 100 mM HEPES  (pH 7.5</t>
  </si>
  <si>
    <t>#47# mutant enzyme S155A, at 25°C in 100  mM HEPES (pH 7.5</t>
  </si>
  <si>
    <t>#47# mutant enzyme R454A, at 25°C in 100  mM HEPES (pH 7.5</t>
  </si>
  <si>
    <t>#47# mutant enzyme E371Q, at 25°C in 100 mM HEPES  (pH 7.5</t>
  </si>
  <si>
    <t>#47# 25°C, pH 7.5 &lt;58&gt;; #47# wild type  enzyme, at 25°C in 100 mM HEPES (pH 7.5</t>
  </si>
  <si>
    <t>#47# mutant enzyme R454K, at 25°C in 100 mM HEPES  (pH 7.5</t>
  </si>
  <si>
    <t>#47# mutant enzyme S153A, at 25°C in 100 mM HEPES (pH  7.5</t>
  </si>
  <si>
    <t>#47# mutant enzyme Q226A, at 25°C in 100  mM HEPES (pH 7.5</t>
  </si>
  <si>
    <t>#47# mutant enzyme S153A, at 25°C in 100 mM HEPES  (pH 7.5</t>
  </si>
  <si>
    <t>#47# mutant enzyme E371Q, at 25°C in 100 mM HEPES (pH  7.5</t>
  </si>
  <si>
    <t>#47# mutant enzyme R454K, at 25°C in 100  mM HEPES (pH 7.5</t>
  </si>
  <si>
    <t>#47# mutant enzyme R274K, at 25°C in 100 mM HEPES  (pH 7.5</t>
  </si>
  <si>
    <t>#47# mutant enzyme Q226A, at 25°C in 100 mM HEPES (pH  7.5</t>
  </si>
  <si>
    <t>#47# mutant enzyme R132K, at 25°C in 100  mM HEPES (pH 7.5</t>
  </si>
  <si>
    <t>#47# mutant enzyme Q226N, at 25°C in 100 mM HEPES  (pH 7.5</t>
  </si>
  <si>
    <t>#47# mutant enzyme E220Q, at 25°C in 100  mM HEPES (pH 7.5</t>
  </si>
  <si>
    <t>#47# mutant enzyme R454K, at 25°C in 100 mM HEPES (pH  7.5</t>
  </si>
  <si>
    <t>#47# mutant enzyme R274K, at 25°C in 100 mM HEPES (pH  7.5</t>
  </si>
  <si>
    <t>#47# mutant enzyme E371Q, at 25°C in 100  mM HEPES (pH 7.5</t>
  </si>
  <si>
    <t>#47# mutant enzyme N376A, at 25°C in 100  mM HEPES (pH 7.5</t>
  </si>
  <si>
    <t>#47# mutant enzyme N376A, at 25°C in 100 mM HEPES  (pH 7.5</t>
  </si>
  <si>
    <t>#47# mutant enzyme S155A, at 25°C in 100 mM HEPES  (pH 7.5</t>
  </si>
  <si>
    <t>#47# mutant enzyme N376A, at 25°C in 100 mM HEPES (pH  7.5</t>
  </si>
  <si>
    <t>#47# mutant enzyme Q226N, at 25°C in 100 mM HEPES (pH  7.5</t>
  </si>
  <si>
    <t>#47# mutant enzyme Q226N, at 25°C in 100  mM HEPES (pH 7.5</t>
  </si>
  <si>
    <t>#47# mutant enzyme E220A, at 25°C in 100  mM HEPES (pH 7.5</t>
  </si>
  <si>
    <t>#47# mutant enzyme K456M, at 25°C in 100  mM HEPES (pH 7.5</t>
  </si>
  <si>
    <t>#47# mutant enzyme K456M, at 25°C in 100 mM HEPES  (pH 7.5</t>
  </si>
  <si>
    <t>#47# mutant enzyme E220A, at 25°C in 100 mM HEPES (pH  7.5</t>
  </si>
  <si>
    <t>#47# mutant enzyme R132K, at 25°C in 100 mM HEPES (pH  7.5</t>
  </si>
  <si>
    <t>#47# mutant enzyme R274K, at 25°C in 100  mM HEPES (pH 7.5</t>
  </si>
  <si>
    <t>#52# mutant enzyme L188P &lt;54&gt;; #47# mutant enzyme  S155A, at 25°C in 100 mM HEPES (pH 7.5</t>
  </si>
  <si>
    <t>#47# 25°C, pH 7.5 &lt;58&gt;; #52# mutant enzyme D219G  &lt;54&gt;; #47# wild type enzyme, at 25°C in 100 mM HEPES (pH 7.5</t>
  </si>
  <si>
    <t>#47# mutant enzyme E220A, at 25°C in 100 mM HEPES  (pH 7.5</t>
  </si>
  <si>
    <t>#5# mutant with a nicked loop &lt;24&gt;</t>
  </si>
  <si>
    <t>#5# loopless mutant &lt;24,35&gt;</t>
  </si>
  <si>
    <t>#5# wild-type enzyme &lt;24,35&gt;</t>
  </si>
  <si>
    <t>#5# gamma-Glu-Cys, wild-type enzyme &lt;24,35&gt;</t>
  </si>
  <si>
    <t>#50# pH 7.5, 25°C, wild-type enzyme &lt;88&gt;</t>
  </si>
  <si>
    <t>#50# pH 7.5, 25°C, wild-type  enzyme &lt;88&gt;</t>
  </si>
  <si>
    <t>#52# mutant enzyme P314L &lt;54&gt;; #52# mutant enzyme  Y270C &lt;54&gt;</t>
  </si>
  <si>
    <t>#52# mutant enzyme D219G &lt;54&gt;</t>
  </si>
  <si>
    <t>#52# mutant enzyme Y270H &lt;54&gt;</t>
  </si>
  <si>
    <t>#52# mutant enzyme R283C &lt;54&gt;</t>
  </si>
  <si>
    <t>#52# wild-type enzyme &lt;54&gt;; #52# wild-type enzyme, pH  8.2, 37°C &lt;50&gt;</t>
  </si>
  <si>
    <t>#52# mutant K305E, pH 8.2, 37°C &lt;50&gt;</t>
  </si>
  <si>
    <t>#52# mutant K305A, pH 8.2, 37°C &lt;50&gt;</t>
  </si>
  <si>
    <t>#52# pH 8.2, 37°C, D458R  &lt;87&gt;</t>
  </si>
  <si>
    <t>#52# mutant enzyme Y270C &lt;54&gt;</t>
  </si>
  <si>
    <t>#52# pH 8.2, 37°C, wild-type  enzyme &lt;87&gt;</t>
  </si>
  <si>
    <t>#52# pH 8.2, 37°C, wild-type enzyme &lt;87&gt;</t>
  </si>
  <si>
    <t>#52# wild-type enzyme, pH 8.2, 37°C  &lt;50&gt;</t>
  </si>
  <si>
    <t>#52# mutant enzyme L188P &lt;54&gt;</t>
  </si>
  <si>
    <t>#52# pH 8.2, 37°C, D458N &lt;87&gt;</t>
  </si>
  <si>
    <t>#52# mutant enzyme D219A &lt;54&gt;</t>
  </si>
  <si>
    <t>#52# pH 8.2, 37°C, D458R &lt;87&gt;</t>
  </si>
  <si>
    <t>#52# wild-type enzyme, pH 8.2, 37°C &lt;50&gt;</t>
  </si>
  <si>
    <t>#52# wild-type enzyme &lt;54&gt;</t>
  </si>
  <si>
    <t>#52# mutant enzyme P314L &lt;54&gt;</t>
  </si>
  <si>
    <t>#52# pH 8.2, 37°C, D458N  &lt;87&gt;</t>
  </si>
  <si>
    <t>#52# pH 8.2, 37°C, D458A &lt;87&gt;</t>
  </si>
  <si>
    <t>#55# pH 7.8, 30°C,  recombinant enzyme &lt;90&gt;; #52# pH 8.2, 37°C, D458A &lt;87&gt;</t>
  </si>
  <si>
    <t>#55# pH 7.8, 15°C, recombinant enzyme, ATPase  activity &lt;90&gt;; #55# pH 7.8, 30°C, recombinant enzyme, with gamma-L-glutamyl-L-cysteine and glycine &lt;90&gt;</t>
  </si>
  <si>
    <t>#55# pH 7.8, 25°C, recombinant enzyme, ATPase  activity &lt;90&gt;</t>
  </si>
  <si>
    <t>#55# pH 7.8, 30°C, recombinant enzyme &lt;90&gt;</t>
  </si>
  <si>
    <t>#55# pH 7.8, 28°C, recombinant enzyme, ATPase  activity &lt;90&gt;</t>
  </si>
  <si>
    <t>#58# pH 8.5, 40°C, recombinant His-tagged enzyme  &lt;94&gt;</t>
  </si>
  <si>
    <t>#58# pH 8.5, 40°C,  recombinant His-tagged enzyme &lt;94&gt;</t>
  </si>
  <si>
    <t>#59# pH 8.5, 40°C, recombinant His-tagged enzyme  &lt;94&gt;</t>
  </si>
  <si>
    <t>#59# pH 8.5, 40°C,  recombinant His-tagged enzyme &lt;94&gt;</t>
  </si>
  <si>
    <t>#6# pH 8.2, 37°C &lt;44&gt;</t>
  </si>
  <si>
    <t>#6# mutant G371V, 37°C, pH not  specified in the publication &lt;82&gt;</t>
  </si>
  <si>
    <t>#6# wild-type, 37°C, pH not specified in the  publication &lt;82&gt;</t>
  </si>
  <si>
    <t>#6# mutant G371V, 37°C, pH not specified in the  publication &lt;82&gt;</t>
  </si>
  <si>
    <t>#6# mutant V45W, pH 8.2, 37°C  &lt;83&gt;</t>
  </si>
  <si>
    <t>#6# mutant V45A, pH 8.2, 37°C  &lt;83&gt;</t>
  </si>
  <si>
    <t>#6# mutant G369V, 37°C, pH not  specified in the publication &lt;82&gt;</t>
  </si>
  <si>
    <t>#6# mutant V44A, pH 8.2, 37°C  &lt;83&gt;</t>
  </si>
  <si>
    <t>#6# mutant G369V, 37°C, pH not specified in the  publication &lt;82&gt;</t>
  </si>
  <si>
    <t>#6# mutant V44W, pH 8.2, 37°C  &lt;83&gt;</t>
  </si>
  <si>
    <t>#6# mutant V44A/V45A, pH 8.2,  37°C &lt;83&gt;; #6# wild-type, pH 8.2, 37°C &lt;83&gt;</t>
  </si>
  <si>
    <t>#6# wild-type, 37°C, pH not  specified in the publication &lt;82&gt;</t>
  </si>
  <si>
    <t>#6# ATP &lt;13&gt;</t>
  </si>
  <si>
    <t>#7# recombinant enzyme,  pH 8.2, 37°C &lt;43&gt;</t>
  </si>
  <si>
    <t>#7# recombinant enzyme, pH 8.2, 37°C &lt;43&gt;</t>
  </si>
  <si>
    <t>#8# hydroxylamine &lt;13&gt;</t>
  </si>
  <si>
    <t>#8# reaction with Glu-alpha-aminobutyrate +  hydroxylamine &lt;13&gt;</t>
  </si>
  <si>
    <t>#22# pH 8.0, 30°C &lt;150&gt;</t>
  </si>
  <si>
    <t>#30# 27°C, pH 7.0, activity of seleno-glutathione  transferase &lt;66&gt;</t>
  </si>
  <si>
    <t>#30# 27°C, pH 7.0, reaction with H2O2, activity of  seleno-glutathione transferase &lt;66&gt;</t>
  </si>
  <si>
    <t>#30# 27°C, pH 7.0, reaction with cumene peroxide,  activity of seleno-glutathione transferase &lt;66&gt;</t>
  </si>
  <si>
    <t>#30# 27°C, pH 7.0, reaction with tert-butyl  hydroperoxide, activity of seleno-glutathione transferase &lt;66&gt;</t>
  </si>
  <si>
    <t>#30# 27°C, pH 7.0, activity of  seleno-glutathione transferase &lt;66&gt;</t>
  </si>
  <si>
    <t>#31# pseudo Km &lt;26&gt;</t>
  </si>
  <si>
    <t>#33# isoform Gpx2, pH 7.0, 25°C &lt;147&gt;</t>
  </si>
  <si>
    <t>#33# isoform Gpx1, pH 7.0, 25°C &lt;147&gt;</t>
  </si>
  <si>
    <t>#41# 25°C, pH 8 &lt;67&gt;</t>
  </si>
  <si>
    <t>#50# mutant C2S/C78S/C115S/C156S/C202S, presence of  10 mM GSH, pH 7.4, 37°C &lt;143&gt;</t>
  </si>
  <si>
    <t>#50# mutant C2S/C78S/C115S/C156S/C202S,  presence of 0.10 mM H2O2, pH 7.4, 37°C &lt;143&gt;</t>
  </si>
  <si>
    <t>#50# mutant C2S/C78S/C115S/C156S/C202S, presence of  3 mM GSH, pH 7.4, 37°C &lt;143&gt;</t>
  </si>
  <si>
    <t>#50# mutant C2S/C78S/C115S/C156S/C202S,  presence of 0.03 mM H2O2, pH 7.4, 37°C &lt;143&gt;</t>
  </si>
  <si>
    <t>#6# apparent value, imprinted GSH-selenosubtilisin in  the presence of 1 mM H2O2, in 50 mM PIPES buffer, pH 7.0 at 37°C &lt;90&gt;</t>
  </si>
  <si>
    <t>#6# apparent value, imprinted GSH-selenosubtilisin in  the presence of 0.5 mM H2O2, in 50 mM PIPES buffer, pH 7.0 at 37°C &lt;90&gt;</t>
  </si>
  <si>
    <t>#6# apparent value, imprinted GSH-selenosubtilisin in  the presence of 2 mM H2O2, in 50 mM PIPES buffer, pH 7.0 at 37°C &lt;90&gt;</t>
  </si>
  <si>
    <t>#6# apparent value, imprinted GSH-selenosubtilisin in  the presence of 0.5 mM GSH, in 50 mM PIPES buffer, pH 7.0 at 37°C &lt;90&gt;</t>
  </si>
  <si>
    <t>#6# apparent value, imprinted GSH-selenosubtilisin in  the presence of 1 mM GSH, in 50 mM PIPES buffer, pH 7.0 at 37°C &lt;90&gt;</t>
  </si>
  <si>
    <t>#6# apparent value, imprinted GSH-selenosubtilisin in  the presence of 2 mM GSH, in 50 mM PIPES buffer, pH 7.0 at 37°C &lt;90&gt;</t>
  </si>
  <si>
    <t>#6# wild type enzyme, in the presence of 1 mM H2O2, at  37°C and pH 7.0 &lt;96&gt;</t>
  </si>
  <si>
    <t>#6# wild type enzyme, in the presence of 0.5 mM GSH,  at 37°C and pH 7.0 &lt;96&gt;</t>
  </si>
  <si>
    <t>#6# wild type enzyme, in the presence of 0.5 mM H2O2,  at 37°C and pH 7.0 &lt;96&gt;</t>
  </si>
  <si>
    <t>#6# wild type enzyme, in the presence of 0.1 mM H2O2,  at 37°C and pH 7.0 &lt;96&gt;</t>
  </si>
  <si>
    <t>#6# wild type enzyme, in the presence of 0.25 mM GSH,  at 37°C and pH 7.0 &lt;96&gt;</t>
  </si>
  <si>
    <t>#6# wild type enzyme, in the presence of 0.2 mM H2O2,  at 37°C and pH 7.0 &lt;96&gt;</t>
  </si>
  <si>
    <t>#6# wild type enzyme, in the presence of 1 mM GSH,  at 37°C and pH 7.0 &lt;96&gt;</t>
  </si>
  <si>
    <t>#6# wild type enzyme, in the presence of 2 mM GSH,  at 37°C and pH 7.0 &lt;96&gt;</t>
  </si>
  <si>
    <t>#7# in 50 mM potassium phosphate buffer (pH 7.4</t>
  </si>
  <si>
    <t>#72# pH 9.0, 30°C &lt;138&gt;</t>
  </si>
  <si>
    <t>#9# pH 7.5, 25°C &lt;54&gt;</t>
  </si>
  <si>
    <t>#9# pH 7.5, 25°C, reaction with H2O2 &lt;54&gt;</t>
  </si>
  <si>
    <t>#9# pH 7.5, 25°C, reaction with cumene hydroperoxide  &lt;54&gt;</t>
  </si>
  <si>
    <t>#9# pH 7.5, 25°C, reaction with tert-butyl  hydroperoxide &lt;54&gt;</t>
  </si>
  <si>
    <t>#11# pH 6.5, 30°C &lt;40&gt;</t>
  </si>
  <si>
    <t>#13# pH 6.0 &lt;58&gt;</t>
  </si>
  <si>
    <t>#13# pH 7.4 &lt;58&gt;</t>
  </si>
  <si>
    <t>#14# at pH 7.0 and 37°C &lt;113&gt;</t>
  </si>
  <si>
    <t>5R</t>
  </si>
  <si>
    <t>#16# pH 7.0, 30°C &lt;93&gt;</t>
  </si>
  <si>
    <t>#17# recombinant protein purified  from E. coli &lt;21&gt;</t>
  </si>
  <si>
    <t>#2# mutant W230P &lt;74&gt;</t>
  </si>
  <si>
    <t>#2# wild-type &lt;74&gt;</t>
  </si>
  <si>
    <t>#24# pH 7.4, 30°C &lt;88&gt;</t>
  </si>
  <si>
    <t>#28# pH 7.5, 37°C &lt;92&gt;</t>
  </si>
  <si>
    <t>#3# cofactor NADH &lt;3&gt;</t>
  </si>
  <si>
    <t>#3# cofactor NADPH &lt;3&gt;</t>
  </si>
  <si>
    <t>#3# cosubstrate NADH &lt;3&gt;</t>
  </si>
  <si>
    <t>#31# pH 6.5, 30°C, recombinant mutant S1M4 &lt;46&gt;</t>
  </si>
  <si>
    <t>#31# pH 6.5, 30°C, recombinant mutant S1M1 &lt;46&gt;</t>
  </si>
  <si>
    <t>#31# pH 6.5, 30°C,  recombinant wild-type enzyme &lt;46&gt;</t>
  </si>
  <si>
    <t>#31# pH 6.5, 30°C,  recombinant mutant S1M4 &lt;46&gt;</t>
  </si>
  <si>
    <t>#31# pH 6.5, 30°C,  recombinant mutant S1M1 &lt;46&gt;</t>
  </si>
  <si>
    <t>#31# pH 6.5, 30°C, recombinant wild-type enzyme  &lt;46&gt;</t>
  </si>
  <si>
    <t>#34# single nucleotide polymorphism P131S  mutation &lt;77&gt;</t>
  </si>
  <si>
    <t>#34# after treatment with  S-nitrosoglutathione, pH 7.4, 25°C &lt;90&gt;; #34# enzyme modified by S-nitrosoglutathione, pH 7.4, 37°C &lt;90&gt;</t>
  </si>
  <si>
    <t>#34# wild-type, pH 7.4, 25°C &lt;90&gt;</t>
  </si>
  <si>
    <t>#34# wild-type, pH 7.4, 25°C &lt;90&gt;; #34#  wild-type, pH 7.4, 37°C &lt;90&gt;; #34# single nucleotide polymorphism V88I mutation &lt;77&gt;</t>
  </si>
  <si>
    <t>#34# wild-type, pH 7.4, 25°C  &lt;90&gt;; #34# wild-type, pH 7.4, 37°C &lt;90&gt;</t>
  </si>
  <si>
    <t>#34# wild-type, pH 7.4, 25°C &lt;90&gt;;  #34# wild-type, pH 7.4, 37°C &lt;90&gt;</t>
  </si>
  <si>
    <t>#34# wild-type, pH 7.4, 37°C &lt;90&gt;</t>
  </si>
  <si>
    <t>#34# wild-type, pH 7.4, 25°C &lt;90&gt;; #34#  wild-type, pH 7.4, 37°C &lt;90&gt;</t>
  </si>
  <si>
    <t>#34# pH 8.4, 25°C &lt;102&gt;</t>
  </si>
  <si>
    <t>#34# at pH 8.4 and 37°C &lt;115&gt;</t>
  </si>
  <si>
    <t>#34# in colon &lt;76&gt;</t>
  </si>
  <si>
    <t>#34# wild-type, pH 7.4, temperature  not specified in the publication &lt;89&gt;</t>
  </si>
  <si>
    <t>#34# enzyme modified by S-nitrosoglutathione, pH  7.4, 37°C &lt;90&gt;</t>
  </si>
  <si>
    <t>#34# mutant C227S, pH 7.4,  temperature not specified in the publication &lt;89&gt;</t>
  </si>
  <si>
    <t>#34# after treatment with S-nitrosoglutathione,  pH 7.4, 25°C &lt;90&gt;; #34# enzyme modified by S-nitrosoglutathione, pH 7.4, 37°C &lt;90&gt;</t>
  </si>
  <si>
    <t>#34# wild-type &lt;77&gt;</t>
  </si>
  <si>
    <t>#34# in stomach &lt;76&gt;</t>
  </si>
  <si>
    <t>#34# in liver &lt;76&gt;</t>
  </si>
  <si>
    <t>#34# wild-type &lt;77&gt;; #34# single nucleotide  polymorphism V88I mutation &lt;77&gt;</t>
  </si>
  <si>
    <t>#34# enzyme modified by  S-nitrosoglutathione, pH 7.4, 37°C &lt;90&gt;</t>
  </si>
  <si>
    <t>#34# purified enzyme &lt;76&gt;</t>
  </si>
  <si>
    <t>#34# single nucleotide polymorphism V88I  mutation &lt;77&gt;</t>
  </si>
  <si>
    <t>#34# in kidney &lt;76&gt;</t>
  </si>
  <si>
    <t>#34# wild-type CBR1 &lt;75&gt;</t>
  </si>
  <si>
    <t>#34# wild-type CBR1 &lt;75&gt;; #34#  wild-type, pH 7.4, temperature not specified in the publication &lt;89&gt;</t>
  </si>
  <si>
    <t>#34# in heart &lt;76&gt;</t>
  </si>
  <si>
    <t>#34# in lung &lt;76&gt;</t>
  </si>
  <si>
    <t>#34# in skeletal muscle &lt;76&gt;</t>
  </si>
  <si>
    <t>methylnitrosamino</t>
  </si>
  <si>
    <t>#34# pH 7.4, 37°C &lt;60&gt;</t>
  </si>
  <si>
    <t>#36# pH 6.5, 25°C &lt;65&gt;</t>
  </si>
  <si>
    <t>#36# wild-type CBR3 and mutant  V244M. Residues 236-244, 262-277, 236-244/262-277 or 230 of CBR3 exchanged to the corresponding amino acids of CBR1 &lt;75&gt;</t>
  </si>
  <si>
    <t>#36# residues 97-98, 230, 236-244 of CBR3  exchanged to the corresponding amino acids of CBR1 &lt;75&gt;</t>
  </si>
  <si>
    <t>#36# residues 142-143, 230, 236-244, 270 of CBR3  exchanged to the corresponding amino acids of CBR1 &lt;75&gt;</t>
  </si>
  <si>
    <t>#36# wild-type CBR3 and mutant V244M. Residues  262-277, 236-244/262-277 or 230 of CBR3 exchanged to the corresponding amino acids of CBR1 &lt;75&gt;</t>
  </si>
  <si>
    <t>#36# mutant  P230W/D236A/K238P/D239K/S240A/I241T/R242K/T243S/V244PpH 7.4, temperature not specified in the publication &lt;89&gt;</t>
  </si>
  <si>
    <t>#36# residues 236-244 of CBR3 exchanged to the  corresponding amino acids of CBR1 &lt;75&gt;</t>
  </si>
  <si>
    <t>#36# residues 142-143, 230,  236-244, 270 of CBR3 exchanged to the corresponding amino acids of CBR1 &lt;75&gt;</t>
  </si>
  <si>
    <t>#36# residues 230, 236-244,  270 of CBR3 exchanged to the corresponding amino acids of CBR1 &lt;75&gt;</t>
  </si>
  <si>
    <t>#36# residues 97-98, 230,  236-244 of CBR3 exchanged to the corresponding amino acids of CBR1 &lt;75&gt;</t>
  </si>
  <si>
    <t>#36# mutant  Q142M/C143S/P230W/D236A/K238P/D239K/S240A/I241T/R242K/T243S/V244P/H270S, pH 7.4, temperature not specified in the publication &lt;89&gt;</t>
  </si>
  <si>
    <t>#36# residues 230, 236-244, 270 of CBR3  exchanged to the corresponding amino acids of CBR1 &lt;75&gt;</t>
  </si>
  <si>
    <t>#36# mutant  D236A/K238P/D239K/S240A/I241T/R242K/T243S/V244P, pH 7.4, temperature not specified in the publication &lt;89&gt;</t>
  </si>
  <si>
    <t>#36# residues 142-143, 230, 236-244 of CBR3  exchanged to the corresponding amino acids of CBR1 &lt;75&gt;</t>
  </si>
  <si>
    <t>#36# residues 230, 236–244 of  CBR3 exchanged to the corresponding amino acids of CBR1 &lt;75&gt;</t>
  </si>
  <si>
    <t>#36# residues 142-143, 230,  236-244 of CBR3 exchanged to the corresponding amino acids of CBR1 &lt;75&gt;</t>
  </si>
  <si>
    <t>#36# residues 230, 236-244 of CBR3 exchanged to  the corresponding amino acids of CBR1 &lt;75&gt;</t>
  </si>
  <si>
    <t>#37# mutant S67D, NADPH as cofactor  &lt;70&gt;</t>
  </si>
  <si>
    <t>#37# wild-type, pH 7.5, 35°C &lt;57&gt;</t>
  </si>
  <si>
    <t>#37# wild-type, NADPH as cofactor  &lt;70&gt;; #37# wild-type, with NADPH as cofactor, at 35°C in 100 mM acetate buffer (pH 5.0</t>
  </si>
  <si>
    <t>#37# mutant V270D, pH 7.5, 35°C &lt;57&gt;</t>
  </si>
  <si>
    <t>#37# mutant V270D, with NADPH as  cofactor, at 35°C in 100 mM acetate buffer (pH 5.0</t>
  </si>
  <si>
    <t>#37# deletion mutant lacking 31 N-terminal amino  acids, pH 7.5, 35°C &lt;57&gt;</t>
  </si>
  <si>
    <t>#37# mutant DELTA31, with NADPH as  cofactor, at 35°C in 100 mM acetate buffer (pH 5.0</t>
  </si>
  <si>
    <t>#37# mutant S67D/H68D, pH 7.5, 35°C &lt;57&gt;</t>
  </si>
  <si>
    <t>#37# mutant S67D/H68D, NADH as  cofactor &lt;70&gt;; #37# mutant S67D/H68D, with NADH as cofactor, at 35°C in 100 mM acetate buffer (pH 5.0</t>
  </si>
  <si>
    <t>#37# wild-type, NADH as cofactor  &lt;70&gt;; #37# wild-type, with NADH as cofactor, at 35°C in 100 mM acetate buffer (pH 5.0</t>
  </si>
  <si>
    <t>#37# mutant S172T, pH 7.5, 35°C &lt;57&gt;</t>
  </si>
  <si>
    <t>#37# mutant S172T, with NADPH as  cofactor, at 35°C in 100 mM acetate buffer (pH 5.0</t>
  </si>
  <si>
    <t>#37# mutant H68D, NADH as cofactor  &lt;70&gt;</t>
  </si>
  <si>
    <t>#37# mutant P69D, NADH as cofactor  &lt;70&gt;</t>
  </si>
  <si>
    <t>#37# mutant S67D/P69D, NADH as  cofactor &lt;70&gt;</t>
  </si>
  <si>
    <t>#37# mutant H68D, NADPH as cofactor  &lt;70&gt;</t>
  </si>
  <si>
    <t>#37# mutant S67D/P69D, NADPH as  cofactor &lt;70&gt;</t>
  </si>
  <si>
    <t>#37# mutant H68D/P69D, NADH as  cofactor &lt;70&gt;</t>
  </si>
  <si>
    <t>#37# mutant H68D/P69D, NADPH as  cofactor &lt;70&gt;</t>
  </si>
  <si>
    <t>#37# mutant S67D, NADH as cofactor  &lt;70&gt;</t>
  </si>
  <si>
    <t>#37# mutant P69D, NADPH as cofactor  &lt;70&gt;</t>
  </si>
  <si>
    <t>#37# mutant V270D, with NADH as  cofactor, at 35°C in 100 mM acetate buffer (pH 5.0</t>
  </si>
  <si>
    <t>#37# mutant DELTA31, with NADH as  cofactor, at 35°C in 100 mM acetate buffer (pH 5.0</t>
  </si>
  <si>
    <t>#37# mutant S172T, with NADH as  cofactor, at 35°C in 100 mM acetate buffer (pH 5.0</t>
  </si>
  <si>
    <t>#37# mutant S67D/H68D, NADPH as  cofactor &lt;70&gt;; #37# mutant S67D/H68D, with NADPH as cofactor, at 35°C in 100 mM acetate buffer (pH 5.0</t>
  </si>
  <si>
    <t>#39# wild-type &lt;74&gt;</t>
  </si>
  <si>
    <t>#39# mutant W230P &lt;74&gt;</t>
  </si>
  <si>
    <t>#39# wild-type and mutant W230P &lt;74&gt;</t>
  </si>
  <si>
    <t>#41# at 100 mM sodium phosphate buffer, pH 6.5, 0.065  mM NADPH, 25°C &lt;73&gt;</t>
  </si>
  <si>
    <t>#41# at 100 mM sodium phosphate buffer, pH 6.5,  0.065 mM NADPH, 25°C &lt;73&gt;</t>
  </si>
  <si>
    <t>#41# at 100 mM sodium phosphate  buffer, pH 6.5, 0.065 mM NADPH, 25°C &lt;73&gt;</t>
  </si>
  <si>
    <t>#42# at 100 mM sodium phosphate  buffer, pH 6.5, 0.065 mM NADPH, 25°C &lt;73&gt;</t>
  </si>
  <si>
    <t>#42# at 100 mM sodium phosphate buffer, pH 6.5,  0.065 mM NADPH, 25°C &lt;73&gt;</t>
  </si>
  <si>
    <t>#43# at 100 mM sodium phosphate buffer, pH 6.5,  0.065 mM NADPH, 25°C &lt;73&gt;</t>
  </si>
  <si>
    <t>#43# at 100 mM sodium phosphate  buffer, pH 6.5, 0.065 mM NADPH, 25°C &lt;73&gt;</t>
  </si>
  <si>
    <t>3-methyl-4-oxidoquinoxalin-2-yl</t>
  </si>
  <si>
    <t>#44# pH 7.4, 37°C &lt;91&gt;</t>
  </si>
  <si>
    <t>3-methyl-1,4-dioxidoquinoxalin-2-yl</t>
  </si>
  <si>
    <t>#47# pH 7.0, 25°C &lt;86&gt;</t>
  </si>
  <si>
    <t>#48# pH 9.0, 70°C, recombinant  enzyme &lt;84&gt;</t>
  </si>
  <si>
    <t>#5# at pH 6.5 and 30°C &lt;112&gt;</t>
  </si>
  <si>
    <t>#50# pH 7.4, 37°C &lt;91&gt;</t>
  </si>
  <si>
    <t>#51# pH 7.0, 25°C &lt;86&gt;</t>
  </si>
  <si>
    <t>#53# pH 6.0, 25°C &lt;97&gt;</t>
  </si>
  <si>
    <t>#54# pH 6.0, 25°C &lt;97&gt;</t>
  </si>
  <si>
    <t>#55# mutant D218V, pH 7.4, 37°C &lt;98&gt;</t>
  </si>
  <si>
    <t>#55# wild-type, pH 7.4, 37°C &lt;98&gt;</t>
  </si>
  <si>
    <t>#57# pH 6.0, 50°C &lt;99&gt;</t>
  </si>
  <si>
    <t>#58# pH 6.5, 25°C &lt;100&gt;</t>
  </si>
  <si>
    <t>#59# isoform Cbr1, at pH 7.0 and 37°C &lt;117&gt;</t>
  </si>
  <si>
    <t>#61# isoform Cbr3, at pH 7.0 and 37°C &lt;117&gt;</t>
  </si>
  <si>
    <t>#7# form CR2 &lt;23&gt;</t>
  </si>
  <si>
    <t>#7# pH 7.4, 37°C, recombinant enzyme &lt;33&gt;</t>
  </si>
  <si>
    <t>#7# enzyme form CR8 &lt;2&gt;</t>
  </si>
  <si>
    <t>#7# wild-type, 37°C, pH 7.4 &lt;61&gt;</t>
  </si>
  <si>
    <t>#7# mutant V88I, 37°C, pH 7.4 &lt;61&gt;</t>
  </si>
  <si>
    <t>#7# form CR2 &lt;16&gt;</t>
  </si>
  <si>
    <t>#7# pH 8.4, 37°C &lt;101&gt;</t>
  </si>
  <si>
    <t>#7# pH 7.4, 37°C, recombinant isozyme CBR M244  &lt;50&gt;</t>
  </si>
  <si>
    <t>#7# pH 7.4, 37°C, recombinant enzyme  &lt;33&gt;</t>
  </si>
  <si>
    <t>#7# pH 7.4, 37°C, recombinant  enzyme &lt;33&gt;</t>
  </si>
  <si>
    <t>#7# pH 7.4, 37°C, recombinant isozyme CBR V244  &lt;50&gt;</t>
  </si>
  <si>
    <t>#7# Km depending on enzyme form &lt;16&gt;</t>
  </si>
  <si>
    <t>#7# + 4-nitrobenzaldehyde, Km depending on  enzyme form &lt;2&gt;</t>
  </si>
  <si>
    <t>#7# Km depending on enzyme form &lt;2&gt;</t>
  </si>
  <si>
    <t>#7# Km depending on enzyme form  &lt;16&gt;</t>
  </si>
  <si>
    <t>#7# Km depending on enzyme  form &lt;16&gt;</t>
  </si>
  <si>
    <t>#7# wild-type &lt;74&gt;</t>
  </si>
  <si>
    <t>#7# mutant P230W &lt;74&gt;</t>
  </si>
  <si>
    <t>#9# pH 6.0, recombinant enzyme &lt;38&gt;</t>
  </si>
  <si>
    <t>#9# pH 6.0, 25°C, recombinant enzyme &lt;42&gt;</t>
  </si>
  <si>
    <t>#9# pH 6.0, 37°C &lt;49&gt;</t>
  </si>
  <si>
    <t>#9# pH 6.0, 25°C, recombinant enzyme  &lt;42&gt;</t>
  </si>
  <si>
    <t>#9# pH 6.0, 25°C, recombinant enzyme &lt;42&gt;;  #9# pH 6.0, recombinant enzyme &lt;38&gt;</t>
  </si>
  <si>
    <t>#9# pH 5.5, 37°C &lt;49&gt;</t>
  </si>
  <si>
    <t>#9# pH 6.0, recombinant enzyme  &lt;38&gt;</t>
  </si>
  <si>
    <t>#9# pH 6.0, 37°C &lt;63&gt;</t>
  </si>
  <si>
    <t>#9# pH 6.0, 25°C, recombinant  enzyme &lt;42&gt;</t>
  </si>
  <si>
    <t>#9# pH 6.0, 25°C, recombinant enzyme &lt;42&gt;; #9#  pH 6.0, recombinant enzyme &lt;38&gt;</t>
  </si>
  <si>
    <t>#9# pH 6.0, 25°C, recombinant enzyme  &lt;42&gt;; #9# pH 6.0, recombinant enzyme &lt;38&gt;</t>
  </si>
  <si>
    <t>#13# pH 6.0 &lt;58&gt;; #58# pH  6.5, 25°C &lt;100&gt;; #9# pH 6.0, recombinant enzyme &lt;38&gt;</t>
  </si>
  <si>
    <t>#12# mutant A74G/F87V/L188Q/R966M &lt;30&gt;</t>
  </si>
  <si>
    <t>#12# mutant A74G/F87V/L188Q/S965D &lt;30&gt;; #12# mutant  enzyme A74G/F87V/L188Q/W1046A/S965D, pH and temperature not specified in the publication &lt;30&gt;</t>
  </si>
  <si>
    <t>#12# mutants A74G/F87V/L188Q/W1046A and  A74G/F87V/L188Q/W1046S &lt;30&gt;</t>
  </si>
  <si>
    <t>#12# mutant A74G/F87V/L188Q/S965D &lt;30&gt;</t>
  </si>
  <si>
    <t>#12# mutant A74G/F87V/L188Q/W1046A &lt;30&gt;; #12# mutant  enzyme A74G/F87V/L188Q/W1046A, pH and temperature not specified in the publication &lt;30&gt;</t>
  </si>
  <si>
    <t>#12# mutant A74G/F87V/L188Q &lt;30&gt;</t>
  </si>
  <si>
    <t>#12# mutant A74G/F87V/L188Q &lt;30&gt;; #12# mutant enzyme  A74G/F87V/L188Q, pH and temperature not specified in the publication &lt;30&gt;</t>
  </si>
  <si>
    <t>#12# mutant A74G/F87V/L188Q/W1046S &lt;30&gt;; #12# mutant  enzyme A74G/F87V/L188Q/W1046S, pH and temperature not specified in the publication &lt;30&gt;</t>
  </si>
  <si>
    <t>#12# mutant A74G/F87V/L188Q/R966M &lt;30&gt;; #12# mutant  enzyme A74G/F87V/L188Q/R966M, pH and temperature not specified in the publication &lt;30&gt;</t>
  </si>
  <si>
    <t>#12# mutant A74G/F87V/L188Q/R966D &lt;30&gt;; #12# mutant  enzyme A74G/F87V/L188Q/R966D, pH and temperature not specified in the publication &lt;30&gt;</t>
  </si>
  <si>
    <t>#12# mutant A74G/F87V/L188Q/R966D &lt;30&gt;</t>
  </si>
  <si>
    <t>#14# CYP102A7, at pH 7.5 &lt;43&gt;</t>
  </si>
  <si>
    <t>#14# CYP102A7, at pH 7.5  &lt;43&gt;</t>
  </si>
  <si>
    <t>#14# CYP102A7, at pH 7.5, highest  activity &lt;43&gt;</t>
  </si>
  <si>
    <t>#16# isozyme CYP52A13, pH 7.4, 35°C &lt;6&gt;</t>
  </si>
  <si>
    <t>#16# isozyme CYP52A17, pH 7.4, 35°C &lt;6&gt;</t>
  </si>
  <si>
    <t>p-nitrophenyl</t>
  </si>
  <si>
    <t>1S</t>
  </si>
  <si>
    <t>#4# CYP3A4, desulfuration by recombinant human  CYPs to fenthion-oxon &lt;57&gt;; #4# CYP3A4, at pH 7.4 and 37°C &lt;57&gt;</t>
  </si>
  <si>
    <t>#4# CYP2C9, desulfuration by recombinant human  CYPs to fenthion-oxon &lt;57&gt;; #4# CYP2C9, at pH 7.4 and 37°C &lt;57&gt;</t>
  </si>
  <si>
    <t>#4# CYP1A1, sulfoxidation to fenthion-sulfoxide  &lt;57&gt;; #4# CYP1A1, at pH 7.4 and 37°C &lt;57&gt;</t>
  </si>
  <si>
    <t>#4# CYP2C19 &lt;57&gt;</t>
  </si>
  <si>
    <t>1R</t>
  </si>
  <si>
    <t>#4# CYP2C19, desulfuration by recombinant human  CYPs to fenthion-oxon &lt;57&gt;; #4# CYP2C19, at pH 7.4 and 37°C &lt;57&gt;</t>
  </si>
  <si>
    <t>#4# CYP2C9, sulfoxidation to fenthion-sulfoxide  &lt;57&gt;; #4# CYP2C9, at pH 7.4 and 37°C &lt;57&gt;</t>
  </si>
  <si>
    <t>#4# CYP2C19, sulfoxidation to  fenthion-sulfoxide &lt;57&gt;; #4# CYP2C19, at pH 7.4 and 37°C &lt;57&gt;</t>
  </si>
  <si>
    <t>#4# CYP3A4, sulfoxidation to fenthion-sulfoxide  &lt;57&gt;; #4# CYP3A4, at pH 7.4 and 37°C &lt;57&gt;</t>
  </si>
  <si>
    <t>#40# pH 7.4, 25°C &lt;17&gt;</t>
  </si>
  <si>
    <t>#61# desulfuration by recombinant human CYPs  to fenthion-oxon &lt;57&gt;</t>
  </si>
  <si>
    <t>#61# sulfoxidation to fenthion-sulfoxide &lt;57&gt;</t>
  </si>
  <si>
    <t>#63# sulfoxidation to fenthion-sulfoxide &lt;57&gt;</t>
  </si>
  <si>
    <t>#63# desulfuration by recombinant human CYPs  to fenthion-oxon &lt;57&gt;</t>
  </si>
  <si>
    <t>#87# complex POR-CYP1A1, presence of  heme oxygenase, pH 7.5, 37°C &lt;85&gt;</t>
  </si>
  <si>
    <t>#87# complex POR-CYP1A1, pH 7.5, 37°C  &lt;85&gt;</t>
  </si>
  <si>
    <t>#12# calf liver enzyme, pH 7.0, 30°C  &lt;86&gt;; #71# purified enzyme, at pH 7.0 and 22°C &lt;162&gt;</t>
  </si>
  <si>
    <t>#101# enzyme variant GR1.1, pH  7.6, 22°C &lt;194&gt;</t>
  </si>
  <si>
    <t>#101# enzyme variant GR1.1, pH 7.6, 22°C &lt;194&gt;</t>
  </si>
  <si>
    <t>#102# pH 7.5, 37°C &lt;190&gt;</t>
  </si>
  <si>
    <t>#103# enzyme variant GR1.2, pH  7.6, 22°C &lt;194&gt;</t>
  </si>
  <si>
    <t>#103# enzyme variant GR1.2, pH 7.6, 22°C &lt;194&gt;</t>
  </si>
  <si>
    <t>#104# enzyme variant GR2, pH 7.6, 22°C &lt;194&gt;</t>
  </si>
  <si>
    <t>#104# enzyme variant GR2, pH  7.6, 22°C &lt;194&gt;</t>
  </si>
  <si>
    <t>#105# pH 7.5, 25°C &lt;191&gt;</t>
  </si>
  <si>
    <t>#11# pH 7.5, 22°C  &lt;186&gt;</t>
  </si>
  <si>
    <t>#11# pH 7.5, 22°C &lt;186&gt;</t>
  </si>
  <si>
    <t>gamma-glutamylcystine</t>
  </si>
  <si>
    <t>#12# pH 7.4, 37°C &lt;118&gt;</t>
  </si>
  <si>
    <t>#12# erythrocyte enzyme, pH 7.0, 30°C &lt;86&gt;</t>
  </si>
  <si>
    <t>#12# liver enzyme, pH 7.0, 30°C &lt;86&gt;</t>
  </si>
  <si>
    <t>#12# brain enzyme, pH 7.0, 30°C &lt;86&gt;</t>
  </si>
  <si>
    <t>#12# calf liver enzyme, pH 7.0, 30°C &lt;86&gt;</t>
  </si>
  <si>
    <t>#13# chloroplast enzyme &lt;68&gt;</t>
  </si>
  <si>
    <t>#13# chloroplast enzyme &lt;68&gt;; #86# native Glr1  &lt;122&gt;</t>
  </si>
  <si>
    <t>#16# brain enzyme &lt;86&gt;</t>
  </si>
  <si>
    <t>#20# root enzyme &lt;27&gt;</t>
  </si>
  <si>
    <t>#68# pH 7.8, 25°C &lt;87&gt;; #19,20# chloroplast  enzyme &lt;27,40&gt;</t>
  </si>
  <si>
    <t>#20# root and chloroplast enzyme &lt;27&gt;</t>
  </si>
  <si>
    <t>#20# chloroplast enzyme &lt;27&gt;</t>
  </si>
  <si>
    <t>#24# in 100 mM K2HPO4/KH2PO4 buffer, at pH 7.4  &lt;145&gt;</t>
  </si>
  <si>
    <t>#24# in 100 mM K2HPO4/KH2PO4  buffer, at pH 7.4 &lt;145&gt;</t>
  </si>
  <si>
    <t>#31# chloroquine-sensitive strain  D10, pH 6.9, 25°C &lt;85&gt;</t>
  </si>
  <si>
    <t>#31# pH 7.4, 25°C &lt;81&gt;</t>
  </si>
  <si>
    <t>#31# 25°C &lt;119&gt;</t>
  </si>
  <si>
    <t>#31# chloroquine-resistant strain  7G8, pH 6.9, 25°C &lt;85&gt;</t>
  </si>
  <si>
    <t>#31# chloroquine-sensitive strain  HB3, pH 6.9, 25°C &lt;85&gt;</t>
  </si>
  <si>
    <t>#31# chloroquine-sensitive strain  3D7, pH 6.9, 25°C &lt;85&gt;</t>
  </si>
  <si>
    <t>#31# chloroquine-sensitive strain  S106, pH 6.9, 25°C &lt;85&gt;</t>
  </si>
  <si>
    <t>#31# chloroquine-resistant strain  Dd2, pH 6.9, 25°C &lt;85&gt;</t>
  </si>
  <si>
    <t>#31# chloroquine-resistant strain  K1, pH 6.9, 25°C &lt;85&gt;</t>
  </si>
  <si>
    <t>#31# mutant enzyme, pH 7.4, 25°C  &lt;81&gt;</t>
  </si>
  <si>
    <t>2-nitrobenzoic acid</t>
  </si>
  <si>
    <t>#32# truncated recombinant enzyme (lacking the  last two amino acids Sec597-Gly598</t>
  </si>
  <si>
    <t>#32# full length enzyme, in 150 mM potassium  phosphate pH 7.0, at 37°C &lt;121&gt;</t>
  </si>
  <si>
    <t>#33# liver enzyme &lt;86&gt;</t>
  </si>
  <si>
    <t>#43# recombinant enzyme &lt;61&gt;</t>
  </si>
  <si>
    <t>#44# at pH 7.5 and 50°C &lt;156&gt;</t>
  </si>
  <si>
    <t>#46# in 100 mM potassium phosphate buffer (pH  8.0</t>
  </si>
  <si>
    <t>#46# in 100 mM potassium phosphate  buffer (pH 8.0</t>
  </si>
  <si>
    <t>#49# at 30°C and pH 7.5 &lt;147&gt;</t>
  </si>
  <si>
    <t>#5# isozmes GR-1 and GR-2 &lt;54&gt;</t>
  </si>
  <si>
    <t>#5# isozyme GR-2 &lt;54&gt;</t>
  </si>
  <si>
    <t>#5# isozyme GR-1 &lt;54&gt;</t>
  </si>
  <si>
    <t>#50# isozyme GR-1NH &lt;53&gt;</t>
  </si>
  <si>
    <t>#50# isozyme GR-1H &lt;53&gt;</t>
  </si>
  <si>
    <t>#50# isozyme GR-2NH &lt;53&gt;</t>
  </si>
  <si>
    <t>#50# isozyme GR-2H &lt;53&gt;</t>
  </si>
  <si>
    <t>#55# anoxic enzyme in 50 mM potassium phosphate,  pH 7.4, 1 mM EDTA, 0.1 mM GSSG and 0.2 mM NADPH &lt;103&gt;</t>
  </si>
  <si>
    <t>#82# in 50 mM potassium phosphate buffer (pH  7.0</t>
  </si>
  <si>
    <t>#66# in 50 mM potassium phosphate buffer (pH 7.0</t>
  </si>
  <si>
    <t>#66# in 50 mM potassium phosphate  buffer (pH 7.0</t>
  </si>
  <si>
    <t>#68# pH 7.8, 25°C &lt;87&gt;</t>
  </si>
  <si>
    <t>#7# pH 7.5, mutant enzyme  A18E/N21W/R22N/N101D/K105D/R319A &lt;91&gt;</t>
  </si>
  <si>
    <t>#7# pH 7.5, wild-type enzyme &lt;91&gt;</t>
  </si>
  <si>
    <t>#7# pH 7.5, mutant enzyme N101D/K105D &lt;91&gt;</t>
  </si>
  <si>
    <t>#7# pH  7.5, temperature not specified in the publication &lt;195&gt;</t>
  </si>
  <si>
    <t>#7# pH 7.5, mutant enzyme  A18E/N21W/R22N/N101D/K105D &lt;91&gt;</t>
  </si>
  <si>
    <t>#7# pH 7.5, mutant enzyme A18E/N21W/R22N  &lt;91&gt;</t>
  </si>
  <si>
    <t>#7# pH 7.5, mutant enzyme N21R &lt;91&gt;</t>
  </si>
  <si>
    <t>#31# chloroquine-resistant  strain FCR3, pH 6.9, 25°C &lt;85&gt;; #7# pH 7.5, temperature not specified in the publication &lt;195&gt;</t>
  </si>
  <si>
    <t>#71# purified enzyme at pH 7.0 and 22°C &lt;162&gt;</t>
  </si>
  <si>
    <t>#71# purified enzyme, at pH 7.0 and  22°C &lt;162&gt;</t>
  </si>
  <si>
    <t>#71# in 50 mM potassium phosphate  buffer pH 7.0, at 37°C &lt;163&gt;</t>
  </si>
  <si>
    <t>#71# crude enzyme, at pH 7.0 and 22°C &lt;162&gt;</t>
  </si>
  <si>
    <t>#71# in 50 mM potassium phosphate buffer pH 7.0, at  37°C &lt;163&gt;</t>
  </si>
  <si>
    <t>#71# purified enzyme, at pH 7.0 and 22°C  &lt;162&gt;</t>
  </si>
  <si>
    <t>#71# crude enzyme, at pH 7.0 and  22°C &lt;162&gt;</t>
  </si>
  <si>
    <t>#72# 4°C, pH not specified in the publication  &lt;176&gt;</t>
  </si>
  <si>
    <t>#72# 25°C, pH not specified in the publication  &lt;176&gt;</t>
  </si>
  <si>
    <t>#78# enzyme from unfrozen state,  presence of glucose, pH 7.2, 25°C &lt;178&gt;</t>
  </si>
  <si>
    <t>#78# enzyme from unfrozen state,  presence of urea, pH 7.2, 25°C &lt;178&gt;</t>
  </si>
  <si>
    <t>#78# enzyme from frozen state, pH  7.2, 25°C &lt;178&gt;</t>
  </si>
  <si>
    <t>#78# enzyme from unfrozen state,  presence of urea plus glucose, pH 7.2, 25°C &lt;178&gt;</t>
  </si>
  <si>
    <t>#78# enzyme from unfrozen state,  pH 7.2, 25°C &lt;178&gt;</t>
  </si>
  <si>
    <t>#8# pH 6.05 &lt;22&gt;</t>
  </si>
  <si>
    <t>#8# pH 6.8 &lt;22&gt;</t>
  </si>
  <si>
    <t>E</t>
  </si>
  <si>
    <t>#8# 0.3 M phosphate buffer &lt;2&gt;</t>
  </si>
  <si>
    <t>Z</t>
  </si>
  <si>
    <t>#8# 0.03 M phosphate buffer &lt;2&gt;</t>
  </si>
  <si>
    <t>#8# 25°C &lt;119&gt;</t>
  </si>
  <si>
    <t>#14# erythrocyte enzyme &lt;86&gt;</t>
  </si>
  <si>
    <t>#33# liver enzyme &lt;86&gt;; #8# pH 6.8 &lt;22&gt;;  #14# erythrocyte enzyme &lt;86&gt;</t>
  </si>
  <si>
    <t>#8# pH 7.5 &lt;91&gt;</t>
  </si>
  <si>
    <t>#9# liver enzyme &lt;86&gt;; #12# brain  enzyme, pH 7.0, 30°C &lt;86&gt;</t>
  </si>
  <si>
    <t>#82# in 50 mM potassium phosphate  buffer (pH 7.0</t>
  </si>
  <si>
    <t>#85# recombinant glutathione-trypanothione  reductase-like enzyme &lt;70&gt;</t>
  </si>
  <si>
    <t>#85# mutant enzyme, pH 7.4, 25°C  &lt;81&gt;</t>
  </si>
  <si>
    <t>#85# pH 7.4, 25°C &lt;81&gt;</t>
  </si>
  <si>
    <t>#86# recombinant Glr1 &lt;122&gt;</t>
  </si>
  <si>
    <t>#86# native Glr1 &lt;122&gt;</t>
  </si>
  <si>
    <t>#9# liver enzyme &lt;86&gt;</t>
  </si>
  <si>
    <t>#9# 25°C, pH not specified in the publication  &lt;177&gt;</t>
  </si>
  <si>
    <t>#9# in 100 mM potassium phosphate buffer, pH 7.4,  4 mM EDTA, at 37°C &lt;154&gt;</t>
  </si>
  <si>
    <t>#9# 25°C, pH not specified in the  publication &lt;177&gt;</t>
  </si>
  <si>
    <t>#9# in 100 mM potassium phosphate  buffer, pH 7.4, 4 mM EDTA, at 37°C &lt;154&gt;</t>
  </si>
  <si>
    <t>#91# pH 8.0, temperature not specified in the  publication &lt;180&gt;</t>
  </si>
  <si>
    <t>#91# pH 8.0, temperature not  specified in the publication &lt;180&gt;</t>
  </si>
  <si>
    <t>#96# pH 7.8, 37°C &lt;175&gt;</t>
  </si>
  <si>
    <t>#10# isoenzyme ADH-3, pH 10.0 &lt;49&gt;</t>
  </si>
  <si>
    <t>#10# isoenzyme 1 &lt;51&gt;</t>
  </si>
  <si>
    <t>#10# isoenzyme ADH-2 &lt;49&gt;</t>
  </si>
  <si>
    <t>#10# isoenzyme 3  &lt;51&gt;</t>
  </si>
  <si>
    <t>#10#  isoenzyme 2 &lt;51&gt;</t>
  </si>
  <si>
    <t>#10# isoenzyme ADH-1, pH 7.5 &lt;49&gt;</t>
  </si>
  <si>
    <t>#10# isoenzyme I  &lt;51&gt;</t>
  </si>
  <si>
    <t>#10# isoenzyme ADH-3, pH 10.0  &lt;49&gt;</t>
  </si>
  <si>
    <t>#10# isoenzyme 3 &lt;51&gt;</t>
  </si>
  <si>
    <t>#10# isoenzyme 4 &lt;51&gt;</t>
  </si>
  <si>
    <t>#10# isoenzyme 2 &lt;51&gt;</t>
  </si>
  <si>
    <t>#10# isoenzyme ADH-1, pH 10.0 &lt;49&gt;</t>
  </si>
  <si>
    <t>#10#  isoenzyme 3 &lt;51&gt;</t>
  </si>
  <si>
    <t>#10# isoenzyme ADH-3, pH 10.0 and pH 7.5 &lt;49&gt;</t>
  </si>
  <si>
    <t>#10# isoenzyme ADH-2, pH 7.5 &lt;49&gt;</t>
  </si>
  <si>
    <t>#10#  isoenzyme 4 &lt;51&gt;</t>
  </si>
  <si>
    <t>#10# isoenzyme 4  &lt;51&gt;</t>
  </si>
  <si>
    <t>#10# isoenzyme 1  &lt;51&gt;</t>
  </si>
  <si>
    <t>#10# isoenzyme 2  &lt;51&gt;</t>
  </si>
  <si>
    <t>#10# isoenzyme ADH-2, pH 10.0 &lt;49&gt;</t>
  </si>
  <si>
    <t>#10# isoenzyme  2 &lt;51&gt;</t>
  </si>
  <si>
    <t>#10# isoenzyme  4 &lt;51&gt;</t>
  </si>
  <si>
    <t>#10#  isoenzyme I &lt;51&gt;</t>
  </si>
  <si>
    <t>#10# isoenzyme 2 &lt;51&gt;; #136# pH 6.0,  temperature not specified in the publication &lt;240&gt;</t>
  </si>
  <si>
    <t>#10# isoenzyme ADH-3 &lt;49&gt;; #124# at pH  9.0 in bis-Tris propane buffer &lt;214&gt;; #26# pH 8.8, 45°C, mutant enzyme G211S &lt;295&gt;</t>
  </si>
  <si>
    <t>#10# isoenzyme 2 &lt;51&gt;; #39# isoenzyme BB-ADH  &lt;95&gt;</t>
  </si>
  <si>
    <t>#10# isoenzyme ADH-1, pH 7.5 &lt;49&gt;; #49# in  0.1 M glycine-NaOH, pH 9.2, at 65°C &lt;166&gt;; #49# native enzyme, at 55°C &lt;156&gt;; #122# mutant W87A, pH 7.0, 30°C &lt;263&gt;</t>
  </si>
  <si>
    <t>#10# isoenzyme ADH-1, pH 7.5 &lt;49&gt;; #51# pH 9.0,  60°C, recombinant enzyme &lt;226&gt;</t>
  </si>
  <si>
    <t>#10# isoenzyme ADH-2, pH 10.0 and pH 7.5 &lt;49&gt;;  #64# isozyme ADH II, pH 8.5, 25°C &lt;116&gt;</t>
  </si>
  <si>
    <t>#82# pyrazole-sensitive enzyme, pH 10.0 &lt;24&gt;</t>
  </si>
  <si>
    <t>#104# 33°C, pH 7 &lt;174&gt;</t>
  </si>
  <si>
    <t>#104# 33°C, pH 8 &lt;174&gt;</t>
  </si>
  <si>
    <t>#105# pH 6.0 &lt;188&gt;</t>
  </si>
  <si>
    <t>#105# pH 8.0 &lt;188&gt;</t>
  </si>
  <si>
    <t>#109# mutant enzyme W95L/N249Y, in 0.1 M  glycine-NaOH buffer (pH 10.5</t>
  </si>
  <si>
    <t>#109# mutant enzyme W95L, in 0.1 M  glycine-NaOH buffer (pH 10.5</t>
  </si>
  <si>
    <t>#109# wild type enzyme, in 0.1 M  glycine-NaOH buffer (pH 10.5</t>
  </si>
  <si>
    <t>#109# mutant enzyme W95L, in 0.1 M glycine-NaOH  buffer (pH 10.5</t>
  </si>
  <si>
    <t>#109# mutant enzyme W95L,, in 0.1 M  glycine-NaOH buffer (pH 10.5</t>
  </si>
  <si>
    <t>#109# wild type enzyme, in 0.1 M glycine-NaOH  buffer (pH 10.5</t>
  </si>
  <si>
    <t>#109# mutant enzyme W95L/N249Y, in  0.1 M glycine-NaOH buffer (pH 10.5</t>
  </si>
  <si>
    <t>#109# mutant enzyme W95L, in 0.1 M glycine-NaOH buffer  (pH 10.5</t>
  </si>
  <si>
    <t>#109# Km above 50 mM, mutant enzyme W95L/N249Y, in  0.1 M glycine-NaOH buffer (pH 10.5</t>
  </si>
  <si>
    <t>#109# mutant enzyme W95L/N249Y, in 0.1  M glycine-NaOH buffer (pH 10.5</t>
  </si>
  <si>
    <t>#116# in 200 mM bicine, pH 6.0, at 60°C &lt;200&gt;;  #109# wild type enzyme, in 0.1 M glycine-NaOH buffer (pH 10.5</t>
  </si>
  <si>
    <t>#110# isozyme ADH2, at  21-23°C &lt;217&gt;</t>
  </si>
  <si>
    <t>#110# isozyme ADH1C, at 21-23°C &lt;217&gt;</t>
  </si>
  <si>
    <t>#110# isozyme ADH1C, at  21-23°C &lt;217&gt;</t>
  </si>
  <si>
    <t>#110# isozyme ADH1C, at 21-23°C  &lt;217&gt;</t>
  </si>
  <si>
    <t>#110# isozyme ADH2, at 21-23°C &lt;217&gt;</t>
  </si>
  <si>
    <t>#110# isozyme ADH2, at 21-23°C  &lt;217&gt;</t>
  </si>
  <si>
    <t>#110# isozyme ADH3, at 21-23°C &lt;217&gt;</t>
  </si>
  <si>
    <t>#110# isozyme ADH3, at  21-23°C &lt;217&gt;</t>
  </si>
  <si>
    <t>#110# isozyme ADH3, at 21-23°C  &lt;217&gt;</t>
  </si>
  <si>
    <t>#110# isozyme ADH1C,  at 21-23°C &lt;217&gt;</t>
  </si>
  <si>
    <t>#113# isozyme ADH4, at  21-23°C &lt;217&gt;</t>
  </si>
  <si>
    <t>#113# isozyme ADH4, at 21-23°C  &lt;217&gt;</t>
  </si>
  <si>
    <t>#113# isozyme ADH4, at 21-23°C &lt;217&gt;</t>
  </si>
  <si>
    <t>#116# in 200 mM bicine, pH 9.0, at 60°C &lt;200&gt;</t>
  </si>
  <si>
    <t>#116# in 200 mM bicine, pH 9.0, at 60°C  &lt;200&gt;</t>
  </si>
  <si>
    <t>#116# in 200 mM bicine, pH 6.0, at 60°C  &lt;200&gt;</t>
  </si>
  <si>
    <t>#117# in the presence of 2 mM NAD+, in 83  mM potassium phosphate, 40 mM KCl, and 0.25 mM EDTA buffer, pH 7.3, at 30°C &lt;205&gt;</t>
  </si>
  <si>
    <t>#117# in the presence of 0.25 mM NADH, in 83  mM potassium phosphate, 40 mM KCl, and 0.25 mM EDTA buffer, pH 7.3, at 30°C &lt;205&gt;</t>
  </si>
  <si>
    <t>#117# in the presence of 0.1 mM  NADH, in 83 mM potassium phosphate, 40 mM KCl, and 0.25 mM EDTA buffer, pH 7.3, at 30°C &lt;205&gt;</t>
  </si>
  <si>
    <t>#117# in the presence of 2 mM  NAD+, in 83 mM potassium phosphate, 40 mM KCl, and 0.25 mM EDTA buffer, pH 7.3, at 30°C &lt;205&gt;</t>
  </si>
  <si>
    <t>#118# cosubstrate ethanol, pH 8, 60°C &lt;218&gt;</t>
  </si>
  <si>
    <t>#118# cosubstrate acetaldehyde, pH 8, 60°C &lt;218&gt;</t>
  </si>
  <si>
    <t>#118# pH 8, 60°C &lt;218&gt;</t>
  </si>
  <si>
    <t>#12# wild-type, pH 6.7, 30°C &lt;284&gt;</t>
  </si>
  <si>
    <t>#12# in presence of 1 mM SDS &lt;195&gt;</t>
  </si>
  <si>
    <t>#12# mutant S110P/Y295C, pH 6.7, 30°C &lt;284&gt;</t>
  </si>
  <si>
    <t>#12# in presence of 3 mM SDS &lt;195&gt;</t>
  </si>
  <si>
    <t>#12# isozyme ADH1, in the presence  of 2 mM NAD+, in 83 mM potassium phosphate, 40 mM KCl, and 0.25 mM EDTA buffer, pH 7.3, at 30°C &lt;205&gt;</t>
  </si>
  <si>
    <t>#12# isozyme ADH2, in the presence of 0.25 mM  NADH, in 83 mM potassium phosphate, 40 mM KCl, and 0.25 mM EDTA buffer, pH 7.3, at 30°C &lt;205&gt;</t>
  </si>
  <si>
    <t>#12# in presence of 50 mM SDS &lt;195&gt;</t>
  </si>
  <si>
    <t>#12# in presence of 0.5 mM SDS &lt;195&gt;</t>
  </si>
  <si>
    <t>#12# isozyme ADH1, in the presence  of 0.1 mM NADH, in 83 mM potassium phosphate, 40 mM KCl, and 0.25 mM EDTA buffer, pH 7.3, at 30°C &lt;205&gt;</t>
  </si>
  <si>
    <t>#12# isozyme ADH1, in the presence of 0.25 mM  NADH, in 83 mM potassium phosphate, 40 mM KCl, and 0.25 mM EDTA buffer, pH 7.3, at 30°C &lt;205&gt;</t>
  </si>
  <si>
    <t>#12# isozyme ADH1, in the presence of 2 mM  NAD+, in 83 mM potassium phosphate, 40 mM KCl, and 0.25 mM EDTA buffer, pH 7.3, at 30°C &lt;205&gt;</t>
  </si>
  <si>
    <t>#12# 40°C, pH 9.0 &lt;147&gt;</t>
  </si>
  <si>
    <t>#12# isozyme ADH2, in the presence of 2 mM  NAD+, in 83 mM potassium phosphate, 40 mM KCl, and 0.25 mM EDTA buffer, pH 7.3, at 30°C &lt;205&gt;</t>
  </si>
  <si>
    <t>#12# pH 7.5, 25°C, native Zn-ADH &lt;125&gt;</t>
  </si>
  <si>
    <t>#12# isozyme ADH2, in the presence  of 0.1 mM NADH, in 83 mM potassium phosphate, 40 mM KCl, and 0.25 mM EDTA buffer, pH 7.3, at 30°C &lt;205&gt;</t>
  </si>
  <si>
    <t>#12# pH 7.5, 25°C, Cu-ADH &lt;125&gt;</t>
  </si>
  <si>
    <t>#12# in presence of 15 mM SDS &lt;195&gt;</t>
  </si>
  <si>
    <t>#12# isozyme ADH2, in the presence  of 2 mM NAD+, in 83 mM potassium phosphate, 40 mM KCl, and 0.25 mM EDTA buffer, pH 7.3, at 30°C &lt;205&gt;</t>
  </si>
  <si>
    <t>#12# 30°C, pH 9.0 &lt;147&gt;</t>
  </si>
  <si>
    <t>#12# mutant S110P/Y295C, pH 6.7,  30°C &lt;284&gt;</t>
  </si>
  <si>
    <t>#12# pH 7.0, 30°C &lt;287&gt;</t>
  </si>
  <si>
    <t>#12# 10°C, pH 9.0 &lt;147&gt;</t>
  </si>
  <si>
    <t>#12# soluble enzyme &lt;185&gt;</t>
  </si>
  <si>
    <t>#12# enzyme covalently immobilized  to magnetic Fe3O4 nanoparticles via glutaraldehyde &lt;185&gt;</t>
  </si>
  <si>
    <t>#12# 20°C, pH 9.0 &lt;147&gt;; #115# in 100 mM  Tris-HCl, at pH 5.0 and 75°C &lt;216&gt;</t>
  </si>
  <si>
    <t>#12# in presence of 1 mM SDS &lt;195&gt;; #142# pH  7.0, temperature not specified in the publication &lt;255&gt;</t>
  </si>
  <si>
    <t>#12# pH 7.5, 25°C, Co-ADH &lt;125&gt;</t>
  </si>
  <si>
    <t>#94# pH 8.5 &lt;108&gt;; #12# in presence of 0.5 mM  SDS &lt;195&gt;</t>
  </si>
  <si>
    <t>#120# in 50 mM Tris-HCl, pH 8.0 at 25°C &lt;212&gt;</t>
  </si>
  <si>
    <t>#121# pH 11.0, 25°C, recombinant enzyme  &lt;300&gt;</t>
  </si>
  <si>
    <t>#121# pH 9.0, 25°C, recombinant enzyme  &lt;300&gt;</t>
  </si>
  <si>
    <t>#121# pH 9.0, 25°C, recombinant  enzyme &lt;300&gt;</t>
  </si>
  <si>
    <t>#121# pH 7.0, 25°C, recombinant enzyme  &lt;300&gt;</t>
  </si>
  <si>
    <t>#122# mutant C257L, pH  8.0, 60°C &lt;249&gt;</t>
  </si>
  <si>
    <t>#122# mutant W49F/W87F, 30°C, pH not specified in  the publication &lt;260&gt;</t>
  </si>
  <si>
    <t>#122# mutant Y25A, 30°C, pH not specified in the  publication &lt;260&gt;; #122# mutant Y25A, pH 7.0, 30°C &lt;263&gt;</t>
  </si>
  <si>
    <t>#122# wild-type, pH 8.0, 60°C &lt;249&gt;</t>
  </si>
  <si>
    <t>#122# mutant W49F/W167Y, 30°C, pH not  specified in the publication &lt;260&gt;</t>
  </si>
  <si>
    <t>#122# mutant W49F/W167Y, 30°C, pH not specified in  the publication &lt;260&gt;</t>
  </si>
  <si>
    <t>#122# mutant V260A, 30°C, pH not specified in the  publication &lt;260&gt;</t>
  </si>
  <si>
    <t>#122# wild-type, pH  8.0, 60°C &lt;249&gt;</t>
  </si>
  <si>
    <t>#122# wild-type, pH 8.0,  60°C &lt;249&gt;</t>
  </si>
  <si>
    <t>#122# wild-type, 30°C, pH not specified in  the publication &lt;260&gt;</t>
  </si>
  <si>
    <t>#122# mutant W49F/W167Y/V260A, 30°C, pH not  specified in the publication &lt;260&gt;</t>
  </si>
  <si>
    <t>#122# wild-type, pH 7.0, 30°C &lt;263&gt;; #122#  wild-type, 30°C, pH not specified in the publication &lt;260&gt;</t>
  </si>
  <si>
    <t>#122# mutant Y25A/W49F/W167Y/V260A, 30°C,  pH not specified in the publication &lt;260&gt;</t>
  </si>
  <si>
    <t>#122# mutant V260A, 30°C, pH not specified  in the publication &lt;260&gt;</t>
  </si>
  <si>
    <t>#122# mutant W49F/W87F, 30°C, pH not  specified in the publication &lt;260&gt;</t>
  </si>
  <si>
    <t>#122# mutant W49F/W167Y/V260A, 30°C, pH  not specified in the publication &lt;260&gt;</t>
  </si>
  <si>
    <t>#122# mutant Y25A, pH 7.0, 30°C &lt;263&gt;</t>
  </si>
  <si>
    <t>#122# mutant W49F/W87F/V260A, 30°C, pH not  specified in the publication &lt;260&gt;</t>
  </si>
  <si>
    <t>#122# pH 7.5, 23°C &lt;308&gt;</t>
  </si>
  <si>
    <t>#122# mutant Y25A/W49F/W87F, 30°C, pH not  specified in the publication &lt;260&gt;</t>
  </si>
  <si>
    <t>#122# mutant Y25A/W49F/W167Y/V260A, 30°C, pH not  specified in the publication &lt;260&gt;</t>
  </si>
  <si>
    <t>#122# mutant Y25A/W49F/W87F/V260A, 30°C,  pH not specified in the publication &lt;260&gt;</t>
  </si>
  <si>
    <t>#122# mutant Y25A/W49F/W87F/V260A, 30°C, pH not  specified in the publication &lt;260&gt;</t>
  </si>
  <si>
    <t>#122# wild-type, pH 7.0, 30°C &lt;263&gt;</t>
  </si>
  <si>
    <t>#122# mutant Y25A, 30°C, pH not specified  in the publication &lt;260&gt;</t>
  </si>
  <si>
    <t>#122# mutant W49F/W87F/V260A, 30°C, pH  not specified in the publication &lt;260&gt;</t>
  </si>
  <si>
    <t>#163# pH 6, 60°C &lt;288&gt;; #122# wild-type, pH  8.0, 60°C &lt;249&gt;</t>
  </si>
  <si>
    <t>#124# at pH 9.0 in bis-Tris propane buffer &lt;214&gt;</t>
  </si>
  <si>
    <t>#124# at pH 7.0 and 25°C &lt;214&gt;</t>
  </si>
  <si>
    <t>#126# 65°C, pH 5.5 &lt;222&gt;</t>
  </si>
  <si>
    <t>#126# 65°C, pH 8.0 &lt;222&gt;</t>
  </si>
  <si>
    <t>#127# 65°C, pH 5.0 &lt;221&gt;</t>
  </si>
  <si>
    <t>#127# 65°C, pH 10.5 &lt;221&gt;</t>
  </si>
  <si>
    <t>#127# 65°C, pH  5.0 &lt;221&gt;</t>
  </si>
  <si>
    <t>#130# pH 6.0, 22°C, recombinant enzyme  &lt;225&gt;</t>
  </si>
  <si>
    <t>#134# pH and temperature not specified in the  publication &lt;230&gt;</t>
  </si>
  <si>
    <t>#135# pH 8.0, 60°C &lt;242&gt;</t>
  </si>
  <si>
    <t>#136# pH 11.0, temperature not specified in the  publication &lt;240&gt;</t>
  </si>
  <si>
    <t>#136# pH 6.0, temperature not specified in  the publication &lt;240&gt;</t>
  </si>
  <si>
    <t>#139# pH 7.0, temperature not specified in the  publication &lt;255&gt;</t>
  </si>
  <si>
    <t>#14# pH 7.5 &lt;45&gt;</t>
  </si>
  <si>
    <t>#14# pH 10.8 &lt;45&gt;</t>
  </si>
  <si>
    <t>#140# pH 7.0, temperature not specified in  the publication &lt;255&gt;</t>
  </si>
  <si>
    <t>#140# pH 7.0, temperature not specified in the  publication &lt;255&gt;</t>
  </si>
  <si>
    <t>#141# pH 7.0, temperature not specified in the  publication &lt;255&gt;</t>
  </si>
  <si>
    <t>#145# mutant A25Y, pH 7.0, 30°C &lt;263&gt;</t>
  </si>
  <si>
    <t>#145# wild-type, pH 7.0, 30°C &lt;263&gt;</t>
  </si>
  <si>
    <t>#146# pH 8.8, 70°C &lt;141&gt;</t>
  </si>
  <si>
    <t>#146# pH 6.1, 70°C &lt;141&gt;</t>
  </si>
  <si>
    <t>#146# reduction reaction, pH 6.1, 70°C &lt;141&gt;</t>
  </si>
  <si>
    <t>#15# pH 7.7, 60°C &lt;237&gt;</t>
  </si>
  <si>
    <t>#152# cosubstrate 1-phenylethanol, pH 9.0, 70°C  &lt;246&gt;</t>
  </si>
  <si>
    <t>#152# cosubstrate acetoin, pH 6.0, 70°C &lt;246&gt;</t>
  </si>
  <si>
    <t>#152# cosubstrate 2,3-butanediol, pH 9.0, 70°C  &lt;246&gt;</t>
  </si>
  <si>
    <t>#152# pH 9.0, 70°C &lt;246&gt;</t>
  </si>
  <si>
    <t>#152# pH 6.0, 70°C &lt;246&gt;</t>
  </si>
  <si>
    <t>#153# pH 6.5, 65°C &lt;247&gt;</t>
  </si>
  <si>
    <t>2E</t>
  </si>
  <si>
    <t>#153# pH 8.0, 55°C &lt;247&gt;</t>
  </si>
  <si>
    <t>#157# cosubstrate butan-1-ol, pH 7.0, 30°C &lt;274&gt;</t>
  </si>
  <si>
    <t>#157# cosubstrate butanal, pH 7.0, 30°C &lt;274&gt;</t>
  </si>
  <si>
    <t>#157# cosubstrate NADH, pH 7.0, 30°C &lt;274&gt;</t>
  </si>
  <si>
    <t>#157# cosubstrate NAD+, pH 7.0, 30°C &lt;274&gt;</t>
  </si>
  <si>
    <t>#16# reduction of propan-2-ol &lt;81&gt;</t>
  </si>
  <si>
    <t>#16# reduction of ethanol &lt;81&gt;; #122# mutant  Y25A/W49F/W87F, 30°C, pH not specified in the publication &lt;260&gt;</t>
  </si>
  <si>
    <t>#163# pH 10, 60°C &lt;288&gt;</t>
  </si>
  <si>
    <t>#163# pH 6, 60°C &lt;288&gt;</t>
  </si>
  <si>
    <t>#165# pH 7.0, 30°C &lt;290&gt;</t>
  </si>
  <si>
    <t>#168# at pH 7.9 and 25°C &lt;294&gt;</t>
  </si>
  <si>
    <t>#168# at pH 7.9 and 25°C  &lt;294&gt;</t>
  </si>
  <si>
    <t>#172# recombinant His-tagged wild-type enzyme,  pH 7.5, temperature not specified in the publication &lt;305&gt;</t>
  </si>
  <si>
    <t>#172# recombinant His-tagged mutant C243S, pH  7.5, temperature not specified in the publication &lt;305&gt;</t>
  </si>
  <si>
    <t>#178# pH 7.0, 30°C, with NADH &lt;310&gt;</t>
  </si>
  <si>
    <t>#19# isoenzyme III from leaf &lt;79&gt;</t>
  </si>
  <si>
    <t>#19# isoenzyme II from leaf &lt;79&gt;</t>
  </si>
  <si>
    <t>#19# isoenzyme I from leaf &lt;79&gt;</t>
  </si>
  <si>
    <t>#19# isoenzyme I &lt;79&gt;</t>
  </si>
  <si>
    <t>#19# isoenzyme II &lt;79&gt;</t>
  </si>
  <si>
    <t>#21# mutant enzyme ADH1-1S1108 &lt;97&gt;</t>
  </si>
  <si>
    <t>#21# wild-type enzyme ADH1-1S &lt;97&gt;</t>
  </si>
  <si>
    <t>#44# pH 7.6 &lt;28&gt;; #21# mutant enzyme ADH1S-1108  &lt;97&gt;</t>
  </si>
  <si>
    <t>#44# pH 8.8 &lt;28&gt;</t>
  </si>
  <si>
    <t>#23# pH 10.5, 25°C &lt;286&gt;</t>
  </si>
  <si>
    <t>#26# pH 8.8, 45°C, mutant enzyme G211InsS &lt;295&gt;</t>
  </si>
  <si>
    <t>#26# pH 8.8, 45°C, mutant enzyme G211S,  cofactor: NAD+ &lt;295&gt;</t>
  </si>
  <si>
    <t>#26# 45°C, pH 6.1, cosubstrate:  3-hydroxy-2-butanone, mutant enzyme K249G/H255R &lt;292&gt;</t>
  </si>
  <si>
    <t>#26# 45°C, pH 8.8, cosubstrate: NADP+,  wild-type enzyme &lt;292&gt;</t>
  </si>
  <si>
    <t>#26# 45°C, pH 8.8, cosubstrate: 2,3-butanediol,  mutant enzyme K249G/H255R &lt;292&gt;</t>
  </si>
  <si>
    <t>#26# 45°C, pH 6.1, cosubstrate:  3-hydroxy-2-butanone, wild-type enzyme &lt;292&gt;</t>
  </si>
  <si>
    <t>#26# 45°C, pH 6.1, cosubstrate: NADH,  wild-type enzyme &lt;292&gt;</t>
  </si>
  <si>
    <t>#26# pH 8.8, 45°C, mutant enzyme G211InsG,  cofactor: NADP+ &lt;295&gt;</t>
  </si>
  <si>
    <t>#26# pH 8.8, 45°C, wild-type enzyme,  cofactor: NAD+ &lt;295&gt;</t>
  </si>
  <si>
    <t>#26# pH 8.8, 45°C, mutant enzyme G211InsS,  cofactor: NADP+ &lt;295&gt;</t>
  </si>
  <si>
    <t>#26# 45°C, pH 6.1, cosubstrate: NADPH,  mutant enzyme K249G/H255R &lt;292&gt;</t>
  </si>
  <si>
    <t>#26# pH 8.8, 45°C, mutant enzyme G211S,  cofactor: NADP+ &lt;295&gt;</t>
  </si>
  <si>
    <t>#26# pH 8.8, 45°C, mutant enzyme G211InsC &lt;295&gt;</t>
  </si>
  <si>
    <t>#26# pH 8.8, 45°C, mutant enzyme G211InsA,  cofactor: NAD+ &lt;295&gt;</t>
  </si>
  <si>
    <t>#26# pH 8.8, 45°C, mutant enzyme G211C &lt;295&gt;</t>
  </si>
  <si>
    <t>#26# pH 8.8, 45°C, mutant enzyme G211S &lt;295&gt;</t>
  </si>
  <si>
    <t>#26# pH 8.8, 45°C, mutant enzyme G211InsG &lt;295&gt;</t>
  </si>
  <si>
    <t>#26# pH 8.8, 45°C, wild-type enzyme,  cofactor: NAP+ &lt;295&gt;</t>
  </si>
  <si>
    <t>#26# 45°C, pH 8.8, cosubstrate: NAD+,  wild-type enzyme &lt;292&gt;</t>
  </si>
  <si>
    <t>#26# 45°C, pH 8.8, cosubstrate: 2,3-butanediol,  wild-type enzyme &lt;292&gt;</t>
  </si>
  <si>
    <t>#26# 45°C, pH 6.1, cosubstrate:  NADPH, wild-type enzyme &lt;292&gt;</t>
  </si>
  <si>
    <t>#26# 45°C, pH 6.1, cosubstrate: NADH,  mutant enzyme K249G/H255R &lt;292&gt;</t>
  </si>
  <si>
    <t>#26# pH 8.8, 45°C, wild-type enzyme &lt;295&gt;</t>
  </si>
  <si>
    <t>#26# pH 8.8, 45°C, mutant enzyme G211C,  cofactor: NADP+ &lt;295&gt;</t>
  </si>
  <si>
    <t>#26# pH 8.8, 45°C, mutant enzyme G211InsA,  cofactor: NADP+ &lt;295&gt;</t>
  </si>
  <si>
    <t>#26# pH 8.8, 45°C, mutant enzyme G211InsG,  cofactor: NAD+ &lt;295&gt;</t>
  </si>
  <si>
    <t>#26# 45°C, pH 8.8, cosubstrate: NADP+,  mutant enzyme K249G/H255R &lt;292&gt;</t>
  </si>
  <si>
    <t>#26# pH 8.8, 45°C, mutant enzyme G211InsS,  cofactor: NAD+ &lt;295&gt;</t>
  </si>
  <si>
    <t>#26# pH 8.8, 45°C, mutant enzyme G211InsC,  cofactor: NADP+ &lt;295&gt;</t>
  </si>
  <si>
    <t>#26# pH 8.8, 45°C, mutant enzyme G211InsA &lt;295&gt;</t>
  </si>
  <si>
    <t>#26# pH 8.8, 45°C, mutant enzyme G211C,  cofactor: NAD+ &lt;295&gt;</t>
  </si>
  <si>
    <t>#26# pH 8.8, 45°C, mutant enzyme G211InsC,  cofactor: NAD+ &lt;295&gt;</t>
  </si>
  <si>
    <t>#26# 45°C, pH 8.8, cosubstrate: NAD+,  mutant enzyme K249G/H255R &lt;292&gt;</t>
  </si>
  <si>
    <t>#136# pH 11.0, temperature not specified in the  publication &lt;240&gt;; #26# pH 8.8, 45°C, mutant enzyme G211InsG &lt;295&gt;</t>
  </si>
  <si>
    <t>#71# oxidation of ethanol &lt;60&gt;; #26# pH 8.8,  45°C, wild-type enzyme &lt;295&gt;</t>
  </si>
  <si>
    <t>#97# 25°C, pH 7.0 &lt;140&gt;; #26# pH 8.8, 45°C,  mutant enzyme G211InsA &lt;295&gt;</t>
  </si>
  <si>
    <t>#30# above &lt;132&gt;</t>
  </si>
  <si>
    <t>#31# 23°C &lt;74&gt;</t>
  </si>
  <si>
    <t>#31# 33°C &lt;74&gt;</t>
  </si>
  <si>
    <t>#31# 27°C &lt;74&gt;</t>
  </si>
  <si>
    <t>#31# 43°C &lt;74&gt;</t>
  </si>
  <si>
    <t>#34# 70°C, pH 9.0, 50 mM Tris-HCl, 4 M NaCl  &lt;184&gt;</t>
  </si>
  <si>
    <t>#34# 40°C, pH 9.0, 50 mM Tris-HCl, 4 M NaCl  &lt;184&gt;</t>
  </si>
  <si>
    <t>#39# isoenzyme BB-ADH &lt;95&gt;</t>
  </si>
  <si>
    <t>#39# isoenzyme AA-ADH &lt;95&gt;</t>
  </si>
  <si>
    <t>#39# isoenzyme BB-ADH and isoenzyme  ADH-TT &lt;95&gt;</t>
  </si>
  <si>
    <t>#39# isoenzyme TT-ADH &lt;95&gt;</t>
  </si>
  <si>
    <t>#44# oxidation with NAD+ &lt;93&gt;</t>
  </si>
  <si>
    <t>#44# substrate butan-1-ol, pH 8.0, 25°C &lt;278&gt;</t>
  </si>
  <si>
    <t>#44# pH 7.3, 37°C,  recombinant enzyme &lt;119&gt;</t>
  </si>
  <si>
    <t>#44# pH 7.3, 37°C, recombinant  enzyme &lt;119&gt;</t>
  </si>
  <si>
    <t>#44# pH 10.0 &lt;28&gt;</t>
  </si>
  <si>
    <t>#44# reduction with NADH &lt;93&gt;</t>
  </si>
  <si>
    <t>#44# mutant enzyme W54L &lt;92&gt;</t>
  </si>
  <si>
    <t>#44# substrate hexan-1-ol, pH 8.0, 25°C &lt;278&gt;;  #44# substrate propan-1-ol, pH 8.0, 25°C &lt;278&gt;</t>
  </si>
  <si>
    <t>#44# pH 7.3, 37°C &lt;120&gt;</t>
  </si>
  <si>
    <t>#44# substrate ethanol, pH 8.0, 25°C &lt;278&gt;</t>
  </si>
  <si>
    <t>#44# substrate benzyl alcohol, pH 8.0, 25°C  &lt;278&gt;</t>
  </si>
  <si>
    <t>#44# pH 7.0 &lt;28&gt;</t>
  </si>
  <si>
    <t>#44# wilde-type enzyme ADh1 &lt;92&gt;</t>
  </si>
  <si>
    <t>#44# pH 6.1 &lt;28&gt;</t>
  </si>
  <si>
    <t>#82# pyrazole-insensitive enzyme, pH 7.5 &lt;24&gt;;  #44# wild-type enzyme Adh1 &lt;92&gt;</t>
  </si>
  <si>
    <t>#45# enzyme form ADH II &lt;68&gt;</t>
  </si>
  <si>
    <t>#45# enzyme form ADH I &lt;68&gt;</t>
  </si>
  <si>
    <t>#47# pH 6.0, 37°C, recombinant enzyme  expressed from Saccharomyces cerevisiae &lt;235&gt;</t>
  </si>
  <si>
    <t>#47# pH 6.0, 37°C, recombinant enzyme  expressed from Hansenula polymorpha &lt;235&gt;</t>
  </si>
  <si>
    <t>#47# pH 6.0, 37°C, recombinant enzyme  expressed from Arxula adeninivorans &lt;235&gt;</t>
  </si>
  <si>
    <t>#47# pH 6.0, 37°C, recombinant  enzyme expressed from Hansenula polymorpha &lt;235&gt;</t>
  </si>
  <si>
    <t>#47# pH 6.0, 37°C, recombinant  enzyme expressed from Saccharomyces cerevisiae &lt;235&gt;</t>
  </si>
  <si>
    <t>#47# pH 6.0, 37°C, recombinant  enzyme expressed from Arxula adeninivorans &lt;235&gt;</t>
  </si>
  <si>
    <t>#49# in the presence of 3 mM NAD+, in 0.1 M  glycine-NaOH, pH 9.2, at 65°C &lt;166&gt;; #49# native enzyme, at 55°C &lt;156&gt;</t>
  </si>
  <si>
    <t>#49# in 50 mM Tris-HCl (pH 7.5</t>
  </si>
  <si>
    <t>#49# mutant enzyme N249Y, at 65°C &lt;157&gt;</t>
  </si>
  <si>
    <t>#49# wild type enzyme, at 65°C &lt;157&gt;</t>
  </si>
  <si>
    <t>#49# in the presence of 3 mM NAD+,  in 0.1 M glycine-NaOH, pH 9.2, at 65°C &lt;166&gt;</t>
  </si>
  <si>
    <t>#49# wild type enzyme, at 65°C, in the presence of  benzaldehyde &lt;157&gt;</t>
  </si>
  <si>
    <t>#49# mutant enzyme N249Y, at 65°C, in the presence  of benzaldehyde &lt;157&gt;</t>
  </si>
  <si>
    <t>#49# carboxymethylated enzyme, at 55°C &lt;156&gt;</t>
  </si>
  <si>
    <t>#49# carboxymethylated enzyme, at  55°C &lt;156&gt;</t>
  </si>
  <si>
    <t>#49# native enzyme, at 55°C &lt;156&gt;</t>
  </si>
  <si>
    <t>+/-</t>
  </si>
  <si>
    <t>#49# in the presence of 3 mM NAD+, in 0.1 M  glycine-NaOH, pH 9.2, at 65°C &lt;166&gt;</t>
  </si>
  <si>
    <t>#49# carboxymethylated enzyme, at 55°C  &lt;156&gt;</t>
  </si>
  <si>
    <t>#49# wild type enzyme, at 65°C  &lt;157&gt;</t>
  </si>
  <si>
    <t>#49# in the presence of 3 mM NAD+,  in 0.1 M glycine-NaOH, pH 9.2, at 65°C &lt;166&gt;; #49# in the presence of 5 mM benzylalcohol, in 0.1 M glycine-NaOH, pH 9.2, at 65°C &lt;166&gt;</t>
  </si>
  <si>
    <t>#49# mutant enzyme N249Y, at 65°C  &lt;157&gt;</t>
  </si>
  <si>
    <t>#49# mutant enzyme N249Y, at 65°C, in the presence  of benzyl alcohol &lt;157&gt;</t>
  </si>
  <si>
    <t>#49# wild type enzyme, at 65°C &lt;157&gt;;  #109# wild type enzyme, in 0.1 M glycine-NaOH buffer (pH 10.5</t>
  </si>
  <si>
    <t>#49# native enzyme, at 55°C  &lt;156&gt;; #109# mutant enzyme W95L/N249Y, in 0.1 M glycine-NaOH buffer (pH 10.5</t>
  </si>
  <si>
    <t>#49# carboxymethylated enzyme, at 55°C  &lt;156&gt;; #49# wild type enzyme, at 65°C, in the presence of benzyl alcohol &lt;157&gt;; #109# wild type enzyme, in 0.1 M glycine-NaOH buffer (pH 10.5</t>
  </si>
  <si>
    <t>#49# native enzyme, at 55°C &lt;156&gt;;  #122# mutant Y25A/W49F/W167Y, 30°C, pH not specified in the publication &lt;260&gt;</t>
  </si>
  <si>
    <t>#49# mutant enzyme N249Y, at 65°C  &lt;157&gt;; #122# mutant W87A, pH 7.0, 30°C &lt;263&gt;</t>
  </si>
  <si>
    <t>#49# carboxymethylated enzyme, at 55°C &lt;156&gt;;  #127# 65°C, pH 5.0 &lt;221&gt;</t>
  </si>
  <si>
    <t>#94# pH 8.5 &lt;108&gt;; #64# isozyme ADH II, pH  6.0, 25°C &lt;116&gt;; #49# in 50 mM Tris-HCl (pH 7.5</t>
  </si>
  <si>
    <t>#71# enzyme form ADH-2 &lt;60&gt;</t>
  </si>
  <si>
    <t>#5# in the presence of 0.025 mM Zn2+, at pH 9.5 and  37°C &lt;307&gt;</t>
  </si>
  <si>
    <t>#5# in the presence of 0.025 mM Cu2+, at pH 9.5  and 37°C &lt;307&gt;</t>
  </si>
  <si>
    <t>#51# pH 9.0, 60°C, recombinant enzyme &lt;226&gt;</t>
  </si>
  <si>
    <t>#51# pH 8.0, 60°C, recombinant enzyme &lt;226&gt;</t>
  </si>
  <si>
    <t>#51# pH 8.0, 60°C, recombinant enzyme  &lt;226&gt;</t>
  </si>
  <si>
    <t>#51# pH 9.0, 60°C, recombinant enzyme  &lt;226&gt;</t>
  </si>
  <si>
    <t>#64# isozyme ADH I, pH 5.5, 25°C &lt;116&gt;; #51# pH  8.0, 60°C, recombinant enzyme &lt;226&gt;</t>
  </si>
  <si>
    <t>#55# enzyme from liver &lt;59&gt;</t>
  </si>
  <si>
    <t>#55# enzyme from caecum &lt;59&gt;</t>
  </si>
  <si>
    <t>#58# reduction of acetaldehyde &lt;99&gt;</t>
  </si>
  <si>
    <t>#6# recombinant isozyme ADH1, pH 10.5, 25°C &lt;122&gt;</t>
  </si>
  <si>
    <t>#6# recombinant isozyme ADH1, pH 7.5, 25°C &lt;122&gt;</t>
  </si>
  <si>
    <t>#6# recombinant isozyme ADH4, pH 7.5, 25°C &lt;122&gt;</t>
  </si>
  <si>
    <t>#6# recombinant isozyme ADH4, pH 10.5, 25°C &lt;122&gt;</t>
  </si>
  <si>
    <t>#64# isozyme ADH I, pH 5.5, 25°C &lt;116&gt;</t>
  </si>
  <si>
    <t>#64# isozyme ADH II, pH 6.0, 25°C &lt;116&gt;</t>
  </si>
  <si>
    <t>#64# isozyme ADH I, pH 8.5, 25°C &lt;116&gt;</t>
  </si>
  <si>
    <t>#64# isozyme ADH II, pH 8.5, 25°C &lt;116&gt;</t>
  </si>
  <si>
    <t>#7# 65°C &lt;172&gt;</t>
  </si>
  <si>
    <t>phenyl</t>
  </si>
  <si>
    <t>#7# 65°C &lt;172&gt;; #7# pH 10.5, 65°C &lt;172&gt;</t>
  </si>
  <si>
    <t>#7# pH 10.5, 65°C &lt;172&gt;</t>
  </si>
  <si>
    <t>#7# pH 6.0, 65°C &lt;172&gt;</t>
  </si>
  <si>
    <t>#7# 65°C &lt;172&gt;; #7# pH 10.5,  65°C &lt;172&gt;</t>
  </si>
  <si>
    <t>#7# 65°C &lt;172&gt;; #7# pH 10.5, 65°C  &lt;172&gt;</t>
  </si>
  <si>
    <t>#71# enzyme form ADH-3 &lt;60&gt;</t>
  </si>
  <si>
    <t>#71# reduction of octanal &lt;60&gt;</t>
  </si>
  <si>
    <t>#75# alcohol dehydrogenase domain, 60°C, pH 6.0,  presence of 0.1 mM Zn2+ &lt;244&gt;</t>
  </si>
  <si>
    <t>#75# wild-type, 60°C, pH 6.0, presence of 0.1 mM  Zn2+ &lt;244&gt;</t>
  </si>
  <si>
    <t>#75# wild-type, 60°C, pH 6.0, presence of 0.1  mM Zn2+ &lt;244&gt;</t>
  </si>
  <si>
    <t>#75# alcohol dehydrogenase domain, 60°C, pH  6.0, presence of 0.1 mM Zn2+ &lt;244&gt;</t>
  </si>
  <si>
    <t>#9# recombinant allozyme Val308, pH 7.5, 25°C  &lt;118&gt;</t>
  </si>
  <si>
    <t>#81# oxidation of propan-2-ol &lt;61&gt;</t>
  </si>
  <si>
    <t>#81# oxidation of ethanol &lt;61&gt;</t>
  </si>
  <si>
    <t>+</t>
  </si>
  <si>
    <t>-</t>
  </si>
  <si>
    <t>#82# pyrazole-insensitive enzyme, pH 7.5 &lt;24&gt;</t>
  </si>
  <si>
    <t>#82# pyrazole-sensitive enzyme, pH 7.0 &lt;24&gt;</t>
  </si>
  <si>
    <t>#82# pyrazole-sensitive enzyme, pH 7.5 &lt;24&gt;</t>
  </si>
  <si>
    <t>#82# pyrazole-sinensitive enzyme, pH 10.0 &lt;24&gt;</t>
  </si>
  <si>
    <t>#82# pyrazole-insensitive enzyme, pH 10.0 &lt;24&gt;</t>
  </si>
  <si>
    <t>#82# pyrazole-insensitive enzyme, pH 7.0  &lt;24&gt;</t>
  </si>
  <si>
    <t>#88# pH 6.5, 50°C, recombinant enzyme  &lt;229&gt;</t>
  </si>
  <si>
    <t>#9# 0.1 M glycine-NaOH buffer, pH  10.0, 25°C &lt;14&gt;</t>
  </si>
  <si>
    <t>#9# pH 7.5, 25°C, isozyme ADH1B1 &lt;110&gt;</t>
  </si>
  <si>
    <t>#9# pH 7.5, 25°C, isozyme ADH1B2 &lt;110&gt;</t>
  </si>
  <si>
    <t>#9# isoenzyme alpha,gamma1 &lt;13&gt;</t>
  </si>
  <si>
    <t>#9# isoenzyme alpha,alpha &lt;16,17&gt;</t>
  </si>
  <si>
    <t>#9# isoenzyme beta1,beta1 &lt;17&gt;</t>
  </si>
  <si>
    <t>#9# pH 7.5, 25°C, isozyme ADH4 &lt;110&gt;</t>
  </si>
  <si>
    <t>#9# isozyme ADH1B2, pH 7.5, 25°C &lt;122&gt;</t>
  </si>
  <si>
    <t>#9# pH 7.3, 37°C, ADH1C*2  (gamma2gamma2</t>
  </si>
  <si>
    <t>#9# 0.1 M glycine-NaOH buffer, pH 10.0, 25°C  &lt;14&gt;</t>
  </si>
  <si>
    <t>#9# pH 7.5, 25°C, isozyme ADH1B2  &lt;110&gt;</t>
  </si>
  <si>
    <t>#9# isoenzyme gamma1,gamma1 &lt;15&gt;</t>
  </si>
  <si>
    <t>#9# recombinant allozyme Ile308, pH 7.5, 25°C  &lt;118&gt;</t>
  </si>
  <si>
    <t>#9# pH 7.3, 37°C,  ADH1C*2 (gamma2gamma2</t>
  </si>
  <si>
    <t>#9# isoenzyme alpha,alpha &lt;16&gt;</t>
  </si>
  <si>
    <t>#9# isozyme ADH1B1, pH 7.5, 25°C &lt;122&gt;</t>
  </si>
  <si>
    <t>#9# isoenzyme alpha,alpha &lt;15&gt;</t>
  </si>
  <si>
    <t>#9# isoenzyme gamma1,gamma1 &lt;16&gt;</t>
  </si>
  <si>
    <t>#9# 0.1 M glycine-NaOH buffer, pH 10.0,  25°C &lt;14&gt;</t>
  </si>
  <si>
    <t>#9# isozyme ADH1B2, pH 7.5, 25°C &lt;122&gt;;  #9# pH 7.5, 25°C, isozyme ADH1B2 &lt;110&gt;</t>
  </si>
  <si>
    <t>#9# isoenzyme beta1,beta1 &lt;15&gt;; #9#  isoenzyme beta1,beta1, 0.1 M sodium phosphate buffer, pH 7.5, at 25 °C &lt;20&gt;</t>
  </si>
  <si>
    <t>#9# isoenzyme beta2,beta2, 0.1 M sodium phosphate  buffer, pH 7.5, 25°C &lt;20&gt;</t>
  </si>
  <si>
    <t>#9# recombinant allozyme Ile308, pH 7.5, 25°C &lt;118&gt;</t>
  </si>
  <si>
    <t>#9# isoenzyme gamma2,gamma2 &lt;15&gt;</t>
  </si>
  <si>
    <t>#9# isoenzyme alpha,alpha &lt;15,17&gt;</t>
  </si>
  <si>
    <t>#9# isoenzyme beta3,beta3, 0.1 M sodium phospahte  buffer, pH 7.5, 25°C &lt;20&gt;</t>
  </si>
  <si>
    <t>#9# isoenzyme gamma2,gamma2 &lt;15&gt;; #9#  isoenzymes beta2,beta2 &lt;15&gt;; #9# isoenzyme beta2,beta2, 0.1 M sodium phosphate buffer, pH 7.5, 25°C &lt;20&gt;</t>
  </si>
  <si>
    <t>#9# isoenzyme beta2,beta2 &lt;15&gt;</t>
  </si>
  <si>
    <t>#9# isoenzyme beta3,beta3, 0.1 M sodium  phospahte buffer, pH 7.5, 25°C &lt;20&gt;</t>
  </si>
  <si>
    <t>#9# isoenzyme beta1,beta1, 0.1 M sodium phosphate  buffer, pH 7.5, at 25 °C &lt;20&gt;</t>
  </si>
  <si>
    <t>#9# isoenzyme beta1,beta1 &lt;16&gt;</t>
  </si>
  <si>
    <t>#9# 0.1 M glycine-NaOH buffer, pH 10.0, 25°C &lt;14&gt;</t>
  </si>
  <si>
    <t>#9# isoenzyme beta1,beta1 &lt;13&gt;</t>
  </si>
  <si>
    <t>#9# isoenzyme beta1,beta1 &lt;17&gt;; #9# isoenzyme  beta2,beta2 &lt;16&gt;</t>
  </si>
  <si>
    <t>#9# isoenzyme gamma2,gamma2 &lt;16,17&gt;</t>
  </si>
  <si>
    <t>#9# isoenzyme gamma1,gamma1 &lt;16,17&gt;</t>
  </si>
  <si>
    <t>#10# isoenzyme ADH-1, pH 10.0  &lt;49&gt;</t>
  </si>
  <si>
    <t>#9# isoenzyme alpha,alpha &lt;17&gt;; #122# mutant  C257L, pH 8.0, 60°C &lt;249&gt;</t>
  </si>
  <si>
    <t>#9# isoenzyme gamma1,gamma1 &lt;17&gt;; #124# at pH  7.0 and 25°C &lt;214&gt;</t>
  </si>
  <si>
    <t>#9# isoenzyme beta1,beta1 &lt;16&gt;; #127# 65°C, pH  10.5 &lt;221&gt;</t>
  </si>
  <si>
    <t>#14# pH 10.8 &lt;45&gt;; #130# pH 9.0, 22°C,  recombinant enzyme &lt;225&gt;</t>
  </si>
  <si>
    <t>#9# isoenzyme beta2,beta2 &lt;16&gt;; #152#  cosubstrate acetoin, pH 6.0, 70°C &lt;246&gt;</t>
  </si>
  <si>
    <t>#19# isoenzyme III &lt;79&gt;; #9# isoenzyme  alpha,gamma1 &lt;13&gt;; #9# isoenzyme gamma2,gamma2 &lt;17&gt;</t>
  </si>
  <si>
    <t>#9# recombinant allozyme Ile308, pH 7.5, 25°C  &lt;118&gt;; #26# 45°C, pH 8.8, cosubstrate: 2,3-butanediol, wild-type enzyme &lt;292&gt;</t>
  </si>
  <si>
    <t>#34# 70°C, pH 9.0, 50 mM Tris-HCl, 4 M NaCl  &lt;184&gt;; #9# isoenzyme beta1,beta1, 0.1 M sodium phosphate buffer, pH 7.5, at 25 °C &lt;20&gt;</t>
  </si>
  <si>
    <t>#39# isoenzyme BB-ADH &lt;95&gt;; #9#  isozyme ADH1B1, pH 7.5, 25°C &lt;122&gt;; #9# pH 7.5, 25°C, isozyme ADH1B1 &lt;110&gt;</t>
  </si>
  <si>
    <t>#58# oxidation of ethanol &lt;99&gt;; #9# recombinant  allozyme Val308, pH 7.5, 25°C &lt;118&gt;</t>
  </si>
  <si>
    <t>#92# pH 10.0, 50°C &lt;121&gt;</t>
  </si>
  <si>
    <t>#94# pH 8.5 &lt;108&gt;</t>
  </si>
  <si>
    <t>#96# 20°C, pH 9.0 &lt;147&gt;</t>
  </si>
  <si>
    <t>#96# 10°C, pH 9.0 &lt;147&gt;</t>
  </si>
  <si>
    <t>#96# 50°C, pH 9.0 &lt;147&gt;</t>
  </si>
  <si>
    <t>#96# 30°C, pH 9.0 &lt;147&gt;</t>
  </si>
  <si>
    <t>#96# 40°C, pH 9.0 &lt;147&gt;</t>
  </si>
  <si>
    <t>#96# 60°C, pH 9.0 &lt;147&gt;</t>
  </si>
  <si>
    <t>#97# 25°C, pH 7.0 &lt;140&gt;</t>
  </si>
  <si>
    <t>#98# 2 mM zinc sulfate in 100 mM glycine-NaOH  (pH 10.5</t>
  </si>
  <si>
    <t>#98# 2 mM zinc sulfate in 100 mM glycine-NaOH (pH  10.5</t>
  </si>
  <si>
    <t>#98# 2 mM zinc sulfate in 100 mM  glycine-NaOH (pH 10.5</t>
  </si>
  <si>
    <t>#99# in 50 mM glycine-NaOH at pH 10.0  &lt;162&gt;</t>
  </si>
  <si>
    <t>#99# in 50 mM glycine-NaOH at pH 10.0 &lt;162&gt;</t>
  </si>
  <si>
    <t>#11# 30°C, pH  7.0 &lt;60&gt;</t>
  </si>
  <si>
    <t>#11# the apparent kinetic parameters are  determined by varying the hemithioacetal concentration between 0.3 and 1.5 mM, which is obtained by the nonenzymatic reaction between glutathione and methylglyoxal &lt;95&gt;</t>
  </si>
  <si>
    <t>#24# presence of Ni2+, pH 7.0 &lt;72&gt;</t>
  </si>
  <si>
    <t>#24# presence of Co2+, pH 7.0 &lt;72&gt;</t>
  </si>
  <si>
    <t>#29# presence of Ni2+, pH 7.0 &lt;72&gt;</t>
  </si>
  <si>
    <t>#29# presence of Co2+, pH 7.0 &lt;72&gt;</t>
  </si>
  <si>
    <t>#30# pH 7.0, 25°C &lt;69&gt;</t>
  </si>
  <si>
    <t>#35# with methylglyoxal &lt;76&gt;</t>
  </si>
  <si>
    <t>#35# with phenylglyoxal &lt;76&gt;</t>
  </si>
  <si>
    <t>#35# with methylglyoxal &lt;76&gt;; #35# with  phenylglyoxal &lt;76&gt;</t>
  </si>
  <si>
    <t>#40# presence of Co2+, pH 7.0 &lt;72&gt;</t>
  </si>
  <si>
    <t>#40# presence of Ni2+, pH 7.0 &lt;72&gt;</t>
  </si>
  <si>
    <t>#64# for the hemithioacetal as substrate  &lt;103&gt;</t>
  </si>
  <si>
    <t>#67# 30°C, pH 7.5 &lt;47&gt;</t>
  </si>
  <si>
    <t>#67#  30°C, pH 7.5 &lt;47&gt;</t>
  </si>
  <si>
    <t>#7# in the  presence of Co+ &lt;51&gt;</t>
  </si>
  <si>
    <t>#7# in the  presence of Ni2+ &lt;51&gt;</t>
  </si>
  <si>
    <t>#7# in the  presence of Mn2+ &lt;51&gt;; #7# in the presence of Fe2+ &lt;51&gt;</t>
  </si>
  <si>
    <t>#7# in the  presence of Cd2+ &lt;51&gt;</t>
  </si>
  <si>
    <t>#71# recombinant enzyme, pH 7.2,  room temperature &lt;71&gt;</t>
  </si>
  <si>
    <t>#73# purified enzyme, pH 7.0,  27°C &lt;75&gt;</t>
  </si>
  <si>
    <t>4-aminobutyl</t>
  </si>
  <si>
    <t>#8# recombinant enzyme, pH 7.3, 25°C &lt;156&gt;</t>
  </si>
  <si>
    <t>#9# liver or erythrocyte enzyme &lt;16&gt;</t>
  </si>
  <si>
    <t>#9# liver or erythrocyte enzyme  &lt;16&gt;</t>
  </si>
  <si>
    <t>#92# 25°C, pH 7.0,  recombinant Glb33 &lt;59&gt;</t>
  </si>
  <si>
    <t>#92# 25°C, pH  7.0, native Glb33 &lt;59&gt;</t>
  </si>
  <si>
    <t>#93# 37°C, pH 6.6 &lt;161&gt;</t>
  </si>
  <si>
    <t>#93# presence of Ni2+, 37°C, pH 6.6 &lt;161&gt;</t>
  </si>
  <si>
    <t>#93# presence of Co2+, 37°C, pH 6.6 &lt;161&gt;</t>
  </si>
  <si>
    <t>#93# presence of Zn2+, 37°C, pH 6.6 &lt;161&gt;</t>
  </si>
  <si>
    <t>2-chloroethyl</t>
  </si>
  <si>
    <t>#163# mutant enzyme F216A,  in 0.1 M phosphate buffer pH 6.5 &lt;156&gt;</t>
  </si>
  <si>
    <t>#120# native enzyme &lt;167&gt;; #102# pH  6.5, 25°C, recombinant enzyme, with (2Z,4E</t>
  </si>
  <si>
    <t>#102# pH 6.5, 25°C, recombinant  enzyme, with (2E,4Z</t>
  </si>
  <si>
    <t>#104# isoform GST1, at pH  8.5 and 25°C &lt;303&gt;</t>
  </si>
  <si>
    <t>#104# isoform GST2, at pH  7.5 and 25°C &lt;303&gt;</t>
  </si>
  <si>
    <t>#105# at 30°C in 0.1 M  potassium phosphate buffer &lt;159&gt;</t>
  </si>
  <si>
    <t>#105# at 30°C in 0.1 M potassium phosphate  buffer &lt;159&gt;</t>
  </si>
  <si>
    <t>#107# reaction with 1-chloro-2,3-dinitrobenzene  &lt;85&gt;</t>
  </si>
  <si>
    <t>R,R</t>
  </si>
  <si>
    <t>#11# 30°C, mutant enzyme Y108F, reaction with cumene  hydroperoxide &lt;86&gt;</t>
  </si>
  <si>
    <t>#11# 30°C, wild-type enzyme, reaction with cumene  hydroperoxide &lt;86&gt;</t>
  </si>
  <si>
    <t>#11# pH 7.4, 25°C,  recombinant GSTk mutant W126A &lt;237&gt;</t>
  </si>
  <si>
    <t>#11# 30°C, wild-type enzyme &lt;86&gt;</t>
  </si>
  <si>
    <t>p-nitrophenoxy</t>
  </si>
  <si>
    <t>#11# pH 6.5, 25°C, GSTM2-2 &lt;205&gt;</t>
  </si>
  <si>
    <t>#11# recombinant enzyme &lt;67&gt;</t>
  </si>
  <si>
    <t>#11# 30°C, mutant enzyme Y108W, reaction with  1,2-dichloro-4-nitrobenzene &lt;86&gt;</t>
  </si>
  <si>
    <t>#11# pH 7.4, 37°C, glutathione transferase Zeta  1c-1c, reaction with (+</t>
  </si>
  <si>
    <t>S,S</t>
  </si>
  <si>
    <t>#11# 30°C, mutant enzyme Y108W, reaction with cumene  hydroperoxide &lt;86&gt;</t>
  </si>
  <si>
    <t>#11# 30°C, mutant enzyme Y108A, reaction with  1,2-dichloro-4-nitrobenzene &lt;86&gt;; #11# 30°C, mutant enzyme Y108A, reaction with 1,2-epoxy-3-(p-nitrophenoxy</t>
  </si>
  <si>
    <t>#11# 30°C, mutant enzyme  Y108F &lt;86&gt;</t>
  </si>
  <si>
    <t>#11# minor form &lt;30&gt;</t>
  </si>
  <si>
    <t>#11# 30°C, mutant enzyme Y108W &lt;86&gt;</t>
  </si>
  <si>
    <t>#11# 30°C, mutant enzyme Y108A &lt;86&gt;</t>
  </si>
  <si>
    <t>#11# placental enzyme &lt;67&gt;</t>
  </si>
  <si>
    <t>#11# 30°C, wild-type enzyme, reaction with  1,2-dichloro-4-nitrobenzene &lt;86&gt;</t>
  </si>
  <si>
    <t>#11# 30°C, mutant enzyme Y108F, reaction with  1,2-dichloro-4-nitrobenzene &lt;86&gt;</t>
  </si>
  <si>
    <t>#11# 30°C, mutant enzyme  Y108A &lt;86&gt;</t>
  </si>
  <si>
    <t>#11# pH 7.4, 25°C,  recombinant GSTk mutant P17A &lt;237&gt;</t>
  </si>
  <si>
    <t>#11# 30°C, wild-type enzyme  &lt;86&gt;</t>
  </si>
  <si>
    <t>#11# pH 7.4, 30°C, purified recombinant  isozyme P1-1 &lt;124&gt;</t>
  </si>
  <si>
    <t>#11# pH 7.4, 25°C, recombinant  wild-type GSTk &lt;237&gt;</t>
  </si>
  <si>
    <t>#11# 30°C, mutant enzyme  Y108W &lt;86&gt;</t>
  </si>
  <si>
    <t>#11# 30°C, mutant enzyme Y108F &lt;86&gt;</t>
  </si>
  <si>
    <t>#11# pH 7.4, 25°C,  recombinant GSTk mutant F87W &lt;237&gt;</t>
  </si>
  <si>
    <t>#11# pH 7.4, 37°C, mutant enzyme R175K of  glutathione transferase Zeta 1c-1c, reaction with maleylacetone &lt;68&gt;</t>
  </si>
  <si>
    <t>#11# pH 7.4, 37°C, mutant enzyme R175A of  glutathione transferase Zeta 1c-1c, reaction with maleylacetone &lt;68&gt;</t>
  </si>
  <si>
    <t>#11# pH 7.4, 37°C, mutant enzyme S15A of  glutathione transferase Zeta 1c-1c &lt;68&gt;</t>
  </si>
  <si>
    <t>#11# 30°C, mutant enzyme Y108F, reaction with  1,2-epoxy-3-(p-nitrophenoxy</t>
  </si>
  <si>
    <t>#11# 30°C, pH 6.5, wild-type enzyme, reaction with  DELTA5-androstene-3,17-dione &lt;86&gt;</t>
  </si>
  <si>
    <t>#11# pH 7.4, 25°C, recombinant GSTk mutant  P56A &lt;237&gt;</t>
  </si>
  <si>
    <t>#11# pH 7.4, 37°C, mutant enzyme C16A of  glutathione transferase Zeta 1c-1c &lt;68&gt;</t>
  </si>
  <si>
    <t>#11# pH 7.4, 37°C, glutathione transferase Zeta  1c-1c, reaction with maleylacetone &lt;68&gt;</t>
  </si>
  <si>
    <t>#11# pH 7.4, 37°C, mutant enzyme C16A of glutathione  transferase Zeta 1c-1c, reaction with maleylacetone &lt;68&gt;</t>
  </si>
  <si>
    <t>#11# pH 7.4, 25°C, recombinant GSTk mutant  K62A &lt;237&gt;</t>
  </si>
  <si>
    <t>#11# pH 7.4, 25°C,  recombinant GSTk mutant L58A &lt;237&gt;</t>
  </si>
  <si>
    <t>#11# pH 7.4, 25°C,  recombinant GSTk mutant P55A &lt;237&gt;</t>
  </si>
  <si>
    <t>#11# pH 7.4, 37°C, mutant enzyme S15A of glutathione  transferase Zeta 1c-1c, reaction with maleylacetone &lt;68&gt;</t>
  </si>
  <si>
    <t>#11# pH 7.4, 37°C, mutant enzyme S15A of  glutathione transferase Zeta 1c-1c, reaction with (+</t>
  </si>
  <si>
    <t>#11# pH 7.4, 25°C, recombinant GSTk mutant  S19A &lt;237&gt;</t>
  </si>
  <si>
    <t>#11# pH 7.4, 37°C, mutant enzyme C16A of glutathione  transferase Zeta 1c-1c, reaction with (+</t>
  </si>
  <si>
    <t>#11# pH 7.4, 25°C,  recombinant GSTk mutant I44A &lt;237&gt;</t>
  </si>
  <si>
    <t>#11# pH 7.4, 25°C, recombinant GSTk mutant  D69A &lt;237&gt;</t>
  </si>
  <si>
    <t>#11# pH 7.4, 25°C, recombinant GSTk mutant  N53A &lt;237&gt;</t>
  </si>
  <si>
    <t>#11# pH 7.4, 37°C, mutant enzyme R175K of  glutathione transferase Zeta 1c-1c, reaction with (+</t>
  </si>
  <si>
    <t>#11# pH 7.4, 37°C, mutant enzyme R175K of  glutathione transferase Zeta 1c-1c &lt;68&gt;</t>
  </si>
  <si>
    <t>#11# pH 7.4, 25°C,  recombinant GSTk mutant L15A &lt;237&gt;</t>
  </si>
  <si>
    <t>#11# 30°C, mutant enzyme Y108A, reaction with cumene  hydroperoxide &lt;86&gt;</t>
  </si>
  <si>
    <t>#11# pH 7.4, 25°C,  recombinant GSTk mutant L88A &lt;237&gt;</t>
  </si>
  <si>
    <t>#11# pH 7.4, 37°C, mutant enzyme R175A of  glutathione transferase Zeta 1c-1c, reaction with (+</t>
  </si>
  <si>
    <t>#11# pH 7.4, 37°C, glutathione transferase  Zeta 1c-1c &lt;68&gt;</t>
  </si>
  <si>
    <t>#11# pH 7.4, 25°C, recombinant GSTk mutant  D201A &lt;237&gt;</t>
  </si>
  <si>
    <t>#11# pH 7.4, 37°C &lt;148&gt;</t>
  </si>
  <si>
    <t>#11# pH 7.4, 37°C, mutant enzyme R175A of  glutathione transferase Zeta 1c-1c &lt;68&gt;</t>
  </si>
  <si>
    <t>#11# pH 7.4, 25°C, recombinant GSTk mutant  R202A &lt;237&gt;</t>
  </si>
  <si>
    <t>#11# pH 7.4, 25°C, recombinant GSTk mutant  S16A &lt;237&gt;</t>
  </si>
  <si>
    <t>#11# pH 7.4, 25°C, recombinant GSTk mutant  Y18F &lt;237&gt;</t>
  </si>
  <si>
    <t>#11# pH 7.4, 25°C, recombinant GSTk mutant  K62E &lt;237&gt;</t>
  </si>
  <si>
    <t>#11# pH 7.4, 25°C, recombinant GSTk mutant  D69T &lt;237&gt;</t>
  </si>
  <si>
    <t>#11# pH 7.4, 25°C, recombinant GSTk mutant  L183A &lt;237&gt;</t>
  </si>
  <si>
    <t>#117# 25°C, mutant enzyme S67A &lt;91&gt;; #11# 30°C,  mutant enzyme Y108W, reaction with 1,2-epoxy-3-(p-nitrophenoxy</t>
  </si>
  <si>
    <t>#12# mutant enzyme  R131M &lt;84&gt;; #12# mutant enzyme R131Q &lt;84&gt;; #171# mutant enzyme D94N, in phosphate buffer (pH 6.5</t>
  </si>
  <si>
    <t>#12# pH 6.5, 25°C &lt;117&gt;; #11# pH 7.4,  25°C, recombinant wild-type GSTk &lt;237&gt;; #284# mutant enzyme S67A, at pH 8.0 and 30°C &lt;261&gt;</t>
  </si>
  <si>
    <t>#12# mutant enzyme Y9F  &lt;84&gt;; #11# pH 7.4, 25°C, recombinant GSTk mutant M91K &lt;237&gt;; #325# isoform GSTmu, at pH 6.5 and 25°C &lt;288&gt;</t>
  </si>
  <si>
    <t>#12# transferase 2.1  &lt;48&gt;; #99# mutant enzyme L33F &lt;79&gt;; #237# mutant enzyme H106A, at 25°C, in 100 mM phosphate buffer (pH 6.5</t>
  </si>
  <si>
    <t>#11# major form &lt;30&gt;; #16#  pH 6.5, 30°C, recombinant mutant Q51A &lt;240&gt;</t>
  </si>
  <si>
    <t>#171# mutant enzyme  C14A/C47A/C101A/C169A, at 30°C, in 0.1 M potassium phosphate buffer, pH 6.5 &lt;187&gt;; #11# pH 7.4, 25°C, recombinant GSTk mutant S200A &lt;237&gt;</t>
  </si>
  <si>
    <t>#241# pH 8.0, 37°C,  recombinant enzyme &lt;123&gt;; #237# mutant enzyme H106F, at 25°C, in 100 mM phosphate buffer (pH 6.5</t>
  </si>
  <si>
    <t>#11# minor form &lt;30&gt;;  #237# wild type enzyme, at 25°C, in 100 mM phosphate buffer (pH 6.5</t>
  </si>
  <si>
    <t>#11# major form &lt;30&gt;; #249# pH 6.5,  30°C, recombinant GSTU4-4 mutant P49A &lt;239&gt;; #149# isoform GSTFuA1, at pH 7.5, temperature not specified in the publication &lt;270&gt;; #77# isoform Gstr1, at pH 6.5 and 25°C &lt;260&gt;</t>
  </si>
  <si>
    <t>#99# mutant enzyme I52L  &lt;79&gt;; #11# pH 7.4, 25°C, recombinant GSTk mutant P56A &lt;237&gt;</t>
  </si>
  <si>
    <t>#99# mutant enzyme K40A  &lt;79&gt;; #99# mutant enzyme L103A &lt;77&gt;; #11# pH 7.4, 25°C, recombinant GSTk mutant M91A &lt;237&gt;</t>
  </si>
  <si>
    <t>#99# mutant enzyme L103M  &lt;77&gt;; #11# pH 7.4, 25°C, recombinant GSTk mutant F87A &lt;237&gt;</t>
  </si>
  <si>
    <t>#99# mutant enzyme L103E  &lt;77&gt;; #11# pH 7.4, 30°C, purified recombinant isozyme P1-1 &lt;124&gt;</t>
  </si>
  <si>
    <t>#113# isoenzyme I &lt;89&gt;</t>
  </si>
  <si>
    <t>#113# isoenzyme I  &lt;89&gt;</t>
  </si>
  <si>
    <t>#115# heterodimeric enzyme &lt;90&gt;</t>
  </si>
  <si>
    <t>#115# homodimeric enzyme &lt;90&gt;</t>
  </si>
  <si>
    <t>#117# 25°C, mutant enzyme E66A &lt;91&gt;</t>
  </si>
  <si>
    <t>#117# 25°C, wild-type enzyme &lt;91&gt;</t>
  </si>
  <si>
    <t>#117# 25°C, mutant enzyme  S67A &lt;91&gt;</t>
  </si>
  <si>
    <t>#117# 25°C, mutant enzyme  I54A &lt;91&gt;</t>
  </si>
  <si>
    <t>#117# 25°C, mutant enzyme I54A &lt;91&gt;</t>
  </si>
  <si>
    <t>#117# 25°C, mutant enzyme  E66A &lt;91&gt;</t>
  </si>
  <si>
    <t>#117# 25°C, mutant enzyme  K40A &lt;91&gt;</t>
  </si>
  <si>
    <t>#118# strain GER-01 &lt;93&gt;</t>
  </si>
  <si>
    <t>#118# strain SUD-S &lt;93&gt;</t>
  </si>
  <si>
    <t>#119# enzyme form GSTR1 &lt;78&gt;</t>
  </si>
  <si>
    <t>#119# enzyme form GSTR1  &lt;78&gt;; #324# isoform GSTrho, at pH 6.5 and 25°C &lt;288&gt;</t>
  </si>
  <si>
    <t>#12# pH 6.5, 25°C,  recombinant mutant R77E &lt;112&gt;</t>
  </si>
  <si>
    <t>#12# pH 8.0, 30°C, recombinant enzyme &lt;208&gt;</t>
  </si>
  <si>
    <t>#12# pH 6.5, 25°C, recombinant mutant R77Q  &lt;112&gt;</t>
  </si>
  <si>
    <t>#12# pH 6.5, 25°C,  recombinant mutant R77Q &lt;112&gt;</t>
  </si>
  <si>
    <t>#12# mutant enzyme R131M &lt;84&gt;</t>
  </si>
  <si>
    <t>#12# not activated &lt;5&gt;</t>
  </si>
  <si>
    <t>#12# wild-type enzyme &lt;84&gt;</t>
  </si>
  <si>
    <t>#12# mutant enzyme R131E &lt;84&gt;</t>
  </si>
  <si>
    <t>#12# activated with N-ethylmaleimide  &lt;5&gt;</t>
  </si>
  <si>
    <t>#12# mutant enzyme Y9F &lt;84&gt;</t>
  </si>
  <si>
    <t>#12# pH 6.5, 25°C, recombinant mutant R77E  &lt;112&gt;</t>
  </si>
  <si>
    <t>#12# transferase 1 &lt;48&gt;</t>
  </si>
  <si>
    <t>#12# mutant enzyme R131Q &lt;84&gt;</t>
  </si>
  <si>
    <t>#12# pH 6.5, 25°C, recombinant mutant D97R  &lt;112&gt;</t>
  </si>
  <si>
    <t>#12# pH 6.5, 25°C,  recombinant mutant N101D &lt;112&gt;; #12# pH 6.5, 25°C, recombinant mutant N101K &lt;112&gt;</t>
  </si>
  <si>
    <t>#12# pH 6.5, 25°C, recombinant mutant E100K  &lt;112&gt;</t>
  </si>
  <si>
    <t>#12# pH 6.5, 25°C,  recombinant wild-type enzyme &lt;112&gt;</t>
  </si>
  <si>
    <t>#12# transferase 2.1 &lt;48&gt;</t>
  </si>
  <si>
    <t>#12# pH 6.5, 25°C,  recombinant mutant E100K &lt;112&gt;</t>
  </si>
  <si>
    <t>#12# pH 6.5, 25°C,  recombinant mutant D97R &lt;112&gt;</t>
  </si>
  <si>
    <t>#12# pH 6.5, 25°C, recombinant mutant N101K  &lt;112&gt;</t>
  </si>
  <si>
    <t>#12# pH 6.5, 25°C, recombinant wild-type  enzyme &lt;112&gt;</t>
  </si>
  <si>
    <t>#12# pH 6.5, 25°C,  recombinant mutant D97K &lt;112&gt;</t>
  </si>
  <si>
    <t>#102# pH 6.5, 25°C, recombinant enzyme,  with (2Z,4E</t>
  </si>
  <si>
    <t>#12# pH 6.5, 25°C &lt;117&gt;;  #146# pH 6.0, 25°C, isozyme GST2 &lt;119&gt;</t>
  </si>
  <si>
    <t>#12# transferase 2.2  &lt;48&gt;; #163# mutant enzyme F212L, in 0.1 M phosphate buffer pH 6.5 &lt;156&gt;</t>
  </si>
  <si>
    <t>#12# pH 6.5, 25°C, recombinant mutant  E100R &lt;112&gt;; #163# mutant enzyme Y215S, in 0.1 M phosphate buffer pH 6.5 &lt;156&gt;; #324# isoform GSTrho, at pH 6.5 and 25°C &lt;288&gt;</t>
  </si>
  <si>
    <t>#12# activated with  N-ethylmaleimide &lt;5&gt;; #40# recombinant His6-tagged isozyme GSTE2-2 from strain PMD-R, pH and temperature not specified in the publication &lt;230&gt;</t>
  </si>
  <si>
    <t>#12# transferase 1 and 2.2  &lt;48&gt;; #143# pH 6.5, 24°C &lt;121&gt;; #237# wild type enzyme, at 25°C, in 100 mM phosphate buffer (pH 6.5</t>
  </si>
  <si>
    <t>#120# native enzyme  &lt;167&gt;; #161# at 25°C &lt;154&gt;</t>
  </si>
  <si>
    <t>#121# in phosphate buffer (0.1 M, pH 6.5</t>
  </si>
  <si>
    <t>#121# in phosphate buffer  (0.1 M, pH 6.5</t>
  </si>
  <si>
    <t>#122# in phosphate buffer  (0.1 M, pH 6.5</t>
  </si>
  <si>
    <t>#122# in phosphate buffer (0.1 M, pH 6.5</t>
  </si>
  <si>
    <t>#171# mutant enzyme A113V, in the  presence of cosubstrate 1-chloro-2,4-dinitrobenzene, in 0.1 M phosphate buffer at pH 6.5 &lt;178&gt;; #124# pH and temperature not specified in the publication &lt;257&gt;</t>
  </si>
  <si>
    <t>#125# at pH 7.5 and  30°C &lt;315&gt;</t>
  </si>
  <si>
    <t>#125# at pH 7.5 and 30°C &lt;315&gt;</t>
  </si>
  <si>
    <t>#125# at pH 7.5 and 30°C  &lt;315&gt;</t>
  </si>
  <si>
    <t>#13# at pH 7.5 and 30°C  &lt;271&gt;</t>
  </si>
  <si>
    <t>#13# at pH 7.5 and 30°C &lt;271&gt;</t>
  </si>
  <si>
    <t>#139# pH 8.0, 30°C, recombinant enzyme  &lt;116&gt;</t>
  </si>
  <si>
    <t>#14# Ure2p mutant N124V, at 25°C and pH 8.0  &lt;179&gt;</t>
  </si>
  <si>
    <t>#14# Ure2p mutant A122C, at  25°C and pH 8.0, in the presence of 1 mM dithiothreitol &lt;179&gt;</t>
  </si>
  <si>
    <t>#14# Ure2p mutant N124V, at  25°C and pH 8.0 &lt;179&gt;</t>
  </si>
  <si>
    <t>#14# Ure2p mutant A122C, at 25°C and pH  8.0, in the presence of 1 mM dithiothreitol &lt;179&gt;; #163# wild type enzyme, in 0.1 M phosphate buffer pH 6.5 &lt;156&gt;</t>
  </si>
  <si>
    <t>#145# pH 8.3 &lt;141&gt;</t>
  </si>
  <si>
    <t>#146# pH 7.0, 25°C, isozyme GST2 &lt;119&gt;</t>
  </si>
  <si>
    <t>#146# pH 6.0, 25°C, isozyme GST2 &lt;119&gt;</t>
  </si>
  <si>
    <t>#146# pH 8.5, 25°C, isozyme  GST2 &lt;119&gt;</t>
  </si>
  <si>
    <t>#146# pH 8.5, 25°C, isozyme  GST3 &lt;119&gt;</t>
  </si>
  <si>
    <t>#146# pH 6.5, 25°C, isozyme  GST2 &lt;119&gt;</t>
  </si>
  <si>
    <t>#146# pH 7.0, 25°C, isozyme  GST2 &lt;119&gt;</t>
  </si>
  <si>
    <t>#146# pH 7.0, 25°C, isozyme  GST3 &lt;119&gt;</t>
  </si>
  <si>
    <t>#146# pH 6.0, 25°C, isozyme  GST3 &lt;119&gt;</t>
  </si>
  <si>
    <t>#146# pH 8.5, 25°C, isozyme GST2 &lt;119&gt;</t>
  </si>
  <si>
    <t>#146# pH 6.0, 25°C, isozyme GST3 &lt;119&gt;</t>
  </si>
  <si>
    <t>#146# pH 6.5, 25°C, isozyme  GST3 &lt;119&gt;</t>
  </si>
  <si>
    <t>#146# pH 6.5, 25°C, isozyme GST2 &lt;119&gt;</t>
  </si>
  <si>
    <t>#146# pH 6.5, 25°C, isozyme GST3 &lt;119&gt;;  #171# wild type enzyme, in the presence of cosubstrate 1-chloro-2,4-dinitrobenzene, in 0.1 M phosphate buffer at pH 6.5 &lt;178&gt;; #171# mutant enzyme I104V/A113V, at pH 7.4 and 25°C &lt;286&gt;</t>
  </si>
  <si>
    <t>#147# pH 7.2, 25°C &lt;217&gt;</t>
  </si>
  <si>
    <t>#149# isoform Ure2pB1, at pH 7.5,  temperature not specified in the publication &lt;270&gt;</t>
  </si>
  <si>
    <t>#149# isoform GTT1.2, at pH 7.5, temperature  not specified in the publication &lt;270&gt;</t>
  </si>
  <si>
    <t>#149# isoform GTT1.2, at pH  7.5, temperature not specified in the publication &lt;270&gt;</t>
  </si>
  <si>
    <t>#149# isoform Ure2pB1, at pH  7.5, temperature not specified in the publication &lt;270&gt;</t>
  </si>
  <si>
    <t>#15# isozyme I &lt;11&gt;</t>
  </si>
  <si>
    <t>#15# isozymes I and II &lt;11&gt;</t>
  </si>
  <si>
    <t>#15# more ionic transferase  &lt;12&gt;</t>
  </si>
  <si>
    <t>#15# less anionic transferase  &lt;12&gt;</t>
  </si>
  <si>
    <t>#15# isozyme II &lt;11&gt;</t>
  </si>
  <si>
    <t>#151# pH and temperature not  specified in the publication &lt;276&gt;</t>
  </si>
  <si>
    <t>#171# mutant enzyme C14A/C47A/C101A,  at 30°C, in 0.1 M potassium phosphate buffer, pH 6.5 &lt;187&gt;; #163# mutant enzyme F212H, in 0.1 M phosphate buffer pH 6.5 &lt;156&gt;; #151# pH and temperature not specified in the publication &lt;276&gt;</t>
  </si>
  <si>
    <t>#154# Km above 2.0 mM  &lt;151&gt;</t>
  </si>
  <si>
    <t>#16# pH 6.5, 30°C,  recombinant mutant S11A &lt;240&gt;</t>
  </si>
  <si>
    <t>#16# at 25°C &lt;152&gt;</t>
  </si>
  <si>
    <t>#16# pH 6.5, 30°C, recombinant mutant S67A  &lt;240&gt;</t>
  </si>
  <si>
    <t>#16# pH 6.5, 30°C, recombinant wild-type  enzyme &lt;240&gt;</t>
  </si>
  <si>
    <t>#16# pH 6.5, 30°C,  recombinant mutant H52A &lt;240&gt;</t>
  </si>
  <si>
    <t>#16# pH 6.5, 30°C,  recombinant mutant S67A &lt;240&gt;</t>
  </si>
  <si>
    <t>#16# pH 6.5, 30°C, recombinant mutant Q51A  &lt;240&gt;</t>
  </si>
  <si>
    <t>#205# pH 7.5, 37°C, enzyme of Wuzhou  population &lt;201&gt;; #16# pH 6.5, 30°C, recombinant mutant H52A &lt;240&gt;</t>
  </si>
  <si>
    <t>#211# GSTD &lt;214&gt;</t>
  </si>
  <si>
    <t>#16# pH 6.5, 30°C,  recombinant wild-type enzyme &lt;240&gt;; #211# GSTD &lt;214&gt;</t>
  </si>
  <si>
    <t>#16# pH 6.5, 30°C, recombinant mutant S11A  &lt;240&gt;; #77# isoform Gstp2, at pH 6.5 and 25°C &lt;260&gt;</t>
  </si>
  <si>
    <t>#161# at 25°C &lt;154&gt;</t>
  </si>
  <si>
    <t>#162# recombinant enzyme, at  25°C &lt;155&gt;</t>
  </si>
  <si>
    <t>#163# mutant enzyme F212L, in 0.1 M  phosphate buffer pH 6.5 &lt;156&gt;</t>
  </si>
  <si>
    <t>#163# mutant enzyme Q112A, in 0.1 M phosphate  buffer pH 6.5 &lt;156&gt;</t>
  </si>
  <si>
    <t>#163# mutant enzyme Y215A, in 0.1 M  phosphate buffer pH 6.5 &lt;156&gt;</t>
  </si>
  <si>
    <t>#163# wild type enzyme, in 0.1 M  phosphate buffer pH 6.5 &lt;156&gt;</t>
  </si>
  <si>
    <t>#163# mutant enzyme Q112A,  in 0.1 M phosphate buffer pH 6.5 &lt;156&gt;</t>
  </si>
  <si>
    <t>#163# mutant enzyme F212W, in 0.1 M  phosphate buffer pH 6.5 &lt;156&gt;</t>
  </si>
  <si>
    <t>#163# mutant enzyme Y215S, in 0.1 M  phosphate buffer pH 6.5 &lt;156&gt;</t>
  </si>
  <si>
    <t>#163# mutant enzyme R214A, in 0.1 M  phosphate buffer pH 6.5 &lt;156&gt;</t>
  </si>
  <si>
    <t>#163# mutant enzyme Q112A, in 0.1 M  phosphate buffer pH 6.5 &lt;156&gt;</t>
  </si>
  <si>
    <t>#163# mutant enzyme F212E, in 0.1 M  phosphate buffer pH 6.5 &lt;156&gt;</t>
  </si>
  <si>
    <t>#163# mutant enzyme F216A, in 0.1 M  phosphate buffer pH 6.5 &lt;156&gt;; #163# mutant enzyme Y215F, in 0.1 M phosphate buffer pH 6.5 &lt;156&gt;</t>
  </si>
  <si>
    <t>#163# mutant enzyme Y215S,  in 0.1 M phosphate buffer pH 6.5 &lt;156&gt;</t>
  </si>
  <si>
    <t>#163# mutant enzyme F212Y, in 0.1 M  phosphate buffer pH 6.5 &lt;156&gt;</t>
  </si>
  <si>
    <t>#163# mutant enzyme F212H,  in 0.1 M phosphate buffer pH 6.5 &lt;156&gt;</t>
  </si>
  <si>
    <t>#163# mutant enzyme F212W,  in 0.1 M phosphate buffer pH 6.5 &lt;156&gt;</t>
  </si>
  <si>
    <t>#163# mutant enzyme Y215H, in 0.1 M  phosphate buffer pH 6.5 &lt;156&gt;</t>
  </si>
  <si>
    <t>#163# mutant enzyme F212Y,  in 0.1 M phosphate buffer pH 6.5 &lt;156&gt;</t>
  </si>
  <si>
    <t>#163# mutant enzyme T174A,  in 0.1 M phosphate buffer pH 6.5 &lt;156&gt;</t>
  </si>
  <si>
    <t>#163# mutant enzyme F212A,  in 0.1 M phosphate buffer pH 6.5 &lt;156&gt;</t>
  </si>
  <si>
    <t>#163# mutant enzyme  Y215E, in 0.1 M phosphate buffer pH 6.5 &lt;156&gt;; #171# untagged recombinant wild type enzyme, at 30°C, in 0.1 M potassium phosphate buffer, pH 6.5 &lt;187&gt;</t>
  </si>
  <si>
    <t>#163# mutant enzyme T174A, in 0.1 M  phosphate buffer pH 6.5 &lt;156&gt;; #200# isoform GSTd10, at pH 6.5 and 25°C &lt;280&gt;</t>
  </si>
  <si>
    <t>#163# mutant enzyme  Y215A, in 0.1 M phosphate buffer pH 6.5 &lt;156&gt;; #284# mutant enzyme R68A, at pH 8.0 and 30°C &lt;261&gt;</t>
  </si>
  <si>
    <t>#164# at 30°C in 0.1 M  potassium phosphate buffer &lt;159&gt;</t>
  </si>
  <si>
    <t>#164# at 30°C in 0.1 M potassium phosphate  buffer &lt;159&gt;</t>
  </si>
  <si>
    <t>#17# pH 6.5, 35°C, in  presence of benoxacor &lt;138&gt;</t>
  </si>
  <si>
    <t>#17# pH 6.5, 35°C, in  presence of cloquintocet-mexyl &lt;138&gt;</t>
  </si>
  <si>
    <t>#17# pH 6.5, 35°C &lt;138&gt;</t>
  </si>
  <si>
    <t>#17# pH 6.5, 35°C, in  presence of fenchlorazole-ethyl &lt;138&gt;</t>
  </si>
  <si>
    <t>#17# pH 6.5, 35°C, in  presence of fenclorim &lt;138&gt;</t>
  </si>
  <si>
    <t>#17# pH 6.5, 35°C, in  presence of fluxofenim &lt;138&gt;</t>
  </si>
  <si>
    <t>#17# pH 6.5, 35°C, in  presence of oxabetrinil &lt;138&gt;</t>
  </si>
  <si>
    <t>#17# at pH 7.5 and 30°C &lt;271&gt;; #215#  mutant enzyme F162A, at 25°C, pH not specified in the publication &lt;296&gt;</t>
  </si>
  <si>
    <t>#244# pH 7.8, 30°C  &lt;232&gt;; #99# 25-27°C, pH 6.5, mutant enzyme V147L &lt;94&gt;; #38# at pH 8.0 and 30°C &lt;310&gt;; #17# at pH 7.5 and 30°C &lt;271&gt;</t>
  </si>
  <si>
    <t>#171# mutant enzyme104V, in 0.1 M  phosphate buffer at pH 6.5 &lt;178&gt;</t>
  </si>
  <si>
    <t>#171# wild type enzyme, in phosphate buffer  (pH 6.5</t>
  </si>
  <si>
    <t>#171# mutant enzyme I104V/A113V, in the  presence of cosubstrate 7-chloro-4-nitrobenz-2-oxa-1,3-diazole, in 0.1 M phosphate buffer at pH 6.5 &lt;178&gt;</t>
  </si>
  <si>
    <t>#171# wild type  enzyme, in 0.1 M phosphate buffer at pH 6.5 &lt;178&gt;</t>
  </si>
  <si>
    <t>#171# wild type enzyme, in the presence of  cosubstrate 7-chloro-4-nitrobenz-2-oxa-1,3-diazole, in 0.1 M phosphate buffer at pH 6.5 &lt;178&gt;</t>
  </si>
  <si>
    <t>#171# mutant  enzyme I104V/A113V, in 0.1 M phosphate buffer at pH 6.5 &lt;178&gt;</t>
  </si>
  <si>
    <t>#171# mutant enzyme A113V, in the presence  of cosubstrate ethacrynic acid, in 0.1 M phosphate buffer at pH 6.5 &lt;178&gt;</t>
  </si>
  <si>
    <t>#171# wild type enzyme, in 0.1 M  phosphate buffer at pH 6.5 &lt;178&gt;</t>
  </si>
  <si>
    <t>#171# mutant enzyme R74Q, in  phosphate buffer (pH 6.5</t>
  </si>
  <si>
    <t>#171# mutant enzyme A113V, in the presence  of cosubstrate 7-chloro-4-nitrobenz-2-oxa-1,3-diazole, in 0.1 M phosphate buffer at pH 6.5 &lt;178&gt;</t>
  </si>
  <si>
    <t>#171# mutant enzyme I104V/A113V, at  pH 7.4 and 25°C &lt;286&gt;</t>
  </si>
  <si>
    <t>#171# mutant enzyme A113V, in  0.1 M phosphate buffer at pH 6.5 &lt;178&gt;</t>
  </si>
  <si>
    <t>#171# mutant enzyme  C14A/C47A/C101A, at 30°C, in 0.1 M potassium phosphate buffer, pH 6.5 &lt;187&gt;</t>
  </si>
  <si>
    <t>#171# mutant  enzyme A113V, in 0.1 M phosphate buffer at pH 6.5 &lt;178&gt;</t>
  </si>
  <si>
    <t>#171# wild type enzyme, in  0.1 M phosphate buffer at pH 6.5 &lt;178&gt;</t>
  </si>
  <si>
    <t>#171# mutant enzyme I104V, in the presence  of cosubstrate 7-chloro-4-nitrobenz-2-oxa-1,3-diazole, in 0.1 M phosphate buffer at pH 6.5 &lt;178&gt;</t>
  </si>
  <si>
    <t>#171# mutant  enzyme I104V, in 0.1 M phosphate buffer at pH 6.5 &lt;178&gt;</t>
  </si>
  <si>
    <t>#171# mutant enzyme I104V, at pH 7.4  and 25°C &lt;286&gt;</t>
  </si>
  <si>
    <t>#171# mutant enzyme I104V/A113V, in the  presence of cosubstrate 1-chloro-2,4-dinitrobenzene, in 0.1 M phosphate buffer at pH 6.5 &lt;178&gt;</t>
  </si>
  <si>
    <t>#171# mutant enzyme  I104V/A113V, in 0.1 M phosphate buffer at pH 6.5 &lt;178&gt;</t>
  </si>
  <si>
    <t>#171# His-tagged recombinant  wild type enzyme, at 30°C, in 0.1 M potassium phosphate buffer, pH 6.5 &lt;187&gt;</t>
  </si>
  <si>
    <t>#171# mutant enzyme  C47A/C101A, at 30°C, in 0.1 M potassium phosphate buffer, pH 6.5 &lt;187&gt;</t>
  </si>
  <si>
    <t>#171# mutant enzyme I104V, at pH 7.4 and  25°C &lt;286&gt;</t>
  </si>
  <si>
    <t>#171# mutant enzyme I104V, in  0.1 M phosphate buffer at pH 6.5 &lt;178&gt;</t>
  </si>
  <si>
    <t>#171# mutant enzyme R74Q, in phosphate  buffer (pH 6.5</t>
  </si>
  <si>
    <t>#171# wild type enzyme, at pH 7.4 and 25°C  &lt;286&gt;</t>
  </si>
  <si>
    <t>#171# mutant enzyme  C14A/C47A/C101A/C169A, at 30°C, in 0.1 M potassium phosphate buffer, pH 6.5 &lt;187&gt;</t>
  </si>
  <si>
    <t>#171# mutant enzyme C47A/C101A, at 30°C, in  0.1 M potassium phosphate buffer, pH 6.5 &lt;187&gt;</t>
  </si>
  <si>
    <t>#171# mutant enzyme D94N, in phosphate buffer  (pH 6.5</t>
  </si>
  <si>
    <t>#171# mutant enzyme R70Q, in  phosphate buffer (pH 6.5</t>
  </si>
  <si>
    <t>#171# mutant enzyme D90N, in  phosphate buffer (pH 6.5</t>
  </si>
  <si>
    <t>#171# mutant enzyme T67A, in  phosphate buffer (pH 6.5</t>
  </si>
  <si>
    <t>#171# mutant enzyme I104V/A113V, at pH  7.4 and 25°C &lt;286&gt;</t>
  </si>
  <si>
    <t>#171# mutant enzyme  I104V/A113V, at pH 7.4 and 25°C &lt;286&gt;</t>
  </si>
  <si>
    <t>#171# in phosphate buffered  saline, pH 7.4, at 37°C &lt;173&gt;</t>
  </si>
  <si>
    <t>#171# wild type enzyme, at pH 7.4 and  25°C &lt;286&gt;</t>
  </si>
  <si>
    <t>#241# pH 8.0, 37°C, recombinant enzyme  &lt;123&gt;; #171# mutant enzyme I104V, in the presence of cosubstrate ethacrynic acid, in 0.1 M phosphate buffer at pH 6.5 &lt;178&gt;; #171# wild type enzyme, in the presence of cosubstrate ethacrynic acid, in 0.1 M phosphate buffer at pH 6.5 &lt;178&gt;</t>
  </si>
  <si>
    <t>#171# wild type enzyme, in  phosphate buffer (pH 6.5</t>
  </si>
  <si>
    <t>#178# at 25°C &lt;181&gt;</t>
  </si>
  <si>
    <t>#186# wild type enzyme, at 30°C &lt;189&gt;</t>
  </si>
  <si>
    <t>#186# wild type enzyme, at  30°C &lt;189&gt;</t>
  </si>
  <si>
    <t>#186# mutant enzyme C10A,  at 30°C &lt;189&gt;</t>
  </si>
  <si>
    <t>#186# mutant enzyme C10A, at 30°C &lt;189&gt;</t>
  </si>
  <si>
    <t>#186# mutant enzyme C10A/S11A, at 30°C  &lt;189&gt;</t>
  </si>
  <si>
    <t>#194# pH 8.0, 30°C, recombinant wild-type  enzyme &lt;208&gt;</t>
  </si>
  <si>
    <t>#200# isoform GSTd14, at pH 6.5 and 25°C  &lt;280&gt;</t>
  </si>
  <si>
    <t>#200# isoform GSTm09, at pH 6.5 and 25°C  &lt;280&gt;</t>
  </si>
  <si>
    <t>#249# pH 6.5, 30°C,  recombinant GSTU4-4 mutant D48A &lt;239&gt;; #200# isoform GSTm09, at pH 6.5 and 25°C &lt;280&gt;; #284# mutant enzyme S11A, at pH 8.0 and 30°C &lt;261&gt;</t>
  </si>
  <si>
    <t>#284# wild type enzyme,  at pH 8.0 and 30°C &lt;261&gt;; #200# isoform GSTd10, at pH 6.5 and 25°C &lt;280&gt;</t>
  </si>
  <si>
    <t>#200# isoform GSTd14, at  pH 6.5 and 25°C &lt;280&gt;; #285# isoform GSTU16, pH not specified in the publication, at 30°C &lt;267&gt;</t>
  </si>
  <si>
    <t>#203# at pH 6.0 and 25°C &lt;282&gt;</t>
  </si>
  <si>
    <t>#205# pH 7.5, 37°C, enzymes of Hezhou and  Nanyang population &lt;201&gt;</t>
  </si>
  <si>
    <t>#205# pH 7.5, 37°C, enzyme of  Wuzhou population &lt;201&gt;</t>
  </si>
  <si>
    <t>#205# pH 7.5, 37°C, enzyme of  Nanyang population &lt;201&gt;</t>
  </si>
  <si>
    <t>#205# pH 7.5, 37°C, enzyme  of Hezhou population &lt;201&gt;</t>
  </si>
  <si>
    <t>#206# pH 7.2, 25°C &lt;217&gt;</t>
  </si>
  <si>
    <t>#207# pH 7.2, 25°C &lt;217&gt;</t>
  </si>
  <si>
    <t>#209# GSTO &lt;214&gt;</t>
  </si>
  <si>
    <t>#210# GSTS &lt;214&gt;</t>
  </si>
  <si>
    <t>#215# mutant enzyme F116A, at 25°C, pH not  specified in the publication &lt;296&gt;</t>
  </si>
  <si>
    <t>#215# pH 7.4, 37°C &lt;228&gt;; #215# wild type  enzyme, at 25°C, pH not specified in the publication &lt;296&gt;</t>
  </si>
  <si>
    <t>#215# pH 7.4,  37°C &lt;228&gt;</t>
  </si>
  <si>
    <t>#215# wild type  enzyme, at 25°C, pH not specified in the publication &lt;296&gt;</t>
  </si>
  <si>
    <t>#215# mutant  enzyme Y113A, at 25°C, pH not specified in the publication &lt;296&gt;</t>
  </si>
  <si>
    <t>#215# mutant enzyme N109A, at 25°C, pH not  specified in the publication &lt;296&gt;</t>
  </si>
  <si>
    <t>#215# mutant enzyme L112A, at 25°C, pH not  specified in the publication &lt;296&gt;</t>
  </si>
  <si>
    <t>#215# mutant enzyme W161A, at 25°C, pH not  specified in the publication &lt;296&gt;</t>
  </si>
  <si>
    <t>#215# mutant  enzyme N109A, at 25°C, pH not specified in the publication &lt;296&gt;</t>
  </si>
  <si>
    <t>#215# mutant  enzyme F116A, at 25°C, pH not specified in the publication &lt;296&gt;</t>
  </si>
  <si>
    <t>#215# mutant enzyme M17A, at 25°C, pH not  specified in the publication &lt;296&gt;</t>
  </si>
  <si>
    <t>#215# mutant  enzyme L112A, at 25°C, pH not specified in the publication &lt;296&gt;</t>
  </si>
  <si>
    <t>#215# mutant  enzyme W161A, at 25°C, pH not specified in the publication &lt;296&gt;</t>
  </si>
  <si>
    <t>#215# mutant  enzyme M17A, at 25°C, pH not specified in the publication &lt;296&gt;</t>
  </si>
  <si>
    <t>#215# mutant  enzyme F162A, at 25°C, pH not specified in the publication &lt;296&gt;</t>
  </si>
  <si>
    <t>#22# at pH 6.0 and 25°C &lt;282&gt;</t>
  </si>
  <si>
    <t>#104# isoform GST1, at pH 8.5 and 25°C  &lt;303&gt;</t>
  </si>
  <si>
    <t>#237# mutant enzyme C10S, at 25°C, in 100 mM  phosphate buffer (pH 6.5</t>
  </si>
  <si>
    <t>#237# mutant enzyme H106A, at 25°C, in 100 mM  phosphate buffer (pH 6.5</t>
  </si>
  <si>
    <t>#237# mutant enzyme H106F, at 25°C, in 100 mM  phosphate buffer (pH 6.5</t>
  </si>
  <si>
    <t>#237# mutant enzyme C10A, at 25°C, in 100 mM  phosphate buffer (pH 6.5</t>
  </si>
  <si>
    <t>#237# mutant enzyme C10A, at  25°C, in 100 mM phosphate buffer (pH 6.5</t>
  </si>
  <si>
    <t>#237# mutant enzyme C10S, at  25°C, in 100 mM phosphate buffer (pH 6.5</t>
  </si>
  <si>
    <t>#24# mutant enzyme T12P, reaction with ethacrynic  acid &lt;101&gt;</t>
  </si>
  <si>
    <t>#24# mutant enzyme T12P, reaction with  1-chloro-2,3-dinitrobenzoate &lt;101&gt;</t>
  </si>
  <si>
    <t>#24# pH 6.5, 30°C, recombinant wild-type enzyme  &lt;144&gt;</t>
  </si>
  <si>
    <t>#24# i.e.  2-chloro-N-(2,6-diethylphenyl</t>
  </si>
  <si>
    <t>#24# wild-type enzyme GST I &lt;101&gt;</t>
  </si>
  <si>
    <t>#24# mutant enzyme I118F  &lt;101&gt;</t>
  </si>
  <si>
    <t>#24# mutant enzyme I118F, reaction with  1-chloro-2,3-dinitrobenzoate &lt;101&gt;</t>
  </si>
  <si>
    <t>#24# pH 6.5, 30°C, recombinant mutant I118F  &lt;144&gt;</t>
  </si>
  <si>
    <t>#24# mutant enzyme T12I, reaction with  1-chloro-2,3-dinitrobenzoate &lt;101&gt;</t>
  </si>
  <si>
    <t>#24# mutant enzyme F35L &lt;101&gt;</t>
  </si>
  <si>
    <t>#24# GST I &lt;45&gt;</t>
  </si>
  <si>
    <t>#24# mutant enzyme T12P &lt;101&gt;</t>
  </si>
  <si>
    <t>#24# pH 6.5, 30°C, recombinant mutant W12I  &lt;144&gt;</t>
  </si>
  <si>
    <t>#24# mutant enzyme I118F &lt;101&gt;</t>
  </si>
  <si>
    <t>#24# GST II &lt;45&gt;</t>
  </si>
  <si>
    <t>#24# wild-type enzyme GST I, reaction with  1-chloro-2,3-dinitrobenzoate &lt;101&gt;</t>
  </si>
  <si>
    <t>#24# wild-type enzyme GST I  &lt;101&gt;</t>
  </si>
  <si>
    <t>#24# pH 6.5, 30°C, recombinant wild-type  enzyme &lt;144&gt;</t>
  </si>
  <si>
    <t>#24# pH 6.5, 35°C, in  presence of fluxofenim &lt;138&gt;</t>
  </si>
  <si>
    <t>#24# mutant enzyme F35L, reaction with  1-chloro-2,3-dinitrobenzoate &lt;101&gt;</t>
  </si>
  <si>
    <t>#24# mutant enzyme T12P  &lt;101&gt;</t>
  </si>
  <si>
    <t>#24# pH 6.5, 35°C &lt;138&gt;</t>
  </si>
  <si>
    <t>#24# mutant enzyme T12I  &lt;101&gt;</t>
  </si>
  <si>
    <t>#24# mutant enzyme F35L  &lt;101&gt;</t>
  </si>
  <si>
    <t>#24# mutant enzyme F35L, reaction with ethacrynic  acid &lt;101&gt;</t>
  </si>
  <si>
    <t>#24# mutant enzyme T12I &lt;101&gt;</t>
  </si>
  <si>
    <t>#24# pH 6.5, 35°C, in  presence of cloquintocet-mexyl &lt;138&gt;</t>
  </si>
  <si>
    <t>#24# mutant enzyme T12I, reaction with ethacrynic  acid &lt;101&gt;</t>
  </si>
  <si>
    <t>#24# pH 6.5, 35°C, in  presence of fenclorim &lt;138&gt;</t>
  </si>
  <si>
    <t>#24# wild-type enzyme GST I, reaction with  ethacrynic acid &lt;101&gt;</t>
  </si>
  <si>
    <t>#24# mutant enzyme I118F, reaction with ethacrynic  acid &lt;101&gt;</t>
  </si>
  <si>
    <t>#24# pH 6.5, 35°C, in  presence of fenchlorazole-ethyl &lt;138&gt;</t>
  </si>
  <si>
    <t>#24# pH 6.5, 35°C, in  presence of benoxacor &lt;138&gt;</t>
  </si>
  <si>
    <t>#24# pH 6.5, 35°C, in  presence of oxabetrinil &lt;138&gt;</t>
  </si>
  <si>
    <t>#24# pH 6.5, 30°C, recombinant mutant F35L  &lt;144&gt;</t>
  </si>
  <si>
    <t>#24# pH 6.5, 30°C, recombinant mutant  I118F &lt;144&gt;; #163# mutant enzyme Y215E, in 0.1 M phosphate buffer pH 6.5 &lt;156&gt;</t>
  </si>
  <si>
    <t>#24# pH 6.5, 30°C, recombinant  mutant W12I &lt;144&gt;; #171# mutant enzyme D90N, in phosphate buffer (pH 6.5</t>
  </si>
  <si>
    <t>#244# pH 7.8, 30°C &lt;232&gt;</t>
  </si>
  <si>
    <t>#245# recombinant detagged  wild-type enzyme, pH and temperature not specified in the publication &lt;235&gt;</t>
  </si>
  <si>
    <t>#245# recombinant  His-tagged mutant F108G, pH and temperature not specified in the publication &lt;235&gt;</t>
  </si>
  <si>
    <t>#245# recombinant  His-tagged wild-type enzyme, pH and temperature not specified in the publication &lt;235&gt;</t>
  </si>
  <si>
    <t>#245# recombinant  His-tagged mutant R113A, pH and temperature not specified in the publication &lt;235&gt;</t>
  </si>
  <si>
    <t>#248# recombinant wild-type,  pH 6.5, temperature not specified in the publication &lt;246&gt;</t>
  </si>
  <si>
    <t>#248# recombinant mutant S22A,  pH 6.5, temperature not specified in the publication &lt;246&gt;</t>
  </si>
  <si>
    <t>#248# recombinant mutant S22A, pH 6.5,  temperature not specified in the publication &lt;246&gt;</t>
  </si>
  <si>
    <t>#248# recombinant wild-type, pH 6.5,  temperature not specified in the publication &lt;246&gt;</t>
  </si>
  <si>
    <t>#248# recombinant wild-type, pH  6.5, temperature not specified in the publication &lt;246&gt;</t>
  </si>
  <si>
    <t>#248# recombinant mutant  S22A, pH 6.5, temperature not specified in the publication &lt;246&gt;</t>
  </si>
  <si>
    <t>#249# pH 6.5, 30°C, recombinant GSTU4-4  mutant D48A &lt;239&gt;</t>
  </si>
  <si>
    <t>#249# pH 6.5, 30°C,  recombinant GSTU4-4 mutant S13A &lt;239&gt;</t>
  </si>
  <si>
    <t>#249# pH 6.5, 30°C,  recombinant wild-type GSTU4-4 &lt;239&gt;</t>
  </si>
  <si>
    <t>#249# pH 6.5, 30°C, recombinant wild-type  GSTU4-4 &lt;239&gt;</t>
  </si>
  <si>
    <t>#254# at pH 6.5 and 25°C &lt;268&gt;</t>
  </si>
  <si>
    <t>#254# with cumene hydroperoxide as  cosubstrate, at pH 6.5 and 25°C &lt;268&gt;</t>
  </si>
  <si>
    <t>#254# with tert-butyl peroxide as  cosubstrate, at pH 6.5 and 25°C &lt;268&gt;</t>
  </si>
  <si>
    <t>#254# with 1-chloro-2,4-dinitrobenzene as  cosubstrate, at pH 6.5 and 25°C &lt;268&gt;</t>
  </si>
  <si>
    <t>#254# with fluorodifen as cosubstrate, at  pH 6.5 and 25°C &lt;268&gt;</t>
  </si>
  <si>
    <t>#255# isoform GSTU45, pH not  specified in the publication, at 30°C &lt;267&gt;</t>
  </si>
  <si>
    <t>#255# isoform GSTU45, pH not specified in  the publication, at 30°C &lt;267&gt;</t>
  </si>
  <si>
    <t>#257# isoform GstO2B, at pH 7.6 and  30°C &lt;273&gt;</t>
  </si>
  <si>
    <t>#257# isoform GstO2B, at pH 7.6 and 30°C  &lt;273&gt;</t>
  </si>
  <si>
    <t>#26# with cumene hydroperoxide as  cosubstrate, pH and temperature not specified in the publication &lt;274&gt;</t>
  </si>
  <si>
    <t>#26# pH and temperature not  specified in the publication &lt;274&gt;</t>
  </si>
  <si>
    <t>#26# pH and temperature not specified in  the publication &lt;274&gt;</t>
  </si>
  <si>
    <t>#26# with 1-chloro-2,4-dinitrobenzene as  cosubstrate, pH and temperature not specified in the publication &lt;274&gt;</t>
  </si>
  <si>
    <t>#26# with tert-butyl peroxide as  cosubstrate, pH and temperature not specified in the publication &lt;274&gt;</t>
  </si>
  <si>
    <t>#26# with fluorodifen as cosubstrate, pH  and temperature not specified in the publication &lt;274&gt;</t>
  </si>
  <si>
    <t>#282# isoform GstO2A, at pH 7.6 and  30°C &lt;273&gt;</t>
  </si>
  <si>
    <t>#282# isoform GstO2A, at pH 7.6 and 30°C  &lt;273&gt;</t>
  </si>
  <si>
    <t>#284# wild type enzyme, at pH 8.0 and 30°C  &lt;261&gt;</t>
  </si>
  <si>
    <t>#284# mutant enzyme F119A, at pH 8.0 and  30°C &lt;261&gt;</t>
  </si>
  <si>
    <t>#284# mutant enzyme E66A, at  pH 8.0 and 30°C &lt;261&gt;</t>
  </si>
  <si>
    <t>#284# mutant enzyme S11A, at pH 8.0 and 30°C  &lt;261&gt;</t>
  </si>
  <si>
    <t>#284# mutant enzyme V54A, at pH 8.0 and 30°C  &lt;261&gt;</t>
  </si>
  <si>
    <t>#284# mutant enzyme E66A, at pH 8.0 and 30°C  &lt;261&gt;</t>
  </si>
  <si>
    <t>#284# mutant enzyme F119A,  at pH 8.0 and 30°C &lt;261&gt;</t>
  </si>
  <si>
    <t>#285# isoform GSTU16, pH not  specified in the publication, at 30°C &lt;267&gt;</t>
  </si>
  <si>
    <t>#285# isoform GSTU16, pH not specified in  the publication, at 30°C &lt;267&gt;</t>
  </si>
  <si>
    <t>#286# isoform GSTO7, at pH 6.5  and 20°C &lt;269&gt;</t>
  </si>
  <si>
    <t>#286# isoform GSTO7, at pH  6.5 and 20°C &lt;269&gt;</t>
  </si>
  <si>
    <t>#290# at pH 7.5 and 30°C  &lt;271&gt;</t>
  </si>
  <si>
    <t>#305# isoform GSTU14, at pH 6.5 and 25°C  &lt;294&gt;</t>
  </si>
  <si>
    <t>#305# isoform GSTU14, at pH  6.5 and 25°C &lt;294&gt;</t>
  </si>
  <si>
    <t>#306# isoform GSTU1, at pH 6.5 and 25°C  &lt;294&gt;</t>
  </si>
  <si>
    <t>#306# isoform GSTU1, at pH  6.5 and 25°C &lt;294&gt;</t>
  </si>
  <si>
    <t>#307# isoform GSTU2, at pH 6.5 and 25°C  &lt;294&gt;</t>
  </si>
  <si>
    <t>#307# isoform GSTU2, at pH  6.5 and 25°C &lt;294&gt;</t>
  </si>
  <si>
    <t>#308# isoform GSTU3, at pH  6.5 and 25°C &lt;294&gt;</t>
  </si>
  <si>
    <t>#309# isoform GSTU4, at pH 6.5 and 25°C  &lt;294&gt;</t>
  </si>
  <si>
    <t>#309# isoform GSTU4, at pH  6.5 and 25°C &lt;294&gt;</t>
  </si>
  <si>
    <t>#31# pH 7.0, 25°C, recombinant  enzyme &lt;149&gt;</t>
  </si>
  <si>
    <t>#31# pH 7.0,  25°C, recombinant enzyme &lt;149&gt;</t>
  </si>
  <si>
    <t>#31# pH 7.0, 25°C,  recombinant enzyme &lt;149&gt;</t>
  </si>
  <si>
    <t>#310# isoform GSTU5, at pH 6.5 and 25°C  &lt;294&gt;</t>
  </si>
  <si>
    <t>#310# isoform GSTU5, at pH  6.5 and 25°C &lt;294&gt;</t>
  </si>
  <si>
    <t>#311# isoform GSTU6, at pH 6.5 and 25°C  &lt;294&gt;</t>
  </si>
  <si>
    <t>#311# isoform GSTU6, at pH  6.5 and 25°C &lt;294&gt;</t>
  </si>
  <si>
    <t>#312# isoform GSTU7, at pH 6.5 and 25°C  &lt;294&gt;</t>
  </si>
  <si>
    <t>#312# isoform GSTU7, at pH  6.5 and 25°C &lt;294&gt;</t>
  </si>
  <si>
    <t>#313# isoform GSTU8, at pH 6.5 and 25°C  &lt;294&gt;</t>
  </si>
  <si>
    <t>#313# isoform GSTU8, at pH  6.5 and 25°C &lt;294&gt;</t>
  </si>
  <si>
    <t>#314# isoform GSTU9, at pH 6.5 and 25°C  &lt;294&gt;</t>
  </si>
  <si>
    <t>#314# isoform GSTU9, at pH  6.5 and 25°C &lt;294&gt;</t>
  </si>
  <si>
    <t>#315# isoform GSTU10, at pH 6.5 and 25°C  &lt;294&gt;</t>
  </si>
  <si>
    <t>#315# isoform GSTU10, at pH  6.5 and 25°C &lt;294&gt;</t>
  </si>
  <si>
    <t>#316# isoform GSTU11, at pH 6.5 and 25°C  &lt;294&gt;</t>
  </si>
  <si>
    <t>#316# isoform GSTU11, at pH  6.5 and 25°C &lt;294&gt;</t>
  </si>
  <si>
    <t>#317# isoform GSTU12, at pH 6.5 and 25°C  &lt;294&gt;</t>
  </si>
  <si>
    <t>#317# isoform GSTU12, at pH  6.5 and 25°C &lt;294&gt;</t>
  </si>
  <si>
    <t>#318# isoform GSTU13, at pH 6.5 and 25°C  &lt;294&gt;</t>
  </si>
  <si>
    <t>#318# isoform GSTU13, at pH  6.5 and 25°C &lt;294&gt;</t>
  </si>
  <si>
    <t>#320# wild type enzyme, at  pH 7.5, temperature not specified in the publication &lt;299&gt;</t>
  </si>
  <si>
    <t>#320# mutant enzyme F136A,  at pH 7.5, temperature not specified in the publication &lt;299&gt;</t>
  </si>
  <si>
    <t>#321# wild type enzyme, pH and  temperature not specified in the publication &lt;298&gt;</t>
  </si>
  <si>
    <t>#321# mutant  enzyme N22A, pH and temperature not specified in the publication &lt;298&gt;</t>
  </si>
  <si>
    <t>#321# wild type enzyme, pH  and temperature not specified in the publication &lt;298&gt;</t>
  </si>
  <si>
    <t>#321# mutant  enzyme N24A, pH and temperature not specified in the publication &lt;298&gt;</t>
  </si>
  <si>
    <t>#321# mutant enzyme  N24A, pH and temperature not specified in the publication &lt;298&gt;</t>
  </si>
  <si>
    <t>#321# mutant  enzyme Y46A, pH and temperature not specified in the publication &lt;298&gt;</t>
  </si>
  <si>
    <t>#321# wild type enzyme,  pH and temperature not specified in the publication &lt;298&gt;</t>
  </si>
  <si>
    <t>#321# mutant enzyme N22A,  pH and temperature not specified in the publication &lt;298&gt;</t>
  </si>
  <si>
    <t>#321# mutant enzyme N24A, pH and  temperature not specified in the publication &lt;298&gt;</t>
  </si>
  <si>
    <t>beta-methylumbelliferyl</t>
  </si>
  <si>
    <t>#321# wild type  enzyme, pH and temperature not specified in the publication &lt;298&gt;</t>
  </si>
  <si>
    <t>#322# at pH 7.5 and 25°C &lt;300&gt;</t>
  </si>
  <si>
    <t>#322# at pH 7.5 and 25°C  &lt;300&gt;</t>
  </si>
  <si>
    <t>2-methoxyphenoxy</t>
  </si>
  <si>
    <t>#325# isoform GSTmu, at pH 6.5 and 25°C  &lt;288&gt;</t>
  </si>
  <si>
    <t>#327# wild type enzyme, pH and  temperature not specified in the publication &lt;313&gt;</t>
  </si>
  <si>
    <t>#327# mutant enzyme Y12C, pH  and temperature not specified in the publication &lt;313&gt;</t>
  </si>
  <si>
    <t>#327# wild type enzyme, pH and temperature  not specified in the publication &lt;313&gt;</t>
  </si>
  <si>
    <t>#327# mutant enzyme Y12C, pH and  temperature not specified in the publication &lt;313&gt;</t>
  </si>
  <si>
    <t>#329# at pH 6.5 and 25°C &lt;316&gt;</t>
  </si>
  <si>
    <t>#329# at pH 6.5 and 25°C  &lt;316&gt;</t>
  </si>
  <si>
    <t>#34# pH 6.5, 25°C, mutant H167A &lt;256&gt;</t>
  </si>
  <si>
    <t>#34# pH 6.5, 25°C, mutant S110A &lt;256&gt;</t>
  </si>
  <si>
    <t>#34# pH 6.5, 25°C, wild-type  enzyme &lt;256&gt;</t>
  </si>
  <si>
    <t>#34# pH 6.5, 25°C, mutant W164A &lt;256&gt;</t>
  </si>
  <si>
    <t>#34# pH 6.5, 25°C, mutant  H167A &lt;256&gt;</t>
  </si>
  <si>
    <t>#34# pH 6.5, 25°C, wild-type enzyme &lt;256&gt;</t>
  </si>
  <si>
    <t>#34# pH 6.5, 25°C, mutant  W164A &lt;256&gt;</t>
  </si>
  <si>
    <t>#34# pH 6.5, 25°C, mutant  F113A &lt;256&gt;</t>
  </si>
  <si>
    <t>#34# pH 6.5, 25°C, mutant F113A &lt;256&gt;</t>
  </si>
  <si>
    <t>#34# pH 6.5, 25°C, mutant  S110A &lt;256&gt;</t>
  </si>
  <si>
    <t>#38# at pH 8.0 and 30°C &lt;310&gt;</t>
  </si>
  <si>
    <t>#40# recombinant His6-tagged  isozyme GSTE2-2 from strain NO, pH and temperature not specified in the publication &lt;230&gt;</t>
  </si>
  <si>
    <t>#40# recombinant His6-tagged isozyme GSTE2-2  from strain PMD-R, pH and temperature not specified in the publication &lt;230&gt;</t>
  </si>
  <si>
    <t>#40# recombinant His6-tagged isozyme GSTE7-7,  pH and temperature not specified in the publication &lt;230&gt;</t>
  </si>
  <si>
    <t>#40# recombinant His6-tagged isozyme GSTE3-3, pH  and temperature not specified in the publication &lt;230&gt;</t>
  </si>
  <si>
    <t>#40# recombinant His6-tagged isozyme GSTE4-4,  pH and temperature not specified in the publication &lt;230&gt;</t>
  </si>
  <si>
    <t>#40# recombinant His6-tagged isozyme GSTE5-5,  pH and temperature not specified in the publication &lt;230&gt;</t>
  </si>
  <si>
    <t>#40# recombinant His6-tagged isozyme GSTE2-2  from strain NO, pH and temperature not specified in the publication &lt;230&gt;</t>
  </si>
  <si>
    <t>#40# recombinant His6-tagged  isozyme GSTE1-1, pH and temperature not specified in the publication &lt;230&gt;</t>
  </si>
  <si>
    <t>#40# recombinant His6-tagged isozyme GSTE1-1,  pH and temperature not specified in the publication &lt;230&gt;</t>
  </si>
  <si>
    <t>#186# mutant  enzyme C10A/S11A, at 30°C &lt;189&gt;; #124# pH and temperature not specified in the publication &lt;257&gt;; #40# recombinant His6-tagged isozyme GSTE7-7, pH and temperature not specified in the publication &lt;230&gt;; #284# mutant enzyme V54A, at pH 8.0 and 30°C &lt;261&gt;</t>
  </si>
  <si>
    <t>#139# pH 8.0, 30°C,  recombinant enzyme &lt;116&gt;; #40# recombinant His6-tagged isozyme GSTE3-3, pH and temperature not specified in the publication &lt;230&gt;</t>
  </si>
  <si>
    <t>#163# mutant enzyme  Y215F, in 0.1 M phosphate buffer pH 6.5 &lt;156&gt;; #40# recombinant His6-tagged isozyme GSTE8-8, pH and temperature not specified in the publication &lt;230&gt;</t>
  </si>
  <si>
    <t>#171# mutant enzyme R70Q, in phosphate  buffer (pH 6.5</t>
  </si>
  <si>
    <t>#99# 25-27°C, pH 6.5,  mutant enzyme V147A &lt;94&gt;; #40# recombinant His6-tagged isozyme GSTE5-5, pH and temperature not specified in the publication &lt;230&gt;</t>
  </si>
  <si>
    <t>#99# 25-27°C, pH 6.5,  mutant enzyme D150A &lt;94&gt;; #40# recombinant His6-tagged isozyme GSTE4-4, pH and temperature not specified in the publication &lt;230&gt;</t>
  </si>
  <si>
    <t>#171# untagged recombinant wild type  enzyme, at 30°C, in 0.1 M potassium phosphate buffer, pH 6.5 &lt;187&gt;</t>
  </si>
  <si>
    <t>#45# wild-type enzyme &lt;76&gt;</t>
  </si>
  <si>
    <t>#117# 25°C, mutant enzyme K40A &lt;91&gt;; #45#  selenoenzyme &lt;76&gt;</t>
  </si>
  <si>
    <t>#171# mutant enzyme T67A, in phosphate  buffer (pH 6.5</t>
  </si>
  <si>
    <t>#12# pH 6.5, 25°C, recombinant mutant D97K  &lt;112&gt;; #5# GSTD1, pH and temperature not specified in the publication &lt;234&gt;</t>
  </si>
  <si>
    <t>#51# pH 6.5, 37°C, recombinant AtuGSTH1-1,  with 2-hydroxyethyl disulfide &lt;254&gt;</t>
  </si>
  <si>
    <t>#51# pH 6.5, 37°C, recombinant  AtuGSTH1-1 mutant R187A &lt;254&gt;</t>
  </si>
  <si>
    <t>#51# pH 6.5, 37°C, recombinant  AtuGSTH1-1 &lt;254&gt;</t>
  </si>
  <si>
    <t>#51# pH 6.5, 37°C, recombinant AtuGSTH1-1  mutant F22A, with 1-chloro-2,4-dinitrobenzene &lt;254&gt;</t>
  </si>
  <si>
    <t>#51# pH 6.5, 37°C, recombinant AtuGSTH1-1  mutant R187A, with 1-chloro-2,4-dinitrobenzene &lt;254&gt;</t>
  </si>
  <si>
    <t>#51# pH 6.5, 37°C, recombinant  AtuGSTH1-1 mutant F22A &lt;254&gt;</t>
  </si>
  <si>
    <t>#51# pH 6.5, 37°C, recombinant AtuGSTH1-1  mutant S25A, with 1-chloro-2,4-dinitrobenzene &lt;254&gt;; #308# isoform GSTU3, at pH 6.5 and 25°C &lt;294&gt;</t>
  </si>
  <si>
    <t>#143# pH 6.5, 24°C  &lt;121&gt;; #53# at pH 7.0 and 37°C &lt;312&gt;; #149# isoform GSTFuA1, at pH 7.5, temperature not specified in the publication &lt;270&gt;</t>
  </si>
  <si>
    <t>#53# at pH 7.0 and 37°C &lt;312&gt;; #249# pH  6.5, 30°C, recombinant GSTU4-4 mutant S13A &lt;239&gt;</t>
  </si>
  <si>
    <t>#59# at pH 7.5 and 30°C &lt;272&gt;</t>
  </si>
  <si>
    <t>#60# at pH 7.0, temperature  not specified in the publication &lt;287&gt;</t>
  </si>
  <si>
    <t>#60# at pH 7.0, temperature not  specified in the publication &lt;287&gt;</t>
  </si>
  <si>
    <t>#149# isoform GSTO1, at pH 7.5,  temperature not specified in the publication &lt;270&gt;; #60# with 1-chloro-2,4-dinitrobenzene as cosubstrate, at pH 7.0, temperature not specified in the publication &lt;287&gt;</t>
  </si>
  <si>
    <t>#215# mutant enzyme Y113A, at 25°C, pH  not specified in the publication &lt;296&gt;; #60# with cumene hydroperoxide as cosubstrate, at pH 7.0, temperature not specified in the publication &lt;287&gt;</t>
  </si>
  <si>
    <t>#61# isoform GSTO4, at pH 6.5 and 20°C  &lt;269&gt;</t>
  </si>
  <si>
    <t>#61# isoform GSTO4, at pH 6.5  and 20°C &lt;269&gt;</t>
  </si>
  <si>
    <t>#65# at pH 7.0 and 30°C &lt;306&gt;</t>
  </si>
  <si>
    <t>#65# at pH 7.0 and 30°C  &lt;306&gt;</t>
  </si>
  <si>
    <t>#67# pH 6.5, 25°C &lt;130&gt;</t>
  </si>
  <si>
    <t>#67# pH 6.5, 25°C &lt;130&gt;;  #77# isoform Gstp1, at pH 6.5 and 25°C &lt;260&gt;</t>
  </si>
  <si>
    <t>#71# at pH 6.5 and 25°C  &lt;279&gt;</t>
  </si>
  <si>
    <t>#71# at pH 6.5 and 25°C &lt;279&gt;</t>
  </si>
  <si>
    <t>#77# isoform GstrI, at pH 6.5 and 25°C  &lt;260&gt;</t>
  </si>
  <si>
    <t>#77# isoform Gstp2, at pH 6.5 and 25°C  &lt;260&gt;</t>
  </si>
  <si>
    <t>#77# isoform Gstt1a, at pH 6.5 and 25°C  &lt;260&gt;</t>
  </si>
  <si>
    <t>#77# isoform Gstm3, at pH 6.5 and 25°C  &lt;260&gt;</t>
  </si>
  <si>
    <t>#77# isoform Gstp1, at pH 6.5 and 25°C  &lt;260&gt;</t>
  </si>
  <si>
    <t>#77# isoform Gstm1, at pH 6.5 and 25°C  &lt;260&gt;</t>
  </si>
  <si>
    <t>#77# isoform Gstp1, at pH 6.5 and 25°C &lt;260&gt;</t>
  </si>
  <si>
    <t>#77# isoform Gstm1, at pH 6.5 and 25°C &lt;260&gt;</t>
  </si>
  <si>
    <t>#77# isoform Gstz1, at pH 6.5 and 25°C &lt;260&gt;</t>
  </si>
  <si>
    <t>#77# isoform Gstz1, at pH 6.5 and  25°C &lt;260&gt;</t>
  </si>
  <si>
    <t>#77# isoform Gsta3, at pH 6.5 and 25°C &lt;260&gt;</t>
  </si>
  <si>
    <t>#77# isoform Gsta3, at pH 6.5  and 25°C &lt;260&gt;</t>
  </si>
  <si>
    <t>#77# isoform Gsto2, at pH 6.5 and 25°C  &lt;260&gt;</t>
  </si>
  <si>
    <t>#77# isoform Gstm3, at pH 6.5 and 25°C &lt;260&gt;</t>
  </si>
  <si>
    <t>#77# isoform Gsto2, at pH 6.5 and 25°C &lt;260&gt;</t>
  </si>
  <si>
    <t>#77# isoform Gstm1, at pH 6.5  and 25°C &lt;260&gt;</t>
  </si>
  <si>
    <t>#77# isoform Gstta1, at pH 6.5 and 25°C  &lt;260&gt;</t>
  </si>
  <si>
    <t>#170# at 25°C  &lt;170&gt;; #254# at pH 6.5 and 25°C &lt;268&gt;; #116# ssGST3 &lt;95&gt;; #77# isoform Gstp2, at pH 6.5 and 25°C &lt;260&gt;</t>
  </si>
  <si>
    <t>#163# mutant enzyme  F212E, in 0.1 M phosphate buffer pH 6.5 &lt;156&gt;; #77# isoform Gstm3, at pH 6.5 and 25°C &lt;260&gt;</t>
  </si>
  <si>
    <t>#99# mutant enzyme I52A  &lt;79&gt;; #77# isoform Gstt1a, at pH 6.5 and 25°C &lt;260&gt;</t>
  </si>
  <si>
    <t>#99# mutant enzyme E37Q  &lt;79&gt;; #77# isoform Gstr1, at pH 6.5 and 25°C &lt;260&gt;</t>
  </si>
  <si>
    <t>#78# pH 8.0, substrate concentration 0.1-0.3  mM &lt;145&gt;</t>
  </si>
  <si>
    <t>#78# pH 8.0, substrate  concentration 0.3-2.0 mM &lt;145&gt;</t>
  </si>
  <si>
    <t>#78# pH 8.0, substrate  concentration 0.1-0.3 mM &lt;145&gt;</t>
  </si>
  <si>
    <t>#78# pH 8.0, substrate concentration  0.3-2.0 mM &lt;145&gt;; #163# mutant enzyme F212A, in 0.1 M phosphate buffer pH 6.5 &lt;156&gt;</t>
  </si>
  <si>
    <t>#85# pH 7.2, 25°C &lt;217&gt;</t>
  </si>
  <si>
    <t>#87# pH 6.5, 25°C &lt;136&gt;</t>
  </si>
  <si>
    <t>#170# at 25°C &lt;170&gt;; #87# pH  6.5, 25°C &lt;136&gt;; #171# mutant enzyme I104V/A113V, in the presence of cosubstrate ethacrynic acid, in 0.1 M phosphate buffer at pH 6.5 &lt;178&gt;; #162# recombinant enzyme, at 25°C &lt;155&gt;</t>
  </si>
  <si>
    <t>#89# isoform GSTT1, at pH 7.4 and 25°C  &lt;284&gt;</t>
  </si>
  <si>
    <t>#89# isoform GSTM2, at pH 7.4 and 25°C  &lt;284&gt;</t>
  </si>
  <si>
    <t>#89# isoform GSTM5, at pH 7.4 and 25°C  &lt;284&gt;</t>
  </si>
  <si>
    <t>#89# isoform GSTM4, at pH 7.4 and 25°C  &lt;284&gt;</t>
  </si>
  <si>
    <t>#89# isoform GSTM3, at pH 7.4 and 25°C  &lt;284&gt;</t>
  </si>
  <si>
    <t>#89# isoform GSTM5, at pH 7.4 and 25°C  &lt;284&gt;; #89# isoform GSTT1, at pH 7.4 and 25°C &lt;284&gt;</t>
  </si>
  <si>
    <t>#89# isoform GSTT4, at pH 7.4 and 25°C  &lt;284&gt;</t>
  </si>
  <si>
    <t>#9# pH 8.0, 30°C, recombinant wild-type  enzyme &lt;208&gt;</t>
  </si>
  <si>
    <t>#9# pH 6.5, 25°C, recombinant catalytically  active monoclonal antibody fragment ScFv2F3 &lt;132&gt;</t>
  </si>
  <si>
    <t>#9# pH 6.5, 25°C, recombinant  catalytically active monoclonal antibody fragment ScFv2F3 &lt;132&gt;</t>
  </si>
  <si>
    <t>#163# wild type enzyme,  in 0.1 M phosphate buffer pH 6.5 &lt;156&gt;</t>
  </si>
  <si>
    <t>#284# mutant enzyme R68A, at pH 8.0 and  30°C &lt;261&gt;</t>
  </si>
  <si>
    <t>#99# 25-27°C, pH 6.5,  wild-type enzyme &lt;94&gt;</t>
  </si>
  <si>
    <t>#99# 25-27°C, pH 6.5, mutant enzyme  D150S &lt;94&gt;</t>
  </si>
  <si>
    <t>#99# mutant enzyme I52L &lt;79&gt;</t>
  </si>
  <si>
    <t>#99# 25-27°C, pH 6.5, mutant enzyme  V147A &lt;94&gt;</t>
  </si>
  <si>
    <t>#99# mutant enzyme L6A &lt;79&gt;</t>
  </si>
  <si>
    <t>#99# 25-27°C, pH 6.5, mutant enzyme  D150Y &lt;94&gt;</t>
  </si>
  <si>
    <t>#99# wild-type enzyme &lt;79&gt;</t>
  </si>
  <si>
    <t>#99# 25-27°C, pH 6.5, mutant  enzyme D150Y &lt;94&gt;</t>
  </si>
  <si>
    <t>#99# 25-27°C, pH 6.5, mutant  enzyme D150S &lt;94&gt;</t>
  </si>
  <si>
    <t>#99# mutant enzyme L103I  &lt;77&gt;</t>
  </si>
  <si>
    <t>#99# 25-27°C, pH 6.5, mutant enzyme  H144A &lt;94&gt;</t>
  </si>
  <si>
    <t>#99# mutant enzyme L103A &lt;77&gt;</t>
  </si>
  <si>
    <t>#99# 25-27°C, pH 6.5, wild-type  enzyme &lt;94&gt;</t>
  </si>
  <si>
    <t>#99# mutant enzyme E37A &lt;79&gt;</t>
  </si>
  <si>
    <t>#99# wild-type enzyme &lt;77&gt;</t>
  </si>
  <si>
    <t>#99# mutant enzyme L33Y &lt;79&gt;</t>
  </si>
  <si>
    <t>#99# 25-27°C, pH 6.5, mutant enzyme  D150A &lt;94&gt;</t>
  </si>
  <si>
    <t>#99# mutant enzyme L103N  &lt;77&gt;; #99# mutant enzyme T31A &lt;79&gt;</t>
  </si>
  <si>
    <t>#99# 25-27°C, pH 6.5, mutant enzyme  V147L &lt;94&gt;</t>
  </si>
  <si>
    <t>#99# mutant enzyme L103I &lt;77&gt;</t>
  </si>
  <si>
    <t>#99# 25-27°C, pH 6.5, mutant  enzyme R96A &lt;94&gt;</t>
  </si>
  <si>
    <t>#99# mutant enzyme K42A &lt;79&gt;</t>
  </si>
  <si>
    <t>#99# mutant enzyme L33I &lt;79&gt;</t>
  </si>
  <si>
    <t>#99# mutant enzyme A35R &lt;79&gt;</t>
  </si>
  <si>
    <t>#99# mutant enzyme T31A &lt;79&gt;</t>
  </si>
  <si>
    <t>#99# mutant enzyme L33A &lt;79&gt;</t>
  </si>
  <si>
    <t>#99# 25-27°C, pH 6.5, mutant enzyme  R96A &lt;94&gt;</t>
  </si>
  <si>
    <t>#99# mutant enzyme L33F &lt;79&gt;</t>
  </si>
  <si>
    <t>#99# mutant enzyme K40A &lt;79&gt;</t>
  </si>
  <si>
    <t>#99# mutant enzyme E37Q &lt;79&gt;</t>
  </si>
  <si>
    <t>#99# mutant enzyme L103E &lt;77&gt;</t>
  </si>
  <si>
    <t>#99# mutant enzyme L103N &lt;77&gt;</t>
  </si>
  <si>
    <t>#99# mutant enzyme I52A &lt;79&gt;</t>
  </si>
  <si>
    <t>#99# mutant enzyme L103M &lt;77&gt;</t>
  </si>
  <si>
    <t>#99# wild-type enzyme  &lt;77&gt;; #117# 25°C, wild-type enzyme &lt;91&gt;</t>
  </si>
  <si>
    <t>#99# mutant enzyme A35R  &lt;79&gt;; #163# mutant enzyme R214A, in 0.1 M phosphate buffer pH 6.5 &lt;156&gt;</t>
  </si>
  <si>
    <t>#99# 25-27°C, pH 6.5,  mutant enzyme H144A &lt;94&gt;; #249# pH 6.5, 30°C, recombinant GSTU4-4 mutant P49A &lt;239&gt;</t>
  </si>
  <si>
    <t>literature</t>
  </si>
  <si>
    <t>111</t>
  </si>
  <si>
    <t>112</t>
  </si>
  <si>
    <t>89</t>
  </si>
  <si>
    <t>98</t>
  </si>
  <si>
    <t>104</t>
  </si>
  <si>
    <t>103</t>
  </si>
  <si>
    <t>107</t>
  </si>
  <si>
    <t>48</t>
  </si>
  <si>
    <t>68</t>
  </si>
  <si>
    <t>58</t>
  </si>
  <si>
    <t>1,9</t>
  </si>
  <si>
    <t>46</t>
  </si>
  <si>
    <t>128</t>
  </si>
  <si>
    <t>156</t>
  </si>
  <si>
    <t>161</t>
  </si>
  <si>
    <t>151</t>
  </si>
  <si>
    <t>47</t>
  </si>
  <si>
    <t>96</t>
  </si>
  <si>
    <t>127</t>
  </si>
  <si>
    <t>71</t>
  </si>
  <si>
    <t>72</t>
  </si>
  <si>
    <t>79</t>
  </si>
  <si>
    <t>159</t>
  </si>
  <si>
    <t>126</t>
  </si>
  <si>
    <t>114</t>
  </si>
  <si>
    <t>62</t>
  </si>
  <si>
    <t>139</t>
  </si>
  <si>
    <t>137</t>
  </si>
  <si>
    <t>59</t>
  </si>
  <si>
    <t>132</t>
  </si>
  <si>
    <t>129</t>
  </si>
  <si>
    <t>87</t>
  </si>
  <si>
    <t>108</t>
  </si>
  <si>
    <t>92</t>
  </si>
  <si>
    <t>133</t>
  </si>
  <si>
    <t>124</t>
  </si>
  <si>
    <t>1,25</t>
  </si>
  <si>
    <t>152</t>
  </si>
  <si>
    <t>147</t>
  </si>
  <si>
    <t>88</t>
  </si>
  <si>
    <t>86</t>
  </si>
  <si>
    <t>8,34</t>
  </si>
  <si>
    <t>54</t>
  </si>
  <si>
    <t>7,43</t>
  </si>
  <si>
    <t>82</t>
  </si>
  <si>
    <t>119</t>
  </si>
  <si>
    <t>94</t>
  </si>
  <si>
    <t>69</t>
  </si>
  <si>
    <t>9,35</t>
  </si>
  <si>
    <t>64,71</t>
  </si>
  <si>
    <t>23,35</t>
  </si>
  <si>
    <t>182</t>
  </si>
  <si>
    <t>74</t>
  </si>
  <si>
    <t>177</t>
  </si>
  <si>
    <t>134</t>
  </si>
  <si>
    <t>84</t>
  </si>
  <si>
    <t>144</t>
  </si>
  <si>
    <t>125</t>
  </si>
  <si>
    <t>2,5</t>
  </si>
  <si>
    <t>2,5,16</t>
  </si>
  <si>
    <t>9,33</t>
  </si>
  <si>
    <t>35,48</t>
  </si>
  <si>
    <t>172</t>
  </si>
  <si>
    <t>136</t>
  </si>
  <si>
    <t>155</t>
  </si>
  <si>
    <t>157</t>
  </si>
  <si>
    <t>106</t>
  </si>
  <si>
    <t>57</t>
  </si>
  <si>
    <t>24,35</t>
  </si>
  <si>
    <t>83</t>
  </si>
  <si>
    <t>7,10</t>
  </si>
  <si>
    <t>143</t>
  </si>
  <si>
    <t>138</t>
  </si>
  <si>
    <t>102</t>
  </si>
  <si>
    <t>115</t>
  </si>
  <si>
    <t>65</t>
  </si>
  <si>
    <t>91</t>
  </si>
  <si>
    <t>97</t>
  </si>
  <si>
    <t>99</t>
  </si>
  <si>
    <t>117</t>
  </si>
  <si>
    <t>101</t>
  </si>
  <si>
    <t>16,51</t>
  </si>
  <si>
    <t>194</t>
  </si>
  <si>
    <t>190</t>
  </si>
  <si>
    <t>191</t>
  </si>
  <si>
    <t>186</t>
  </si>
  <si>
    <t>2,4</t>
  </si>
  <si>
    <t>146</t>
  </si>
  <si>
    <t>6,37,47</t>
  </si>
  <si>
    <t>29,50</t>
  </si>
  <si>
    <t>36,40</t>
  </si>
  <si>
    <t>145</t>
  </si>
  <si>
    <t>3,46</t>
  </si>
  <si>
    <t>59,71</t>
  </si>
  <si>
    <t>195</t>
  </si>
  <si>
    <t>162</t>
  </si>
  <si>
    <t>163</t>
  </si>
  <si>
    <t>176</t>
  </si>
  <si>
    <t>178</t>
  </si>
  <si>
    <t>122</t>
  </si>
  <si>
    <t>154</t>
  </si>
  <si>
    <t>175</t>
  </si>
  <si>
    <t>174</t>
  </si>
  <si>
    <t>188</t>
  </si>
  <si>
    <t>217</t>
  </si>
  <si>
    <t>205</t>
  </si>
  <si>
    <t>218</t>
  </si>
  <si>
    <t>284</t>
  </si>
  <si>
    <t>287</t>
  </si>
  <si>
    <t>185</t>
  </si>
  <si>
    <t>212</t>
  </si>
  <si>
    <t>300</t>
  </si>
  <si>
    <t>249</t>
  </si>
  <si>
    <t>263</t>
  </si>
  <si>
    <t>308</t>
  </si>
  <si>
    <t>288</t>
  </si>
  <si>
    <t>214</t>
  </si>
  <si>
    <t>222</t>
  </si>
  <si>
    <t>221</t>
  </si>
  <si>
    <t>225</t>
  </si>
  <si>
    <t>242</t>
  </si>
  <si>
    <t>141</t>
  </si>
  <si>
    <t>237</t>
  </si>
  <si>
    <t>246</t>
  </si>
  <si>
    <t>247</t>
  </si>
  <si>
    <t>274</t>
  </si>
  <si>
    <t>294</t>
  </si>
  <si>
    <t>305</t>
  </si>
  <si>
    <t>286</t>
  </si>
  <si>
    <t>295</t>
  </si>
  <si>
    <t>292</t>
  </si>
  <si>
    <t>95</t>
  </si>
  <si>
    <t>70,85</t>
  </si>
  <si>
    <t>278</t>
  </si>
  <si>
    <t>28,42</t>
  </si>
  <si>
    <t>235</t>
  </si>
  <si>
    <t>166</t>
  </si>
  <si>
    <t>307</t>
  </si>
  <si>
    <t>226</t>
  </si>
  <si>
    <t>16,17</t>
  </si>
  <si>
    <t>15,17</t>
  </si>
  <si>
    <t>165</t>
  </si>
  <si>
    <t>8,10,12</t>
  </si>
  <si>
    <t>9,10</t>
  </si>
  <si>
    <t>202</t>
  </si>
  <si>
    <t>167</t>
  </si>
  <si>
    <t>303</t>
  </si>
  <si>
    <t>73,97</t>
  </si>
  <si>
    <t>148</t>
  </si>
  <si>
    <t>187</t>
  </si>
  <si>
    <t>123</t>
  </si>
  <si>
    <t>208</t>
  </si>
  <si>
    <t>183</t>
  </si>
  <si>
    <t>315</t>
  </si>
  <si>
    <t>271</t>
  </si>
  <si>
    <t>179</t>
  </si>
  <si>
    <t>270</t>
  </si>
  <si>
    <t>276</t>
  </si>
  <si>
    <t>201</t>
  </si>
  <si>
    <t>232</t>
  </si>
  <si>
    <t>173</t>
  </si>
  <si>
    <t>181</t>
  </si>
  <si>
    <t>239</t>
  </si>
  <si>
    <t>261</t>
  </si>
  <si>
    <t>282</t>
  </si>
  <si>
    <t>296</t>
  </si>
  <si>
    <t>228</t>
  </si>
  <si>
    <t>160</t>
  </si>
  <si>
    <t>267</t>
  </si>
  <si>
    <t>273</t>
  </si>
  <si>
    <t>269</t>
  </si>
  <si>
    <t>149</t>
  </si>
  <si>
    <t>299</t>
  </si>
  <si>
    <t>298</t>
  </si>
  <si>
    <t>302</t>
  </si>
  <si>
    <t>313</t>
  </si>
  <si>
    <t>316</t>
  </si>
  <si>
    <t>256</t>
  </si>
  <si>
    <t>254</t>
  </si>
  <si>
    <t>312</t>
  </si>
  <si>
    <t>272</t>
  </si>
  <si>
    <t>306</t>
  </si>
  <si>
    <t>279</t>
  </si>
  <si>
    <t>ligandStructureId</t>
  </si>
  <si>
    <t>parameter</t>
  </si>
  <si>
    <t>Km</t>
  </si>
  <si>
    <t>unit</t>
  </si>
  <si>
    <t>mM</t>
  </si>
  <si>
    <t>Anas platyrhynchos (</t>
  </si>
  <si>
    <t>Streptomyces tubercidicus</t>
  </si>
  <si>
    <t>Euglena gracilis (</t>
  </si>
  <si>
    <t>Sarcoptes scabiei</t>
  </si>
  <si>
    <t>Monopterus albus</t>
  </si>
  <si>
    <t>Fluoropyruvate</t>
  </si>
  <si>
    <t>nicotinamide hypoxanthine dinucleotide</t>
  </si>
  <si>
    <t>epsilon-NAD+</t>
  </si>
  <si>
    <t>Bromopyruvate</t>
  </si>
  <si>
    <t>pyruvate ethyl ester</t>
  </si>
  <si>
    <t>pyruvate methyl ester</t>
  </si>
  <si>
    <t>4-methyl-2-oxopentanoate</t>
  </si>
  <si>
    <t>Mn2+</t>
  </si>
  <si>
    <t>Mg2+</t>
  </si>
  <si>
    <t>Cycloheptanone</t>
  </si>
  <si>
    <t>avermectin</t>
  </si>
  <si>
    <t>2,6-dimethyl-1,4-benzoquinone</t>
  </si>
  <si>
    <t>tetramethyl-1,4-benzoquinone</t>
  </si>
  <si>
    <t>1,8-dihydroxy-9,10-anthraquinone</t>
  </si>
  <si>
    <t>diethyl  [2,5-bis(aziridin-1-yl)-3,6-dioxocyclohexa-1,4-diene-1, 4-diyl]biscarbamate</t>
  </si>
  <si>
    <t>trimethyl-1,4-benzoquinone</t>
  </si>
  <si>
    <t>5,8-Dihydroxy-1,4-naphthoquinone</t>
  </si>
  <si>
    <t>5-hydroxy-1,4-naphthoquinone</t>
  </si>
  <si>
    <t>2,5-bis(aziridin-1-yl)cyclohexa-2,5-diene-1,4-dione</t>
  </si>
  <si>
    <t>1,4-dihydroxy-9,10-anthraquinone</t>
  </si>
  <si>
    <t>2-methyl-1,4-naphthoquinone</t>
  </si>
  <si>
    <t>9,10-phenanthrene quinone</t>
  </si>
  <si>
    <t>all-trans retinol</t>
  </si>
  <si>
    <t>methylcrotonyl alcohol</t>
  </si>
  <si>
    <t>hexyl alcohol</t>
  </si>
  <si>
    <t>p-nitrophenyl octanoate</t>
  </si>
  <si>
    <t>Propyl alcohol</t>
  </si>
  <si>
    <t>3-methyl-1-butanol</t>
  </si>
  <si>
    <t>Butyl alcohol</t>
  </si>
  <si>
    <t>3-methyl-cyclohexanol</t>
  </si>
  <si>
    <t>pentan2-ol</t>
  </si>
  <si>
    <t>3-Pyridylcarbinol</t>
  </si>
  <si>
    <t>methyl 3-(4-methoxyphenyl)oxirane-2-carboxylate</t>
  </si>
  <si>
    <t>L-gamma-glutamyl-S-[2-hydroxy-3-methoxy-1-(4-methoxyphenyl)-3- oxopropyl]-L-cysteinylglycine</t>
  </si>
  <si>
    <t>7-oxabicyclo[4.1.0]heptan-2-one</t>
  </si>
  <si>
    <t>2-chloro-5-nitropyridine</t>
  </si>
  <si>
    <t>0.00123</t>
  </si>
  <si>
    <t>0.00206</t>
  </si>
  <si>
    <t>0.00155</t>
  </si>
  <si>
    <t>0.00096</t>
  </si>
  <si>
    <t>0.00551</t>
  </si>
  <si>
    <t>0.00454</t>
  </si>
  <si>
    <t>0.00093</t>
  </si>
  <si>
    <t>667</t>
  </si>
  <si>
    <t>567</t>
  </si>
  <si>
    <t>72.7</t>
  </si>
  <si>
    <t>63.1</t>
  </si>
  <si>
    <t>50.8</t>
  </si>
  <si>
    <t>17.5</t>
  </si>
  <si>
    <t>134.5</t>
  </si>
  <si>
    <t>198</t>
  </si>
  <si>
    <t>4170</t>
  </si>
  <si>
    <t>36.83</t>
  </si>
  <si>
    <t>19.66</t>
  </si>
  <si>
    <t>43.85</t>
  </si>
  <si>
    <t>322</t>
  </si>
  <si>
    <t>574</t>
  </si>
  <si>
    <t>319</t>
  </si>
  <si>
    <t>352</t>
  </si>
  <si>
    <t>2.69</t>
  </si>
  <si>
    <t>1.81</t>
  </si>
  <si>
    <t>5.55</t>
  </si>
  <si>
    <t>259</t>
  </si>
  <si>
    <t>2.79</t>
  </si>
  <si>
    <t>2.99</t>
  </si>
  <si>
    <t>8.33</t>
  </si>
  <si>
    <t>9.33</t>
  </si>
  <si>
    <t>4.83</t>
  </si>
  <si>
    <t>1.83</t>
  </si>
  <si>
    <t>10.16</t>
  </si>
  <si>
    <t>670</t>
  </si>
  <si>
    <t>530</t>
  </si>
  <si>
    <t>24.43</t>
  </si>
  <si>
    <t>40.64</t>
  </si>
  <si>
    <t>89.6</t>
  </si>
  <si>
    <t>103.8</t>
  </si>
  <si>
    <t>88.5</t>
  </si>
  <si>
    <t>276.5</t>
  </si>
  <si>
    <t>170.7</t>
  </si>
  <si>
    <t>0.00386</t>
  </si>
  <si>
    <t>0.000248</t>
  </si>
  <si>
    <t>5.5e-05</t>
  </si>
  <si>
    <t>0.00208</t>
  </si>
  <si>
    <t>0.00209</t>
  </si>
  <si>
    <t>4.5e-05</t>
  </si>
  <si>
    <t>38.33</t>
  </si>
  <si>
    <t>233.3</t>
  </si>
  <si>
    <t>266.7</t>
  </si>
  <si>
    <t>153.3</t>
  </si>
  <si>
    <t>216.7</t>
  </si>
  <si>
    <t>1300</t>
  </si>
  <si>
    <t>1800</t>
  </si>
  <si>
    <t>21.1</t>
  </si>
  <si>
    <t>178.4</t>
  </si>
  <si>
    <t>327.2</t>
  </si>
  <si>
    <t>194.9</t>
  </si>
  <si>
    <t>142</t>
  </si>
  <si>
    <t>318</t>
  </si>
  <si>
    <t>884</t>
  </si>
  <si>
    <t>676</t>
  </si>
  <si>
    <t>126.7</t>
  </si>
  <si>
    <t>12.33</t>
  </si>
  <si>
    <t>333.3</t>
  </si>
  <si>
    <t>148.3</t>
  </si>
  <si>
    <t>1500</t>
  </si>
  <si>
    <t>1600</t>
  </si>
  <si>
    <t>12.45</t>
  </si>
  <si>
    <t>10.37</t>
  </si>
  <si>
    <t>64.42</t>
  </si>
  <si>
    <t>94.7</t>
  </si>
  <si>
    <t>380.4</t>
  </si>
  <si>
    <t>344.4</t>
  </si>
  <si>
    <t>6467</t>
  </si>
  <si>
    <t>17479</t>
  </si>
  <si>
    <t>1293</t>
  </si>
  <si>
    <t>204</t>
  </si>
  <si>
    <t>227</t>
  </si>
  <si>
    <t>39.5</t>
  </si>
  <si>
    <t>46.5</t>
  </si>
  <si>
    <t>643</t>
  </si>
  <si>
    <t>2330</t>
  </si>
  <si>
    <t>44.6</t>
  </si>
  <si>
    <t>21.8</t>
  </si>
  <si>
    <t>19.33</t>
  </si>
  <si>
    <t>15.33</t>
  </si>
  <si>
    <t>15.83</t>
  </si>
  <si>
    <t>25.66</t>
  </si>
  <si>
    <t>490</t>
  </si>
  <si>
    <t>576</t>
  </si>
  <si>
    <t>199</t>
  </si>
  <si>
    <t>510</t>
  </si>
  <si>
    <t>566</t>
  </si>
  <si>
    <t>25.6</t>
  </si>
  <si>
    <t>35.7</t>
  </si>
  <si>
    <t>20.1</t>
  </si>
  <si>
    <t>23.9</t>
  </si>
  <si>
    <t>26.6</t>
  </si>
  <si>
    <t>24.5</t>
  </si>
  <si>
    <t>12.5</t>
  </si>
  <si>
    <t>16.89</t>
  </si>
  <si>
    <t>500</t>
  </si>
  <si>
    <t>1200</t>
  </si>
  <si>
    <t>333</t>
  </si>
  <si>
    <t>253</t>
  </si>
  <si>
    <t>98.3</t>
  </si>
  <si>
    <t>96.7</t>
  </si>
  <si>
    <t>154.3</t>
  </si>
  <si>
    <t>158.4</t>
  </si>
  <si>
    <t>21.6</t>
  </si>
  <si>
    <t>324</t>
  </si>
  <si>
    <t>30.8</t>
  </si>
  <si>
    <t>40.6</t>
  </si>
  <si>
    <t>200.3</t>
  </si>
  <si>
    <t>21.3</t>
  </si>
  <si>
    <t>37.7</t>
  </si>
  <si>
    <t>43.4</t>
  </si>
  <si>
    <t>40.1</t>
  </si>
  <si>
    <t>4.69</t>
  </si>
  <si>
    <t>2.97</t>
  </si>
  <si>
    <t>3.37</t>
  </si>
  <si>
    <t>6.48</t>
  </si>
  <si>
    <t>42.6</t>
  </si>
  <si>
    <t>36.7</t>
  </si>
  <si>
    <t>27.4</t>
  </si>
  <si>
    <t>32.1</t>
  </si>
  <si>
    <t>28.7</t>
  </si>
  <si>
    <t>23.2</t>
  </si>
  <si>
    <t>3.55</t>
  </si>
  <si>
    <t>18.4</t>
  </si>
  <si>
    <t>39.6</t>
  </si>
  <si>
    <t>28.1</t>
  </si>
  <si>
    <t>85.8</t>
  </si>
  <si>
    <t>181.1</t>
  </si>
  <si>
    <t>104.4</t>
  </si>
  <si>
    <t>151.7</t>
  </si>
  <si>
    <t>8.35</t>
  </si>
  <si>
    <t>198.9</t>
  </si>
  <si>
    <t>13.5</t>
  </si>
  <si>
    <t>201.3</t>
  </si>
  <si>
    <t>4670</t>
  </si>
  <si>
    <t>38.7</t>
  </si>
  <si>
    <t>151.3</t>
  </si>
  <si>
    <t>268.1</t>
  </si>
  <si>
    <t>324.1</t>
  </si>
  <si>
    <t>284.1</t>
  </si>
  <si>
    <t>1132</t>
  </si>
  <si>
    <t>1206</t>
  </si>
  <si>
    <t>683</t>
  </si>
  <si>
    <t>504</t>
  </si>
  <si>
    <t>518</t>
  </si>
  <si>
    <t>691</t>
  </si>
  <si>
    <t>327</t>
  </si>
  <si>
    <t>275.7</t>
  </si>
  <si>
    <t>122.23</t>
  </si>
  <si>
    <t>106.93</t>
  </si>
  <si>
    <t>181.6</t>
  </si>
  <si>
    <t>376</t>
  </si>
  <si>
    <t>582</t>
  </si>
  <si>
    <t>31.34</t>
  </si>
  <si>
    <t>34.83</t>
  </si>
  <si>
    <t>46.44</t>
  </si>
  <si>
    <t>113.63</t>
  </si>
  <si>
    <t>119.89</t>
  </si>
  <si>
    <t>140.1</t>
  </si>
  <si>
    <t>66.6</t>
  </si>
  <si>
    <t>15.9</t>
  </si>
  <si>
    <t>19.1</t>
  </si>
  <si>
    <t>19.5</t>
  </si>
  <si>
    <t>131</t>
  </si>
  <si>
    <t>258</t>
  </si>
  <si>
    <t>219</t>
  </si>
  <si>
    <t>135.8</t>
  </si>
  <si>
    <t>109.5</t>
  </si>
  <si>
    <t>110.9</t>
  </si>
  <si>
    <t>94.57</t>
  </si>
  <si>
    <t>95.53</t>
  </si>
  <si>
    <t>84.83</t>
  </si>
  <si>
    <t>105.3</t>
  </si>
  <si>
    <t>122.7</t>
  </si>
  <si>
    <t>136.9</t>
  </si>
  <si>
    <t>98.03</t>
  </si>
  <si>
    <t>34.18</t>
  </si>
  <si>
    <t>113.2</t>
  </si>
  <si>
    <t>88.3</t>
  </si>
  <si>
    <t>91.7</t>
  </si>
  <si>
    <t>6.08</t>
  </si>
  <si>
    <t>0.0066</t>
  </si>
  <si>
    <t>30.5</t>
  </si>
  <si>
    <t>31.4</t>
  </si>
  <si>
    <t>31.2</t>
  </si>
  <si>
    <t>27.2</t>
  </si>
  <si>
    <t>46.6</t>
  </si>
  <si>
    <t>22.7</t>
  </si>
  <si>
    <t>22.1</t>
  </si>
  <si>
    <t>31.8</t>
  </si>
  <si>
    <t>21.9</t>
  </si>
  <si>
    <t>30.1</t>
  </si>
  <si>
    <t>30.4</t>
  </si>
  <si>
    <t>4.97</t>
  </si>
  <si>
    <t>4.61</t>
  </si>
  <si>
    <t>7350</t>
  </si>
  <si>
    <t>7920</t>
  </si>
  <si>
    <t>24.3</t>
  </si>
  <si>
    <t>22.4</t>
  </si>
  <si>
    <t>10190</t>
  </si>
  <si>
    <t>0.382</t>
  </si>
  <si>
    <t>4.02</t>
  </si>
  <si>
    <t>3.77</t>
  </si>
  <si>
    <t>2.41</t>
  </si>
  <si>
    <t>3.96</t>
  </si>
  <si>
    <t>6.52</t>
  </si>
  <si>
    <t>5.36</t>
  </si>
  <si>
    <t>3.39</t>
  </si>
  <si>
    <t>25.5</t>
  </si>
  <si>
    <t>36.3</t>
  </si>
  <si>
    <t>2.94</t>
  </si>
  <si>
    <t>0.383</t>
  </si>
  <si>
    <t>3.25</t>
  </si>
  <si>
    <t>0.842</t>
  </si>
  <si>
    <t>0.973</t>
  </si>
  <si>
    <t>5.317</t>
  </si>
  <si>
    <t>3.517</t>
  </si>
  <si>
    <t>5.083</t>
  </si>
  <si>
    <t>5.183</t>
  </si>
  <si>
    <t>3.183</t>
  </si>
  <si>
    <t>2.583</t>
  </si>
  <si>
    <t>1.485</t>
  </si>
  <si>
    <t>1.593</t>
  </si>
  <si>
    <t>3.817</t>
  </si>
  <si>
    <t>2.183</t>
  </si>
  <si>
    <t>2.467</t>
  </si>
  <si>
    <t>4.22</t>
  </si>
  <si>
    <t>0.423</t>
  </si>
  <si>
    <t>0.336</t>
  </si>
  <si>
    <t>15.68</t>
  </si>
  <si>
    <t>5.32</t>
  </si>
  <si>
    <t>4.99</t>
  </si>
  <si>
    <t>21.7</t>
  </si>
  <si>
    <t>16.4</t>
  </si>
  <si>
    <t>18.9</t>
  </si>
  <si>
    <t>2.36</t>
  </si>
  <si>
    <t>44.03</t>
  </si>
  <si>
    <t>35.78</t>
  </si>
  <si>
    <t>727.8</t>
  </si>
  <si>
    <t>293.3</t>
  </si>
  <si>
    <t>20.83</t>
  </si>
  <si>
    <t>445</t>
  </si>
  <si>
    <t>316.7</t>
  </si>
  <si>
    <t>14.48</t>
  </si>
  <si>
    <t>10.55</t>
  </si>
  <si>
    <t>16.02</t>
  </si>
  <si>
    <t>221.7</t>
  </si>
  <si>
    <t>361.7</t>
  </si>
  <si>
    <t>408.3</t>
  </si>
  <si>
    <t>0.0483</t>
  </si>
  <si>
    <t>0.04167</t>
  </si>
  <si>
    <t>243</t>
  </si>
  <si>
    <t>609</t>
  </si>
  <si>
    <t>66.7</t>
  </si>
  <si>
    <t>5.13</t>
  </si>
  <si>
    <t>5.25</t>
  </si>
  <si>
    <t>1.52</t>
  </si>
  <si>
    <t>2.62</t>
  </si>
  <si>
    <t>36.2</t>
  </si>
  <si>
    <t>2.02</t>
  </si>
  <si>
    <t>3.47</t>
  </si>
  <si>
    <t>9.77</t>
  </si>
  <si>
    <t>190.8</t>
  </si>
  <si>
    <t>5.05</t>
  </si>
  <si>
    <t>0.0098</t>
  </si>
  <si>
    <t>10.83</t>
  </si>
  <si>
    <t>2.32</t>
  </si>
  <si>
    <t>6.58</t>
  </si>
  <si>
    <t>2.23</t>
  </si>
  <si>
    <t>6.63</t>
  </si>
  <si>
    <t>1.72</t>
  </si>
  <si>
    <t>1.32</t>
  </si>
  <si>
    <t>1.36</t>
  </si>
  <si>
    <t>6.37</t>
  </si>
  <si>
    <t>6.54</t>
  </si>
  <si>
    <t>0.583</t>
  </si>
  <si>
    <t>1.967</t>
  </si>
  <si>
    <t>1.087</t>
  </si>
  <si>
    <t>1.225</t>
  </si>
  <si>
    <t>0.5167</t>
  </si>
  <si>
    <t>2.89</t>
  </si>
  <si>
    <t>10.7</t>
  </si>
  <si>
    <t>2.72</t>
  </si>
  <si>
    <t>0.00062</t>
  </si>
  <si>
    <t>39.3</t>
  </si>
  <si>
    <t>3.67</t>
  </si>
  <si>
    <t>3.52</t>
  </si>
  <si>
    <t>8.48</t>
  </si>
  <si>
    <t>3.28</t>
  </si>
  <si>
    <t>3.48</t>
  </si>
  <si>
    <t>2.55</t>
  </si>
  <si>
    <t>16.3</t>
  </si>
  <si>
    <t>8.6</t>
  </si>
  <si>
    <t>20.5</t>
  </si>
  <si>
    <t>6.75</t>
  </si>
  <si>
    <t>0.01217</t>
  </si>
  <si>
    <t>0.009167</t>
  </si>
  <si>
    <t>5.67</t>
  </si>
  <si>
    <t>9.83</t>
  </si>
  <si>
    <t>132.2</t>
  </si>
  <si>
    <t>362.8</t>
  </si>
  <si>
    <t>46.83</t>
  </si>
  <si>
    <t>37.83</t>
  </si>
  <si>
    <t>105.2</t>
  </si>
  <si>
    <t>27.7</t>
  </si>
  <si>
    <t>29.3</t>
  </si>
  <si>
    <t>22.8</t>
  </si>
  <si>
    <t>59.8</t>
  </si>
  <si>
    <t>25.65</t>
  </si>
  <si>
    <t>16.18</t>
  </si>
  <si>
    <t>122.4</t>
  </si>
  <si>
    <t>12.75</t>
  </si>
  <si>
    <t>23.43</t>
  </si>
  <si>
    <t>29.28</t>
  </si>
  <si>
    <t>9.94</t>
  </si>
  <si>
    <t>14.08</t>
  </si>
  <si>
    <t>13.55</t>
  </si>
  <si>
    <t>19.57</t>
  </si>
  <si>
    <t>95.78</t>
  </si>
  <si>
    <t>317</t>
  </si>
  <si>
    <t>367</t>
  </si>
  <si>
    <t>50.14</t>
  </si>
  <si>
    <t>53.72</t>
  </si>
  <si>
    <t>733.3</t>
  </si>
  <si>
    <t>101.7</t>
  </si>
  <si>
    <t>538.3</t>
  </si>
  <si>
    <t>548.7</t>
  </si>
  <si>
    <t>405.8</t>
  </si>
  <si>
    <t>700</t>
  </si>
  <si>
    <t>32.5</t>
  </si>
  <si>
    <t>48.3</t>
  </si>
  <si>
    <t>20.8</t>
  </si>
  <si>
    <t>900</t>
  </si>
  <si>
    <t>463.3</t>
  </si>
  <si>
    <t>0.833</t>
  </si>
  <si>
    <t>3.83</t>
  </si>
  <si>
    <t>5.83</t>
  </si>
  <si>
    <t>213</t>
  </si>
  <si>
    <t>48.8</t>
  </si>
  <si>
    <t>60.8</t>
  </si>
  <si>
    <t>62.7</t>
  </si>
  <si>
    <t>89.7</t>
  </si>
  <si>
    <t>0.00086</t>
  </si>
  <si>
    <t>13.1</t>
  </si>
  <si>
    <t>16.8</t>
  </si>
  <si>
    <t>34.8</t>
  </si>
  <si>
    <t>19.7</t>
  </si>
  <si>
    <t>638.7</t>
  </si>
  <si>
    <t>404.8</t>
  </si>
  <si>
    <t>443.1</t>
  </si>
  <si>
    <t>1645.7</t>
  </si>
  <si>
    <t>251.3</t>
  </si>
  <si>
    <t>432.3</t>
  </si>
  <si>
    <t>786.1</t>
  </si>
  <si>
    <t>895.4</t>
  </si>
  <si>
    <t>18.65</t>
  </si>
  <si>
    <t>24.9</t>
  </si>
  <si>
    <t>365</t>
  </si>
  <si>
    <t>0.094</t>
  </si>
  <si>
    <t>34.3</t>
  </si>
  <si>
    <t>931</t>
  </si>
  <si>
    <t>681</t>
  </si>
  <si>
    <t>326</t>
  </si>
  <si>
    <t>9.2</t>
  </si>
  <si>
    <t>26.2</t>
  </si>
  <si>
    <t>3000</t>
  </si>
  <si>
    <t>3500</t>
  </si>
  <si>
    <t>3.17</t>
  </si>
  <si>
    <t>283</t>
  </si>
  <si>
    <t>17.3</t>
  </si>
  <si>
    <t>15.6</t>
  </si>
  <si>
    <t>10.5</t>
  </si>
  <si>
    <t>43.8</t>
  </si>
  <si>
    <t>433</t>
  </si>
  <si>
    <t>405</t>
  </si>
  <si>
    <t>153</t>
  </si>
  <si>
    <t>1.98</t>
  </si>
  <si>
    <t>93.13</t>
  </si>
  <si>
    <t>31.5</t>
  </si>
  <si>
    <t>52.1</t>
  </si>
  <si>
    <t>36.9</t>
  </si>
  <si>
    <t>313.14</t>
  </si>
  <si>
    <t>15.44</t>
  </si>
  <si>
    <t>8.58</t>
  </si>
  <si>
    <t>2.63</t>
  </si>
  <si>
    <t>2.77</t>
  </si>
  <si>
    <t>3.03</t>
  </si>
  <si>
    <t>3.38</t>
  </si>
  <si>
    <t>4.08</t>
  </si>
  <si>
    <t>4.75</t>
  </si>
  <si>
    <t>7.18</t>
  </si>
  <si>
    <t>9.58</t>
  </si>
  <si>
    <t>29.6</t>
  </si>
  <si>
    <t>53.1</t>
  </si>
  <si>
    <t>56.6</t>
  </si>
  <si>
    <t>0.0713</t>
  </si>
  <si>
    <t>29.5</t>
  </si>
  <si>
    <t>32.7</t>
  </si>
  <si>
    <t>35.4</t>
  </si>
  <si>
    <t>41.9</t>
  </si>
  <si>
    <t>418</t>
  </si>
  <si>
    <t>264</t>
  </si>
  <si>
    <t>410</t>
  </si>
  <si>
    <t>211</t>
  </si>
  <si>
    <t>432</t>
  </si>
  <si>
    <t>528</t>
  </si>
  <si>
    <t>0.317</t>
  </si>
  <si>
    <t>14.5</t>
  </si>
  <si>
    <t>0.983</t>
  </si>
  <si>
    <t>1.97</t>
  </si>
  <si>
    <t>2.92</t>
  </si>
  <si>
    <t>3.82</t>
  </si>
  <si>
    <t>4.03</t>
  </si>
  <si>
    <t>6.92</t>
  </si>
  <si>
    <t>4.42</t>
  </si>
  <si>
    <t>215</t>
  </si>
  <si>
    <t>86.5</t>
  </si>
  <si>
    <t>45.7</t>
  </si>
  <si>
    <t>52.4</t>
  </si>
  <si>
    <t>17.1</t>
  </si>
  <si>
    <t>38.1</t>
  </si>
  <si>
    <t>50.1</t>
  </si>
  <si>
    <t>48.1</t>
  </si>
  <si>
    <t>61.4</t>
  </si>
  <si>
    <t>8.88</t>
  </si>
  <si>
    <t>7.22</t>
  </si>
  <si>
    <t>4.67</t>
  </si>
  <si>
    <t>6.18</t>
  </si>
  <si>
    <t>0.0833</t>
  </si>
  <si>
    <t>0.283</t>
  </si>
  <si>
    <t>0.467</t>
  </si>
  <si>
    <t>3.97</t>
  </si>
  <si>
    <t>6.17</t>
  </si>
  <si>
    <t>7.33</t>
  </si>
  <si>
    <t>0.092</t>
  </si>
  <si>
    <t>0.667</t>
  </si>
  <si>
    <t>9.17</t>
  </si>
  <si>
    <t>17.2</t>
  </si>
  <si>
    <t>0.245</t>
  </si>
  <si>
    <t>0.717</t>
  </si>
  <si>
    <t>0.683</t>
  </si>
  <si>
    <t>30.7</t>
  </si>
  <si>
    <t>39.9</t>
  </si>
  <si>
    <t>62.48</t>
  </si>
  <si>
    <t>160.8</t>
  </si>
  <si>
    <t>262.3</t>
  </si>
  <si>
    <t>474.9</t>
  </si>
  <si>
    <t>983</t>
  </si>
  <si>
    <t>617</t>
  </si>
  <si>
    <t>1820</t>
  </si>
  <si>
    <t>6700</t>
  </si>
  <si>
    <t>1700</t>
  </si>
  <si>
    <t>258.3</t>
  </si>
  <si>
    <t>265</t>
  </si>
  <si>
    <t>363</t>
  </si>
  <si>
    <t>81.7</t>
  </si>
  <si>
    <t>60.2</t>
  </si>
  <si>
    <t>55.7</t>
  </si>
  <si>
    <t>338</t>
  </si>
  <si>
    <t>1070</t>
  </si>
  <si>
    <t>1170</t>
  </si>
  <si>
    <t>1590</t>
  </si>
  <si>
    <t>1360</t>
  </si>
  <si>
    <t>164</t>
  </si>
  <si>
    <t>1130</t>
  </si>
  <si>
    <t>1088</t>
  </si>
  <si>
    <t>1180</t>
  </si>
  <si>
    <t>70.96</t>
  </si>
  <si>
    <t>62.5</t>
  </si>
  <si>
    <t>9.63</t>
  </si>
  <si>
    <t>48.7</t>
  </si>
  <si>
    <t>63.4</t>
  </si>
  <si>
    <t>17.7</t>
  </si>
  <si>
    <t>3.94</t>
  </si>
  <si>
    <t>7.67</t>
  </si>
  <si>
    <t>368</t>
  </si>
  <si>
    <t>1020</t>
  </si>
  <si>
    <t>1370</t>
  </si>
  <si>
    <t>2.38</t>
  </si>
  <si>
    <t>761</t>
  </si>
  <si>
    <t>3.74</t>
  </si>
  <si>
    <t>4.18</t>
  </si>
  <si>
    <t>2700</t>
  </si>
  <si>
    <t>72.6</t>
  </si>
  <si>
    <t>464</t>
  </si>
  <si>
    <t>8100</t>
  </si>
  <si>
    <t>9600</t>
  </si>
  <si>
    <t>1610</t>
  </si>
  <si>
    <t>5.78</t>
  </si>
  <si>
    <t>103.3</t>
  </si>
  <si>
    <t>6.24</t>
  </si>
  <si>
    <t>18.3</t>
  </si>
  <si>
    <t>551</t>
  </si>
  <si>
    <t>772</t>
  </si>
  <si>
    <t>6.74</t>
  </si>
  <si>
    <t>3.56</t>
  </si>
  <si>
    <t>349</t>
  </si>
  <si>
    <t>1515</t>
  </si>
  <si>
    <t>4.38</t>
  </si>
  <si>
    <t>11.28</t>
  </si>
  <si>
    <t>58.77</t>
  </si>
  <si>
    <t>141.7</t>
  </si>
  <si>
    <t>38.18</t>
  </si>
  <si>
    <t>190.6</t>
  </si>
  <si>
    <t>7.95</t>
  </si>
  <si>
    <t>65.43</t>
  </si>
  <si>
    <t>57.87</t>
  </si>
  <si>
    <t>12.8</t>
  </si>
  <si>
    <t>14.9</t>
  </si>
  <si>
    <t>18.7</t>
  </si>
  <si>
    <t>2.14</t>
  </si>
  <si>
    <t>26.4</t>
  </si>
  <si>
    <t>8.85</t>
  </si>
  <si>
    <t>10.78</t>
  </si>
  <si>
    <t>16.51</t>
  </si>
  <si>
    <t>11.79</t>
  </si>
  <si>
    <t>9.16</t>
  </si>
  <si>
    <t>0.322</t>
  </si>
  <si>
    <t>0.512</t>
  </si>
  <si>
    <t>0.277</t>
  </si>
  <si>
    <t>0.196</t>
  </si>
  <si>
    <t>0.266</t>
  </si>
  <si>
    <t>0.421</t>
  </si>
  <si>
    <t>0.573</t>
  </si>
  <si>
    <t>0.264</t>
  </si>
  <si>
    <t>0.387</t>
  </si>
  <si>
    <t>0.809</t>
  </si>
  <si>
    <t>0.946</t>
  </si>
  <si>
    <t>0.999</t>
  </si>
  <si>
    <t>1.573</t>
  </si>
  <si>
    <t>55.8</t>
  </si>
  <si>
    <t>25.1</t>
  </si>
  <si>
    <t>8.52</t>
  </si>
  <si>
    <t>11.03</t>
  </si>
  <si>
    <t>29.42</t>
  </si>
  <si>
    <t>2.48</t>
  </si>
  <si>
    <t>0.0897</t>
  </si>
  <si>
    <t>2.65</t>
  </si>
  <si>
    <t>925.2</t>
  </si>
  <si>
    <t>905.8</t>
  </si>
  <si>
    <t>0.00098</t>
  </si>
  <si>
    <t>673.7</t>
  </si>
  <si>
    <t>692.8</t>
  </si>
  <si>
    <t>62.9</t>
  </si>
  <si>
    <t>610</t>
  </si>
  <si>
    <t>12.281</t>
  </si>
  <si>
    <t>41.823</t>
  </si>
  <si>
    <t>6.283</t>
  </si>
  <si>
    <t>6.056</t>
  </si>
  <si>
    <t>2.496</t>
  </si>
  <si>
    <t>16.714</t>
  </si>
  <si>
    <t>28.819</t>
  </si>
  <si>
    <t>2.963</t>
  </si>
  <si>
    <t>24.482</t>
  </si>
  <si>
    <t>3.376</t>
  </si>
  <si>
    <t>7.782</t>
  </si>
  <si>
    <t>16.483</t>
  </si>
  <si>
    <t>112.987</t>
  </si>
  <si>
    <t>0.804</t>
  </si>
  <si>
    <t>1.415</t>
  </si>
  <si>
    <t>1.197</t>
  </si>
  <si>
    <t>2.061</t>
  </si>
  <si>
    <t>7.564</t>
  </si>
  <si>
    <t>21.06</t>
  </si>
  <si>
    <t>7.391</t>
  </si>
  <si>
    <t>16.183</t>
  </si>
  <si>
    <t>16.302</t>
  </si>
  <si>
    <t>22.472</t>
  </si>
  <si>
    <t>1.314</t>
  </si>
  <si>
    <t>1.934</t>
  </si>
  <si>
    <t>14.948</t>
  </si>
  <si>
    <t>87.87</t>
  </si>
  <si>
    <t>100.25</t>
  </si>
  <si>
    <t>0.00333</t>
  </si>
  <si>
    <t>0.0678</t>
  </si>
  <si>
    <t>0.000146</t>
  </si>
  <si>
    <t>4.51e-07</t>
  </si>
  <si>
    <t>0.000714</t>
  </si>
  <si>
    <t>0.000906</t>
  </si>
  <si>
    <t>0.000321</t>
  </si>
  <si>
    <t>1.63e-06</t>
  </si>
  <si>
    <t>29.7</t>
  </si>
  <si>
    <t>6.78</t>
  </si>
  <si>
    <t>4.37</t>
  </si>
  <si>
    <t>8.66</t>
  </si>
  <si>
    <t>14.99</t>
  </si>
  <si>
    <t>21.44</t>
  </si>
  <si>
    <t>15.48</t>
  </si>
  <si>
    <t>82.17</t>
  </si>
  <si>
    <t>274.4</t>
  </si>
  <si>
    <t>251.2</t>
  </si>
  <si>
    <t>57.2</t>
  </si>
  <si>
    <t>8.69</t>
  </si>
  <si>
    <t>552</t>
  </si>
  <si>
    <t>238</t>
  </si>
  <si>
    <t>2286</t>
  </si>
  <si>
    <t>74.5</t>
  </si>
  <si>
    <t>25.2</t>
  </si>
  <si>
    <t>21.5</t>
  </si>
  <si>
    <t>26.5</t>
  </si>
  <si>
    <t>27.8</t>
  </si>
  <si>
    <t>29.1</t>
  </si>
  <si>
    <t>46.8</t>
  </si>
  <si>
    <t>31.9</t>
  </si>
  <si>
    <t>9.73</t>
  </si>
  <si>
    <t>19.78</t>
  </si>
  <si>
    <t>36.21</t>
  </si>
  <si>
    <t>30.16</t>
  </si>
  <si>
    <t>21.94</t>
  </si>
  <si>
    <t>#9# stimulation with Mg2+ or Mn2+ &lt;7&gt;</t>
  </si>
  <si>
    <t>#1# recombinant C166S mutant, pH 7.5, 25°C  &lt;64&gt;</t>
  </si>
  <si>
    <t>#1# recombinant C166S mutant, pH 7.5, 25°C &lt;64&gt;</t>
  </si>
  <si>
    <t>#1# recombinant premature isozyme pmAspAT, pH  7.5, 25°C &lt;64&gt;</t>
  </si>
  <si>
    <t>#1# recombinant C166A mutant, pH 7.5, 25°C  &lt;64&gt;</t>
  </si>
  <si>
    <t>#1# recombinant C166A mutant, pH 7.5, 25°C &lt;64&gt;</t>
  </si>
  <si>
    <t>#57# pH 8.0, 45°C &lt;63&gt;; #1# recombinant  isozyme mAspAT, pH 7.5, 25°C &lt;64&gt;</t>
  </si>
  <si>
    <t>#103# at pH 8.0 and 60°C &lt;161&gt;</t>
  </si>
  <si>
    <t>#103# using L-aspartate as a  cosubstrate, at pH 8.0 and 60°C &lt;161&gt;</t>
  </si>
  <si>
    <t>#15# pH 7.4, 25°C &lt;43&gt;</t>
  </si>
  <si>
    <t>#19# isozyme AAT2, pH 8.0, 25°C &lt;65&gt;</t>
  </si>
  <si>
    <t>#19# isozyme AAT5, pH 8.0, 25°C &lt;65&gt;</t>
  </si>
  <si>
    <t>#19# isozyme AAT1, pH 8.0, 25°C &lt;65&gt;</t>
  </si>
  <si>
    <t>#68# pH 7.5, 25°C, recombinant mutant  E108K &lt;159&gt;</t>
  </si>
  <si>
    <t>#68# pH 7.5, 25°C, recombinant mutant  A168G &lt;159&gt;</t>
  </si>
  <si>
    <t>#1# enzyme from muscle &lt;42&gt;</t>
  </si>
  <si>
    <t>#1# enzyme form heart  and muscle &lt;42&gt;</t>
  </si>
  <si>
    <t>#1# enzyme from heart &lt;42&gt;</t>
  </si>
  <si>
    <t>#1# enzyme from  muscle &lt;42&gt;</t>
  </si>
  <si>
    <t>#11# soluble recombinant enzyme, pH 7.0, 25°C  &lt;132&gt;</t>
  </si>
  <si>
    <t>#11# immobiized recombinant enzyme, pH 7.0,  25°C &lt;132&gt;</t>
  </si>
  <si>
    <t>#111# pH 5.5, 25°C, recombinant enzyme  &lt;130&gt;</t>
  </si>
  <si>
    <t>#118# pH 5.5, temperature not specified in the  publication, wild-type and mutant D241N LDH-2, with 3 mM fructose-1,6-bisphosphate &lt;129&gt;; #118# pH 7.5, temperature not specified in the publication, mutant D241N LDH-2, with 3 mM fructose-1,6-bisphosphate &lt;129&gt;</t>
  </si>
  <si>
    <t>#12# pH 6.0, 25°C, recombinant wild-type enzyme  in absence of fructose 1,6-bisphosphate &lt;73&gt;</t>
  </si>
  <si>
    <t>#132# LDHB, in the presence of 0.125 mM NADH  &lt;98&gt;</t>
  </si>
  <si>
    <t>#132# LDHB, in the presence of 0.25 mM NADH  &lt;98&gt;</t>
  </si>
  <si>
    <t>#132# LDHB, in the presence of 0.2 mM NADH &lt;98&gt;</t>
  </si>
  <si>
    <t>#133# RLDHB, in the presence of 0.25 mM NADH  &lt;98&gt;</t>
  </si>
  <si>
    <t>#139# pH 6.0, 25°C, recombinant wild-type enzyme  &lt;92&gt;</t>
  </si>
  <si>
    <t>#139# 25°C, pH 8, mutant enzyme F16Q/C81S/N85R,  activated by fructose 1,6-diphosphate &lt;66&gt;; #139# 25°C, pH 8, mutant enzyme F16Q/I37K/D38SC81S/N85R, activated by fructose 1,6-diphosphate &lt;66&gt;</t>
  </si>
  <si>
    <t>#147# pH 9.2, 25°C  &lt;43&gt;</t>
  </si>
  <si>
    <t>#173# isoform LDHL2, pH 7, 40°C &lt;150&gt;</t>
  </si>
  <si>
    <t>#24# enzyme from heart &lt;42&gt;</t>
  </si>
  <si>
    <t>#24# enzyme from  heart &lt;42&gt;</t>
  </si>
  <si>
    <t>#20# mutant R315K, pH 7.5, 37°C  &lt;33&gt;</t>
  </si>
  <si>
    <t>#29# cosubstrate L-glutamate, pH 10.0,  30°C &lt;54&gt;</t>
  </si>
  <si>
    <t>#29# cosubstrate phenylalanine, pH 10.0,  30°C &lt;54&gt;</t>
  </si>
  <si>
    <t>#3# aspartate aminotransferase with mutations HEX  and A293D, pH 8.0, 25°C &lt;34&gt;</t>
  </si>
  <si>
    <t>#3# aspartate aminotransferase with mutations  HEX, pH 8.0, 25°C &lt;34&gt;</t>
  </si>
  <si>
    <t>#4# pH 8.0, 25°C, cosubstrate  2-oxoglutarate &lt;10&gt;</t>
  </si>
  <si>
    <t>#4# pH 8.0, 25°C, single-turnover,  wild-type enzyme &lt;21&gt;</t>
  </si>
  <si>
    <t>#6# pH 7.6, 80°C, cosubstrate 2-oxoglutarate  &lt;7&gt;; #6# pH 7.6, 80°C &lt;43&gt;</t>
  </si>
  <si>
    <t>#6# pH 7.6, 80°C, cosubstrate 2-oxoglutarate &lt;7&gt;;  #6# pH 7.6, 80°C &lt;43&gt;</t>
  </si>
  <si>
    <t>#6# pH 7.6, 80°C, cosubstrate  2-oxoglutarate &lt;7&gt;; #6# pH 7.6, 80°C &lt;43&gt;</t>
  </si>
  <si>
    <t>#101# recombinant NADP-ME3 &lt;46&gt;</t>
  </si>
  <si>
    <t>#131# wild type enzyme, at pH 8.0 and 25°C &lt;137&gt;</t>
  </si>
  <si>
    <t>#139# pH 8.0, 70°C, recombinant mutant R221G  &lt;112&gt;</t>
  </si>
  <si>
    <t>#14# mutant K225I, pH 8.0, 30°C &lt;30&gt;; #14# pH  8.0, 30°C, reduced isozyme ZmC4-NADP-ME, mutant C246A &lt;89&gt;; #131# pH 8.0, 30°C, mutant C246A &lt;89&gt;</t>
  </si>
  <si>
    <t>#14# pH 8.0, 30°C, reduced isozyme ZmC4-NADP-ME,  mutant C270A &lt;89&gt;; #131# pH 8.0, 30°C, mutant C270A &lt;89&gt;</t>
  </si>
  <si>
    <t>#14# pH 8.0, 30°C, reduced isozyme ZmC4-NADP-ME  &lt;89&gt;; #131# pH 8.0, 30°C, wild-type, treated with dithiothreitol &lt;89&gt;</t>
  </si>
  <si>
    <t>#14# pH 8.0, 30°C, reduced isozyme ZmC4-NADP-ME,  mutant C192A &lt;89&gt;; #131# pH 8.0, 30°C, mutant C192A &lt;89&gt;</t>
  </si>
  <si>
    <t>#14# pH 8.0, 30°C, reduced isozyme  ZmC4-NADP-ME, mutant C231A &lt;89&gt;; #131# pH 8.0, 30°C, mutant C231A &lt;89&gt;</t>
  </si>
  <si>
    <t>#14# pH 8.0, 30°C, oxidized isozyme ZmC4-NADP-ME  &lt;89&gt;; #131# pH 8.0, 30°C, wild-type, treated with diamide &lt;89&gt;</t>
  </si>
  <si>
    <t>#14# pH 7.0, 30°C, reduced isozyme ZmC4-NADP-ME  &lt;89&gt;; #131# pH 7.0, 30°C, wild-type, treated with dithiothreitol &lt;89&gt;</t>
  </si>
  <si>
    <t>#18# pH 7.5, NADP-ME2 &lt;45&gt;</t>
  </si>
  <si>
    <t>#18# pH 7.5, NADP-ME1 &lt;45&gt;</t>
  </si>
  <si>
    <t>#18# pH 7.5, NADP-ME4 &lt;45&gt;</t>
  </si>
  <si>
    <t>#18# pH 7.5, NADP-ME3 &lt;45&gt;</t>
  </si>
  <si>
    <t>#122# pH 7.0 &lt;70&gt;; #18# pH 7.0, 30°C, isozyme  NADP-ME2 &lt;66&gt;</t>
  </si>
  <si>
    <t>#123# pH 7.0 &lt;70&gt;; #18# pH 7.0, 30°C, isozyme  NADP-ME3 &lt;66&gt;</t>
  </si>
  <si>
    <t>#20# isozyme ME2, pH 7.4, temperature not specified  in the publication &lt;77&gt;; #20# pH and temperature not specified in the publication, recombinant isozyme ME2, in presence of 0.5 mM Mn2+ &lt;77&gt;</t>
  </si>
  <si>
    <t>#20# isozyme ME1, pH 7.4, temperature not specified  in the publication &lt;77&gt;; #20# pH and temperature not specified in the publication, recombinant isozyme ME1, in presence of 0.5 mM Mn2+ &lt;77&gt;</t>
  </si>
  <si>
    <t>#24# isozyme ME1, pH 7.4, temperature not specified  in the publication &lt;77&gt;; #24# pH and temperature not specified in the publication, recombinant isozyme ME1, in presence of 0.5 mM Mn2+ &lt;77&gt;</t>
  </si>
  <si>
    <t>#24# isozyme ME2, pH 7.4, temperature not specified  in the publication &lt;77&gt;; #24# pH and temperature not specified in the publication, recombinant isozyme ME2, in presence of 0.5 mM Mn2+ &lt;77&gt;</t>
  </si>
  <si>
    <t>#33# at pH 7.4 and 37°C &lt;132&gt;</t>
  </si>
  <si>
    <t>#4# assuming an octameric oligomerization state  &lt;1&gt;</t>
  </si>
  <si>
    <t>#45# at pH 7.4 and 37°C &lt;132&gt;</t>
  </si>
  <si>
    <t>#65# recombinant isozyme PtNADP-ME5, pH 7.5, 30°C  &lt;87&gt;</t>
  </si>
  <si>
    <t>#7# mutant E314A/S346I/K347D/K362H, pH 7.4, 30°C &lt;92&gt;;  #7# mutant S346K/K347Y/K362Q, pH 7.4, 30°C &lt;92&gt;</t>
  </si>
  <si>
    <t>#7# mutant E314A/S346I/K347D/K362H, pH 7.4, 30°C &lt;92&gt;</t>
  </si>
  <si>
    <t>#18# mutant E489A, pH 8.0, 37°C &lt;52&gt;</t>
  </si>
  <si>
    <t>#18# mutant R179A, pH 8.0, 37°C &lt;41&gt;; #18#  mutant T323A, pH 8.0, 37°C &lt;41&gt;</t>
  </si>
  <si>
    <t>#18# wild-type enzyme, pH 8.0, 37°C &lt;52&gt;</t>
  </si>
  <si>
    <t>#18# mutant Q321A, pH 8.0, 37°C &lt;52&gt;</t>
  </si>
  <si>
    <t>#18# above, mutant Q321A, pH 8.0, 37°C &lt;52&gt;</t>
  </si>
  <si>
    <t>#18# mutant E93A, pH 8.0, 37°C &lt;52&gt;</t>
  </si>
  <si>
    <t>#18# wild-type, pH 8.0, 37°C &lt;41&gt;</t>
  </si>
  <si>
    <t>#18# wild-type and mutant enzyme, pH 8.0, 37°C &lt;50&gt;</t>
  </si>
  <si>
    <t>#18# wild-type and mutant enzyme, pH  8.0, 37°C &lt;50&gt;</t>
  </si>
  <si>
    <t>#2# 37°C, pH 7.2,catalytic subunit GCLC &lt;64&gt;</t>
  </si>
  <si>
    <t>#2# 37°C, pH 7.2, catalytic subunit GCLC &lt;64&gt;</t>
  </si>
  <si>
    <t>#2# 37°C, pH 7.2, holoenzyme &lt;64&gt;</t>
  </si>
  <si>
    <t>#3# pH 8.0, 25°C, wild-type enzyme, in presence of DTT  &lt;151&gt;</t>
  </si>
  <si>
    <t>#3# pH 8.0, 25°C, wild-type enzyme, in presence  of DTT &lt;151&gt;</t>
  </si>
  <si>
    <t>#25# mutant enzyme T23S, at pH 7.0 and 37°C  &lt;106&gt;</t>
  </si>
  <si>
    <t>#47# mutant enzyme S155A, at 25°C in 100 mM HEPES (pH  7.5</t>
  </si>
  <si>
    <t>#47# mutant enzyme R454A, at 25°C in 100 mM HEPES  (pH 7.5</t>
  </si>
  <si>
    <t>#47# mutant enzyme E220Q, at 25°C in 100 mM HEPES  (pH 7.5</t>
  </si>
  <si>
    <t>#52# mutant K364A, pH 8.2, 37°C &lt;50&gt;</t>
  </si>
  <si>
    <t>#52# mutant E144K and mutant N146D, pH  8.2, 37°C &lt;50&gt;</t>
  </si>
  <si>
    <t>#52# mutant K364E, pH 8.2, 37°C &lt;50&gt;</t>
  </si>
  <si>
    <t>#52# mutant N146A, pH 8.2, 37°C &lt;50&gt;</t>
  </si>
  <si>
    <t>#55# pH 7.8, 20°C, recombinant enzyme, ATPase  activity &lt;90&gt;</t>
  </si>
  <si>
    <t>#55# pH 7.8, 30°C, recombinant enzyme, ATPase  activity &lt;90&gt;</t>
  </si>
  <si>
    <t>#55# pH 7.8, 15°C, recombinant enzyme, ATPase  activity &lt;90&gt;</t>
  </si>
  <si>
    <t>#6# mutant V44A/V45A, pH 8.2,  37°C &lt;83&gt;</t>
  </si>
  <si>
    <t>#6# mutant G370V, 37°C, pH not specified in the  publication &lt;82&gt;</t>
  </si>
  <si>
    <t>#6# wild-type, pH 8.2, 37°C  &lt;83&gt;</t>
  </si>
  <si>
    <t>#7# recombinant enzyme, pH  8.2, 37°C &lt;43&gt;</t>
  </si>
  <si>
    <t>#50# mutant C2S/C78S/C115S/C156S/C202S, presence of 3  mM GSH, pH 7.4, 37°C &lt;143&gt;</t>
  </si>
  <si>
    <t>#6# wild type enzyme, in the presence of 2 mM GSH, at  37°C and pH 7.0 &lt;96&gt;</t>
  </si>
  <si>
    <t>#6# wild type enzyme, in the presence of 1 mM GSH, at  37°C and pH 7.0 &lt;96&gt;</t>
  </si>
  <si>
    <t>#6# apparent value, imprinted GSH-selenosubtilisin  in the presence of 2 mM GSH, in 50 mM PIPES buffer, pH 7.0 at 37°C &lt;90&gt;</t>
  </si>
  <si>
    <t>#6# wild type enzyme, in the presence of 0.25 mM  GSH, at 37°C and pH 7.0 &lt;96&gt;</t>
  </si>
  <si>
    <t>#6# apparent value, imprinted GSH-selenosubtilisin  in the presence of 0.5 mM GSH, in 50 mM PIPES buffer, pH 7.0 at 37°C &lt;90&gt;</t>
  </si>
  <si>
    <t>#6# apparent value, imprinted GSH-selenosubtilisin  in the presence of 1 mM GSH, in 50 mM PIPES buffer, pH 7.0 at 37°C &lt;90&gt;</t>
  </si>
  <si>
    <t>#6# wild type enzyme, in the presence of 1 mM H2O2,  at 37°C and pH 7.0 &lt;96&gt;</t>
  </si>
  <si>
    <t>#34# after treatment with  S-nitrosoglutathione, pH 7.4, 25°C &lt;90&gt;</t>
  </si>
  <si>
    <t>#34# wild-type, pH 7.4, 25°C &lt;90&gt;; #34# wild-type,  pH 7.4, 37°C &lt;90&gt;</t>
  </si>
  <si>
    <t>#34# after treatment with S-nitrosoglutathione,  pH 7.4, 25°C &lt;90&gt;</t>
  </si>
  <si>
    <t>#34# enzyme modified by S-nitrosoglutathione,  pH 7.4, 37°C &lt;90&gt;</t>
  </si>
  <si>
    <t>#34# wild-type, pH 7.4,  temperature not specified in the publication &lt;89&gt;</t>
  </si>
  <si>
    <t>#34# after treatment with S-nitrosoglutathione, pH  7.4, 25°C &lt;90&gt;</t>
  </si>
  <si>
    <t>#41# at 100 mM sodium phosphate buffer,  pH 6.5, 0.065 mM NADPH, 25°C &lt;73&gt;</t>
  </si>
  <si>
    <t>#48# pH 9.0, 70°C,  recombinant enzyme &lt;84&gt;</t>
  </si>
  <si>
    <t>#61# isoform Cbr3, at pH 7.0 and 37°C  &lt;117&gt;</t>
  </si>
  <si>
    <t>#7# pH 7.4, 37°C, recombinant isozyme CBR V244 &lt;50&gt;</t>
  </si>
  <si>
    <t>#7# pH 7.4, 37°C, recombinant isozyme CBR M244 &lt;50&gt;</t>
  </si>
  <si>
    <t>#12# mutant F87G &lt;30&gt;</t>
  </si>
  <si>
    <t>#12# mutant A74G/F87V/L188Q/W1046A &lt;30&gt;</t>
  </si>
  <si>
    <t>#12# wild-type enzyme &lt;30&gt;</t>
  </si>
  <si>
    <t>#12# mutant A74E/F87V/P386S &lt;30&gt;</t>
  </si>
  <si>
    <t>#12# mutant F87A &lt;30&gt;</t>
  </si>
  <si>
    <t>#12# mutant A74G/F87V/L188Q/W1046S &lt;30&gt;</t>
  </si>
  <si>
    <t>#14# CYP102A7, at pH 7.5, highest  binding affinity &lt;43&gt;</t>
  </si>
  <si>
    <t>#33# pH 7.0, 30°C, recombinant Ema1 &lt;16&gt;</t>
  </si>
  <si>
    <t>#104# enzyme variant GR2, pH 7.6,  22°C &lt;194&gt;</t>
  </si>
  <si>
    <t>#31# pH 7.0, 0.1 M potassium  phosphate, 1 mM EDTA, 25°C &lt;149&gt;</t>
  </si>
  <si>
    <t>#31# pH 7.0, 0.1 M  potassium phosphate, 1 mM EDTA, 25°C &lt;149&gt;</t>
  </si>
  <si>
    <t>aziridin-1-yl</t>
  </si>
  <si>
    <t>#31# pH 7.0, 0.1 M potassium phosphate, 1  mM EDTA, 25°C &lt;149&gt;</t>
  </si>
  <si>
    <t>#31# mutant enzyme, pH 7.4, 25°C &lt;81&gt;</t>
  </si>
  <si>
    <t>#32# truncated recombinant enzyme (lacking the last  two amino acids Sec597-Gly598</t>
  </si>
  <si>
    <t>#7# pH 7.5, temperature not  specified in the publication &lt;195&gt;</t>
  </si>
  <si>
    <t>#7#  pH 7.5, temperature not specified in the publication &lt;195&gt;</t>
  </si>
  <si>
    <t>#72# 4°C, pH not specified in the publication &lt;176&gt;</t>
  </si>
  <si>
    <t>#8# reoxidation &lt;2&gt;</t>
  </si>
  <si>
    <t>#8,31# 25°C &lt;119&gt;</t>
  </si>
  <si>
    <t>#85# mutant enzyme, pH 7.4, 25°C &lt;81&gt;</t>
  </si>
  <si>
    <t>#10# isoenzyme ADH-12, pH 10.0  &lt;49&gt;</t>
  </si>
  <si>
    <t>#39# isoenzyme BB-ADH &lt;95&gt;; #10#  isoenzyme ADH-1, pH 10.0 &lt;49&gt;</t>
  </si>
  <si>
    <t>#109# mutant enzyme W95L/N249Y,  in 0.1 M glycine-NaOH buffer (pH 10.5</t>
  </si>
  <si>
    <t>#12# 20°C, pH 9.0 &lt;147&gt;</t>
  </si>
  <si>
    <t>#122# wild-type, 30°C, pH not specified in the  publication &lt;260&gt;</t>
  </si>
  <si>
    <t>#122# mutant W49F/W87F, 30°C, pH not specified in the  publication &lt;260&gt;</t>
  </si>
  <si>
    <t>#122# mutant W87A, pH 7.0, 30°C &lt;263&gt;</t>
  </si>
  <si>
    <t>#122# mutant Y25A/W49F/W167Y, 30°C, pH not specified  in the publication &lt;260&gt;; #122# mutant Y25A/W49F/W87F/V260A, 30°C, pH not specified in the publication &lt;260&gt;</t>
  </si>
  <si>
    <t>#122# mutant V260A, 30°C, pH not specified in the  publication &lt;260&gt;; #122# mutant Y25A/W49F/W167Y/V260A, 30°C, pH not specified in the publication &lt;260&gt;</t>
  </si>
  <si>
    <t>#122# mutant Y25A/W49F/W87F, 30°C, pH not specified  in the publication &lt;260&gt;</t>
  </si>
  <si>
    <t>#122# mutant Y25A, 30°C, pH not specified in the  publication &lt;260&gt;</t>
  </si>
  <si>
    <t>#122# mutant C257L, pH 8.0, 60°C &lt;249&gt;</t>
  </si>
  <si>
    <t>#122# mutant C257L,  pH 8.0, 60°C &lt;249&gt;</t>
  </si>
  <si>
    <t>#127# 65°C, pH 5.0  &lt;221&gt;</t>
  </si>
  <si>
    <t>#130# pH 9.0, 22°C, recombinant enzyme &lt;225&gt;</t>
  </si>
  <si>
    <t>#139# pH 7.0, temperature not specified in  the publication &lt;255&gt;</t>
  </si>
  <si>
    <t>#142# pH 7.0, temperature not specified in the  publication &lt;255&gt;</t>
  </si>
  <si>
    <t>#26# 45°C, pH 6.1, cosubstrate: 3-hydroxy-2-butanone,  mutant enzyme K249G/H255R &lt;292&gt;</t>
  </si>
  <si>
    <t>#26# 45°C, pH 8.8, cosubstrate: 2,3-butanediol, mutant  enzyme K249G/H255R &lt;292&gt;</t>
  </si>
  <si>
    <t>#26# 45°C, pH 8.8, cosubstrate: NAD+, mutant  enzyme K249G/H255R &lt;292&gt;</t>
  </si>
  <si>
    <t>#26# pH 8.8, 45°C, mutant enzyme G211InsA &lt;295&gt;;  #26# pH 8.8, 45°C, mutant enzyme G211InsS &lt;295&gt;</t>
  </si>
  <si>
    <t>#26# pH 8.8, 45°C, mutant enzyme G211InsA,  cofactor: NADP+ &lt;295&gt;; #26# pH 8.8, 45°C, mutant enzyme G211InsS, cofactor: NADP+ &lt;295&gt;</t>
  </si>
  <si>
    <t>#26# 45°C, pH 6.1, cosubstrate:  NADPH, mutant enzyme K249G/H255R &lt;292&gt;</t>
  </si>
  <si>
    <t>#26# 45°C, pH 6.1, cosubstrate:  NADH, wild-type enzyme &lt;292&gt;</t>
  </si>
  <si>
    <t>#122# mutant W49F/W87F/V260A, 30°C, pH not  specified in the publication &lt;260&gt;; #157# cosubstrate butan-1-ol, pH 7.0, 30°C &lt;274&gt;; #26# 45°C, pH 8.8, cosubstrate: 2,3-butanediol, wild-type enzyme &lt;292&gt;</t>
  </si>
  <si>
    <t>#34# 70°C, pH 9.0, 50 mM Tris-HCl, 4 M NaCl &lt;184&gt;</t>
  </si>
  <si>
    <t>#82# pyrazole-sensitive enzyme, pH 7.5 &lt;24&gt;;  #34# 40°C, pH 9.0, 50 mM Tris-HCl, 4 M NaCl &lt;184&gt;</t>
  </si>
  <si>
    <t>#39# isoenzymee BB-ADH &lt;95&gt;</t>
  </si>
  <si>
    <t>#39# oxidation of ethanol &lt;47&gt;</t>
  </si>
  <si>
    <t>#44# wild-type enzyme Adh 1 &lt;92&gt;</t>
  </si>
  <si>
    <t>#49# in the presence of 3 mM NAD+, in  0.1 M glycine-NaOH, pH 9.2, at 65°C &lt;166&gt;</t>
  </si>
  <si>
    <t>#49# mutant enzyme N249Y, at 65°C, in the presence of  benzyl alcohol &lt;157&gt;</t>
  </si>
  <si>
    <t>#49# in the presence of 5 mM  benzylalcohol, in 0.1 M glycine-NaOH, pH 9.2, at 65°C &lt;166&gt;</t>
  </si>
  <si>
    <t>#49# wild type enzyme, at 65°C, in the presence  of benzaldehyde &lt;157&gt;; #109# wild type enzyme, in 0.1 M glycine-NaOH buffer (pH 10.5</t>
  </si>
  <si>
    <t>#49# carboxymethylated enzyme, at 55°C  &lt;156&gt;; #49# wild type enzyme, at 65°C &lt;157&gt;; #109# wild type enzyme, in 0.1 M glycine-NaOH buffer (pH 10.5</t>
  </si>
  <si>
    <t>#49# wild type enzyme, at 65°C, in the  presence of benzyl alcohol &lt;157&gt;; #109# wild type enzyme, in 0.1 M glycine-NaOH buffer (pH 10.5</t>
  </si>
  <si>
    <t>#49# in 0.1 M glycine-NaOH, pH 9.2, at 65°C  &lt;166&gt;; #49# native enzyme, at 55°C &lt;156&gt;; #122# mutant W49F/W167Y/V260A, 30°C, pH not specified in the publication &lt;260&gt;</t>
  </si>
  <si>
    <t>#5# in the presence of 0.025 mM Zn2+, at pH 9.5  and 37°C &lt;307&gt;</t>
  </si>
  <si>
    <t>#82# pyrazole-sensitive enzyme and  pyrazole-insensitive enzyme, pH 10.0 &lt;24&gt;</t>
  </si>
  <si>
    <t>#82# pyrazole-sensitive enzyme &lt;24&gt;</t>
  </si>
  <si>
    <t>#9# pH 7.5, anodic enzyme form &lt;18&gt;</t>
  </si>
  <si>
    <t>#9# per active site &lt;12&gt;</t>
  </si>
  <si>
    <t>#9# isoenzyme gamma1,gamma1 &lt;13&gt;</t>
  </si>
  <si>
    <t>#9# pH 10.0, anodic enzyme form &lt;18&gt;</t>
  </si>
  <si>
    <t>#11# the apparent kinetic parameters are  determined by using hemithioacetal as substrate, which is obtained by the nonenzymatic reaction between glutathione and methylglyoxal &lt;95&gt;</t>
  </si>
  <si>
    <t>#7# in the  presence of Fe2+ &lt;51&gt;</t>
  </si>
  <si>
    <t>#7# in the presence  of Mn2+ &lt;51&gt;</t>
  </si>
  <si>
    <t>#7# in the  presence of Mn2+ &lt;51&gt;</t>
  </si>
  <si>
    <t>#102# pH 6.5, 25°C, recombinant enzyme, with  (2E,4Z</t>
  </si>
  <si>
    <t>#102# pH 6.5, 25°C, recombinant enzyme, with  (2Z,4E</t>
  </si>
  <si>
    <t>#104# isoform GST2, at pH 8.5 and 25°C  &lt;303&gt;</t>
  </si>
  <si>
    <t>#107# reaction with 1-chloro-2,3-dinitrobenzene &lt;85&gt;</t>
  </si>
  <si>
    <t>#11# pH 7.4, 25°C, recombinant GSTk mutant  S200A &lt;237&gt;</t>
  </si>
  <si>
    <t>#11# pH 7.4, 37°C, mutant enzyme R175A of glutathione  transferase Zeta 1c-1c, reaction with (+</t>
  </si>
  <si>
    <t>#11# pH 7.4, 37°C, mutant enzyme S15A of glutathione  transferase Zeta 1c-1c, reaction with (+</t>
  </si>
  <si>
    <t>#11# pH 7.4, 25°C, recombinant  GSTk mutant M91A &lt;237&gt;</t>
  </si>
  <si>
    <t>#11# 30°C, mutant enzyme Y108A  &lt;86&gt;; #11# 30°C, mutant enzyme Y108F &lt;86&gt;</t>
  </si>
  <si>
    <t>#11# pH 7.4, 25°C, recombinant  GSTk mutant L88A &lt;237&gt;</t>
  </si>
  <si>
    <t>#11# pH 7.4, 25°C, recombinant GSTk mutant  D201A &lt;237&gt;; #11# pH 7.4, 25°C, recombinant GSTk mutant L183A &lt;237&gt;</t>
  </si>
  <si>
    <t>#11# 30°C, mutant enzyme Y108W, reaction with  1,2-epoxy-3-(p-nitrophenoxy</t>
  </si>
  <si>
    <t>#11# pH 7.4, 25°C, recombinant  GSTk mutant L58A &lt;237&gt;</t>
  </si>
  <si>
    <t>#11# pH 7.4, 37°C, mutant enzyme R175A of glutathione  transferase Zeta 1c-1c, reaction with maleylacetone &lt;68&gt;</t>
  </si>
  <si>
    <t>#11# minor enzyme form &lt;30&gt;;  #11# pH 7.4, 25°C, recombinant GSTk mutant P55A &lt;237&gt;</t>
  </si>
  <si>
    <t>#11# major enzyme form &lt;30&gt;</t>
  </si>
  <si>
    <t>#11# pH 7.4, 25°C,  recombinant wild-type GSTk &lt;237&gt;</t>
  </si>
  <si>
    <t>#11# 30°C, mutant enzyme Y108A, reaction with  1,2-epoxy-3-(p-nitrophenoxy</t>
  </si>
  <si>
    <t>#11# pH 7.4, 25°C, recombinant wild-type GSTk  &lt;237&gt;</t>
  </si>
  <si>
    <t>#11# minor enzyme form &lt;30&gt;</t>
  </si>
  <si>
    <t>#11# 30°C, mutant enzyme Y108W  &lt;86&gt;</t>
  </si>
  <si>
    <t>#11# pH 7.4, 37°C, mutant enzyme R175K of glutathione  transferase Zeta 1c-1c, reaction with maleylacetone &lt;68&gt;</t>
  </si>
  <si>
    <t>#11# 30°C, wild-type enzyme, reaction with  1,2-epoxy-3-(p-nitrophenoxy</t>
  </si>
  <si>
    <t>#11# 30°C, mutant enzyme Y108A, reaction with  1,2-dichloro-4-nitrobenzene &lt;86&gt;; #11# 30°C, wild-type enzyme, reaction with 1,2-dichloro-4-nitrobenzene &lt;86&gt;</t>
  </si>
  <si>
    <t>#11# pH 7.4, 25°C,  recombinant GSTk mutant P56A &lt;237&gt;</t>
  </si>
  <si>
    <t>#11# pH 7.4, 37°C, mutant enzyme R175K of glutathione  transferase Zeta 1c-1c, reaction with (+</t>
  </si>
  <si>
    <t>#11# transferase P1-1,  cofactor: glutathione &lt;51&gt;</t>
  </si>
  <si>
    <t>#11# pH 7.4, 25°C,  recombinant GSTk mutant F87A &lt;237&gt;</t>
  </si>
  <si>
    <t>#11# pH 7.4, 37°C, glutathione transferase Zeta 1c-1c,  reaction with maleylacetone &lt;68&gt;</t>
  </si>
  <si>
    <t>#11# pH 7.4, 30°C, purified  recombinant isozyme P1-1 &lt;124&gt;</t>
  </si>
  <si>
    <t>#11# pH 7.4, 25°C,  recombinant GSTk mutant M91K &lt;237&gt;</t>
  </si>
  <si>
    <t>#11# pH 7.4, 25°C,  recombinant GSTk mutant F83A &lt;237&gt;</t>
  </si>
  <si>
    <t>#12# isoenzyme 3-?,  cofactor: glutathione &lt;24&gt;; #11# pH 7.4, 30°C, purified recombinant isozyme P1-1 &lt;124&gt;</t>
  </si>
  <si>
    <t>#11# pH 7.4, 25°C, recombinant GSTk  mutant P56A &lt;237&gt;; #171# mutant enzyme I104V/A113V, at pH 7.4 and 25°C &lt;286&gt;</t>
  </si>
  <si>
    <t>#34# pH 6.5, 25°C, mutant  H167A &lt;256&gt;; #11# pH 7.4, 25°C, recombinant GSTk mutant F83W &lt;237&gt;</t>
  </si>
  <si>
    <t>#34# pH 6.5, 25°C, mutant S110A &lt;256&gt;;  #11# pH 7.4, 25°C, recombinant GSTk mutant Y18F &lt;237&gt;</t>
  </si>
  <si>
    <t>#11# major enzyme form  &lt;30&gt;; #99# mutant enzyme I52L &lt;79&gt;</t>
  </si>
  <si>
    <t>#116# ssGST3 &lt;95&gt;</t>
  </si>
  <si>
    <t>#117# 25°C, mutant enzyme K40A &lt;91&gt;</t>
  </si>
  <si>
    <t>#117# 25°C, mutant enzyme S67A &lt;91&gt;</t>
  </si>
  <si>
    <t>#117# 25°C, wild-type enzyme  &lt;91&gt;</t>
  </si>
  <si>
    <t>#119# enzyme form GSTR1  &lt;78&gt;</t>
  </si>
  <si>
    <t>#12# isoenzyme 4-4, cofactor:  glutathione &lt;24&gt;</t>
  </si>
  <si>
    <t>#12# isoenzyme 3-4, cofactor:  glutathione &lt;24&gt;</t>
  </si>
  <si>
    <t>#12# isoenzyme 3-3, cofactor:  glutathione &lt;24&gt;</t>
  </si>
  <si>
    <t>#12# isoenzyme 1-2, cofactor:  glutathione &lt;24&gt;</t>
  </si>
  <si>
    <t>#12# isoenzyme 1-1, cofactor:  glutathione &lt;24&gt;</t>
  </si>
  <si>
    <t>#14# Ure2p mutant N124V, at 25°C and pH  8.0 &lt;179&gt;; #171# wild type enzyme, at pH 7.4 and 25°C &lt;286&gt;</t>
  </si>
  <si>
    <t>#237# mutant enzyme C10S, at 25°C, in 100  mM phosphate buffer (pH 6.5</t>
  </si>
  <si>
    <t>#149# isoform GSTFuA1, at  pH 7.5, temperature not specified in the publication &lt;270&gt;</t>
  </si>
  <si>
    <t>#163# mutant enzyme Y215E, in  0.1 M phosphate buffer pH 6.5 &lt;156&gt;</t>
  </si>
  <si>
    <t>#163# mutant enzyme Y215H,  in 0.1 M phosphate buffer pH 6.5 &lt;156&gt;</t>
  </si>
  <si>
    <t>#163# mutant enzyme R214A,  in 0.1 M phosphate buffer pH 6.5 &lt;156&gt;</t>
  </si>
  <si>
    <t>#163# mutant enzyme Y215A,  in 0.1 M phosphate buffer pH 6.5 &lt;156&gt;</t>
  </si>
  <si>
    <t>#163# mutant enzyme F212E,  in 0.1 M phosphate buffer pH 6.5 &lt;156&gt;</t>
  </si>
  <si>
    <t>#163# mutant enzyme F212L,  in 0.1 M phosphate buffer pH 6.5 &lt;156&gt;</t>
  </si>
  <si>
    <t>#163# mutant enzyme Y215F,  in 0.1 M phosphate buffer pH 6.5 &lt;156&gt;</t>
  </si>
  <si>
    <t>#17# at pH 7.5 and 30°C  &lt;271&gt;</t>
  </si>
  <si>
    <t>#17# at pH 7.5 and 30°C &lt;271&gt;</t>
  </si>
  <si>
    <t>#170# at 25°C &lt;170&gt;</t>
  </si>
  <si>
    <t>#186# mutant enzyme  C10A/S11A, at 30°C &lt;189&gt;</t>
  </si>
  <si>
    <t>#200# isoform GSTd10, at pH 6.5 and 25°C  &lt;280&gt;</t>
  </si>
  <si>
    <t>#200# isoform GSTd14, at pH  6.5 and 25°C &lt;280&gt;</t>
  </si>
  <si>
    <t>#200# isoform GSTm09, at pH  6.5 and 25°C &lt;280&gt;</t>
  </si>
  <si>
    <t>#200# isoform GSTd10, at pH  6.5 and 25°C &lt;280&gt;</t>
  </si>
  <si>
    <t>#215# mutant enzyme Y113A, at 25°C, pH not  specified in the publication &lt;296&gt;</t>
  </si>
  <si>
    <t>#215# mutant enzyme F162A, at 25°C, pH not  specified in the publication &lt;296&gt;</t>
  </si>
  <si>
    <t>#237# mutant enzyme H106A, at  25°C, in 100 mM phosphate buffer (pH 6.5</t>
  </si>
  <si>
    <t>#237# mutant enzyme H106F, at  25°C, in 100 mM phosphate buffer (pH 6.5</t>
  </si>
  <si>
    <t>#237# wild type enzyme, at 25°C, in 100 mM  phosphate buffer (pH 6.5</t>
  </si>
  <si>
    <t>#237# wild type enzyme, at  25°C, in 100 mM phosphate buffer (pH 6.5</t>
  </si>
  <si>
    <t>#245# recombinant His-tagged  mutant F108G, pH and temperature not specified in the publication &lt;235&gt;</t>
  </si>
  <si>
    <t>#245# recombinant His-tagged  mutant R113A, pH and temperature not specified in the publication &lt;235&gt;</t>
  </si>
  <si>
    <t>#245# recombinant His-tagged  wild-type enzyme, pH and temperature not specified in the publication &lt;235&gt;</t>
  </si>
  <si>
    <t>#245# wild-type enzyme, pH and temperature not  specified in the publication &lt;235&gt;</t>
  </si>
  <si>
    <t>#245# mutant F108G, pH and temperature not  specified in the publication &lt;235&gt;</t>
  </si>
  <si>
    <t>#248# recombinant mutant S22A, pH  6.5, temperature not specified in the publication &lt;246&gt;</t>
  </si>
  <si>
    <t>#249# pH 6.5, 30°C,  recombinant GSTU4-4 mutant P49A &lt;239&gt;</t>
  </si>
  <si>
    <t>#249# pH 6.5, 30°C,  recombinant GSTU4-4 mutant D48A &lt;239&gt;</t>
  </si>
  <si>
    <t>#254# with fluorodifen as cosubstrate, at pH  6.5 and 25°C &lt;268&gt;</t>
  </si>
  <si>
    <t>#284# mutant enzyme H52A, at pH 8.0 and  30°C &lt;261&gt;; #254# with cumene hydroperoxide as cosubstrate, at pH 6.5 and 25°C &lt;268&gt;</t>
  </si>
  <si>
    <t>#26# with tert-butyl peroxide as cosubstrate,  pH and temperature not specified in the publication &lt;274&gt;</t>
  </si>
  <si>
    <t>#102# pH 6.5, 25°C, recombinant  enzyme, with (2Z,4E</t>
  </si>
  <si>
    <t>#284# mutant enzyme S67A, at pH  8.0 and 30°C &lt;261&gt;</t>
  </si>
  <si>
    <t>#284# mutant enzyme H52A, at  pH 8.0 and 30°C &lt;261&gt;</t>
  </si>
  <si>
    <t>#284# mutant enzyme R68A, at pH 8.0 and 30°C  &lt;261&gt;</t>
  </si>
  <si>
    <t>#284# wild type enzyme, at  pH 8.0 and 30°C &lt;261&gt;; #284# mutant enzyme E66A, at pH 8.0 and 30°C &lt;261&gt;</t>
  </si>
  <si>
    <t>#284# mutant enzyme V54A, at  pH 8.0 and 30°C &lt;261&gt;</t>
  </si>
  <si>
    <t>#284# mutant enzyme S11A, at  pH 8.0 and 30°C &lt;261&gt;</t>
  </si>
  <si>
    <t>#284# mutant enzyme S67A, at pH 8.0 and 30°C  &lt;261&gt;</t>
  </si>
  <si>
    <t>#284# mutant enzyme R68A, at  pH 8.0 and 30°C &lt;261&gt;</t>
  </si>
  <si>
    <t>#305# isoform GSTU14, at  pH 6.5 and 25°C &lt;294&gt;</t>
  </si>
  <si>
    <t>#308# isoform GSTU3, at pH 6.5 and 25°C  &lt;294&gt;</t>
  </si>
  <si>
    <t>#31# pH 7.0, 25°C, recombinant enzyme  &lt;149&gt;</t>
  </si>
  <si>
    <t>#311# isoform GSTU6, at  pH 6.5 and 25°C &lt;294&gt;</t>
  </si>
  <si>
    <t>#315# isoform GSTU10, at  pH 6.5 and 25°C &lt;294&gt;</t>
  </si>
  <si>
    <t>#316# isoform GSTU11, at  pH 6.5 and 25°C &lt;294&gt;</t>
  </si>
  <si>
    <t>#318# isoform GSTU13, at  pH 6.5 and 25°C &lt;294&gt;</t>
  </si>
  <si>
    <t>#40# recombinant His6-tagged isozyme GSTE8-8, pH  and temperature not specified in the publication &lt;230&gt;</t>
  </si>
  <si>
    <t>#40# recombinant His6-tagged  isozyme GSTE8-8, pH and temperature not specified in the publication &lt;230&gt;</t>
  </si>
  <si>
    <t>#40# recombinant His6-tagged isozyme GSTE7-7, pH  and temperature not specified in the publication &lt;230&gt;</t>
  </si>
  <si>
    <t>#40# recombinant His6-tagged  isozyme GSTE7-7, pH and temperature not specified in the publication &lt;230&gt;</t>
  </si>
  <si>
    <t>#40# recombinant His6-tagged isozyme GSTE3-3,  pH and temperature not specified in the publication &lt;230&gt;</t>
  </si>
  <si>
    <t>#40# recombinant His6-tagged  isozyme GSTE3-3, pH and temperature not specified in the publication &lt;230&gt;</t>
  </si>
  <si>
    <t>#40# recombinant His6-tagged  isozyme GSTE5-5, pH and temperature not specified in the publication &lt;230&gt;</t>
  </si>
  <si>
    <t>#40# recombinant His6-tagged isozyme GSTE2-2  from strain PMD-R, pH and temperature not specified in the publication &lt;230&gt;; #40# recombinant His6-tagged isozyme GSTE4-4, pH and temperature not specified in the publication &lt;230&gt;</t>
  </si>
  <si>
    <t>#40# recombinant His6-tagged  isozyme GSTE2-2 from strain PMD-R, pH and temperature not specified in the publication &lt;230&gt;; #40# recombinant His6-tagged isozyme GSTE4-4, pH and temperature not specified in the publication &lt;230&gt;</t>
  </si>
  <si>
    <t>#245# mutant R113A, pH and temperature not  specified in the publication &lt;235&gt;; #40# recombinant His6-tagged isozyme GSTE2-2 from strain NO, pH and temperature not specified in the publication &lt;230&gt;</t>
  </si>
  <si>
    <t>4-methoxyphenyl</t>
  </si>
  <si>
    <t>#45# selenoenzyme &lt;76&gt;</t>
  </si>
  <si>
    <t>#45# 4°C, 20 mM sodium  phosphate buffer, pH 6.5, 0.5 mM glutathione &lt;114&gt;</t>
  </si>
  <si>
    <t>#45# 25°C, 20 mM sodium  phosphate buffer, pH 7.0, 0.5 mM glutathione &lt;114&gt;</t>
  </si>
  <si>
    <t>#51# pH 6.5, 37°C, recombinant AtuGSTH1-1,  with 1-chloro-2,4-dinitrobenzene &lt;254&gt;</t>
  </si>
  <si>
    <t>#51# pH 6.5, 37°C,  recombinant AtuGSTH1-1 &lt;254&gt;</t>
  </si>
  <si>
    <t>#60# with phenethyl isothiocyanate as  cosubstrate, at pH 7.0, temperature not specified in the publication &lt;287&gt;</t>
  </si>
  <si>
    <t>#60# with 1-chloro-2,4-dinitrobenzene as  cosubstrate, at pH 7.0, temperature not specified in the publication &lt;287&gt;</t>
  </si>
  <si>
    <t>#60# with cumene hydroperoxide as  cosubstrate, at pH 7.0, temperature not specified in the publication &lt;287&gt;</t>
  </si>
  <si>
    <t>#77# isoform Gstz1, at pH 6.5 and 25°C  &lt;260&gt;</t>
  </si>
  <si>
    <t>#77# isoform Gstp2, at pH 6.5 and 25°C &lt;260&gt;</t>
  </si>
  <si>
    <t>#77# isoform Gstr1, at pH 6.5 and 25°C &lt;260&gt;</t>
  </si>
  <si>
    <t>#78# pH 8.0, substrate concentration 0.3-2.0  mM &lt;145&gt;</t>
  </si>
  <si>
    <t>#79# S9A mutant, cosubstrate:  1-chloro-2,4-dinitrobenzene &lt;50&gt;</t>
  </si>
  <si>
    <t>#79# wild-type, cosubstrate:  1-chloro-2,4-dinitrobenzene &lt;50&gt;</t>
  </si>
  <si>
    <t>#79# Y113F mutant, cosubstrate:  1-chloro-2,4-dinitrobenzene &lt;50&gt;</t>
  </si>
  <si>
    <t>#89# isoform GSTM2, at pH 7.4 and 25°C &lt;284&gt;</t>
  </si>
  <si>
    <t>#89# isoform GSTT1, at pH 7.4 and 25°C &lt;284&gt;</t>
  </si>
  <si>
    <t>#89# isoform GSTM5, at pH 7.4 and 25°C &lt;284&gt;</t>
  </si>
  <si>
    <t>#89# isoform GSTM2, at pH 7.4 and 25°C  &lt;284&gt;; #89# isoform GSTM3, at pH 7.4 and 25°C &lt;284&gt;</t>
  </si>
  <si>
    <t>#99# 25-27°C, pH 6.5, mutant  enzyme V147A &lt;94&gt;</t>
  </si>
  <si>
    <t>#99# 25-27°C, pH 6.5, mutant  enzyme D150A &lt;94&gt;</t>
  </si>
  <si>
    <t>#99# 25-27°C, pH 6.5, mutant  enzyme H144A &lt;94&gt;</t>
  </si>
  <si>
    <t>#99# 25-27°C, pH 6.5, mutant  enzyme V147L &lt;94&gt;</t>
  </si>
  <si>
    <t>#99# mutant enzyme L103E  &lt;77&gt;</t>
  </si>
  <si>
    <t>#99# mutant enzyme L103A  &lt;77&gt;</t>
  </si>
  <si>
    <t>#99# mutant enzyme L103M  &lt;77&gt;</t>
  </si>
  <si>
    <t>#99# mutant enzyme L103N  &lt;77&gt;</t>
  </si>
  <si>
    <t>#99# mutant enzyme L33I  &lt;79&gt;; #162# recombinant enzyme, at 25°C &lt;155&gt;</t>
  </si>
  <si>
    <t>#99# mutant enzyme K42A  &lt;79&gt;; #163# wild type enzyme, in 0.1 M phosphate buffer pH 6.5 &lt;156&gt;</t>
  </si>
  <si>
    <t>8,10</t>
  </si>
  <si>
    <t>kcat</t>
  </si>
  <si>
    <t>1/s</t>
  </si>
  <si>
    <t>Neurospora crassa (</t>
  </si>
  <si>
    <t>Methanothermobacter thermautotrophicus</t>
  </si>
  <si>
    <t>Bradyrhizobium japonicum</t>
  </si>
  <si>
    <t>Avena sativa (</t>
  </si>
  <si>
    <t>Leptosphaeria michotii</t>
  </si>
  <si>
    <t>Torulopsis candida</t>
  </si>
  <si>
    <t>Haloferax mediterranei</t>
  </si>
  <si>
    <t>Thermus thermophilus (</t>
  </si>
  <si>
    <t>Pinus pinaster</t>
  </si>
  <si>
    <t>Cystobasidium minutum</t>
  </si>
  <si>
    <t>dolphin</t>
  </si>
  <si>
    <t>Thermoanaerobacterium saccharolyticum</t>
  </si>
  <si>
    <t>Ruminococcaceae bacterium CPB6</t>
  </si>
  <si>
    <t>Staphylococcus epidermidis (</t>
  </si>
  <si>
    <t>Cupriavidus necator</t>
  </si>
  <si>
    <t>Fundulus heteroclitus</t>
  </si>
  <si>
    <t>Rana temporaria (</t>
  </si>
  <si>
    <t>Rhodococcus jostii</t>
  </si>
  <si>
    <t>Rhodococcus opacus</t>
  </si>
  <si>
    <t>Cyprinus carpio</t>
  </si>
  <si>
    <t>Salmo salar</t>
  </si>
  <si>
    <t>Clarias gariepinus</t>
  </si>
  <si>
    <t>Salmo trutta</t>
  </si>
  <si>
    <t>Rhodococcoides fascians</t>
  </si>
  <si>
    <t>Rhodotorula diobovata</t>
  </si>
  <si>
    <t>Vigna unguiculata</t>
  </si>
  <si>
    <t>Phaseolus vulgaris</t>
  </si>
  <si>
    <t>Mesocricetus auratus</t>
  </si>
  <si>
    <t>Komagataella pastoris</t>
  </si>
  <si>
    <t>Rhodotorula glutinis</t>
  </si>
  <si>
    <t>Kluyveromyces lactis</t>
  </si>
  <si>
    <t>Geotrichum candidum</t>
  </si>
  <si>
    <t>Cylindrocarpon sclerotigenum</t>
  </si>
  <si>
    <t>Scheffersomyces stipitis</t>
  </si>
  <si>
    <t>Neurospora crassa</t>
  </si>
  <si>
    <t>Apium graveolens</t>
  </si>
  <si>
    <t>Silurus glanis</t>
  </si>
  <si>
    <t>Hypophthalmichthys molitrix</t>
  </si>
  <si>
    <t>Rheum rhaponticum</t>
  </si>
  <si>
    <t>Medicago sativa (</t>
  </si>
  <si>
    <t>Rhodospirillum rubrum</t>
  </si>
  <si>
    <t>Acidithiobacillus thiooxidans</t>
  </si>
  <si>
    <t>Onobrychis viciifolia</t>
  </si>
  <si>
    <t>Achromobacter starkeyi</t>
  </si>
  <si>
    <t>Thermoplasma acidophilum</t>
  </si>
  <si>
    <t>[Candida] maris</t>
  </si>
  <si>
    <t>Acetivibrio thermocellus</t>
  </si>
  <si>
    <t>Kangiella koreensis</t>
  </si>
  <si>
    <t>Komagataeibacter medellinensis</t>
  </si>
  <si>
    <t>Aminobacter aminovorans</t>
  </si>
  <si>
    <t>Acetobacter senegalensis</t>
  </si>
  <si>
    <t>Komagataeibacter xylinus</t>
  </si>
  <si>
    <t>Acetobacter aceti</t>
  </si>
  <si>
    <t>Entamoeba histolytica</t>
  </si>
  <si>
    <t>Triticum monococcum</t>
  </si>
  <si>
    <t>Gluconacetobacter diazotrophicus</t>
  </si>
  <si>
    <t>Brassica juncea (</t>
  </si>
  <si>
    <t>Macaca radiata</t>
  </si>
  <si>
    <t>Lolium arundinaceum</t>
  </si>
  <si>
    <t>Morone saxatilis</t>
  </si>
  <si>
    <t>Oncorhynchus kisutch</t>
  </si>
  <si>
    <t>Chlamys islandica</t>
  </si>
  <si>
    <t>Spodoptera litura</t>
  </si>
  <si>
    <t>Paragonimus westermani</t>
  </si>
  <si>
    <t>Xylella fastidiosa</t>
  </si>
  <si>
    <t>Haliotis discus</t>
  </si>
  <si>
    <t>Enterobacter cloacae</t>
  </si>
  <si>
    <t>Serratia marcescens</t>
  </si>
  <si>
    <t>Proteus vulgaris</t>
  </si>
  <si>
    <t>Echinococcus granulosus</t>
  </si>
  <si>
    <t>Cucurbita maxima (</t>
  </si>
  <si>
    <t>Macaca fascicularis (</t>
  </si>
  <si>
    <t>Acipenser transmontanus</t>
  </si>
  <si>
    <t>Wiseana cervinata</t>
  </si>
  <si>
    <t>0.0309</t>
  </si>
  <si>
    <t>0.727</t>
  </si>
  <si>
    <t>570</t>
  </si>
  <si>
    <t>42.4</t>
  </si>
  <si>
    <t>17.67</t>
  </si>
  <si>
    <t>22.6</t>
  </si>
  <si>
    <t>83.5</t>
  </si>
  <si>
    <t>231</t>
  </si>
  <si>
    <t>443</t>
  </si>
  <si>
    <t>8.44</t>
  </si>
  <si>
    <t>151.5</t>
  </si>
  <si>
    <t>69.4</t>
  </si>
  <si>
    <t>0.576</t>
  </si>
  <si>
    <t>454</t>
  </si>
  <si>
    <t>2934</t>
  </si>
  <si>
    <t>45.15</t>
  </si>
  <si>
    <t>341</t>
  </si>
  <si>
    <t>546.5</t>
  </si>
  <si>
    <t>805.6</t>
  </si>
  <si>
    <t>292.3</t>
  </si>
  <si>
    <t>450</t>
  </si>
  <si>
    <t>390</t>
  </si>
  <si>
    <t>0.459</t>
  </si>
  <si>
    <t>1.53</t>
  </si>
  <si>
    <t>512</t>
  </si>
  <si>
    <t>252</t>
  </si>
  <si>
    <t>671</t>
  </si>
  <si>
    <t>953</t>
  </si>
  <si>
    <t>1035</t>
  </si>
  <si>
    <t>112.1</t>
  </si>
  <si>
    <t>16.87</t>
  </si>
  <si>
    <t>403.4</t>
  </si>
  <si>
    <t>12.92</t>
  </si>
  <si>
    <t>137.7</t>
  </si>
  <si>
    <t>0.00875</t>
  </si>
  <si>
    <t>9.67e-06</t>
  </si>
  <si>
    <t>48.45</t>
  </si>
  <si>
    <t>22.37</t>
  </si>
  <si>
    <t>2.417</t>
  </si>
  <si>
    <t>216</t>
  </si>
  <si>
    <t>456</t>
  </si>
  <si>
    <t>351</t>
  </si>
  <si>
    <t>2323</t>
  </si>
  <si>
    <t>1.747</t>
  </si>
  <si>
    <t>2.788</t>
  </si>
  <si>
    <t>4.034</t>
  </si>
  <si>
    <t>1.237</t>
  </si>
  <si>
    <t>1.282</t>
  </si>
  <si>
    <t>7.35</t>
  </si>
  <si>
    <t>15.8</t>
  </si>
  <si>
    <t>144.8</t>
  </si>
  <si>
    <t>16.48</t>
  </si>
  <si>
    <t>15.5</t>
  </si>
  <si>
    <t>72.3</t>
  </si>
  <si>
    <t>798</t>
  </si>
  <si>
    <t>451.5</t>
  </si>
  <si>
    <t>512.4</t>
  </si>
  <si>
    <t>4071</t>
  </si>
  <si>
    <t>435.8</t>
  </si>
  <si>
    <t>680.3</t>
  </si>
  <si>
    <t>168.4</t>
  </si>
  <si>
    <t>671.2</t>
  </si>
  <si>
    <t>2350</t>
  </si>
  <si>
    <t>2292</t>
  </si>
  <si>
    <t>2320</t>
  </si>
  <si>
    <t>2220</t>
  </si>
  <si>
    <t>203.3</t>
  </si>
  <si>
    <t>2030</t>
  </si>
  <si>
    <t>824.6</t>
  </si>
  <si>
    <t>453.8</t>
  </si>
  <si>
    <t>216.9</t>
  </si>
  <si>
    <t>80.27</t>
  </si>
  <si>
    <t>2460</t>
  </si>
  <si>
    <t>1422</t>
  </si>
  <si>
    <t>0.714</t>
  </si>
  <si>
    <t>2119</t>
  </si>
  <si>
    <t>419</t>
  </si>
  <si>
    <t>589</t>
  </si>
  <si>
    <t>458.5</t>
  </si>
  <si>
    <t>203</t>
  </si>
  <si>
    <t>400</t>
  </si>
  <si>
    <t>616</t>
  </si>
  <si>
    <t>416</t>
  </si>
  <si>
    <t>290.4</t>
  </si>
  <si>
    <t>655</t>
  </si>
  <si>
    <t>6.06</t>
  </si>
  <si>
    <t>353</t>
  </si>
  <si>
    <t>950</t>
  </si>
  <si>
    <t>424</t>
  </si>
  <si>
    <t>70.2</t>
  </si>
  <si>
    <t>15.4</t>
  </si>
  <si>
    <t>181.8</t>
  </si>
  <si>
    <t>78.6</t>
  </si>
  <si>
    <t>0.571</t>
  </si>
  <si>
    <t>0.0134</t>
  </si>
  <si>
    <t>0.0234</t>
  </si>
  <si>
    <t>0.0435</t>
  </si>
  <si>
    <t>0.0342</t>
  </si>
  <si>
    <t>0.0217</t>
  </si>
  <si>
    <t>3.15</t>
  </si>
  <si>
    <t>36.6</t>
  </si>
  <si>
    <t>0.1533</t>
  </si>
  <si>
    <t>0.1343</t>
  </si>
  <si>
    <t>7910</t>
  </si>
  <si>
    <t>0.213</t>
  </si>
  <si>
    <t>30.14</t>
  </si>
  <si>
    <t>5.04</t>
  </si>
  <si>
    <t>56.35</t>
  </si>
  <si>
    <t>90.9</t>
  </si>
  <si>
    <t>91.4</t>
  </si>
  <si>
    <t>85.1</t>
  </si>
  <si>
    <t>0.00314</t>
  </si>
  <si>
    <t>0.7227</t>
  </si>
  <si>
    <t>2.085</t>
  </si>
  <si>
    <t>8.39</t>
  </si>
  <si>
    <t>2.405</t>
  </si>
  <si>
    <t>2.585</t>
  </si>
  <si>
    <t>15.3</t>
  </si>
  <si>
    <t>28.75</t>
  </si>
  <si>
    <t>5.17</t>
  </si>
  <si>
    <t>8.86</t>
  </si>
  <si>
    <t>5.33</t>
  </si>
  <si>
    <t>6.67</t>
  </si>
  <si>
    <t>0.0097</t>
  </si>
  <si>
    <t>19.2</t>
  </si>
  <si>
    <t>3.336</t>
  </si>
  <si>
    <t>14.05</t>
  </si>
  <si>
    <t>29.95</t>
  </si>
  <si>
    <t>0.0094</t>
  </si>
  <si>
    <t>33.5</t>
  </si>
  <si>
    <t>42.83</t>
  </si>
  <si>
    <t>13.75</t>
  </si>
  <si>
    <t>70.3</t>
  </si>
  <si>
    <t>291</t>
  </si>
  <si>
    <t>1407</t>
  </si>
  <si>
    <t>488</t>
  </si>
  <si>
    <t>0.6868</t>
  </si>
  <si>
    <t>12.09</t>
  </si>
  <si>
    <t>281</t>
  </si>
  <si>
    <t>337</t>
  </si>
  <si>
    <t>42.2</t>
  </si>
  <si>
    <t>56.3</t>
  </si>
  <si>
    <t>5.28</t>
  </si>
  <si>
    <t>4.29</t>
  </si>
  <si>
    <t>14.38</t>
  </si>
  <si>
    <t>5.81</t>
  </si>
  <si>
    <t>408</t>
  </si>
  <si>
    <t>511</t>
  </si>
  <si>
    <t>1.462</t>
  </si>
  <si>
    <t>1852</t>
  </si>
  <si>
    <t>472</t>
  </si>
  <si>
    <t>402</t>
  </si>
  <si>
    <t>84.3</t>
  </si>
  <si>
    <t>1502</t>
  </si>
  <si>
    <t>0.522</t>
  </si>
  <si>
    <t>4.65</t>
  </si>
  <si>
    <t>0.238</t>
  </si>
  <si>
    <t>0.203</t>
  </si>
  <si>
    <t>0.403</t>
  </si>
  <si>
    <t>75.9</t>
  </si>
  <si>
    <t>125.3</t>
  </si>
  <si>
    <t>161.6</t>
  </si>
  <si>
    <t>1533</t>
  </si>
  <si>
    <t>468</t>
  </si>
  <si>
    <t>69.6</t>
  </si>
  <si>
    <t>75.4</t>
  </si>
  <si>
    <t>92.8</t>
  </si>
  <si>
    <t>74.7</t>
  </si>
  <si>
    <t>1.63</t>
  </si>
  <si>
    <t>42.7</t>
  </si>
  <si>
    <t>6.53</t>
  </si>
  <si>
    <t>4.14</t>
  </si>
  <si>
    <t>18.63</t>
  </si>
  <si>
    <t>33.96</t>
  </si>
  <si>
    <t>24.98</t>
  </si>
  <si>
    <t>19.29</t>
  </si>
  <si>
    <t>23.06</t>
  </si>
  <si>
    <t>21.17</t>
  </si>
  <si>
    <t>20.79</t>
  </si>
  <si>
    <t>26.46</t>
  </si>
  <si>
    <t>19.69</t>
  </si>
  <si>
    <t>13.35</t>
  </si>
  <si>
    <t>1.5e-07</t>
  </si>
  <si>
    <t>6.6e-08</t>
  </si>
  <si>
    <t>4e-08</t>
  </si>
  <si>
    <t>3e-08</t>
  </si>
  <si>
    <t>3.4e-08</t>
  </si>
  <si>
    <t>3.7e-08</t>
  </si>
  <si>
    <t>3.81e-06</t>
  </si>
  <si>
    <t>3.85e-06</t>
  </si>
  <si>
    <t>3.25e-05</t>
  </si>
  <si>
    <t>2e-08</t>
  </si>
  <si>
    <t>7e-08</t>
  </si>
  <si>
    <t>2.57e-06</t>
  </si>
  <si>
    <t>3.77e-05</t>
  </si>
  <si>
    <t>0.0002166</t>
  </si>
  <si>
    <t>0.0186</t>
  </si>
  <si>
    <t>0.0288</t>
  </si>
  <si>
    <t>0.0126</t>
  </si>
  <si>
    <t>0.0498</t>
  </si>
  <si>
    <t>168.8</t>
  </si>
  <si>
    <t>185.5</t>
  </si>
  <si>
    <t>0.246</t>
  </si>
  <si>
    <t>193.3</t>
  </si>
  <si>
    <t>61.2</t>
  </si>
  <si>
    <t>248</t>
  </si>
  <si>
    <t>28.4</t>
  </si>
  <si>
    <t>27.45</t>
  </si>
  <si>
    <t>86.9</t>
  </si>
  <si>
    <t>73.3</t>
  </si>
  <si>
    <t>373.3</t>
  </si>
  <si>
    <t>0.331</t>
  </si>
  <si>
    <t>0.418</t>
  </si>
  <si>
    <t>5.03</t>
  </si>
  <si>
    <t>484</t>
  </si>
  <si>
    <t>505</t>
  </si>
  <si>
    <t>334</t>
  </si>
  <si>
    <t>361</t>
  </si>
  <si>
    <t>0.0362</t>
  </si>
  <si>
    <t>124.7</t>
  </si>
  <si>
    <t>314</t>
  </si>
  <si>
    <t>262</t>
  </si>
  <si>
    <t>20.75</t>
  </si>
  <si>
    <t>50.75</t>
  </si>
  <si>
    <t>5.63</t>
  </si>
  <si>
    <t>207</t>
  </si>
  <si>
    <t>101.8</t>
  </si>
  <si>
    <t>51.25</t>
  </si>
  <si>
    <t>61.6</t>
  </si>
  <si>
    <t>17.6</t>
  </si>
  <si>
    <t>628.7</t>
  </si>
  <si>
    <t>20.6</t>
  </si>
  <si>
    <t>447.6</t>
  </si>
  <si>
    <t>5.18</t>
  </si>
  <si>
    <t>7.68</t>
  </si>
  <si>
    <t>79.6</t>
  </si>
  <si>
    <t>70.8</t>
  </si>
  <si>
    <t>1.74</t>
  </si>
  <si>
    <t>9.64</t>
  </si>
  <si>
    <t>190.86</t>
  </si>
  <si>
    <t>17.17</t>
  </si>
  <si>
    <t>79.1</t>
  </si>
  <si>
    <t>470</t>
  </si>
  <si>
    <t>49.3</t>
  </si>
  <si>
    <t>8.08</t>
  </si>
  <si>
    <t>597</t>
  </si>
  <si>
    <t>55900</t>
  </si>
  <si>
    <t>151.1</t>
  </si>
  <si>
    <t>196.3</t>
  </si>
  <si>
    <t>2.88</t>
  </si>
  <si>
    <t>957</t>
  </si>
  <si>
    <t>963</t>
  </si>
  <si>
    <t>425</t>
  </si>
  <si>
    <t>571</t>
  </si>
  <si>
    <t>359.7</t>
  </si>
  <si>
    <t>618</t>
  </si>
  <si>
    <t>356</t>
  </si>
  <si>
    <t>33.24</t>
  </si>
  <si>
    <t>68.7</t>
  </si>
  <si>
    <t>46.2</t>
  </si>
  <si>
    <t>188.3</t>
  </si>
  <si>
    <t>0.258</t>
  </si>
  <si>
    <t>565</t>
  </si>
  <si>
    <t>2200</t>
  </si>
  <si>
    <t>944</t>
  </si>
  <si>
    <t>943.6</t>
  </si>
  <si>
    <t>0.184</t>
  </si>
  <si>
    <t>0.218</t>
  </si>
  <si>
    <t>925</t>
  </si>
  <si>
    <t>83.2</t>
  </si>
  <si>
    <t>3570</t>
  </si>
  <si>
    <t>3400</t>
  </si>
  <si>
    <t>1150</t>
  </si>
  <si>
    <t>1830</t>
  </si>
  <si>
    <t>1019</t>
  </si>
  <si>
    <t>1580</t>
  </si>
  <si>
    <t>2415</t>
  </si>
  <si>
    <t>2410</t>
  </si>
  <si>
    <t>2110</t>
  </si>
  <si>
    <t>1720</t>
  </si>
  <si>
    <t>814</t>
  </si>
  <si>
    <t>10.36</t>
  </si>
  <si>
    <t>15.24</t>
  </si>
  <si>
    <t>12.01</t>
  </si>
  <si>
    <t>13.34</t>
  </si>
  <si>
    <t>15.62</t>
  </si>
  <si>
    <t>3.44</t>
  </si>
  <si>
    <t>20.39</t>
  </si>
  <si>
    <t>5.26</t>
  </si>
  <si>
    <t>0.165</t>
  </si>
  <si>
    <t>34.55</t>
  </si>
  <si>
    <t>169.1</t>
  </si>
  <si>
    <t>12.36</t>
  </si>
  <si>
    <t>53.2</t>
  </si>
  <si>
    <t>56.5</t>
  </si>
  <si>
    <t>254.9</t>
  </si>
  <si>
    <t>0.0936</t>
  </si>
  <si>
    <t>3.07</t>
  </si>
  <si>
    <t>108.9</t>
  </si>
  <si>
    <t>37.1</t>
  </si>
  <si>
    <t>30.9</t>
  </si>
  <si>
    <t>0.922</t>
  </si>
  <si>
    <t>0.984</t>
  </si>
  <si>
    <t>61.5</t>
  </si>
  <si>
    <t>0.00242</t>
  </si>
  <si>
    <t>1.769</t>
  </si>
  <si>
    <t>0.692</t>
  </si>
  <si>
    <t>0.702</t>
  </si>
  <si>
    <t>0.985</t>
  </si>
  <si>
    <t>1220</t>
  </si>
  <si>
    <t>4.54</t>
  </si>
  <si>
    <t>13.14</t>
  </si>
  <si>
    <t>68.54</t>
  </si>
  <si>
    <t>14.56</t>
  </si>
  <si>
    <t>10.45</t>
  </si>
  <si>
    <t>300.6</t>
  </si>
  <si>
    <t>12.72</t>
  </si>
  <si>
    <t>15.47</t>
  </si>
  <si>
    <t>7.26</t>
  </si>
  <si>
    <t>4610</t>
  </si>
  <si>
    <t>0.728</t>
  </si>
  <si>
    <t>6.082</t>
  </si>
  <si>
    <t>51.5</t>
  </si>
  <si>
    <t>3.51</t>
  </si>
  <si>
    <t>12.3</t>
  </si>
  <si>
    <t>32.2</t>
  </si>
  <si>
    <t>22.9</t>
  </si>
  <si>
    <t>74.3</t>
  </si>
  <si>
    <t>58.6</t>
  </si>
  <si>
    <t>44.3</t>
  </si>
  <si>
    <t>10.04</t>
  </si>
  <si>
    <t>0.000411</t>
  </si>
  <si>
    <t>13.07</t>
  </si>
  <si>
    <t>71.7</t>
  </si>
  <si>
    <t>61.07</t>
  </si>
  <si>
    <t>36.13</t>
  </si>
  <si>
    <t>325</t>
  </si>
  <si>
    <t>56.4</t>
  </si>
  <si>
    <t>61.8</t>
  </si>
  <si>
    <t>4.52</t>
  </si>
  <si>
    <t>0.0076</t>
  </si>
  <si>
    <t>15.94</t>
  </si>
  <si>
    <t>0.00065</t>
  </si>
  <si>
    <t>0.0645</t>
  </si>
  <si>
    <t>0.0674</t>
  </si>
  <si>
    <t>0.0494</t>
  </si>
  <si>
    <t>0.00087</t>
  </si>
  <si>
    <t>4.57</t>
  </si>
  <si>
    <t>120.3</t>
  </si>
  <si>
    <t>105.45</t>
  </si>
  <si>
    <t>0.04483</t>
  </si>
  <si>
    <t>6.79</t>
  </si>
  <si>
    <t>5.35</t>
  </si>
  <si>
    <t>21.03</t>
  </si>
  <si>
    <t>4.41</t>
  </si>
  <si>
    <t>1.0628</t>
  </si>
  <si>
    <t>0.3001</t>
  </si>
  <si>
    <t>0.1396</t>
  </si>
  <si>
    <t>0.7975</t>
  </si>
  <si>
    <t>0.1991</t>
  </si>
  <si>
    <t>0.0301</t>
  </si>
  <si>
    <t>0.0907</t>
  </si>
  <si>
    <t>22.69</t>
  </si>
  <si>
    <t>0.081</t>
  </si>
  <si>
    <t>38.2</t>
  </si>
  <si>
    <t>42.8</t>
  </si>
  <si>
    <t>82.27</t>
  </si>
  <si>
    <t>93.21</t>
  </si>
  <si>
    <t>0.323</t>
  </si>
  <si>
    <t>0.318</t>
  </si>
  <si>
    <t>440.1</t>
  </si>
  <si>
    <t>1789.5</t>
  </si>
  <si>
    <t>3980.6</t>
  </si>
  <si>
    <t>68.5</t>
  </si>
  <si>
    <t>77.7</t>
  </si>
  <si>
    <t>0.972</t>
  </si>
  <si>
    <t>#20# substrate cGMP, pH 7.0, 55°C &lt;98&gt;</t>
  </si>
  <si>
    <t>#20# substrate cAMP, pH 7.0, 55°C &lt;98&gt;</t>
  </si>
  <si>
    <t>#20# substrate: L-2-hydroxyglutaramate, pH 7.4, 37°C &lt;17&gt;</t>
  </si>
  <si>
    <t>#20# substrate: 2-oxoglutaramate, pH 7.4, 37°C &lt;17&gt;</t>
  </si>
  <si>
    <t>#20# substrate: L-2-hydroxysuccinamate, pH 7.4, 37°C &lt;17&gt;</t>
  </si>
  <si>
    <t>#20# substrate: succinamate, pH 7.4, 37°C &lt;17&gt;</t>
  </si>
  <si>
    <t>#7# 2-oxoglutaramate as substrate, pH 8.5, 37°C &lt;12&gt;</t>
  </si>
  <si>
    <t>#7# ethyl alpha-ketoglutarate hydrolysis &lt;5&gt;</t>
  </si>
  <si>
    <t>#7# 2-oxosuccinamate as substrate, pH 8.5, 37°C &lt;12&gt;</t>
  </si>
  <si>
    <t>#7# liver, soluble, cytoplasmic, enzyme &lt;1&gt;</t>
  </si>
  <si>
    <t>#7# liver, mitochondrial enzyme &lt;1&gt;</t>
  </si>
  <si>
    <t>#1# purified, mitochondrial isozyme &lt;18&gt;</t>
  </si>
  <si>
    <t>#1# purified cytosolic isozyme from liver &lt;54&gt;</t>
  </si>
  <si>
    <t>#1# purified mitochondrial isozyme from liver &lt;54&gt;</t>
  </si>
  <si>
    <t>#1# purified mitochondrial isozyme from heart &lt;54&gt;</t>
  </si>
  <si>
    <t>#1# purified cytosolic isozyme from heart &lt;54&gt;</t>
  </si>
  <si>
    <t>#103# crude extract, at pH 8.0 and 60°C &lt;161&gt;</t>
  </si>
  <si>
    <t>#103# after 9.5fold purification, at pH 8.0 and 60°C  &lt;161&gt;</t>
  </si>
  <si>
    <t>#11# partially purified enzyme &lt;23&gt;</t>
  </si>
  <si>
    <t>#13# purified mitochondrial isozyme &lt;21&gt;</t>
  </si>
  <si>
    <t>#13# purified cytosolic isozyme &lt;21&gt;</t>
  </si>
  <si>
    <t>#14# purified enzyme &lt;38&gt;</t>
  </si>
  <si>
    <t>#14# purified enzyme &lt;49&gt;</t>
  </si>
  <si>
    <t>#15# purified enzyme &lt;43&gt;</t>
  </si>
  <si>
    <t>#15# mitochondrial isozyme &lt;29&gt;</t>
  </si>
  <si>
    <t>#16# partially purified enzyme &lt;25&gt;</t>
  </si>
  <si>
    <t>#18# partially purified cytosolic isozyme &lt;25&gt;</t>
  </si>
  <si>
    <t>#19# recombinant purified isozyme AAT1 &lt;65&gt;</t>
  </si>
  <si>
    <t>#19# recombinant purified isozyme AAT2 &lt;65&gt;</t>
  </si>
  <si>
    <t>#19# purified recombinant isozyme AAT5 &lt;65&gt;; #48#  synthesis of aspartate &lt;28&gt;</t>
  </si>
  <si>
    <t>#21# purified enzyme &lt;20&gt;</t>
  </si>
  <si>
    <t>#22# purified enzyme &lt;8&gt;</t>
  </si>
  <si>
    <t>#23# supernatant fraction &lt;31&gt;</t>
  </si>
  <si>
    <t>#23# mitochondrial fraction &lt;31&gt;</t>
  </si>
  <si>
    <t>#26# purified cytosolic isozyme AAT-2 form 2a &lt;47&gt;</t>
  </si>
  <si>
    <t>#26# purified cytosolic isozyme AAT-2 form 2b &lt;47&gt;</t>
  </si>
  <si>
    <t>#26# purified cytosolic isozyme AAT-2 form 2c &lt;47&gt;</t>
  </si>
  <si>
    <t>#29# purified isozyme B &lt;26&gt;</t>
  </si>
  <si>
    <t>#29# purified isozyme A &lt;26&gt;</t>
  </si>
  <si>
    <t>#3,37# purified enzyme &lt;30,48&gt;</t>
  </si>
  <si>
    <t>#32# purified enzyme &lt;39&gt;</t>
  </si>
  <si>
    <t>#80# substrates: L-tyrosine + 2-oxoglutarate, pH 8, 37°C  &lt;129&gt;</t>
  </si>
  <si>
    <t>#36# purified isozyme AAT-2 &lt;12&gt;</t>
  </si>
  <si>
    <t>#36# purified isozyme AAT-1 &lt;12&gt;</t>
  </si>
  <si>
    <t>#37# pH 8.5, 60°C, recombinant enzyme &lt;130&gt;</t>
  </si>
  <si>
    <t>#38# homogenate, mitochondrial enzyme &lt;96&gt;</t>
  </si>
  <si>
    <t>#38# homogenate, cytoplasmic enzyme &lt;96&gt;</t>
  </si>
  <si>
    <t>#38# after 35fold purification, cytoplasmic enzyme &lt;96&gt;</t>
  </si>
  <si>
    <t>#38# after 30fold purification, mitochondrial enzyme &lt;96&gt;</t>
  </si>
  <si>
    <t>#40# purified enzyme &lt;50&gt;</t>
  </si>
  <si>
    <t>#52# purified enzyme &lt;40&gt;; #42# partially purified  enzyme &lt;52&gt;</t>
  </si>
  <si>
    <t>#45# pH 7.5, 37°C, enzyme in crude extract &lt;3&gt;</t>
  </si>
  <si>
    <t>#45# pH 7.5, 37°C, partiall purified enzyme &lt;3&gt;</t>
  </si>
  <si>
    <t>#48# forward reaction &lt;28&gt;</t>
  </si>
  <si>
    <t>#49# purified pAspAT, gamma-form &lt;56&gt;</t>
  </si>
  <si>
    <t>#49# purified mAspAT &lt;56&gt;</t>
  </si>
  <si>
    <t>#49# purified pAspAT, beta-form &lt;56&gt;</t>
  </si>
  <si>
    <t>#49# purified pAspAT, alpha-form &lt;56&gt;</t>
  </si>
  <si>
    <t>#49# purified cAspAT, alpha-form &lt;56&gt;</t>
  </si>
  <si>
    <t>#49# purified cAspAT, gamma-form &lt;56&gt;</t>
  </si>
  <si>
    <t>#49# purified cAspAT, beta-form &lt;56&gt;</t>
  </si>
  <si>
    <t>#5# purified recombinant enzyme &lt;60&gt;</t>
  </si>
  <si>
    <t>#54# in 50 mM Tris-HCl pH 7.8 &lt;106&gt;</t>
  </si>
  <si>
    <t>#57# cell extract &lt;63&gt;</t>
  </si>
  <si>
    <t>#57# purified enzyme &lt;63&gt;</t>
  </si>
  <si>
    <t>#59# partially purified isozyme AST II &lt;71&gt;</t>
  </si>
  <si>
    <t>#6# purified enzyme &lt;9&gt;</t>
  </si>
  <si>
    <t>#6# purified apoenzyme &lt;9,45&gt;</t>
  </si>
  <si>
    <t>#6# mutant V39L &lt;36&gt;</t>
  </si>
  <si>
    <t>#6# purified recombinant enyme &lt;17&gt;</t>
  </si>
  <si>
    <t>#60# purified enzyme &lt;39&gt;</t>
  </si>
  <si>
    <t>#62# purified cytosolic isozyme &lt;4&gt;</t>
  </si>
  <si>
    <t>#62# purified mitochondrial isozyme &lt;4&gt;</t>
  </si>
  <si>
    <t>#64# recombinant enzyme in Escherichia coli cells &lt;69&gt;</t>
  </si>
  <si>
    <t>#64# purified recombinant enzyme &lt;69&gt;</t>
  </si>
  <si>
    <t>#69# wild type enzyme, at 37°C &lt;93&gt;</t>
  </si>
  <si>
    <t>#8# purified mitochondrial isozyme &lt;22&gt;</t>
  </si>
  <si>
    <t>#8# purified cytosolic isozyme &lt;22&gt;</t>
  </si>
  <si>
    <t>#8# after 905fold purification &lt;103&gt;</t>
  </si>
  <si>
    <t>#8# enzyme from homogenate &lt;103&gt;</t>
  </si>
  <si>
    <t>#80# substrates: L-asparagine + 2-oxoglutarate, pH 8, 37°C  &lt;129&gt;</t>
  </si>
  <si>
    <t>#80# substrates: L-tryptophan + 2-oxoglutarate, pH 8, 37°C  &lt;129&gt;</t>
  </si>
  <si>
    <t>#80# substrates: L-phenylalanine + 2-oxoglutarate, pH 8,  37°C &lt;129&gt;</t>
  </si>
  <si>
    <t>#80# substrates: L-aspartate + 2-oxoglutarate, pH 8, 37°C  &lt;129&gt;</t>
  </si>
  <si>
    <t>#85# pH 7.4, 37°C &lt;143&gt;</t>
  </si>
  <si>
    <t>#9# purified enzyme &lt;42&gt;</t>
  </si>
  <si>
    <t>#10# single pyruvate decarboxylase 1 mutant strain T157 &lt;95&gt;</t>
  </si>
  <si>
    <t>#10# pyruvate decarboxylase 1/alcohol dehydrogenase 1 mutant  strain AF297C &lt;95&gt;</t>
  </si>
  <si>
    <t>#11# commercial preparation &lt;80&gt;</t>
  </si>
  <si>
    <t>#112# reduction of pyruvate &lt;43&gt;</t>
  </si>
  <si>
    <t>#113# reduction of pyruvate &lt;43&gt;</t>
  </si>
  <si>
    <t>#131# purified protein with pyruvate as substrate &lt;105&gt;</t>
  </si>
  <si>
    <t>#146# reduction of pyruvate &lt;43&gt;</t>
  </si>
  <si>
    <t>#147# reduction of pyruvate &lt;43&gt;</t>
  </si>
  <si>
    <t>#152# wild-type, pH 7.3, 55°C, presence of  fructose-1,6-bisphosphate &lt;117&gt;</t>
  </si>
  <si>
    <t>#152# wild-type, pH 7.3, 55°C &lt;117&gt;</t>
  </si>
  <si>
    <t>#152# mutant R157L, pH 7.3, 55°C, presence of  fructose-1,6-bisphosphate &lt;117&gt;</t>
  </si>
  <si>
    <t>#152# mutant R157L, lacking alcohol/aldehyde dehydrogenase  gene AdhE, pH 7.3, 55°C, presence of fructose-1,6-bisphosphate &lt;117&gt;</t>
  </si>
  <si>
    <t>#152# mutant R157L, lacking alcohol/aldehyde dehydrogenase  gene AdhE, pH 7.3, 55°C &lt;117&gt;</t>
  </si>
  <si>
    <t>#152# mutant R157L, pH 7.3, 55°C &lt;117&gt;; #158# lactate  oxidation, pH 8.0, 25°C, breast cancer tissue &lt;124&gt;</t>
  </si>
  <si>
    <t>#157# purified recombinant enzyme, pH 11.5, 55°C, lactate  oxidation &lt;133&gt;</t>
  </si>
  <si>
    <t>#157# purified recombinant enzyme, pH 6.5, 55°C, pyruvate  reduction &lt;133&gt;</t>
  </si>
  <si>
    <t>#158# lactate oxidation, pH 8.0, 25°C, healthy breast tissue  &lt;124&gt;</t>
  </si>
  <si>
    <t>#158# NADH oxidation, pH 8.0, 25°C, healthy breast tissue  &lt;124&gt;</t>
  </si>
  <si>
    <t>#158# pyruvate reduction, pH 8.0, 25°C, healthy breast  tissue &lt;124&gt;</t>
  </si>
  <si>
    <t>#158# NADH oxidation, pH 8.0, 25°C, breast cancer tissue  &lt;124&gt;</t>
  </si>
  <si>
    <t>#158# pyruvate reduction, pH 8.0, 25°C, breast cancer  tissue &lt;124&gt;</t>
  </si>
  <si>
    <t>#158# NAD+ reduction, pH 8.0, 25°C, healthy breast tissue  &lt;124&gt;</t>
  </si>
  <si>
    <t>#158# NAD+ reduction, pH 8.0, 25°C, breast cancer tissue  &lt;124&gt;</t>
  </si>
  <si>
    <t>#162# purified native aerobic control enzyme, pH 7.2, 25°C,  pyruvate reduction &lt;127&gt;</t>
  </si>
  <si>
    <t>#162# purified native anoxic enzyme, pH 7.2, 25°C, pyruvate  reduction &lt;127&gt;</t>
  </si>
  <si>
    <t>#167# substrate pyruvate, pH 6, 25°C &lt;152&gt;</t>
  </si>
  <si>
    <t>#167# substrate 3,4-dihydroxyphenylpyruvate, pH 6, 25°C  &lt;152&gt;</t>
  </si>
  <si>
    <t>#171# mutant T235G, substrate phenylpyruvate, pH 5.5, 30°C  &lt;147&gt;</t>
  </si>
  <si>
    <t>#171# wild-type, substrate benzoylformic acid, pH 5.5, 30°C  &lt;147&gt;</t>
  </si>
  <si>
    <t>#171# wild-type, substrate 4-hydroxyphenylpyruvate, pH 5.5,  30°C &lt;147&gt;</t>
  </si>
  <si>
    <t>#171# wild-type, substrate phenylpyruvate, pH 5.5, 30°C  &lt;147&gt;</t>
  </si>
  <si>
    <t>#171# wild-type, substrate phenylpyruvate, presence of  D-fructose-1,6-diphosphate, pH 5.5, 30°C &lt;147&gt;</t>
  </si>
  <si>
    <t>#171# wild-type, substrate pyruvate, pH 5.5, 30°C &lt;147&gt;</t>
  </si>
  <si>
    <t>#171# mutant Q88R, substrate phenylpyruvate, pH 5.5, 30°C  &lt;147&gt;</t>
  </si>
  <si>
    <t>#171# mutant I229A, substrate phenylpyruvate, pH 5.5, 30°C  &lt;147&gt;</t>
  </si>
  <si>
    <t>#171# mutant Q88R, substrate phenylpyruvate, presence of  D-fructose-1,6-diphosphate, pH 5.5, 30°C &lt;147&gt;</t>
  </si>
  <si>
    <t>#171# mutant I229A, substrate phenylpyruvate, presence of  D-fructose-1,6-diphosphate, pH 5.5, 30°C &lt;147&gt;</t>
  </si>
  <si>
    <t>#171# mutant T235G, substrate phenylpyruvate, presence of  D-fructose-1,6-diphosphate, pH 5.5, 30°C &lt;147&gt;</t>
  </si>
  <si>
    <t>#171# wild-type, substrate 2-oxobutanoate, pH 5.5, 30°C  &lt;147&gt;</t>
  </si>
  <si>
    <t>#171# wild-type, substrate oxaloacetic acid, pH 5.5, 30°C  &lt;147&gt;</t>
  </si>
  <si>
    <t>#172# pH 6.5, 25°C, substrate L-lactate &lt;156&gt;</t>
  </si>
  <si>
    <t>#172# pH 8.5, 25°C, substrate pyruvate &lt;156&gt;</t>
  </si>
  <si>
    <t>#30# purified native enzyme, substrate pyruvate &lt;88&gt;</t>
  </si>
  <si>
    <t>#5# isoenzyme X &lt;9&gt;</t>
  </si>
  <si>
    <t>#54# native enzyme in strain MG1363 at different growth  phases and conditions, pH 7.0, 30°C &lt;128&gt;</t>
  </si>
  <si>
    <t>#58# isoenzyme II &lt;10&gt;</t>
  </si>
  <si>
    <t>#58# isoenzyme I &lt;10&gt;</t>
  </si>
  <si>
    <t>#60# recombinant enzyme &lt;41&gt;</t>
  </si>
  <si>
    <t>#14# isoenzyme I &lt;16&gt;</t>
  </si>
  <si>
    <t>#5# from rats stimulated with corticosterone and  dexamethasone &lt;8&gt;</t>
  </si>
  <si>
    <t>#5# enzyme expressed in Escherichia coli &lt;15&gt;</t>
  </si>
  <si>
    <t>#12# with tryptophan &lt;8&gt;</t>
  </si>
  <si>
    <t>#12# with tyrosine &lt;8&gt;</t>
  </si>
  <si>
    <t>#12# with phenylalanine &lt;8&gt;</t>
  </si>
  <si>
    <t>#12# with aspartate &lt;8&gt;</t>
  </si>
  <si>
    <t>#24# strain CB 6 &lt;14&gt;</t>
  </si>
  <si>
    <t>#24# strain CB 60 &lt;14&gt;</t>
  </si>
  <si>
    <t>#31# isoenzyme ArAT-I &lt;7&gt;</t>
  </si>
  <si>
    <t>#31# isoenzyme ArAT-II &lt;7&gt;</t>
  </si>
  <si>
    <t>#112,113# enzyme extracts from flowers &lt;64&gt;</t>
  </si>
  <si>
    <t>#112,113# enzyme extracts from leaves &lt;64&gt;</t>
  </si>
  <si>
    <t>#112,113# enzyme extract from roots &lt;64&gt;</t>
  </si>
  <si>
    <t>#112,113# enzyme extracts from stems &lt;64&gt;</t>
  </si>
  <si>
    <t>#115# leaf enzyme under salt stress after 24 h &lt;51&gt;</t>
  </si>
  <si>
    <t>#115# root enzyme under salt stress after 24 h &lt;51&gt;</t>
  </si>
  <si>
    <t>#116# in the absence of ammonium chloride and in the  presence of 1.5 mM sesamol, at pH 7.5 and 30°C &lt;131&gt;</t>
  </si>
  <si>
    <t>#116# in the presence of 1.0 g/l ammonium chloride and  1.5 mM sesamol, at pH 7.5 and 30°C &lt;131&gt;</t>
  </si>
  <si>
    <t>#116# in the presence of 1.0 g/l ammonium chloride, at pH  7.5 and 30°C &lt;131&gt;</t>
  </si>
  <si>
    <t>#116# in the presence of 0.1 g/l ammonium chloride, at pH  7.5 and 30°C &lt;131&gt;</t>
  </si>
  <si>
    <t>#116# in the absence of ammonium chloride, at pH 7.5 and  30°C &lt;131&gt;</t>
  </si>
  <si>
    <t>#116# in the presence of 0.1 g/l ammonium chloride and  1.5 mM sesamol, at pH 7.5 and 30°C &lt;131&gt;</t>
  </si>
  <si>
    <t>#133# pH 7.8, 46°C, purified recombinant enzyme &lt;86&gt;</t>
  </si>
  <si>
    <t>#23# purified enzyme &lt;29&gt;</t>
  </si>
  <si>
    <t>#37# in the presence of 1.0 g/l ammonium chloride, at pH  7.5 and 30°C &lt;131&gt;</t>
  </si>
  <si>
    <t>#37# in the presence of 0.1 g/l ammonium chloride, at pH  7.5 and 30°C &lt;131&gt;</t>
  </si>
  <si>
    <t>#37# in the absence of ammonium chloride, at pH 7.5 and  30°C &lt;131&gt;</t>
  </si>
  <si>
    <t>#4# enzyme activity in several recombinant strains, overview  &lt;42&gt;</t>
  </si>
  <si>
    <t>#43# purified native enzyme, pH 7.5, 25°C &lt;85&gt;</t>
  </si>
  <si>
    <t>#47# purified native enzyme, pH 7.5, 25°C &lt;85&gt;</t>
  </si>
  <si>
    <t>#6# below, wild-type strain W3110 &lt;54&gt;</t>
  </si>
  <si>
    <t>#6# MaeB overexpressed in an anaplerotic enzyme  overexpressing strain &lt;54&gt;</t>
  </si>
  <si>
    <t>#64# purified native enzyme, pH 7.5, 25°C &lt;85&gt;</t>
  </si>
  <si>
    <t>#67# purified native enzyme, pH 7.5, 25°C &lt;85&gt;</t>
  </si>
  <si>
    <t>#68# purified native enzyme, pH 7.5, 25°C &lt;85&gt;</t>
  </si>
  <si>
    <t>#69# partially purified leaf isozyme 2 &lt;39&gt;</t>
  </si>
  <si>
    <t>#7# recombinant enzyme in INS-1 832/13 cells, reverse  reaction, pH 7.4, temperature not specified in the publication &lt;76&gt;</t>
  </si>
  <si>
    <t>#7# mitochondrial enzyme &lt;19&gt;</t>
  </si>
  <si>
    <t>#7# cytosolic enzyme &lt;19&gt;</t>
  </si>
  <si>
    <t>#70# purified enzyme &lt;32&gt;</t>
  </si>
  <si>
    <t>#89# in the absence of ammonium chloride, at pH 7.5 and  30°C &lt;131&gt;</t>
  </si>
  <si>
    <t>#89# in the presence of 1.0 g/l ammonium chloride, at pH  7.5 and 30°C &lt;131&gt;</t>
  </si>
  <si>
    <t>#89# in the presence of 0.1 g/l ammonium chloride, at pH  7.5 and 30°C &lt;131&gt;</t>
  </si>
  <si>
    <t>#2# crude recombinant enzyme, after incubation with 2 mM  each amino acid (ADEFGHIKLNQRSTWY</t>
  </si>
  <si>
    <t>#2# recombinant enzyme after 722.7fold purification, after  incubation with 2 mM each amino acid (ADEFGHIKLNQRSTWY</t>
  </si>
  <si>
    <t>#1# wild-type holoenzyme &lt;55&gt;</t>
  </si>
  <si>
    <t>#1# Drosophila catalytic subunit as a hybrid with the  wild-type human modifier subunit, substrate L-alpha-aminobutyrate &lt;55&gt;</t>
  </si>
  <si>
    <t>#4# purified recombinant wild-type catalytic subunit &lt;39&gt;;  #4# recombinant catalytic subunit &lt;37&gt;</t>
  </si>
  <si>
    <t>#4# purified recombinant mutant C605G catalytic subunit &lt;39&gt;</t>
  </si>
  <si>
    <t>#4# purified recombinant mutant C52G catalytic subunit and  mutant C248G catalytic subunit &lt;39&gt;</t>
  </si>
  <si>
    <t>#4# purified recombinant mutants C491G holoenzyme and C501G  holoenzyme &lt;39&gt;</t>
  </si>
  <si>
    <t>#4# purified recombinant mutant C491G catalytic subunit &lt;39&gt;</t>
  </si>
  <si>
    <t>#4# native COS cells &lt;35&gt;</t>
  </si>
  <si>
    <t>#4# purified recombinant mutant C605G holoenzyme &lt;39&gt;</t>
  </si>
  <si>
    <t>#4# transformed COS cells expressing both the recombinant  subunits at equal amounts &lt;35&gt;</t>
  </si>
  <si>
    <t>#4# purified recombinant mutant C553G holoenzyme &lt;39&gt;</t>
  </si>
  <si>
    <t>#4# purified recombinant mutant C249G catalytic subunit and  mutant C295G catalytic subunit &lt;39&gt;</t>
  </si>
  <si>
    <t>#4# purified recombinant mutant C501G catalytic subunit &lt;39&gt;</t>
  </si>
  <si>
    <t>#4# transformed COS cells expressing the recombinant  catalytic subunit &lt;35&gt;</t>
  </si>
  <si>
    <t>#4# purified recombinant mutant C553G catalytic subunit &lt;39&gt;</t>
  </si>
  <si>
    <t>#4# purified mutant R127C enzyme, substrates L-glutamate and  L-alpha-aminobutyrate &lt;45&gt;</t>
  </si>
  <si>
    <t>#4# purified recombinant mutant C248G holoenzyme &lt;39&gt;</t>
  </si>
  <si>
    <t>#4# purified wild-type enzyme, substrates L-glutamate and  L-alpha-aminobutyrate &lt;45&gt;</t>
  </si>
  <si>
    <t>#4# purified recombinant mutant C295G holoenzyme &lt;39&gt;</t>
  </si>
  <si>
    <t>#4# purified recombinant mutant C249G holoenzyme &lt;39&gt;</t>
  </si>
  <si>
    <t>#4# purified recombinant mutant C52G holoenzyme &lt;39&gt;</t>
  </si>
  <si>
    <t>#4# purified recombinant wild-type holoenzyme &lt;39&gt;; #4#  recombinant holoenzyme &lt;37&gt;</t>
  </si>
  <si>
    <t>#59# purified enzyme &lt;35&gt;; #58# purified recombinant  enzyme &lt;35&gt;; #4# above, purified recombinant holoenzyme &lt;60&gt;</t>
  </si>
  <si>
    <t>#48# recombinant mutant S495T &lt;49&gt;</t>
  </si>
  <si>
    <t>#48# purified enzyme &lt;54&gt;</t>
  </si>
  <si>
    <t>#48# recombinant mutant A494V and mutant A494L &lt;49&gt;</t>
  </si>
  <si>
    <t>#48# recombinant wild-type enzyme &lt;49&gt;</t>
  </si>
  <si>
    <t>#49# lung extract exposed to air &lt;61&gt;</t>
  </si>
  <si>
    <t>#49# lung extract exposed to cadmium aerosol with 4.2 mg  Cd/m3 &lt;61&gt;</t>
  </si>
  <si>
    <t>#49# partially purified enzyme from astrocytes &lt;36&gt;</t>
  </si>
  <si>
    <t>#49# lung extract exposed to cadmium aerosol with 3.3 mg  Cd/m3 &lt;61&gt;</t>
  </si>
  <si>
    <t>#5# kidney enzyme &lt;27&gt;</t>
  </si>
  <si>
    <t>#76# pH and temperature not specified in the publication  &lt;166&gt;; #76# simulated calculations, pH and temperature not specified in the publication &lt;166&gt;</t>
  </si>
  <si>
    <t>#17# purified recombinant wild-type enzyme after complete  proteoltic cleavage &lt;49&gt;</t>
  </si>
  <si>
    <t>#17# purified recombinant wild-type enzyme &lt;49&gt;</t>
  </si>
  <si>
    <t>#17# purified recombinant enzyme mutant with eliminated  cleavage site &lt;49&gt;</t>
  </si>
  <si>
    <t>#17# purified recombinant deletion mutant lacking 15 amino  acids &lt;49&gt;</t>
  </si>
  <si>
    <t>#17# purified recombinant isolated subfragments of 24 and 36  kDa &lt;49&gt;</t>
  </si>
  <si>
    <t>#26# mitochondrial fraction of leaves &lt;42&gt;</t>
  </si>
  <si>
    <t>#26# bacteroid isolate &lt;42&gt;</t>
  </si>
  <si>
    <t>#26# crude extract and cytosolic fraction of leaves &lt;42&gt;</t>
  </si>
  <si>
    <t>#36# bacteroid isolate &lt;42&gt;</t>
  </si>
  <si>
    <t>#38# cell line OC/CDE22, GSH depleted &lt;46&gt;</t>
  </si>
  <si>
    <t>#38# cell line M22, GSH depleted &lt;46&gt;</t>
  </si>
  <si>
    <t>#38# cell line OC/CDE22 &lt;46&gt;</t>
  </si>
  <si>
    <t>#38# cell line M22 &lt;46&gt;</t>
  </si>
  <si>
    <t>#4# about, wild-type mice on normal diet &lt;51&gt;</t>
  </si>
  <si>
    <t>#4# about, ApoE-deficient mice on normal diet &lt;51&gt;</t>
  </si>
  <si>
    <t>#4# about, wild-type mice on minimal diet &lt;51&gt;</t>
  </si>
  <si>
    <t>#4# about, ApoE-deficient mice on minimal diet &lt;51&gt;</t>
  </si>
  <si>
    <t>#61# pH and temperature not specified in the publication  &lt;98&gt;; #61# simulated calculations, pH and temperature not specified in the publication &lt;98&gt;</t>
  </si>
  <si>
    <t>#7# purified recombinant enzyme &lt;43&gt;</t>
  </si>
  <si>
    <t>#17# L-alpha-phosphatidylcholine hydroperoxide &lt;31&gt;</t>
  </si>
  <si>
    <t>#17# linolenic acid hydroperoxide &lt;31&gt;</t>
  </si>
  <si>
    <t>#25# pH 7, 37°C &lt;153&gt;</t>
  </si>
  <si>
    <t>#29# subcellular fractionation &lt;27&gt;</t>
  </si>
  <si>
    <t>#29# plasma membrane &lt;27&gt;</t>
  </si>
  <si>
    <t>#29# outer mitochondrial membrane &lt;27&gt;</t>
  </si>
  <si>
    <t>#29# inner mitochondrial membrane &lt;27&gt;</t>
  </si>
  <si>
    <t>#47# mutant with all Cys residues changed to Ser, substrate  H2O2, pH 7.4, 37°C &lt;148&gt;</t>
  </si>
  <si>
    <t>#47# mutant with all Cys residues changed to Ser, substrate  1-palmitoyl-2-(13-hydroperoxy-cis-9, trans-11-octadecadienoyl</t>
  </si>
  <si>
    <t>#50# wild-type, pH 7.4, 37°C &lt;143&gt;</t>
  </si>
  <si>
    <t>#50# mutant C2S/C78S/C115S/C156S/C202S, pH 7.4, 37°C &lt;143&gt;</t>
  </si>
  <si>
    <t>#55# mutant enzyme N136A, using thioredoxin and  phosphatidylcholine hydroperoxide as substrates &lt;83&gt;</t>
  </si>
  <si>
    <t>#55# mutant enzyme N136H, using thioredoxin and  phosphatidylcholine hydroperoxide as substrates &lt;83&gt;</t>
  </si>
  <si>
    <t>#55# mutant enzyme N40A, using thioredoxin and  phosphatidylcholine hydroperoxide as substrates &lt;83&gt;</t>
  </si>
  <si>
    <t>#55# wild type enzyme, using thioredoxin and  phosphatidylcholine hydroperoxide as substrates &lt;83&gt;</t>
  </si>
  <si>
    <t>#55# mutant enzyme C74A, using thioredoxin and  phosphatidylcholine hydroperoxide as substrates &lt;83&gt;</t>
  </si>
  <si>
    <t>#6# U2-OS &lt;29&gt;</t>
  </si>
  <si>
    <t>#6# Saos-2 &lt;29&gt;</t>
  </si>
  <si>
    <t>#6# U2-OS treated with etoposide &lt;29&gt;</t>
  </si>
  <si>
    <t>#6# Saos-2 treated with etoposide &lt;29&gt;</t>
  </si>
  <si>
    <t>#7# cholesterol 7beta-hydroperoxide &lt;33&gt;</t>
  </si>
  <si>
    <t>#7# cholesterol 7alpha-hydroperoxide &lt;33&gt;</t>
  </si>
  <si>
    <t>#7# cholesterol 5alpha-hydroperoxide &lt;33&gt;</t>
  </si>
  <si>
    <t>#7# linoleic acid hydroperoxide &lt;33&gt;</t>
  </si>
  <si>
    <t>#7# crude enzyme, at 25°C &lt;108&gt;</t>
  </si>
  <si>
    <t>#7# arachidonic acid 15-hydroperoxide &lt;33&gt;</t>
  </si>
  <si>
    <t>#7# after 112.46fold purification, at 25°C &lt;108&gt;</t>
  </si>
  <si>
    <t>#7# cumene hydroperoxide &lt;33&gt;</t>
  </si>
  <si>
    <t>#7# linolenic acid hydroperoxide &lt;33&gt;</t>
  </si>
  <si>
    <t>#7# H2O2 &lt;33&gt;; #9# pH 7, 37°C &lt;152&gt;</t>
  </si>
  <si>
    <t>#71# substrate cumene hydroperoxide, 37°C, pH 7.6 &lt;146&gt;</t>
  </si>
  <si>
    <t>#12# substrate 1-(4-chlorophenyl</t>
  </si>
  <si>
    <t>#12# substrate 4-fluorobenzaldehyde, pH 6.5, temperature not  specified in the publication &lt;94&gt;</t>
  </si>
  <si>
    <t>#12# substrate 4-bromobenzaldehyde, pH 6.5, temperature not  specified in the publication &lt;94&gt;</t>
  </si>
  <si>
    <t>#12# substrate 4-chlorobenzaldehyde, pH 6.5, temperature not  specified in the publication &lt;94&gt;</t>
  </si>
  <si>
    <t>#12# substrate 1-phenylethanonee, pH 6.5, temperature not  specified in the publication &lt;94&gt;</t>
  </si>
  <si>
    <t>#12# substrate ethyl 4-chloro-3-oxobutanoate, pH 6.5,  temperature not specified in the publication &lt;94&gt;</t>
  </si>
  <si>
    <t>#12# substrate ethyl 3-oxopentanoate, pH 6.5, temperature  not specified in the publication &lt;94&gt;</t>
  </si>
  <si>
    <t>#15# crude extract, at pH 7.0 and 25°C &lt;108&gt;</t>
  </si>
  <si>
    <t>#15# after 9.7fold purification, at pH 7.0 and 25°C &lt;108&gt;</t>
  </si>
  <si>
    <t>#17# recombinant enzyme, substrate chloromethyl 3-oxobutyrate  &lt;55&gt;</t>
  </si>
  <si>
    <t>#17# recombinant enzyme, substrate isopropyl 3-oxobutyrate  &lt;55&gt;</t>
  </si>
  <si>
    <t>#17# substrate 4-fluoroacetophenone, mutant Q245L &lt;66&gt;</t>
  </si>
  <si>
    <t>#17# recombinant enzyme, substrate ethyl 3-oxobutyrate &lt;55&gt;</t>
  </si>
  <si>
    <t>#17# substrate acetophenone, wild-type &lt;66&gt;</t>
  </si>
  <si>
    <t>#17# recombinant enzyme, substrate phenyl 3-oxobutyrate &lt;55&gt;</t>
  </si>
  <si>
    <t>#17# substrate 4-methylacetophenone, wild-type &lt;66&gt;; #17#  substrate 4-tert-butylacetophenone, wild-type &lt;66&gt;</t>
  </si>
  <si>
    <t>#17# substrate acetophenone, mutant Q245P &lt;66&gt;</t>
  </si>
  <si>
    <t>#17# substrate 4-fluoroacetophenone, mutant Q245P &lt;66&gt;;  #17# substrate 4-methylacetophenone, mutant Q245H &lt;66&gt;</t>
  </si>
  <si>
    <t>#17# substrate acetophenone, mutant Q245L &lt;66&gt;</t>
  </si>
  <si>
    <t>#17# substrate 4-tert-butylacetophenone, mutant Q245P &lt;66&gt;</t>
  </si>
  <si>
    <t>#17# recombinant enzyme, substrate tert-butyl 3-oxobutyrate  &lt;55&gt;</t>
  </si>
  <si>
    <t>#17# substrate 4-fluoroacetophenone, mutant Q245H &lt;66&gt;</t>
  </si>
  <si>
    <t>#17# substrate 4-chloroacetophenone, mutant Q245H &lt;66&gt;</t>
  </si>
  <si>
    <t>#17# substrate 4-methoxyacetophenone, mutant Q245H &lt;66&gt;</t>
  </si>
  <si>
    <t>#17# substrate 4-methylacetophenone, mutant Q245P &lt;66&gt;</t>
  </si>
  <si>
    <t>#17# substrate 4-tert-butylacetophenone, mutant Q245H &lt;66&gt;</t>
  </si>
  <si>
    <t>#17# substrate 4-chloroacetophenone, mutant Q245L &lt;66&gt;</t>
  </si>
  <si>
    <t>#17# substrate 4-fluoroacetophenone, wild-type &lt;66&gt;</t>
  </si>
  <si>
    <t>#17# recombinant enzyme, substrate trifluoromethyl  3-oxobutyrate &lt;55&gt;</t>
  </si>
  <si>
    <t>#17# substrate 4-bromoacetophenone, wild-type &lt;66&gt;</t>
  </si>
  <si>
    <t>#17# substrate 4-bromoacetophenone, mutant Q245H &lt;66&gt;</t>
  </si>
  <si>
    <t>#17# substrate 4-bromoacetophenone, mutant Q245L &lt;66&gt;</t>
  </si>
  <si>
    <t>#17# substrate 4-methoxyacetophenone, mutant Q245P &lt;66&gt;</t>
  </si>
  <si>
    <t>#17# substrate acetophenone, mutant Q245H &lt;66&gt;</t>
  </si>
  <si>
    <t>#17# substrate 4-tert-butylacetophenone, mutant Q245L &lt;66&gt;</t>
  </si>
  <si>
    <t>#17# substrate 4-bromoacetophenone, mutant Q245P &lt;66&gt;</t>
  </si>
  <si>
    <t>#17# substrate 4-chloroacetophenone, mutant Q245P &lt;66&gt;</t>
  </si>
  <si>
    <t>#17# substrate 4-chloroacetophenone, wild-type &lt;66&gt;; #17#  substrate 4-methoxyacetophenone, mutant Q245L &lt;66&gt;; #17# substrate 4-methoxyacetophenone, wild-type &lt;66&gt;; #17# substrate 4-methylacetophenone, mutant Q245L &lt;66&gt;; #60# with 2-oxo-2-phenylacetaldehyde and NADH as substrates, at pH 7.0 and 30°C &lt;119&gt;; #60# with ethyl-4,4,4-trifloro-3-oxo-butanoate and NADH as substrates, at pH 7.0 and 30°C &lt;119&gt;</t>
  </si>
  <si>
    <t>#18# purified enzyme &lt;36&gt;</t>
  </si>
  <si>
    <t>#26# purified enzyme &lt;34&gt;</t>
  </si>
  <si>
    <t>#27# pH 7.0 &lt;59&gt;</t>
  </si>
  <si>
    <t>#31# purified recombinant mutant S1M1 &lt;46&gt;</t>
  </si>
  <si>
    <t>#31# purified recombinant mutant S1M4 &lt;46&gt;</t>
  </si>
  <si>
    <t>#31# purified recombinant wild-type enzyme &lt;46&gt;</t>
  </si>
  <si>
    <t>#32# purified enzyme &lt;35&gt;</t>
  </si>
  <si>
    <t>#33# substrate specificity, overview &lt;52&gt;</t>
  </si>
  <si>
    <t>#34# substrate daunorubicin, pH 7.4, 37°C &lt;60&gt;</t>
  </si>
  <si>
    <t>#34# substrate 2,3-butanedione, pH 7.4, 37°C &lt;60&gt;</t>
  </si>
  <si>
    <t>#45# pH 6.0, 30°C &lt;82&gt;</t>
  </si>
  <si>
    <t>#47# substrate 1-phenyl-1,2-propanedione, pH 7.0, 25°C &lt;86&gt;</t>
  </si>
  <si>
    <t>#47# substrate 2,3-butanedione, pH 7.0, 25°C &lt;86&gt;</t>
  </si>
  <si>
    <t>#47# substrate 2,3-hexanedione, pH 7.0, 25°C &lt;86&gt;</t>
  </si>
  <si>
    <t>#47# substrate 2,3-pentanedione, pH 7.0, 25°C &lt;86&gt;</t>
  </si>
  <si>
    <t>#47# substrate methylglyoxal, pH 7.0, 25°C &lt;86&gt;</t>
  </si>
  <si>
    <t>#47# substrate phenylglyoxal, pH 7.0, 25°C &lt;86&gt;</t>
  </si>
  <si>
    <t>#47# substrate isoamyl pyruvate, pH 7.0, 25°C &lt;86&gt;</t>
  </si>
  <si>
    <t>#47# substrate ethyl pyruvate, pH 7.0, 25°C &lt;86&gt;; #53#  substrate furfural, pH 6.0, 25°C &lt;97&gt;</t>
  </si>
  <si>
    <t>#48# pH 9.0, 55°C &lt;84&gt;; #48# purified recombinant His-tagged  enzyme, pH 9.0, 70°C &lt;84&gt;</t>
  </si>
  <si>
    <t>#49# purified recombinant enzyme, substrate 3,4-hexandione,  pH 7.0, 30°C &lt;85&gt;</t>
  </si>
  <si>
    <t>#49# purified recombinant enzyme, substrate 2,3-hexandione,  pH 7.0, 30°C &lt;85&gt;</t>
  </si>
  <si>
    <t>#49# purified recombinant enzyme, substrate 2,3-heptandione,  pH 7.0, 30°C &lt;85&gt;</t>
  </si>
  <si>
    <t>#49# purified recombinant enzyme, substrate  dihydroxyacetone, pH 7.0, 30°C &lt;85&gt;; #49# substrate dihydroxyacetone, 30°C, pH 7.0 &lt;85&gt;</t>
  </si>
  <si>
    <t>#51# substrate 2,3-pentanedione, pH 7.0, 25°C &lt;86&gt;</t>
  </si>
  <si>
    <t>#51# substrate methylglyoxal, pH 7.0, 25°C &lt;86&gt;</t>
  </si>
  <si>
    <t>#51# substrate 2,5-diketo-D-gluconate, pH 7.0, 25°C &lt;86&gt;</t>
  </si>
  <si>
    <t>#51# substrate 2,3-butanedione, pH 7.0, 25°C &lt;86&gt;</t>
  </si>
  <si>
    <t>#51# substrate 1-phenyl-1,2-propanedione, pH 7.0, 25°C &lt;86&gt;</t>
  </si>
  <si>
    <t>#51# substrate 2,3-hexanedione, pH 7.0, 25°C &lt;86&gt;</t>
  </si>
  <si>
    <t>#51# substrate ethyl pyruvate, pH 7.0, 25°C &lt;86&gt;</t>
  </si>
  <si>
    <t>#51# substrate phenylglyoxal, pH 7.0, 25°C &lt;86&gt;</t>
  </si>
  <si>
    <t>#51# substrate isoamyl pyruvate, pH 7.0, 25°C &lt;86&gt;</t>
  </si>
  <si>
    <t>#53# substrate p-anisaldehyde, pH 6.0, 25°C &lt;97&gt;</t>
  </si>
  <si>
    <t>#53# substrate heptanal, pH 6.0, 25°C &lt;97&gt;</t>
  </si>
  <si>
    <t>#53# substrate hexanal, pH 6.0, 25°C &lt;97&gt;</t>
  </si>
  <si>
    <t>#53# substrate isovaleraldehyde, pH 6.0, 25°C &lt;97&gt;</t>
  </si>
  <si>
    <t>#53# substrate benzaldehyde, pH 6.0, 25°C &lt;97&gt;</t>
  </si>
  <si>
    <t>#53# substrate octanal, pH 6.0, 25°C &lt;97&gt;</t>
  </si>
  <si>
    <t>#53# substrate valeraldehyde, pH 6.0, 25°C &lt;97&gt;</t>
  </si>
  <si>
    <t>#53# substrate methyl glyoxal, pH 6.0, 25°C &lt;97&gt;</t>
  </si>
  <si>
    <t>#54# substrate isovaleraldehyde, pH 6.0, 25°C &lt;97&gt;</t>
  </si>
  <si>
    <t>#54# substrate octanal, pH 6.0, 25°C &lt;97&gt;; #54# substrate  valeraldehyde, pH 6.0, 25°C &lt;97&gt;</t>
  </si>
  <si>
    <t>#54# substrate heptanal, pH 6.0, 25°C &lt;97&gt;</t>
  </si>
  <si>
    <t>#54# substrate hexanal, pH 6.0, 25°C &lt;97&gt;</t>
  </si>
  <si>
    <t>#54# substrate furfural, pH 6.0, 25°C &lt;97&gt;</t>
  </si>
  <si>
    <t>#54# substrate p-anisaldehyde, pH 6.0, 25°C &lt;97&gt;</t>
  </si>
  <si>
    <t>#54# substrate methyl glyoxal, pH 6.0, 25°C &lt;97&gt;</t>
  </si>
  <si>
    <t>#54# substrate benzaldehyde, pH 6.0, 25°C &lt;97&gt;; #60# with  benzaldehyde and NADH as substrates, at pH 7.0 and 30°C &lt;119&gt;</t>
  </si>
  <si>
    <t>#60# with 2-chlorobenzaldehyde and NADPH as substrates, at  pH 7.0 and 30°C &lt;119&gt;</t>
  </si>
  <si>
    <t>#60# with 4-hydroxybenzaldehyde and NADPH as substrates, at  pH 7.0 and 30°C &lt;119&gt;</t>
  </si>
  <si>
    <t>#60# with acetophenone and NADH as substrates, at pH 7.0 and  30°C &lt;119&gt;; #60# with acetophenone and NADPH as substrates, at pH 7.0 and 30°C &lt;119&gt;; #60# with ethyl-4,4,4-trifloro-3-oxo-butanoate and NADPH as substrates, at pH 7.0 and 30°C &lt;119&gt;</t>
  </si>
  <si>
    <t>#60# with ethyl-2-oxo-2-phenylacetate and NADPH as  substrates, at pH 7.0 and 30°C &lt;119&gt;</t>
  </si>
  <si>
    <t>#60# with 2,4-dichlorobenzaldehyde as substrate, at pH 7.5  and 30°C &lt;114&gt;</t>
  </si>
  <si>
    <t>#60# with 4-bromobenzaldehyde as substrate, at pH 7.5 and  30°C &lt;114&gt;</t>
  </si>
  <si>
    <t>#60# with cinnamaldehyde and NADH as substrates, at pH 7.0  and 30°C &lt;119&gt;</t>
  </si>
  <si>
    <t>#60# with 2-oxo-2-phenylacetaldehyde and NADPH as  substrates, at pH 7.0 and 30°C &lt;119&gt;</t>
  </si>
  <si>
    <t>#60# with 2-oxo-2-phenylacetic acid and NADPH as substrates,  at pH 7.0 and 30°C &lt;119&gt;</t>
  </si>
  <si>
    <t>#60# with hexanal as substrate, at pH 7.5 and 30°C &lt;114&gt;</t>
  </si>
  <si>
    <t>#60# with ethyl-2-oxo-2-phenylacetate and NADH as  substrates, at pH 7.0 and 30°C &lt;119&gt;</t>
  </si>
  <si>
    <t>#60# with 1-butanal and NADH as substrates, at pH 7.0 and  30°C &lt;119&gt;</t>
  </si>
  <si>
    <t>#60# with 2-bromobenzaldehyde as substrate, at pH 7.5 and  30°C &lt;114&gt;</t>
  </si>
  <si>
    <t>#60# with cinnamaldehyde and NADPH as substrates, at pH 7.0  and 30°C &lt;119&gt;</t>
  </si>
  <si>
    <t>#60# with 3-fluorobenzaldehyde as substrate, at pH 7.5 and  30°C &lt;114&gt;</t>
  </si>
  <si>
    <t>#60# with 3-hydroxybenzaldehyde and NADPH as substrates, at  pH 7.0 and 30°C &lt;119&gt;</t>
  </si>
  <si>
    <t>#60# with 4-cyanobenzaldehyde as substrate, at pH 7.5 and  30°C &lt;114&gt;</t>
  </si>
  <si>
    <t>#60# with benzaldehyde and NADPH as substrates, at pH 7.0  and 30°C &lt;119&gt;; #60# with benzaldehyde as substrate, at pH 7.5 and 30°C &lt;114&gt;</t>
  </si>
  <si>
    <t>#60# with propanal as substrate, at pH 7.5 and 30°C &lt;114&gt;</t>
  </si>
  <si>
    <t>#60# with pentanal as substrate, at pH 7.5 and 30°C &lt;114&gt;</t>
  </si>
  <si>
    <t>#60# with 2-fluorobenzaldehyde as substrate, at pH 7.5 and  30°C &lt;114&gt;</t>
  </si>
  <si>
    <t>#60# with 2-cyanobenzaldehyde as substrate, at pH 7.5 and  30°C &lt;114&gt;</t>
  </si>
  <si>
    <t>#60# with 3-bromobenzaldehyde as substrate, at pH 7.5 and  30°C &lt;114&gt;</t>
  </si>
  <si>
    <t>#60# with 4-methylbenzaldehyde as substrate, at pH 7.5 and  30°C &lt;114&gt;</t>
  </si>
  <si>
    <t>#60# with 4-methoxybenzaldehyde as substrate, at pH 7.5 and  30°C &lt;114&gt;</t>
  </si>
  <si>
    <t>#60# with 4-nitrobenzaldehyde as substrate, at pH 7.5 and  30°C &lt;114&gt;</t>
  </si>
  <si>
    <t>#9# purified recombinant enzyme &lt;38&gt;</t>
  </si>
  <si>
    <t>#18# shoots, exposed to anthraquinone-2,6-disulfonic acid  &lt;54&gt;</t>
  </si>
  <si>
    <t>#18# roots, exposed to anthraquinone-1,5-disulfonic acid  &lt;54&gt;; #18# shoots, exposed to anthraquinone-1-sulfonic acid &lt;54&gt;</t>
  </si>
  <si>
    <t>#18# shoots, not exposed to anthraquinone-2-sulfonic acid  &lt;54&gt;</t>
  </si>
  <si>
    <t>#18# roots, not exposed to anthraquinone-2,6-disulfonic  acid &lt;54&gt;; #18# roots, not exposed to anthraquinone-2-sulfonic acid &lt;54&gt;</t>
  </si>
  <si>
    <t>#18# shoots, not exposed to anthraquinone-2,6-disulfonic  acid &lt;54&gt;</t>
  </si>
  <si>
    <t>#18# roots, exposed to anthraquinone-1,8-disulfonic acid  &lt;54&gt;; #18# roots, exposed to anthraquinone-2-sulfonic acid &lt;54&gt;</t>
  </si>
  <si>
    <t>#64# shoots, exposed to anthraquinone-1-sulfonic acid  &lt;54&gt;; #18# shoots, not exposed to anthraquinone-1-sulfonic acid &lt;54&gt;</t>
  </si>
  <si>
    <t>#18# roots, exposed to anthraquinone-1-sulfonic acid  &lt;54&gt;; #64# roots, exposed to anthraquinone-2,6-disulfonic acid &lt;54&gt;</t>
  </si>
  <si>
    <t>#64# roots, exposed to anthraquinone-1-sulfonic acid  &lt;54&gt;; #64# shoots, exposed to anthraquinone-2,6-disulfonic acid &lt;54&gt;; #18# shoots, exposed to anthraquinone-2-sulfonic acid &lt;54&gt;</t>
  </si>
  <si>
    <t>#18# roots, exposed to anthraquinone-2,6-disulfonic acid  &lt;54&gt;; #64# shoots, not exposed to anthraquinone-2-sulfonic acid &lt;54&gt;</t>
  </si>
  <si>
    <t>#26# liver microsomes, 7-ethoxycoumarin-O-deethylase  activity, in presence of 0.12 mM Cd2+ &lt;15&gt;</t>
  </si>
  <si>
    <t>#26# liver microsomes, 7-ethoxyresorufin-O-deethylase  activity, in presence of 0.12 mM Cd2+ &lt;15&gt;</t>
  </si>
  <si>
    <t>#26,53# liver microsomes, aminopyrene-N-demethylation  activity, in presence of 0.12 mM Cd2+ &lt;15&gt;</t>
  </si>
  <si>
    <t>#33# purified recombinant Ema1 and Ema16 proteins &lt;16&gt;</t>
  </si>
  <si>
    <t>#39# liver microsomes, 7-ethoxyresorufin-O-deethylase  activity, in presence of 0.12 mM Cd2+ &lt;15&gt;</t>
  </si>
  <si>
    <t>#39# liver microsomes, 7-ethoxycoumarin-O-deethylase  activity, in presence of 0.12 mM Cd2+ &lt;15&gt;</t>
  </si>
  <si>
    <t>#39# liver microsomes, aminopyrene-N-demethylation  activity, in presence of 0.12 mM Cd2+ &lt;15&gt;</t>
  </si>
  <si>
    <t>#39# liver microsomes, 7-ethoxyresorufin-O-deethylase  activity, in absence of Cd2+ &lt;15&gt;</t>
  </si>
  <si>
    <t>#39# liver microsomes, 7-ethoxycoumarin-O-deethylase  activity, in absence of Cd2+ &lt;15&gt;</t>
  </si>
  <si>
    <t>#39# liver microsomes, aminopyrene-N-demethylation  activity, in absence of Cd2+ &lt;15&gt;</t>
  </si>
  <si>
    <t>#53# liver microsomes, 7-ethoxycoumarin-O-deethylase  activity, in presence of 0.12 mM Cd2+ &lt;15&gt;</t>
  </si>
  <si>
    <t>#53# liver microsomes, 7-ethoxyresorufin-O-deethylase  activity, in presence of 0.12 mM Cd2+ &lt;15&gt;</t>
  </si>
  <si>
    <t>#53# liver microsomes, 7-ethoxyresorufin-O-deethylase  activity, in absence of Cd2+ &lt;15&gt;</t>
  </si>
  <si>
    <t>#53# liver microsomes, 7-ethoxycoumarin-O-deethylase  activity, in absence of Cd2+ &lt;15&gt;</t>
  </si>
  <si>
    <t>#53# liver microsomes, aminopyrene-N-demethylation  activity, in absence of Cd2+ &lt;15&gt;</t>
  </si>
  <si>
    <t>#64# roots, exposed to anthraquinone-2-sulfonic acid &lt;54&gt;;  #64# roots, not exposed to anthraquinone-2-sulfonic acid &lt;54&gt;</t>
  </si>
  <si>
    <t>#64# shoots, exposed to anthraquinone-2-sulfonic acid &lt;54&gt;</t>
  </si>
  <si>
    <t>#64# roots, not exposed to anthraquinone-2,6-disulfonic  acid &lt;54&gt;; #64# shoots, not exposed to anthraquinone-2,6-disulfonic acid &lt;54&gt;</t>
  </si>
  <si>
    <t>#64# shoots, not exposed to anthraquinone-1-sulfonic acid  &lt;54&gt;</t>
  </si>
  <si>
    <t>#64# roots, exposed to anthraquinone-1,5-disulfonic acid  &lt;54&gt;</t>
  </si>
  <si>
    <t>#8# shoots, not exposed to anthraquinone-1,8-disulfonic acid  &lt;54&gt;</t>
  </si>
  <si>
    <t>#8# roots, exposed to anthraquinone-2,6-disulfonic acid &lt;54&gt;</t>
  </si>
  <si>
    <t>#8# shoots, exposed to anthraquinone-2,6-disulfonic acid &lt;54&gt;</t>
  </si>
  <si>
    <t>#8# shoots, not exposed to anthraquinone-2-sulfonic acid  &lt;54&gt;</t>
  </si>
  <si>
    <t>#8# shoots, not exposed to anthraquinone-1-sulfonic acid  &lt;54&gt;</t>
  </si>
  <si>
    <t>#8# shoots, exposed to anthraquinone-2-sulfonic acid &lt;54&gt;</t>
  </si>
  <si>
    <t>#8# shoots, exposed to anthraquinone-1-sulfonic acid &lt;54&gt;</t>
  </si>
  <si>
    <t>#8# shoots, exposed to anthraquinone-1,5-disulfonic acid  &lt;54&gt;</t>
  </si>
  <si>
    <t>#8# roots, not exposed to anthraquinone-2-sulfonic acid  &lt;54&gt;</t>
  </si>
  <si>
    <t>#8# roots, not exposed to anthraquinone-2,6-disulfonic acid  &lt;54&gt;</t>
  </si>
  <si>
    <t>#8# roots, exposed to anthraquinone-2-sulfonic acid &lt;54&gt;</t>
  </si>
  <si>
    <t>#8# shoots, not exposed to anthraquinone-2,6-disulfonic acid  &lt;54&gt;</t>
  </si>
  <si>
    <t>#8# shoots, not exposed to anthraquinone-1,5-disulfonic  acid &lt;54&gt;</t>
  </si>
  <si>
    <t>#64# roots, not exposed to anthraquinone-1-sulfonic acid  &lt;54&gt;; #8# shoots, exposed to anthraquinone-1,8-disulfonic acid &lt;54&gt;</t>
  </si>
  <si>
    <t>#20# purified enzyme &lt;27&gt;; #1# purified enzyme from liver  &lt;75&gt;</t>
  </si>
  <si>
    <t>#10# purified enzyme &lt;16&gt;</t>
  </si>
  <si>
    <t>#11# purified enzyme &lt;41&gt;</t>
  </si>
  <si>
    <t>#12# purified enzyme &lt;56&gt;; #12# purified enzyme from  erythrocyte &lt;86&gt;</t>
  </si>
  <si>
    <t>#12# brain homogenate &lt;86&gt;</t>
  </si>
  <si>
    <t>#12# purified enzyme from liver &lt;86&gt;</t>
  </si>
  <si>
    <t>#12# purified enzyme from erythrocytes &lt;89&gt;</t>
  </si>
  <si>
    <t>#12# purified enzyme from brain &lt;86&gt;</t>
  </si>
  <si>
    <t>#13# purified enzyme &lt;68&gt;</t>
  </si>
  <si>
    <t>#14# purified liver enzyme &lt;86&gt;</t>
  </si>
  <si>
    <t>#16# purified enzyme from brain &lt;86&gt;</t>
  </si>
  <si>
    <t>#43# recombinant purified enzyme &lt;61&gt;</t>
  </si>
  <si>
    <t>#28# purified enzyme &lt;47&gt;</t>
  </si>
  <si>
    <t>#3# purified enzyme &lt;65&gt;</t>
  </si>
  <si>
    <t>#31# chloroquine-sensitive strain 3D7, crude extract &lt;85&gt;</t>
  </si>
  <si>
    <t>#31# chloroquine-sensitive strain S106, crude extract &lt;85&gt;</t>
  </si>
  <si>
    <t>#31# chloroquine-resistant strain Dd2, crude extract &lt;85&gt;</t>
  </si>
  <si>
    <t>#31# chloroquine-resistant strains 7G8 and FCR3, crude  extract &lt;85&gt;</t>
  </si>
  <si>
    <t>#31# chloroquine-resistant strain K1, crude extract &lt;85&gt;</t>
  </si>
  <si>
    <t>#31# chloroquine-sensitive strain HB3, crude extract &lt;85&gt;</t>
  </si>
  <si>
    <t>#33# purified liver enzyme &lt;86&gt;</t>
  </si>
  <si>
    <t>#34# purified enzyme &lt;50&gt;</t>
  </si>
  <si>
    <t>#43# purified enzyme &lt;36&gt;</t>
  </si>
  <si>
    <t>#48# purified enzyme &lt;64&gt;</t>
  </si>
  <si>
    <t>#49# enzyme from soluble extract, at 30°C and pH 7.5 &lt;147&gt;</t>
  </si>
  <si>
    <t>#49# after 161fold purification, at 30°C and pH 7.5 &lt;147&gt;</t>
  </si>
  <si>
    <t>#5# purified enzyme &lt;54&gt;</t>
  </si>
  <si>
    <t>#5# purified enzyme &lt;59&gt;</t>
  </si>
  <si>
    <t>#52# purified enzyme &lt;43&gt;</t>
  </si>
  <si>
    <t>#55# crude supernatant of aerobic enzyme &lt;103&gt;</t>
  </si>
  <si>
    <t>#55# anoxic enzyme after 109fold purification &lt;103&gt;</t>
  </si>
  <si>
    <t>#55# crude supernatant of anoxic enzyme &lt;103&gt;</t>
  </si>
  <si>
    <t>#55# aerobic enzyme after 109fold purification &lt;103&gt;</t>
  </si>
  <si>
    <t>#56# purified enzyme &lt;51&gt;</t>
  </si>
  <si>
    <t>#6# using NADPH as substrate, in 50 mM phosphate buffer at pH  7.0 &lt;95&gt;</t>
  </si>
  <si>
    <t>#67# purified native enzyme &lt;84&gt;</t>
  </si>
  <si>
    <t>#68# purified enzyme, substrate glutathione disulfide &lt;87&gt;</t>
  </si>
  <si>
    <t>#7# purified in vitro-synthesized enzyme, 30°C, 0.002 mM FAD  &lt;79&gt;</t>
  </si>
  <si>
    <t>#7# purified enzyme &lt;42&gt;</t>
  </si>
  <si>
    <t>#7# recombinant additional enzyme in Escherichia coli &lt;10&gt;</t>
  </si>
  <si>
    <t>#7# purified enzyme &lt;32&gt;</t>
  </si>
  <si>
    <t>#71# homogenate, in 50 mM potassium phosphate buffer pH 7.0,  at 25°C &lt;163&gt;</t>
  </si>
  <si>
    <t>#71# 89.8fold purified enzyme, in 50 mM potassium phosphate  buffer pH 7.0, at 25°C &lt;163&gt;</t>
  </si>
  <si>
    <t>#71# purified enzyme, at pH 7.0 and 22°C &lt;162&gt;</t>
  </si>
  <si>
    <t>#74# using NADH as electron donor &lt;93&gt;</t>
  </si>
  <si>
    <t>#74# using NADPH as electron donor &lt;93&gt;</t>
  </si>
  <si>
    <t>#78# pH 7.2, 25°C &lt;178&gt;</t>
  </si>
  <si>
    <t>#8# hemolysate, at 25°C, pH 8.0 &lt;134&gt;</t>
  </si>
  <si>
    <t>#8# enzyme from hemolysate, at pH 8.0 and 25°C &lt;158&gt;</t>
  </si>
  <si>
    <t>#8# purified enzyme, with NADH &lt;22&gt;</t>
  </si>
  <si>
    <t>#8# after 2800fold purification, at 25°C, pH 8.0 &lt;134&gt;</t>
  </si>
  <si>
    <t>#8# purified enzyme &lt;19&gt;; #8# purified enzyme from  erythrocyte &lt;86&gt;</t>
  </si>
  <si>
    <t>#8# 2555fold purified enzyme, at 25°C, pH 8.0 &lt;129&gt;</t>
  </si>
  <si>
    <t>#8# after 209fold purification, at pH 8.0 and 25°C &lt;158&gt;</t>
  </si>
  <si>
    <t>#8# hemolysate, at 25°C, pH 8.0 &lt;135&gt;</t>
  </si>
  <si>
    <t>#8# purified enzyme &lt;56&gt;</t>
  </si>
  <si>
    <t>#8# after 2139fold purification, at 25°C, pH 8.0 &lt;135&gt;</t>
  </si>
  <si>
    <t>#8# purified erythrocyte enzyme &lt;83&gt;</t>
  </si>
  <si>
    <t>#8# in HepG2 cells, pH and temperature not specified in the  publication &lt;106&gt;</t>
  </si>
  <si>
    <t>#31# chloroquine-sensitive strain D10, crude extract  &lt;85&gt;; #8# hemolysate, at 25°C, pH 8.0 &lt;129&gt;</t>
  </si>
  <si>
    <t>#8# purified enzyme &lt;20&gt;; #9# after 2356fold purification,  in 100 mM potassium phosphate buffer, pH 7.4, 4 mM EDTA, at 37°C &lt;154&gt;</t>
  </si>
  <si>
    <t>#8# purified protein, with NADPH &lt;22&gt;; #9# purified enzyme  from liver &lt;86&gt;</t>
  </si>
  <si>
    <t>#9# crude liver homogenate, in 100 mM potassium phosphate  buffer, pH 7.4, 4 mM EDTA, at 37°C &lt;154&gt;</t>
  </si>
  <si>
    <t>#9# in C6 glioma cells, pH and temperature not specified in  the publication &lt;106&gt;</t>
  </si>
  <si>
    <t>#9# purified enzyme &lt;34&gt;</t>
  </si>
  <si>
    <t>#9# 25°C, pH not specified in the publication &lt;177&gt;</t>
  </si>
  <si>
    <t>#12# purified enzyme &lt;37&gt;</t>
  </si>
  <si>
    <t>#97# pH 7.6, and temperature not specified in the  publication &lt;185&gt;</t>
  </si>
  <si>
    <t>#2# beta-hydroxyethyldisulfide &lt;1,2&gt;</t>
  </si>
  <si>
    <t>#10# isoenzyme 4 &lt;49&gt;</t>
  </si>
  <si>
    <t>#10# ADH-1 &lt;49&gt;</t>
  </si>
  <si>
    <t>#10# isoenzyme 1 &lt;49&gt;</t>
  </si>
  <si>
    <t>#10# isoenzyme 3 &lt;49&gt;; #11# partially purified liver  enzyme &lt;103&gt;; #51# substrates 1,3-propanediol and NAD+, pH 9.0, 60°C, recombinant enzyme &lt;226&gt;; #51# substrates acetaldehyde and NADH, pH 8.0, 60°C, recombinant enzyme &lt;226&gt;</t>
  </si>
  <si>
    <t>#10# ADH-2 &lt;49&gt;; #125# pH 10.5, 50°C &lt;220&gt;</t>
  </si>
  <si>
    <t>#10# isoenzyme 2 &lt;49&gt;</t>
  </si>
  <si>
    <t>#109# purified mutant enzyme W95L, using benzyl alcohol as  substrate, in 0.1 M glycine-NaOH buffer (pH 10.5</t>
  </si>
  <si>
    <t>#109# purified mutant enzyme W95L/N249Y, using benzyl  alcohol as substrate, in 0.1 M glycine-NaOH buffer (pH 10.5</t>
  </si>
  <si>
    <t>#11# partially purified liver enzyme &lt;104&gt;</t>
  </si>
  <si>
    <t>#111# in Tris-HCl buffer (pH 7.6</t>
  </si>
  <si>
    <t>#115# crude extract Ta1316 ADH with ethanol as a substrate,  at pH 5.0 and 75°C &lt;216&gt;</t>
  </si>
  <si>
    <t>#115# purified Ta1316 ADH with ethanol as a substrate, at  pH 5.0 and 75°C &lt;216&gt;</t>
  </si>
  <si>
    <t>#116# after 1.4fold purifictaion &lt;200&gt;</t>
  </si>
  <si>
    <t>#116# crude enzyme, after heat treatment at 75°C for 20 min  &lt;200&gt;</t>
  </si>
  <si>
    <t>#118# substrate ethanol, pH 8, 60°C &lt;218&gt;</t>
  </si>
  <si>
    <t>#12# substrate furfural, pH 7.0, 30°C &lt;287&gt;</t>
  </si>
  <si>
    <t>#12# substrate glycolaldehyde, pH 7.0, 30°C &lt;287&gt;</t>
  </si>
  <si>
    <t>#12# substrate formaldehyde, pH 7.0, 30°C &lt;287&gt;</t>
  </si>
  <si>
    <t>#120# pH 6.7, 30°C, mutant enzyme S109P/L116S/Y294C &lt;196&gt;</t>
  </si>
  <si>
    <t>#126# pH 5.5, 65°C &lt;222&gt;</t>
  </si>
  <si>
    <t>#131# purified native enzyme, pH 6.5, 30°C &lt;228&gt;</t>
  </si>
  <si>
    <t>#146# substrate butan-2,3-diol, maximal specific activity  detected in oxidation reaction, 70°C, pH 8.8 &lt;141&gt;</t>
  </si>
  <si>
    <t>#146# substrate diacetyl-acetoin, maximal specific activity  detected in reduction reaction, 70°C, pH 6.1 &lt;141&gt;</t>
  </si>
  <si>
    <t>#147# wild-type, cosubstrate NADPH, pH 7.0, 55°C &lt;262&gt;</t>
  </si>
  <si>
    <t>#147# wild-type, cosubstrate NADH, pH 7.0, 55°C &lt;262&gt;</t>
  </si>
  <si>
    <t>#147# gene AdhE deletion mutant, cosubstrate NADPH, pH 7.0,  55°C &lt;262&gt;</t>
  </si>
  <si>
    <t>#150# gene AdhE deletion mutant, cosubstrate NADPH, pH 7.0,  55°C &lt;262&gt;</t>
  </si>
  <si>
    <t>#150# wild-type, cosubstrate NADPH, pH 7.0, 55°C &lt;262&gt;</t>
  </si>
  <si>
    <t>#150# wild-type, cosubstrate NADH, pH 7.0, 55°C &lt;262&gt;</t>
  </si>
  <si>
    <t>#155# substrate butan-1-ol, pH 6.5, 60°C &lt;275&gt;</t>
  </si>
  <si>
    <t>#165# purified native enzyme, pH 7.0, 30°C, ethanol  oxidation with NAD+ &lt;290&gt;</t>
  </si>
  <si>
    <t>#170# recombinant enzyme, crude Escherichia coli cell  extract, substrate ethyl 4-chloro-3-oxobutanoate, pH 7.0, 30°C &lt;306&gt;</t>
  </si>
  <si>
    <t>#171# recombinant enzyme, crude Escherichia coli cell  extract, substrate ethyl 4-chloro-3-oxobutanoate, pH 7.0, 30°C &lt;306&gt;</t>
  </si>
  <si>
    <t>#172# purified recombinant His-tagged wild-type enzyme, pH  7.5, temperature not specified in the publication, aldehyde formation &lt;305&gt;</t>
  </si>
  <si>
    <t>#172# purified recombinant His-tagged mutant C243S, pH 7.5,  temperature not specified in the publication, aldehyde formation &lt;305&gt;</t>
  </si>
  <si>
    <t>#174# recombinant enzyme, crude Escherichia coli cell  extract, substrate ethyl 4-chloro-3-oxobutanoate, pH 7.0, 30°C &lt;306&gt;</t>
  </si>
  <si>
    <t>#175# recombinant enzyme, crude Escherichia coli cell  extract, substrate ethyl 4-chloro-3-oxobutanoate, pH 7.0, 30°C &lt;306&gt;</t>
  </si>
  <si>
    <t>#178# pH 7.0, 30°C, substrate benzaldehyde with NADPH  &lt;310&gt;</t>
  </si>
  <si>
    <t>#178# pH 7.0, 30°C, substrate 3.methylbutanal with NADPH  &lt;310&gt;</t>
  </si>
  <si>
    <t>#178# pH 7.0, 30°C, substrate 5-hydroxymethylfurfural with  NADH &lt;310&gt;</t>
  </si>
  <si>
    <t>#178# pH 7.0, 30°C, substrate glycolaldehyde with NADH  &lt;310&gt;</t>
  </si>
  <si>
    <t>#178# pH 7.0, 30°C, substrate acetaldehyde with NADH  &lt;310&gt;</t>
  </si>
  <si>
    <t>#178# pH 7.0, 30°C, substrate furfural with NADH &lt;310&gt;</t>
  </si>
  <si>
    <t>#18# recombinant enzyme, crude Escherichia coli cell  extract, substrate ethyl 4-chloro-3-oxobutanoate, pH 7.0, 30°C &lt;306&gt;</t>
  </si>
  <si>
    <t>#21# wild-type enzyme Adh1-1S &lt;97&gt;</t>
  </si>
  <si>
    <t>#21# mutant enzyme Adh1-1S1108 &lt;97&gt;</t>
  </si>
  <si>
    <t>#27# partially purified enzyme &lt;131&gt;</t>
  </si>
  <si>
    <t>#44# reduction of 3-oxo-5beta-androstan-17beta-ol &lt;42&gt;</t>
  </si>
  <si>
    <t>#44# reduction of cyclohexanone &lt;42&gt;; #109# purified wild  type enzyme, using benzyl alcohol as substrate, in 0.1 M glycine-NaOH buffer (pH 10.5</t>
  </si>
  <si>
    <t>#45# enzyme form ADHI &lt;68&gt;</t>
  </si>
  <si>
    <t>#45# enzyme form ADHII &lt;68&gt;</t>
  </si>
  <si>
    <t>#49# wild type recombinant enzyme, after 450fold  purification, at 65°C &lt;168&gt;</t>
  </si>
  <si>
    <t>#49# mutant recombinant enzyme E97C, after 260fold  purification, at 65°C &lt;168&gt;</t>
  </si>
  <si>
    <t>#49# after 12.9fold purification, at pH 10.0 &lt;162&gt;</t>
  </si>
  <si>
    <t>#49# mutant recombinant enzyme E97C, from crude extract, at  65°C &lt;168&gt;</t>
  </si>
  <si>
    <t>#49# recombinant wild type enzyme, after 6fold purification,  at 65°C &lt;166&gt;</t>
  </si>
  <si>
    <t>#49# crude extract, at pH 10.0 &lt;162&gt;</t>
  </si>
  <si>
    <t>#49# wild type enzyme, crude extract, at 65°C &lt;166&gt;</t>
  </si>
  <si>
    <t>#49# wild type recombinant enzyme, from crude extract,  at 65°C &lt;168&gt;; #150# gene AdhE deletion mutant, cosubstrate NADH, pH 7.0, 55°C &lt;262&gt;</t>
  </si>
  <si>
    <t>#49# mutant enzyme N249Y, after 6fold purification, at  65°C &lt;166&gt;</t>
  </si>
  <si>
    <t>#51# substrates 1,3-propanediol and NAD+, pH 9.0, 60°C,  recombinant enzyme, with NiCl2 addition &lt;226&gt;</t>
  </si>
  <si>
    <t>#51# substrates ethanol and NAD+, pH 9.0, 60°C, recombinant  enzyme &lt;226&gt;</t>
  </si>
  <si>
    <t>#6# isoenzyme A2 &lt;48&gt;</t>
  </si>
  <si>
    <t>#6# isoenzyme C2 &lt;48&gt;</t>
  </si>
  <si>
    <t>#6# isoenzyme B2 &lt;48&gt;</t>
  </si>
  <si>
    <t>#64# purified ADH II &lt;116&gt;</t>
  </si>
  <si>
    <t>#64# purified ADH I &lt;116&gt;</t>
  </si>
  <si>
    <t>#88# purified recombinant enzyme, pH 6.5, 50°C &lt;229&gt;</t>
  </si>
  <si>
    <t>#10# ADH-3 &lt;49&gt;</t>
  </si>
  <si>
    <t>#91# recombinant enzyme, crude Escherichia coli cell extract,  substrate ethyl 4-chloro-3-oxobutanoate, pH 7.0, 30°C &lt;306&gt;</t>
  </si>
  <si>
    <t>#92# purified enzyme &lt;121&gt;</t>
  </si>
  <si>
    <t>#98# purified enzyme, using benzylalcohol as substrate, at  80°C &lt;165&gt;</t>
  </si>
  <si>
    <t>#98# after 5.67fold purification, using benzylalcohol as  substrate, at 65°C &lt;165&gt;</t>
  </si>
  <si>
    <t>#98# crude extract, using benzylalcohol as substrate, at  65°C &lt;165&gt;; #147# gene AdhE deletion mutant, cosubstrate NADH, pH 7.0, 55°C &lt;262&gt;</t>
  </si>
  <si>
    <t>#99# crude extract, at pH 10.0 &lt;162&gt;</t>
  </si>
  <si>
    <t>#99# after 12.9fold purification, at pH 10.0 &lt;162&gt;</t>
  </si>
  <si>
    <t>#24# micromol/min/mg protein, Vmax  (R</t>
  </si>
  <si>
    <t>#29# micromol/min/mg protein, Vmax  (R</t>
  </si>
  <si>
    <t>#35# recombinant protein, expressed in Trypanosoma brucei  which lacks GLO1 activity, procyclic form, pH 7.0, 25°C &lt;105&gt;</t>
  </si>
  <si>
    <t>#35# recombinant protein, expressed in Trypanosoma brucei  which lacks GLO1 activity, bloodstream form, pH 7.0, 25°C &lt;105&gt;</t>
  </si>
  <si>
    <t>#35# whole cell lysate, pH 7.0, 25°C &lt;105&gt;</t>
  </si>
  <si>
    <t>#39# 30°C, pH 7.0 &lt;73&gt;</t>
  </si>
  <si>
    <t>#40# micromol/min/mg protein, Vmax  (R</t>
  </si>
  <si>
    <t>#45# after 184fold purification, at 22°C &lt;119&gt;</t>
  </si>
  <si>
    <t>#45# crude extract, at 22°C &lt;119&gt;</t>
  </si>
  <si>
    <t>#49# towards methylglyoxal &lt;50&gt;</t>
  </si>
  <si>
    <t>#49# towards phenylglyoxal &lt;50&gt;</t>
  </si>
  <si>
    <t>#54# whole cell lysate, pH 7.0, 25°C &lt;105&gt;</t>
  </si>
  <si>
    <t>#56# mutant, at pH 5.0 &lt;81&gt;</t>
  </si>
  <si>
    <t>#56# wild-type, at pH 5.0 &lt;81&gt;</t>
  </si>
  <si>
    <t>#6# in the presence of 2 g/l S-propyl-cysteine, 1.5fold  higher activity than without S-ethyl cysteine, pH 6.6, 37°C &lt;111&gt;</t>
  </si>
  <si>
    <t>#6# slightly increased activity compared to enzyme assay  without ascorbic acid, pH 6.6, 37°C &lt;111&gt;</t>
  </si>
  <si>
    <t>#6# in the presence of 2 g/l S-ethyl cysteine, 1.4fold  higher activity than without S-ethyl cysteine, pH 6.6, 37°C &lt;111&gt;</t>
  </si>
  <si>
    <t>#6# in the presence of 1 g/l S-ethyl cysteine, 1.2fold  higher activity than without S-ethyl cysteine, pH 6.6, 37°C &lt;111&gt;</t>
  </si>
  <si>
    <t>#6# without addition of S-ethyl cysteine, s-propyl-cysteine,  or ascorbic acid, pH 6.6, 37°C &lt;111&gt;</t>
  </si>
  <si>
    <t>#6# in the presence of 1 g/l S-propyl-cysteine, 1.3fold  higher activity than without S-ethyl cysteine, pH 6.6, 37°C &lt;111&gt;</t>
  </si>
  <si>
    <t>#71# micromol/min/mg protein, native enzyme from crude  lysate, pH 7.2, room temperature &lt;71&gt;</t>
  </si>
  <si>
    <t>#71# micromol/min/mg protein, recombinant enzyme, pH 7.2,  room temperature &lt;71&gt;</t>
  </si>
  <si>
    <t>#8# prostate cancer cell PC-3 cell, pH 7.0, 30°C &lt;112&gt;</t>
  </si>
  <si>
    <t>#8# brain astrocytoma 1321N1 cell, pH 7.0, 30°C &lt;112&gt;</t>
  </si>
  <si>
    <t>#8# breast cancer cell MDA-MD-231 cell, pH 7.0, 30°C &lt;112&gt;</t>
  </si>
  <si>
    <t>#8# breast cancer cell JIMT-1 cell, pH 7.0, 30°C &lt;112&gt;</t>
  </si>
  <si>
    <t>#8# 30°C, pH 7.0 &lt;73&gt;</t>
  </si>
  <si>
    <t>#8# purified recombinant enzyme, pH 7.3, 25°C &lt;156&gt;</t>
  </si>
  <si>
    <t>#9# kidney enzyme &lt;16&gt;</t>
  </si>
  <si>
    <t>#9# erythrocyte enzyme &lt;16&gt;</t>
  </si>
  <si>
    <t>#9# erythrocytes &lt;2&gt;</t>
  </si>
  <si>
    <t>#9# liver enzyme &lt;16&gt;</t>
  </si>
  <si>
    <t>#9# liver &lt;2&gt;</t>
  </si>
  <si>
    <t>#9# brain enzyme &lt;16&gt;</t>
  </si>
  <si>
    <t>#9# addition of 6 g/kg ethanol, 68% activity of control  without ethanol &lt;104&gt;</t>
  </si>
  <si>
    <t>#9# without addition of ethanol, iron, or taurine &lt;104&gt;</t>
  </si>
  <si>
    <t>#9# addition of 6 g/kg ethanol and iron, 57% activity of  control without ethanol and iron &lt;104&gt;</t>
  </si>
  <si>
    <t>#9# addition of 6 g/kg ethanol, iron, and 2% (w/v</t>
  </si>
  <si>
    <t>#9# addition of 6 g/kg ethanol and 2% (w/v</t>
  </si>
  <si>
    <t>#9# addition of 2% (w/v</t>
  </si>
  <si>
    <t>#92# purified recombinant enzyme with Ni2+ addition, pH  7.2, temperature not specified in the publication &lt;158&gt;</t>
  </si>
  <si>
    <t>#92# purified recombinant enzyme without metal ion, pH 7.2,  temperature not specified in the publication &lt;158&gt;</t>
  </si>
  <si>
    <t>#1# with 1,2-epoxy-3-(4-nitrophenoxy</t>
  </si>
  <si>
    <t>#1# purified native GSH-S transferase rho &lt;202&gt;</t>
  </si>
  <si>
    <t>#1# with 4-nitrobenzyl chloride as substrate &lt;7&gt;; #105#  using cumene hydroperoxide as a substrate &lt;159&gt;</t>
  </si>
  <si>
    <t>#1# with 1-chloro-2,4-dinitrobenzene + glutathione  or trans-4-phenyl-3-buten-2-one as substrate &lt;7&gt;; #11# with cumene hydroperoxide as substrate &lt;16&gt;; #163# mutant enzyme Y215A, using 1,2-dichloro-4-nitrobenzene as a substrate &lt;156&gt;; #163# wild type enzyme, using 4-nitrophenethyl bromide as a substrate &lt;156&gt;; #178# with 2,4-hexadienal as a substrate &lt;181&gt;</t>
  </si>
  <si>
    <t>#1# with ethacrynic acid as substrate &lt;7&gt;; #150# with  1-chloro-2,4-dinitrobenzene as substrate, isoform GST20, at pH 7.0, temperature not specified in the publication &lt;283&gt;</t>
  </si>
  <si>
    <t>#10# Escherichia ccoli ATCC 25922 &lt;98&gt;</t>
  </si>
  <si>
    <t>#10# Escherichia coli ATCC 25422 &lt;98&gt;</t>
  </si>
  <si>
    <t>#104# isoform GST1, with 1-chloro-2,4-dinitrobenzene as  substrate, at pH 8.5 and 25°C &lt;303&gt;</t>
  </si>
  <si>
    <t>#104# isoform GST2, with trans-trans-2,4-nonadienal as  substrate, at pH 8.5 and 25°C &lt;303&gt;</t>
  </si>
  <si>
    <t>#104# isoform GST1, with trans-trans-2,4-nonadienal as  substrate, at pH 8.5 and 25°C &lt;303&gt;</t>
  </si>
  <si>
    <t>#104# isoform GST2, with 1-chloro-2,4-dinitrobenzene as  substrate, at pH 8.5 and 25°C &lt;303&gt;</t>
  </si>
  <si>
    <t>#104# isoform GST2, with trans-trans-2,4-decadienal as  substrate, at pH 8.5 and 25°C &lt;303&gt;</t>
  </si>
  <si>
    <t>#110# recation with 2,4-dinitro-1-iodobenzene &lt;87&gt;;  #104# isoform GST2, with trans-trans-2,4-hexadienal as substrate, at pH 8.5 and 25°C &lt;303&gt;</t>
  </si>
  <si>
    <t>#171# mutant enzyme A113V, with ethacrynic acid &lt;178&gt;;  #104# isoform GST2, with 1,2-dichloro-4,5-dinitrobenzene as substrate, at pH 8.5 and 25°C &lt;303&gt;</t>
  </si>
  <si>
    <t>#105# using 1,2-epoxy-3-(p-nitrophenoxy</t>
  </si>
  <si>
    <t>#105# using sulforaphane as a substrate &lt;159&gt;</t>
  </si>
  <si>
    <t>#105# using 4-chloro-7-nitrobenzo-2-oxa-1,3-diazole as a  substrate &lt;159&gt;</t>
  </si>
  <si>
    <t>#159# using 3-iodopropylbenzene as substrate  &lt;185&gt;; #105# using 4-nitrobenzylchloride as a substrate &lt;159&gt;; #178# with 1,2-dichloro-4-nitrobenzene as a substrate &lt;181&gt;; #200# isoform GSTd14, with cumene hydroperoxide as substrate, at pH 6.5 and 25°C &lt;280&gt;</t>
  </si>
  <si>
    <t>#160# using 1,4-diiodobutane as substrate  &lt;185&gt;; #183# using 3-iodopropylbenzene as substrate &lt;185&gt;; #105# using ethacrynic acid as a substrate &lt;159&gt;; #208# substrate 1-chloro-2,4-dinitrobenzene, gill enzyme &lt;215&gt;</t>
  </si>
  <si>
    <t>#171# mutant enzyme T67A, in phosphate buffer (pH  6.5</t>
  </si>
  <si>
    <t>#106# after 162fold purification &lt;184&gt;</t>
  </si>
  <si>
    <t>#106# after 162fold purification &lt;184&gt;; #163# mutant  enzyme F212E, using 1-chloro-2,4-dinitrobenzene as a substrate &lt;156&gt;</t>
  </si>
  <si>
    <t>#108# activity with 1,2-dichloro-4-nitrobenzene &lt;100&gt;</t>
  </si>
  <si>
    <t>#108# activity with 2,3-hexadienal &lt;100&gt;</t>
  </si>
  <si>
    <t>#11# isoenzyme delta &lt;13&gt;</t>
  </si>
  <si>
    <t>#11# isoenzyme epsilon &lt;13&gt;</t>
  </si>
  <si>
    <t>#11# isoenzyme beta &lt;13&gt;</t>
  </si>
  <si>
    <t>#11# purified wild-type GST T1-1, substrate 1-iodomethane  &lt;110&gt;</t>
  </si>
  <si>
    <t>#11# isoenzyme gamma &lt;13&gt;</t>
  </si>
  <si>
    <t>#11# purified recombinant isozyme GST A1-1 &lt;124&gt;</t>
  </si>
  <si>
    <t>#11# with 1-chloro-2,4-dinitrobenzene as substrate &lt;16&gt;</t>
  </si>
  <si>
    <t>#11# with acrolein, isoenzyme P1-1 &lt;52&gt;</t>
  </si>
  <si>
    <t>#11# purified recombinant isozyme GST M2-2 &lt;124&gt;</t>
  </si>
  <si>
    <t>#11# purified recombinant isozyme GST P1-1 &lt;124&gt;</t>
  </si>
  <si>
    <t>#11# with acrolein, isoenzyme A1-1 &lt;52&gt;</t>
  </si>
  <si>
    <t>#11# with adenine propenal, isoenzyme P1-1 &lt;52&gt;</t>
  </si>
  <si>
    <t>#11# purified recombinant isozyme GST M1-1 &lt;124&gt;</t>
  </si>
  <si>
    <t>#11# isozyme GST A2-2, using  1-methyl-4-nitro-5-(4-nitrophenylthio</t>
  </si>
  <si>
    <t>#11# with 1-chloro-2,4-dinitrobenzene as substrate &lt;67&gt;</t>
  </si>
  <si>
    <t>#11# with glutathione as substrate &lt;67&gt;</t>
  </si>
  <si>
    <t>#11# with cumene hydroperoxide as substrate &lt;23&gt;</t>
  </si>
  <si>
    <t>#11# with acrolein, isoenzyme M1-1 &lt;52&gt;</t>
  </si>
  <si>
    <t>#11# with 1-chloro-2,4-dinitrobenzene as substrate &lt;23&gt;</t>
  </si>
  <si>
    <t>#11# with 1-chloro-2,4-dinitrobenzene as substrate &lt;21&gt;</t>
  </si>
  <si>
    <t>#11# purified wild-type GST T1-1, substrate  1,2-epoxy-3-(4-nitro-phenoxy</t>
  </si>
  <si>
    <t>#11# with adenine propenal, isoenzyme A1-1 &lt;52&gt;; #108#  activity with trans-2-nonenal &lt;100&gt;</t>
  </si>
  <si>
    <t>#108# activity with 1-chloro-2,4-dinitrobenzene &lt;100&gt;;  #11# purified recombinant isozyme GST A2-2 &lt;124&gt;</t>
  </si>
  <si>
    <t>#11# with trans-4-phenyl-3-buten-2-one as  substrate &lt;16&gt;; #12# mutant enzyme R15Q &lt;84&gt;; #159# isozyme GST A3-3, using azathioprine as a substrate &lt;153&gt;; #163# mutant enzyme F212H, using 4-nitrobenzyl chloride as a substrate &lt;156&gt;; #200# isoform GSTd10, with 1,2-dicloro-4-nitrobenzene as substrate, at pH 6.5 and 25°C &lt;280&gt;; #22# less than 0.01 micromol/min/mg with 0.1 mM 4-nitrobenzyl chloride as substrate, at pH 6.0 and 25°C &lt;282&gt;; #22# less than 0.01 micromol/min/mg with 0.1 mM benzyl isothiocyanate as substrate, at pH 6.0 and 25°C &lt;282&gt;; #22# less than 0.01 micromol/min/mg with 0.1 mM crotonaldehyde as substrate, at pH 6.0 and 25°C &lt;282&gt;</t>
  </si>
  <si>
    <t>#11# isozyme GST A2-2, using azathioprine as a substrate  &lt;153&gt;; #162# using hexa 2,4-dienal as a substrate &lt;155&gt;</t>
  </si>
  <si>
    <t>#11# with 1,2-epoxy-3-(4-nitrophenoxy</t>
  </si>
  <si>
    <t>#11# with adenine propenal, isoenzyme M1-1 &lt;52&gt;; #171#  wild type enzyme, with 7-chloro-4-nitrobenz-2-oxa-1,3-diazole &lt;178&gt;</t>
  </si>
  <si>
    <t>#11# with 3,4-dichloro-1-nitrobenzene as substrate  &lt;16&gt;; #184# using 1,6-diiodohexane as substrate &lt;185&gt;; #184# using 3-iodopropylbenzene as substrate &lt;185&gt;; #182# using iodohexane as substrate &lt;185&gt;</t>
  </si>
  <si>
    <t>#11# with styrene oxide as substrate &lt;16&gt;; #22# with 0.1  mM 4-hydroxy-(E</t>
  </si>
  <si>
    <t>#11# species with very low isoelectric point from  erythrocytes &lt;13&gt;; #24# GST I &lt;45&gt;</t>
  </si>
  <si>
    <t>#110# reaction with 1-chloro-2,4-dinitrobenzene &lt;87&gt;</t>
  </si>
  <si>
    <t>#111# reaction with 1-chloro-2,4-dinitrobenzene &lt;87&gt;</t>
  </si>
  <si>
    <t>#12# with 1,2-dichloro-4-nitrobenzene as substrate &lt;46&gt;</t>
  </si>
  <si>
    <t>#12# microsomal isozyme in presence of superoxide dismutase  &lt;209&gt;</t>
  </si>
  <si>
    <t>#12# microsomal isozyme &lt;209&gt;</t>
  </si>
  <si>
    <t>#12# isoenzyme A &lt;13&gt;</t>
  </si>
  <si>
    <t>#12# mutant enzyme R131W &lt;84&gt;</t>
  </si>
  <si>
    <t>#12# lung enzyme &lt;40&gt;</t>
  </si>
  <si>
    <t>#12# with 1-chloro-2,4-dinitrobenzene as substrate &lt;46&gt;</t>
  </si>
  <si>
    <t>#12# liver enzyme &lt;40&gt;</t>
  </si>
  <si>
    <t>#12# isoenzyme C &lt;38&gt;</t>
  </si>
  <si>
    <t>#12# cytosolic isozyme in presence of superoxide dismutase  &lt;209&gt;</t>
  </si>
  <si>
    <t>#12# microsomal isozyme in presence of Fe3+/ascorbate  &lt;209&gt;</t>
  </si>
  <si>
    <t>#12# isoenzyme E &lt;13&gt;</t>
  </si>
  <si>
    <t>#12# isoenzyme A &lt;38&gt;</t>
  </si>
  <si>
    <t>#12# with 1-chloro-2,4-dinitrobenzene as substrate &lt;24&gt;</t>
  </si>
  <si>
    <t>#12# cytosolic isozyme in presence of Fe3+/ascorbate &lt;209&gt;</t>
  </si>
  <si>
    <t>#12# cytosolic isozyme in presence of catalase &lt;209&gt;</t>
  </si>
  <si>
    <t>#12# cytosolic isozyme &lt;209&gt;</t>
  </si>
  <si>
    <t>#12# isoenzyme C &lt;13&gt;; #104# isoform GST1, with  1,2-dichloro-4,5-dinitrobenzene as substrate, at pH 8.5 and 25°C &lt;303&gt;</t>
  </si>
  <si>
    <t>#111# recation with 2,4-dinitro-1-iodobenzene  &lt;87&gt;; #160# using iodohexane as substrate &lt;185&gt;; #127# substrate 1-chloro-2,4-dinitrobenzene, gill enzyme &lt;215&gt;</t>
  </si>
  <si>
    <t>#12# with 1-chloro-2,4-dinitrobenzene as substrate  &lt;28&gt;; #171# mutant enzyme I104V, with ethacrynic acid &lt;178&gt;; #150# with ethacrynic acid as substrate, isoform GST20, at pH 7.0, temperature not specified in the publication &lt;283&gt;</t>
  </si>
  <si>
    <t>#12# with cumene hydroperoxide as substrate &lt;28&gt;; #163#  mutant enzyme F212H, using ethacrynic acid as a substrate &lt;156&gt;</t>
  </si>
  <si>
    <t>#12# with ethacrynic acid as substrate &lt;28&gt;;  #185# crude extract, in 0.1 M potassium phosphate buffer (pH 6.5</t>
  </si>
  <si>
    <t>#12# isoenzyme AA &lt;13&gt;; #164# using allyl-isothiocyanate  as a substrate &lt;159&gt;</t>
  </si>
  <si>
    <t>#12# mutant enzyme Y9F &lt;84&gt;; #171# mutant enzyme Y7F, at  30°C, in 0.1 M potassium phosphate buffer, pH 6.5 &lt;187&gt;</t>
  </si>
  <si>
    <t>#12# with 4-nitrophenyl acetate as substrate &lt;28&gt;;  #195# isozyme GSTS1, using ethacrynic acid as a substrate, at 25°C &lt;168&gt;; #171# mutant enzyme R74Q, in phosphate buffer (pH 6.5</t>
  </si>
  <si>
    <t>#178# with trans-2-nonenal as a substrate &lt;181&gt;;  #12# microsomal isozyme in presence of catalase &lt;209&gt;; #203# purified protein with poly(His</t>
  </si>
  <si>
    <t>#12# isoenzyme B &lt;13&gt;; #182# using 1,4-diiodobutane as  substrate &lt;185&gt;</t>
  </si>
  <si>
    <t>#12# mutant enzyme Y9T &lt;84&gt;; #160# isozyme GST  A3-3, using 1-methyl-4-nitro-5-(4-nitrophenylthio</t>
  </si>
  <si>
    <t>#12# with 1,2-epoxy-3-(4-nitrophenoxy</t>
  </si>
  <si>
    <t>#120# somatic extract &lt;158&gt;</t>
  </si>
  <si>
    <t>#120# after 265.9fold purification &lt;158&gt;</t>
  </si>
  <si>
    <t>#120# after 43.2fold purification, using  1-chloro-2,4-dinitrobenzene as a substrate &lt;167&gt;</t>
  </si>
  <si>
    <t>#121# using 1-chloro-2,4-dinitrobenzene as a substrate,  at 25°C &lt;183&gt;</t>
  </si>
  <si>
    <t>#122# using 1-chloro-2,4-dinitrobenzene as a substrate,  at 25°C &lt;183&gt;</t>
  </si>
  <si>
    <t>#125# with trans-4-phenyl-3-butene-2-one as substrate, at  pH 7.5 and 30°C &lt;315&gt;</t>
  </si>
  <si>
    <t>#125# with trans-2-nonenal as substrate, at pH 7.5 and 30°C  &lt;315&gt;</t>
  </si>
  <si>
    <t>#125# with hexa-2,4-dienal as substrate, at pH 7.5 and 30°C  &lt;315&gt;</t>
  </si>
  <si>
    <t>#125# with 4-nitroquinoline-1-oxide as substrate, at pH  7.5 and 30°C &lt;315&gt;</t>
  </si>
  <si>
    <t>#125# with 1-chloro-2,4-dinitrobenzene as substrate, at pH  7.5 and 30°C &lt;315&gt;</t>
  </si>
  <si>
    <t>#126# in 0.1 M sodium phosphate buffer, pH 6.5, at 25°C  &lt;171&gt;</t>
  </si>
  <si>
    <t>#127# substrate 1-chloro-2,4-dinitrobenzene, liver enzyme  &lt;215&gt;</t>
  </si>
  <si>
    <t>#13# with cumene hydroperoxide as substrate &lt;22&gt;</t>
  </si>
  <si>
    <t>#13# with 1-chloro-2,4-dinitrobenzene as substrate &lt;22&gt;</t>
  </si>
  <si>
    <t>#138# purified liver GST, substrate  1-chloro-2,4-dinitrobenzene &lt;108&gt;</t>
  </si>
  <si>
    <t>#141# purified recombinant enzyme, substrate  2-hydroxyethyl disulfide &lt;127&gt;</t>
  </si>
  <si>
    <t>#141# purified recombinant enzyme, substrate  1-chloro-2,4-dinitrobenzene in presence of 10 mM EDTA &lt;127&gt;</t>
  </si>
  <si>
    <t>#141# purified recombinant enzyme, substrate  1-chloro-2,4-dinitrobenzene in absence of 10 mM EDTA &lt;127&gt;</t>
  </si>
  <si>
    <t>#143# purified native enzyme &lt;121&gt;</t>
  </si>
  <si>
    <t>#145# purified enzyme &lt;141&gt;</t>
  </si>
  <si>
    <t>#15# with 1,2-dinitrobenzene &lt;11&gt;</t>
  </si>
  <si>
    <t>#15# more anionic isoenzyme &lt;12&gt;</t>
  </si>
  <si>
    <t>#15# less anionic isoenzyme &lt;12&gt;</t>
  </si>
  <si>
    <t>#15# isozyme GST A1-1, using  1-methyl-4-nitro-5-(4-nitrophenylthio</t>
  </si>
  <si>
    <t>#15# with 1-chloro-2,4-dinitrobenzene &lt;11&gt;; #105# using  allyl-isothiocyanate as a substrate &lt;159&gt;</t>
  </si>
  <si>
    <t>#15# isozyme GST A1-1, using azathioprine as a  substrate &lt;153&gt;; #184# isozyme GST A2-2, using azathioprine as a substrate &lt;153&gt;; #163# mutant enzyme F212H, using 1,2-dichloro-4-nitrobenzene as a substrate &lt;156&gt;; #163# mutant enzyme Y215E, using 4-nitrophenethyl bromide as a substrate &lt;156&gt;; #34# purified recombinant mutant F113A, pH 6.5, 25°C, substrate 4-nitrobenzyl chloride &lt;256&gt;</t>
  </si>
  <si>
    <t>#150# with ethacrynic acid as substrate, isoform GST7, at pH  7.0, temperature not specified in the publication &lt;283&gt;</t>
  </si>
  <si>
    <t>#150# with 1-chloro-2,4-dinitrobenzene as substrate,  isoform GST7, at pH 7.0, temperature not specified in the publication &lt;283&gt;</t>
  </si>
  <si>
    <t>#150# with 1,2-epoxy-3-(4-nitrophenoxy</t>
  </si>
  <si>
    <t>#181# using 1,4-diiodobutane as substrate &lt;185&gt;; #150#  with 1,2-epoxy-3-(4-nitrophenoxy</t>
  </si>
  <si>
    <t>#159# using 1,2-diiodoethane as substrate &lt;185&gt;</t>
  </si>
  <si>
    <t>#159# using iodohexane as substrate &lt;185&gt;</t>
  </si>
  <si>
    <t>#159# using 1,4-diiodobutane as substrate &lt;185&gt;</t>
  </si>
  <si>
    <t>#159# isozyme GST A3-3, using  1-methyl-4-nitro-5-(4-nitrophenylthio</t>
  </si>
  <si>
    <t>#241# purified recombinant enzyme, substrate  ethacrynic acid &lt;123&gt;; #182# isozyme GST A1-1, using azathioprine as a substrate &lt;153&gt;; #171# mutant enzyme D94N, in phosphate buffer (pH 6.5</t>
  </si>
  <si>
    <t>#16# after 6332fold purification, at 25°C &lt;152&gt;</t>
  </si>
  <si>
    <t>#16# crude extract, at 25°C &lt;152&gt;</t>
  </si>
  <si>
    <t>#160# using 1,2-diiodoethane as substrate &lt;185&gt;</t>
  </si>
  <si>
    <t>#160# isozyme GST A3-3, using azathioprine as a substrate  &lt;153&gt;</t>
  </si>
  <si>
    <t>#171# mutant enzyme D90N, in phosphate buffer (pH  6.5</t>
  </si>
  <si>
    <t>#161# recombinant enzyme, at 25°C &lt;154&gt;</t>
  </si>
  <si>
    <t>#162# using 1,2-dichloro-4-nitrobenzene as a substrate  &lt;155&gt;</t>
  </si>
  <si>
    <t>#162# using cumene hydroperoxide as a substrate &lt;155&gt;</t>
  </si>
  <si>
    <t>#162# using 1-chloro-2,4-dinitrobenzene as a substrate  &lt;155&gt;</t>
  </si>
  <si>
    <t>#162# using ethacrynic acid as a substrate &lt;155&gt;</t>
  </si>
  <si>
    <t>#163# mutant enzyme Q112A, using  1,2-dichloro-4-nitrobenzene as a substrate &lt;156&gt;</t>
  </si>
  <si>
    <t>#163# mutant enzyme F212L, using  1,2-dichloro-4-nitrobenzene as a substrate &lt;156&gt;</t>
  </si>
  <si>
    <t>#163# mutant enzyme F212A, using 4-nitrobenzyl chloride as  a substrate &lt;156&gt;</t>
  </si>
  <si>
    <t>#163# mutant enzyme Q112A, using 4-nitrobenzyl chloride as  a substrate &lt;156&gt;; #163# mutant enzyme Y215A, using 4-nitrobenzyl chloride as a substrate &lt;156&gt;</t>
  </si>
  <si>
    <t>#163# mutant enzyme Y215E, using ethacrynic acid as a  substrate &lt;156&gt;</t>
  </si>
  <si>
    <t>#163# wild type enzyme, using ethacrynic acid as a  substrate &lt;156&gt;</t>
  </si>
  <si>
    <t>#163# mutant enzyme F212Y, using ethacrynic acid as a  substrate &lt;156&gt;</t>
  </si>
  <si>
    <t>#163# mutant enzyme F212W, using  1-chloro-2,4-dinitrobenzene as a substrate &lt;156&gt;</t>
  </si>
  <si>
    <t>#163# mutant enzyme Y215S, using  1-chloro-2,4-dinitrobenzene as a substrate &lt;156&gt;</t>
  </si>
  <si>
    <t>#163# mutant enzyme F212W, using 4-nitrobenzyl chloride as  a substrate &lt;156&gt;</t>
  </si>
  <si>
    <t>#163# mutant enzyme Y215A, using 4-nitrobenzyl chloride as  a substrate &lt;156&gt;</t>
  </si>
  <si>
    <t>#163# mutant enzyme Y215F, using ethacrynic acid as a  substrate &lt;156&gt;</t>
  </si>
  <si>
    <t>#163# mutant enzyme Q112A, using 4-nitrophenethyl bromide  as a substrate &lt;156&gt;</t>
  </si>
  <si>
    <t>#163# mutant enzyme Y215A, using  1,2-dichloro-4-nitrobenzene as a substrate &lt;156&gt;</t>
  </si>
  <si>
    <t>#163# mutant enzyme R214A, using  1,2-dichloro-4-nitrobenzene as a substrate &lt;156&gt;</t>
  </si>
  <si>
    <t>#163# mutant enzyme Y215E, using 4-nitrobenzyl chloride as  a substrate &lt;156&gt;; #163# mutant enzyme Y215S, using 4-nitrobenzyl chloride as a substrate &lt;156&gt;</t>
  </si>
  <si>
    <t>#163# mutant enzyme R214A, using 4-nitrobenzyl chloride as  a substrate &lt;156&gt;</t>
  </si>
  <si>
    <t>#163# mutant enzyme F212Y, using 4-nitrobenzyl chloride as  a substrate &lt;156&gt;</t>
  </si>
  <si>
    <t>#163# mutant enzyme F212L, using  1-chloro-2,4-dinitrobenzene as a substrate &lt;156&gt;</t>
  </si>
  <si>
    <t>#163# mutant enzyme T174A, using  1,2-dichloro-4-nitrobenzene as a substrate &lt;156&gt;; #163# mutant enzyme Y215A, using 4-nitrophenethyl bromide as a substrate &lt;156&gt;</t>
  </si>
  <si>
    <t>#163# mutant enzyme Y215A, using  1-chloro-2,4-dinitrobenzene as a substrate &lt;156&gt;</t>
  </si>
  <si>
    <t>#163# mutant enzyme F212A, using  1-chloro-2,4-dinitrobenzene as a substrate &lt;156&gt;</t>
  </si>
  <si>
    <t>#163# mutant enzyme Y215H, using  1-chloro-2,4-dinitrobenzene as a substrate &lt;156&gt;</t>
  </si>
  <si>
    <t>#163# mutant enzyme Y215S, using ethacrynic acid as a  substrate &lt;156&gt;</t>
  </si>
  <si>
    <t>#163# mutant enzyme Q112A, using ethacrynic acid as a  substrate &lt;156&gt;</t>
  </si>
  <si>
    <t>#163# mutant enzyme Y215F, using  1-chloro-2,4-dinitrobenzene as a substrate &lt;156&gt;</t>
  </si>
  <si>
    <t>#163# mutant enzyme Y215H, using 4-nitrobenzyl chloride as  a substrate &lt;156&gt;</t>
  </si>
  <si>
    <t>#163# mutant enzyme T174A, using ethacrynic acid as a  substrate &lt;156&gt;</t>
  </si>
  <si>
    <t>#163# mutant enzyme F212A, using ethacrynic acid as a  substrate &lt;156&gt;</t>
  </si>
  <si>
    <t>#163# mutant enzyme F212Y, using  1,2-dichloro-4-nitrobenzene as a substrate &lt;156&gt;</t>
  </si>
  <si>
    <t>#163# mutant enzyme F212L, using 4-nitrobenzyl chloride as  a substrate &lt;156&gt;</t>
  </si>
  <si>
    <t>#163# mutant enzyme Y215S, using  1,2-dichloro-4-nitrobenzene as a substrate &lt;156&gt;</t>
  </si>
  <si>
    <t>#163# wild type enzyme, using 1,2-dichloro-4-nitrobenzene  as a substrate &lt;156&gt;</t>
  </si>
  <si>
    <t>#163# wild type enzyme, using 4-nitrobenzyl chloride as a  substrate &lt;156&gt;</t>
  </si>
  <si>
    <t>#163# mutant enzyme Y215E, using  1-chloro-2,4-dinitrobenzene as a substrate &lt;156&gt;</t>
  </si>
  <si>
    <t>#163# mutant enzyme F212Y, using  1-chloro-2,4-dinitrobenzene as a substrate &lt;156&gt;</t>
  </si>
  <si>
    <t>#163# mutant enzyme F212H, using  1-chloro-2,4-dinitrobenzene as a substrate &lt;156&gt;</t>
  </si>
  <si>
    <t>#163# mutant enzyme Y215F, using 4-nitrophenethyl bromide  as a substrate &lt;156&gt;</t>
  </si>
  <si>
    <t>#163# mutant enzyme T174A, using  1-chloro-2,4-dinitrobenzene as a substrate &lt;156&gt;</t>
  </si>
  <si>
    <t>#163# mutant enzyme Q112A, using  1-chloro-2,4-dinitrobenzene as a substrate &lt;156&gt;</t>
  </si>
  <si>
    <t>#163# wild type enzyme, using 1-chloro-2,4-dinitrobenzene  as a substrate &lt;156&gt;</t>
  </si>
  <si>
    <t>#163# mutant enzyme R214A, using  1-chloro-2,4-dinitrobenzene as a substrate &lt;156&gt;</t>
  </si>
  <si>
    <t>#163# mutant enzyme Y215H, using  1,2-dichloro-4-nitrobenzene as a substrate &lt;156&gt;; #164# using 4-nitrobenzyl chloride as a substrate &lt;159&gt;</t>
  </si>
  <si>
    <t>#163# mutant enzyme F212E, using ethacrynic acid as a  substrate &lt;156&gt;; #163# mutant enzyme Y215F, using 4-nitrobenzyl chloride as a substrate &lt;156&gt;; #181# using iodohexane as substrate &lt;185&gt;</t>
  </si>
  <si>
    <t>#163# mutant enzyme Y215A, using ethacrynic acid as a  substrate &lt;156&gt;; #182# using 1,6-diiodohexane as substrate &lt;185&gt;</t>
  </si>
  <si>
    <t>#163# mutant enzyme R214A, using ethacrynic acid as a  substrate &lt;156&gt;; #163# mutant enzyme Y215A, using ethacrynic acid as a substrate &lt;156&gt;; #184# using 1,4-diiodobutane as substrate &lt;185&gt;</t>
  </si>
  <si>
    <t>#163# mutant enzyme Y215F, using  1,2-dichloro-4-nitrobenzene as a substrate &lt;156&gt;; #327# with hydrogen peroxide as substrate, wild type enzyme, pH and temperature not specified in the publication &lt;313&gt;</t>
  </si>
  <si>
    <t>#164# using ethacrynic acid as a substrate &lt;159&gt;</t>
  </si>
  <si>
    <t>#164# using 1-chloro-2,4-dinitrobenzene as a substrate  &lt;159&gt;</t>
  </si>
  <si>
    <t>#164# using cyclohexyl-isothiocyanate as a substrate &lt;159&gt;</t>
  </si>
  <si>
    <t>#164# using sulforaphane as a substrate &lt;159&gt;</t>
  </si>
  <si>
    <t>#164# using H2O2 as a substrate &lt;159&gt;</t>
  </si>
  <si>
    <t>#164# using 4-chloro-7-nitrobenzo-2-oxa-1,3-diazole as a  substrate &lt;159&gt;</t>
  </si>
  <si>
    <t>#164# using phenethyl-isothiocyanate as a substrate &lt;159&gt;</t>
  </si>
  <si>
    <t>#164# using trans-2-nonenal as a substrate &lt;159&gt;</t>
  </si>
  <si>
    <t>#164# using cumene hydroperoxide as a substrate &lt;159&gt;;  #183# using iodohexane as substrate &lt;185&gt;</t>
  </si>
  <si>
    <t>#164# using propyl-isothiocyanate as a substrate &lt;159&gt;;  #319# with propyl-isothiocyanate as substrate, at pH 6.4, temperature not specified in the publication &lt;297&gt;</t>
  </si>
  <si>
    <t>#165# wild type enzyme, using 1-chloro-2,4-dinitrobenzene as  a substrate &lt;162&gt;</t>
  </si>
  <si>
    <t>#17# substrate butachlor &lt;138&gt;</t>
  </si>
  <si>
    <t>#170# after 300fold purification, at 25°C &lt;170&gt;</t>
  </si>
  <si>
    <t>#171# mutant enzyme I104V/A113V, with  7-chloro-4-nitrobenz-2-oxa-1,3-diazole &lt;178&gt;</t>
  </si>
  <si>
    <t>#171# mutant enzyme C14A/C47A/C101A, at 30°C, in 0.1 M  potassium phosphate buffer, pH 6.5 &lt;187&gt;</t>
  </si>
  <si>
    <t>#171# mutant enzyme I104V/A113V, with  1-chloro-2,4-dinitrobenzene &lt;178&gt;</t>
  </si>
  <si>
    <t>#171# mutant enzyme A113V, with  7-chloro-4-nitrobenz-2-oxa-1,3-diazole &lt;178&gt;</t>
  </si>
  <si>
    <t>#171# mutant enzyme R70Q, in phosphate buffer (pH 6.5</t>
  </si>
  <si>
    <t>#171# mutant enzyme A113V, with  1-chloro-2,4-dinitrobenzene &lt;178&gt;; #171# wild type enzyme, with 1-chloro-2,4-dinitrobenzene &lt;178&gt;</t>
  </si>
  <si>
    <t>#171# mutant enzyme I104V, with 1-chloro-2,4-dinitrobenzene  &lt;178&gt;</t>
  </si>
  <si>
    <t>#171# mutant enzyme C14A/C47A/C101A/C169A, at 30°C, in 0.1  M potassium phosphate buffer, pH 6.5 &lt;187&gt;</t>
  </si>
  <si>
    <t>#171# untagged wild type enzyme, at 30°C, in 0.1 M  potassium phosphate buffer, pH 6.5 &lt;187&gt;</t>
  </si>
  <si>
    <t>#171# His-tagged wild type enzyme, at 30°C, in 0.1 M  potassium phosphate buffer, pH 6.5 &lt;187&gt;</t>
  </si>
  <si>
    <t>#171# mutant enzyme C47A/C101A, at 30°C, in 0.1 M  potassium phosphate buffer, pH 6.5 &lt;187&gt;</t>
  </si>
  <si>
    <t>#171# wild type enzyme, in phosphate buffer (pH  6.5</t>
  </si>
  <si>
    <t>#178# with 1-chloro-2,4-dinitrobenzene as a substrate &lt;181&gt;</t>
  </si>
  <si>
    <t>#178# with 4-hydroxynonenal as a substrate &lt;181&gt;</t>
  </si>
  <si>
    <t>#179# using trans-4-phenyl-3-butene-2-one as a substrate  &lt;180&gt;</t>
  </si>
  <si>
    <t>#179# using 1-chloro-2,4-dinitrobenzene as a substrate  &lt;180&gt;</t>
  </si>
  <si>
    <t>#181# using 3-iodopropylbenzene as substrate &lt;185&gt;</t>
  </si>
  <si>
    <t>#181# using 1,2-diiodoethane as substrate &lt;185&gt;</t>
  </si>
  <si>
    <t>#182# using 3-iodopropylbenzene as substrate &lt;185&gt;</t>
  </si>
  <si>
    <t>#182# using 1,2-diiodoethane as substrate &lt;185&gt;</t>
  </si>
  <si>
    <t>#182# isozyme GST A1-1, using  1-methyl-4-nitro-5-(4-nitrophenylthio</t>
  </si>
  <si>
    <t>#183# using 1,6-diiodohexane as substrate &lt;185&gt;</t>
  </si>
  <si>
    <t>#183# using 1,4-diiodobutane as substrate &lt;185&gt;</t>
  </si>
  <si>
    <t>#183# using 1,2-diiodoethane as substrate &lt;185&gt;</t>
  </si>
  <si>
    <t>#184# isozyme GST A2-2, using  1-methyl-4-nitro-5-(4-nitrophenylthio</t>
  </si>
  <si>
    <t>#184# using 1,2-diiodoethane as substrate &lt;185&gt;</t>
  </si>
  <si>
    <t>#185# after 9.7fold purification, in 0.1 M potassium  phosphate buffer (pH 6.5</t>
  </si>
  <si>
    <t>#186# mutant enzyme C10A/S11A, at 30°C &lt;189&gt;; #200#  isoform GSTd14, with 1,2-dicloro-4-nitrobenzene as substrate, at pH 6.5 and 25°C &lt;280&gt;</t>
  </si>
  <si>
    <t>#19# recombinant enzyme, substrate  1-chloro-2,4-dinitrobenzene &lt;221&gt;</t>
  </si>
  <si>
    <t>#19# recombint enzyme, substrate cumene hydroperoxide  &lt;221&gt;; #200# isoform GSTm09, with 1,2-dicloro-4-nitrobenzene as substrate, at pH 6.5 and 25°C &lt;280&gt;</t>
  </si>
  <si>
    <t>#196# isozyme GSTS2, using ethacrynic acid as a substrate,  at 25°C &lt;168&gt;</t>
  </si>
  <si>
    <t>#196# isozyme GSTS2, using 1-chloro-2,4-dinitrobenzene as a  substrate, at 25°C &lt;168&gt;</t>
  </si>
  <si>
    <t>#20# anionic isozymes &lt;47&gt;</t>
  </si>
  <si>
    <t>#20# cationic isozymes &lt;47&gt;; #246# purified overall GST  activity in pupae, substrate 1-chloro-2,4-dinitrobenzene, pH and temperature not specified in the publication &lt;242&gt;</t>
  </si>
  <si>
    <t>#200# isoform GSTd10, with 1-chloro-2,4-dinitrobenzene as  substrate, at pH 6.5 and 25°C &lt;280&gt;</t>
  </si>
  <si>
    <t>#200# isoform GSTm09, with 1-chloro-2,4-dinitrobenzene as  substrate, at pH 6.5 and 25°C &lt;280&gt;</t>
  </si>
  <si>
    <t>#200# isoform GSTd14, with 1-chloro-2,4-dinitrobenzene as  substrate, at pH 6.5 and 25°C &lt;280&gt;</t>
  </si>
  <si>
    <t>#200# isoform GSTm09, with cumene hydroperoxide as  substrate, at pH 6.5 and 25°C &lt;280&gt;</t>
  </si>
  <si>
    <t>#203# purified protein with poly(His</t>
  </si>
  <si>
    <t>#205# crude enzyme of Hezhou population &lt;201&gt;</t>
  </si>
  <si>
    <t>#205# crude enzyme of Nanyang population &lt;201&gt;</t>
  </si>
  <si>
    <t>#205# crude enzyme of Wuzhou population &lt;201&gt;</t>
  </si>
  <si>
    <t>#205# purified enzyme of Wuzhou population &lt;201&gt;</t>
  </si>
  <si>
    <t>#205# purified enzyme of Hezhou population &lt;201&gt;</t>
  </si>
  <si>
    <t>#205# purified enzyme of Nanyang population &lt;201&gt;</t>
  </si>
  <si>
    <t>#21# with 1-chloro-2,4-dinitrobenzene as substrate &lt;65&gt;;  #105# using propyl-isothiocyanate as a substrate &lt;159&gt;</t>
  </si>
  <si>
    <t>#215# GSTU17, substrate  7-chloro-4-nitrobenzo-2-oxa-1,3-diazole &lt;228&gt;</t>
  </si>
  <si>
    <t>#22# with 0.1 mM 1-chloro-2,4-dinitrobenzene as substrate, at  pH 6.0 and 25°C &lt;282&gt;</t>
  </si>
  <si>
    <t>#171# wild type enzyme, with ethacrynic acid &lt;178&gt;; #22#  with 0.1 mM acrolein as substrate, at pH 6.0 and 25°C &lt;282&gt;</t>
  </si>
  <si>
    <t>#24# substrate terbuthylazine &lt;138&gt;</t>
  </si>
  <si>
    <t>#24# GST II &lt;45&gt;; #105# using cyclohexyl-isothiocyanate  as a substrate &lt;159&gt;</t>
  </si>
  <si>
    <t>#241# purified recombinant enzyme, substrate  1,2-dichloro-4-nitrobenzene &lt;123&gt;</t>
  </si>
  <si>
    <t>#241# purified recombinant enzyme, substrate  1-chloro-2,4-dinitrobenzene &lt;123&gt;</t>
  </si>
  <si>
    <t>#246# purified overall GST activity in eggs, substrate  1-chloro-2,4-dinitrobenzene, pH and temperature not specified in the publication &lt;242&gt;</t>
  </si>
  <si>
    <t>#246# purified overall GST activity in adult, substrate  1-chloro-2,4-dinitrobenzene, pH and temperature not specified in the publication &lt;242&gt;</t>
  </si>
  <si>
    <t>#246# purified overall GST activity in larvae, substrate  1-chloro-2,4-dinitrobenzene, pH and temperature not specified in the publication &lt;242&gt;</t>
  </si>
  <si>
    <t>#26# with metolachlor as substrate &lt;55&gt;</t>
  </si>
  <si>
    <t>#26# with 1,2-dichloro-4-nitrobenzene as substrate &lt;55&gt;</t>
  </si>
  <si>
    <t>#208# substrate 1-chloro-2,4-dinitrobenzene, liver  enzyme &lt;215&gt;</t>
  </si>
  <si>
    <t>#31# purified recombinant enzyme in presence of reduced  glutathione &lt;149&gt;</t>
  </si>
  <si>
    <t>#319# with allyl-isothiocyanate as substrate, at pH 6.4,  temperature not specified in the publication &lt;297&gt;</t>
  </si>
  <si>
    <t>#319# with phenethyl-isothiocyanate as substrate, at pH  6.4, temperature not specified in the publication &lt;297&gt;</t>
  </si>
  <si>
    <t>#320# mutant enzyme F136A, at pH 7.5, temperature not  specified in the publication &lt;299&gt;</t>
  </si>
  <si>
    <t>#320# wild type enzyme, at pH 7.5, temperature not  specified in the publication &lt;299&gt;</t>
  </si>
  <si>
    <t>#322# with 1-chloro-2,4-dinitrobenzene as substrate, at  pH 7.5 and 25°C &lt;300&gt;</t>
  </si>
  <si>
    <t>#324# isoform GSTrho, with 1-chloro-2,4-dinitrobenzene as  substrate, at pH 6.5 and 25°C &lt;288&gt;</t>
  </si>
  <si>
    <t>#325# isoform GSTmu, with 4-nitrobenzyl chloride as  substrate, at pH 6.5 and 25°C &lt;288&gt;</t>
  </si>
  <si>
    <t>#325# isoform GSTmu, with 4-nitrophenethyl bromide as  substrate, at pH 6.5 and 25°C &lt;288&gt;</t>
  </si>
  <si>
    <t>#325# isoform GSTmu, with 1-chloro-2,4-dinitrobenzene as  substrate, at pH 6.5 and 25°C &lt;288&gt;</t>
  </si>
  <si>
    <t>#327# with 1-chloro-2,4-dinitrobenzene as substrate,  mutant enzyme Y12C, pH and temperature not specified in the publication &lt;313&gt;</t>
  </si>
  <si>
    <t>#327# with 1-chloro-2,4-dinitrobenzene as substrate, wild  type enzyme, pH and temperature not specified in the publication &lt;313&gt;</t>
  </si>
  <si>
    <t>#327# with 4-nitrobenzyl chloride as substrate, wild type  enzyme, pH and temperature not specified in the publication &lt;313&gt;</t>
  </si>
  <si>
    <t>#327# with ethacrynic acid as substrate, wild type  enzyme, pH and temperature not specified in the publication &lt;313&gt;</t>
  </si>
  <si>
    <t>#327# with cumene hydroperoxide as substrate, wild type  enzyme, pH and temperature not specified in the publication &lt;313&gt;</t>
  </si>
  <si>
    <t>#327# with 4-nitrobenzyl chloride as substrate, mutant  enzyme Y12C, pH and temperature not specified in the publication &lt;313&gt;</t>
  </si>
  <si>
    <t>#327# with ethacrynic acid as substrate, mutant enzyme  Y12C, pH and temperature not specified in the publication &lt;313&gt;</t>
  </si>
  <si>
    <t>#327# with hydrogen peroxide as substrate, mutant enzyme  Y12C, pH and temperature not specified in the publication &lt;313&gt;</t>
  </si>
  <si>
    <t>#327# with cumene hydroperoxide as substrate, mutant  enzyme Y12C, pH and temperature not specified in the publication &lt;313&gt;</t>
  </si>
  <si>
    <t>#34# purified recombinant mutant H167A, pH 6.5, 25°C,  substrate 4-nitrobenzyl chloride &lt;256&gt;</t>
  </si>
  <si>
    <t>#34# purified recombinant mutant F113A, pH 6.5, 25°C,  substrate ethacrynic acid &lt;256&gt;</t>
  </si>
  <si>
    <t>#34# purified recombinant mutant F113A, pH 6.5, 25°C,  substrate 1-fluoro-2,4-dinitrobenzene &lt;256&gt;</t>
  </si>
  <si>
    <t>#34# purified recombinant wild-type enzyme, pH 6.5, 25°C,  substrate 1-chloro-2,4-dinitrobenzene &lt;256&gt;</t>
  </si>
  <si>
    <t>#34# purified recombinant mutant W164A, pH 6.5, 25°C,  substrate 4-nitrobenzyl chloride &lt;256&gt;; #34# purified recombinant wild-type enzyme, pH 6.5, 25°C, substrate 4-nitrobenzyl chloride &lt;256&gt;</t>
  </si>
  <si>
    <t>#34# purified recombinant mutant H167A, pH 6.5, 25°C,  substrate 1-chloro-2,4-dinitrobenzene &lt;256&gt;</t>
  </si>
  <si>
    <t>#34# purified recombinant mutant W164A, pH 6.5, 25°C,  substrate ethacrynic acid &lt;256&gt;</t>
  </si>
  <si>
    <t>#34# purified recombinant mutant S110a, pH 6.5, 25°C,  substrate 1-fluoro-2,4-dinitrobenzene &lt;256&gt;</t>
  </si>
  <si>
    <t>#34# purified recombinant wild-type enzyme, pH 6.5, 25°C,  substrate 1-fluoro-2,4-dinitrobenzene &lt;256&gt;</t>
  </si>
  <si>
    <t>#34# purified recombinant mutant W164A, pH 6.5, 25°C,  substrate 1-chloro-2,4-dinitrobenzene &lt;256&gt;</t>
  </si>
  <si>
    <t>#34# purified recombinant mutant W164A, pH 6.5, 25°C,  substrate 1-fluoro-2,4-dinitrobenzene &lt;256&gt;</t>
  </si>
  <si>
    <t>#34# purified recombinant mutant S110a, pH 6.5, 25°C,  substrate 1-chloro-2,4-dinitrobenzene &lt;256&gt;; #104# isoform GST1, with trans-trans-2,4-hexadienal as substrate, at pH 8.5 and 25°C &lt;303&gt;</t>
  </si>
  <si>
    <t>#34# purified recombinant mutant H167A, pH 6.5, 25°C,  substrate 1-fluoro-2,4-dinitrobenzene &lt;256&gt;; #104# isoform GST1, with trans-trans-2,4-decadienal as substrate, at pH 8.5 and 25°C &lt;303&gt;</t>
  </si>
  <si>
    <t>#195# isozyme GSTS1, using  1-chloro-2,4-dinitrobenzene as a substrate, at 25°C &lt;168&gt;; #163# mutant enzyme Y215H, using ethacrynic acid as a substrate &lt;156&gt;; #105# using 1-chloro-2,4-dinitrobenzene as a substrate &lt;159&gt;; #34# purified recombinant mutant F113A, pH 6.5, 25°C, substrate 1-chloro-2,4-dinitrobenzene &lt;256&gt;</t>
  </si>
  <si>
    <t>#160# using 3-iodopropylbenzene as substrate &lt;185&gt;;  #34# purified recombinant mutant S110a, pH 6.5, 25°C, substrate 4-nitrobenzyl chloride &lt;256&gt;</t>
  </si>
  <si>
    <t>#163# mutant enzyme F212W, using  1,2-dichloro-4-nitrobenzene as a substrate &lt;156&gt;; #163# mutant enzyme R214A, using 4-nitrophenethyl bromide as a substrate &lt;156&gt;; #34# purified recombinant mutant H167A, pH 6.5, 25°C, substrate ethacrynic acid &lt;256&gt;</t>
  </si>
  <si>
    <t>#181# using 1,6-diiodohexane as substrate &lt;185&gt;; #34#  purified recombinant wild-type enzyme, pH 6.5, 25°C, substrate ethacrynic acid &lt;256&gt;</t>
  </si>
  <si>
    <t>#36# with 1,2-dichloro-4-nitrobenzene as substrate &lt;60&gt;</t>
  </si>
  <si>
    <t>#36# with cumene hydroperoxide as substrate &lt;60&gt;</t>
  </si>
  <si>
    <t>#36# with ethacrynic acid as substrate &lt;60&gt;; #184# using  iodohexane as substrate &lt;185&gt;</t>
  </si>
  <si>
    <t>#38# crude extract, at pH 8.0 and 30°C &lt;310&gt;</t>
  </si>
  <si>
    <t>#38# after 16.1fold purification, at pH 8.0 and 30°C &lt;310&gt;</t>
  </si>
  <si>
    <t>#171# mutant enzyme I104V, with  7-chloro-4-nitrobenz-2-oxa-1,3-diazole &lt;178&gt;; #171# mutant enzyme I104V/A113V, with ethacrynic acid &lt;178&gt;; #47# purified recombinant cytosolic isozyme, substrate 1-chloro-2.4-dinitrobenzene &lt;195&gt;</t>
  </si>
  <si>
    <t>#49# GST I-I &lt;53&gt;</t>
  </si>
  <si>
    <t>#49# GST II-III &lt;53&gt;</t>
  </si>
  <si>
    <t>#53# crude extract, at pH 7.0 and 25°C &lt;312&gt;</t>
  </si>
  <si>
    <t>#53# after 5.73fold purification, at pH 7.0 and 25°C &lt;312&gt;</t>
  </si>
  <si>
    <t>#120# cytosolic extract, using  1-chloro-2,4-dinitrobenzene as a substrate &lt;167&gt;; #163# mutant enzyme F212A, using 1,2-dichloro-4-nitrobenzene as a substrate &lt;156&gt;; #65# with 1-chloro-2,4-dinitrobenzene as substrate, at pH 7.0 and 30°C &lt;306&gt;; #65# with ethacrynic acid as substrate, at pH 7.0 and 30°C &lt;306&gt;</t>
  </si>
  <si>
    <t>#67# purified native enzyme &lt;130&gt;</t>
  </si>
  <si>
    <t>#7# crude extract, at pH 6.0 and 40°C &lt;291&gt;</t>
  </si>
  <si>
    <t>#7# after 2.22fold purification, at pH 6.0 and 40°C &lt;291&gt;</t>
  </si>
  <si>
    <t>#74# Klebsiella oxytoca AF101 &lt;98&gt;</t>
  </si>
  <si>
    <t>#74# Klebsiella oxytoca CIP 666 &lt;98&gt;</t>
  </si>
  <si>
    <t>#83# purified GST, substrate 1-chloro-2,4-dinitrobenzene  &lt;106&gt;</t>
  </si>
  <si>
    <t>#83# purified GST, substrate ethacrynic acid &lt;106&gt;</t>
  </si>
  <si>
    <t>#87# purified native enzyme &lt;136&gt;</t>
  </si>
  <si>
    <t>30,48</t>
  </si>
  <si>
    <t>9,45</t>
  </si>
  <si>
    <t>1,2</t>
  </si>
  <si>
    <t>196</t>
  </si>
  <si>
    <t>275</t>
  </si>
  <si>
    <t>168</t>
  </si>
  <si>
    <t>2,14</t>
  </si>
  <si>
    <t>2,13</t>
  </si>
  <si>
    <t>209</t>
  </si>
  <si>
    <t>171</t>
  </si>
  <si>
    <t>297</t>
  </si>
  <si>
    <t>SA</t>
  </si>
  <si>
    <t>umol/min/mg</t>
  </si>
  <si>
    <t>Mammalia</t>
  </si>
  <si>
    <t>Staphylococcus aureus</t>
  </si>
  <si>
    <t>Daucus carota</t>
  </si>
  <si>
    <t>Magallana gigas</t>
  </si>
  <si>
    <t>Toxoplasma gondii</t>
  </si>
  <si>
    <t>Entodinium caudatum</t>
  </si>
  <si>
    <t>Agama agama</t>
  </si>
  <si>
    <t>Crithidia fasciculata</t>
  </si>
  <si>
    <t>Stutzerimonas stutzeri</t>
  </si>
  <si>
    <t>[Brevibacterium] flavum</t>
  </si>
  <si>
    <t>Rhizobium leguminosarum</t>
  </si>
  <si>
    <t>Pyrococcus horikoshii</t>
  </si>
  <si>
    <t>Rosa hybrid cultivar</t>
  </si>
  <si>
    <t>Nicotiana benthamiana</t>
  </si>
  <si>
    <t>Leishmania tarentolae</t>
  </si>
  <si>
    <t>Procambarus clarkii</t>
  </si>
  <si>
    <t>Unio tumidus</t>
  </si>
  <si>
    <t>Piaractus mesopotamicus</t>
  </si>
  <si>
    <t>Palaemon carinicauda</t>
  </si>
  <si>
    <t>Candida macedoniensis</t>
  </si>
  <si>
    <t>Rhodococcus sp. (in: high G+C Gram-positive bacteria)</t>
  </si>
  <si>
    <t>Claviceps purpurea</t>
  </si>
  <si>
    <t>Aspergillus terreus</t>
  </si>
  <si>
    <t>Thermobifida fusca</t>
  </si>
  <si>
    <t>Neogale vison</t>
  </si>
  <si>
    <t>Planiliza haematocheilus</t>
  </si>
  <si>
    <t>Meriones unguiculatus</t>
  </si>
  <si>
    <t>Colwellia sp.</t>
  </si>
  <si>
    <t>Amphiprora kufferathii</t>
  </si>
  <si>
    <t>Sulfurisphaera tokodaii</t>
  </si>
  <si>
    <t>Polytomella sp. Pringsheim 198.80</t>
  </si>
  <si>
    <t>Pseudomonas fluorescens</t>
  </si>
  <si>
    <t>Vicia faba</t>
  </si>
  <si>
    <t>Camellia sinensis</t>
  </si>
  <si>
    <t>Triticum aestivum (</t>
  </si>
  <si>
    <t>Brassica oleracea</t>
  </si>
  <si>
    <t>Leishmania infantum</t>
  </si>
  <si>
    <t>Clostridium acetobutylicum</t>
  </si>
  <si>
    <t>Phytophthora infestans</t>
  </si>
  <si>
    <t>Haliotis discus discus</t>
  </si>
  <si>
    <t>Sinohyriopsis cumingii</t>
  </si>
  <si>
    <t>Dermatophagoides pteronyssinus</t>
  </si>
  <si>
    <t>151000</t>
  </si>
  <si>
    <t>41000</t>
  </si>
  <si>
    <t>83000</t>
  </si>
  <si>
    <t>330000</t>
  </si>
  <si>
    <t>68000</t>
  </si>
  <si>
    <t>150000</t>
  </si>
  <si>
    <t>103169</t>
  </si>
  <si>
    <t>29000</t>
  </si>
  <si>
    <t>34000</t>
  </si>
  <si>
    <t>27600</t>
  </si>
  <si>
    <t>82000</t>
  </si>
  <si>
    <t>57000</t>
  </si>
  <si>
    <t>28000</t>
  </si>
  <si>
    <t>21000</t>
  </si>
  <si>
    <t>42500</t>
  </si>
  <si>
    <t>44500</t>
  </si>
  <si>
    <t>65800</t>
  </si>
  <si>
    <t>78100</t>
  </si>
  <si>
    <t>112000</t>
  </si>
  <si>
    <t>38000</t>
  </si>
  <si>
    <t>37800</t>
  </si>
  <si>
    <t>33600</t>
  </si>
  <si>
    <t>78000</t>
  </si>
  <si>
    <t>75000</t>
  </si>
  <si>
    <t>100000</t>
  </si>
  <si>
    <t>110000</t>
  </si>
  <si>
    <t>124000</t>
  </si>
  <si>
    <t>61000</t>
  </si>
  <si>
    <t>105000</t>
  </si>
  <si>
    <t>55000</t>
  </si>
  <si>
    <t>64000</t>
  </si>
  <si>
    <t>72000</t>
  </si>
  <si>
    <t>56000</t>
  </si>
  <si>
    <t>190000</t>
  </si>
  <si>
    <t>220000</t>
  </si>
  <si>
    <t>66000</t>
  </si>
  <si>
    <t>140000</t>
  </si>
  <si>
    <t>60000</t>
  </si>
  <si>
    <t>70000</t>
  </si>
  <si>
    <t>74000</t>
  </si>
  <si>
    <t>79000</t>
  </si>
  <si>
    <t>63000</t>
  </si>
  <si>
    <t>102000</t>
  </si>
  <si>
    <t>201000</t>
  </si>
  <si>
    <t>116000</t>
  </si>
  <si>
    <t>59000</t>
  </si>
  <si>
    <t>40300</t>
  </si>
  <si>
    <t>36000</t>
  </si>
  <si>
    <t>120000</t>
  </si>
  <si>
    <t>62000</t>
  </si>
  <si>
    <t>30000</t>
  </si>
  <si>
    <t>58000</t>
  </si>
  <si>
    <t>27000</t>
  </si>
  <si>
    <t>26000</t>
  </si>
  <si>
    <t>31000</t>
  </si>
  <si>
    <t>45000</t>
  </si>
  <si>
    <t>90000</t>
  </si>
  <si>
    <t>103000</t>
  </si>
  <si>
    <t>46500</t>
  </si>
  <si>
    <t>45400</t>
  </si>
  <si>
    <t>91000</t>
  </si>
  <si>
    <t>46300</t>
  </si>
  <si>
    <t>94000</t>
  </si>
  <si>
    <t>180000</t>
  </si>
  <si>
    <t>50000</t>
  </si>
  <si>
    <t>88900</t>
  </si>
  <si>
    <t>87100</t>
  </si>
  <si>
    <t>48170</t>
  </si>
  <si>
    <t>130000</t>
  </si>
  <si>
    <t>80000</t>
  </si>
  <si>
    <t>44000</t>
  </si>
  <si>
    <t>40000</t>
  </si>
  <si>
    <t>136000</t>
  </si>
  <si>
    <t>52200</t>
  </si>
  <si>
    <t>54800</t>
  </si>
  <si>
    <t>88000</t>
  </si>
  <si>
    <t>97000</t>
  </si>
  <si>
    <t>42000</t>
  </si>
  <si>
    <t>65000</t>
  </si>
  <si>
    <t>138000</t>
  </si>
  <si>
    <t>111000</t>
  </si>
  <si>
    <t>95000</t>
  </si>
  <si>
    <t>46000</t>
  </si>
  <si>
    <t>53000</t>
  </si>
  <si>
    <t>52800</t>
  </si>
  <si>
    <t>108000</t>
  </si>
  <si>
    <t>32500</t>
  </si>
  <si>
    <t>64200</t>
  </si>
  <si>
    <t>96000</t>
  </si>
  <si>
    <t>162000</t>
  </si>
  <si>
    <t>46410</t>
  </si>
  <si>
    <t>85000</t>
  </si>
  <si>
    <t>52000</t>
  </si>
  <si>
    <t>84000</t>
  </si>
  <si>
    <t>43000</t>
  </si>
  <si>
    <t>43776</t>
  </si>
  <si>
    <t>45300</t>
  </si>
  <si>
    <t>87000</t>
  </si>
  <si>
    <t>43500</t>
  </si>
  <si>
    <t>45620</t>
  </si>
  <si>
    <t>49100</t>
  </si>
  <si>
    <t>98000</t>
  </si>
  <si>
    <t>44600</t>
  </si>
  <si>
    <t>43400</t>
  </si>
  <si>
    <t>86000</t>
  </si>
  <si>
    <t>92000</t>
  </si>
  <si>
    <t>47000</t>
  </si>
  <si>
    <t>93150</t>
  </si>
  <si>
    <t>46470</t>
  </si>
  <si>
    <t>46344</t>
  </si>
  <si>
    <t>42035</t>
  </si>
  <si>
    <t>72400</t>
  </si>
  <si>
    <t>43700</t>
  </si>
  <si>
    <t>45705</t>
  </si>
  <si>
    <t>77000</t>
  </si>
  <si>
    <t>35200</t>
  </si>
  <si>
    <t>39200</t>
  </si>
  <si>
    <t>39900</t>
  </si>
  <si>
    <t>670000</t>
  </si>
  <si>
    <t>132000</t>
  </si>
  <si>
    <t>135000</t>
  </si>
  <si>
    <t>34600</t>
  </si>
  <si>
    <t>39000</t>
  </si>
  <si>
    <t>37000</t>
  </si>
  <si>
    <t>113000</t>
  </si>
  <si>
    <t>35900</t>
  </si>
  <si>
    <t>144000</t>
  </si>
  <si>
    <t>280000</t>
  </si>
  <si>
    <t>269300</t>
  </si>
  <si>
    <t>280900</t>
  </si>
  <si>
    <t>125000</t>
  </si>
  <si>
    <t>139000</t>
  </si>
  <si>
    <t>187000</t>
  </si>
  <si>
    <t>33700</t>
  </si>
  <si>
    <t>33500</t>
  </si>
  <si>
    <t>134000</t>
  </si>
  <si>
    <t>35000</t>
  </si>
  <si>
    <t>49600</t>
  </si>
  <si>
    <t>46420</t>
  </si>
  <si>
    <t>98600</t>
  </si>
  <si>
    <t>160000</t>
  </si>
  <si>
    <t>114000</t>
  </si>
  <si>
    <t>107000</t>
  </si>
  <si>
    <t>110500</t>
  </si>
  <si>
    <t>104500</t>
  </si>
  <si>
    <t>48000</t>
  </si>
  <si>
    <t>71000</t>
  </si>
  <si>
    <t>126000</t>
  </si>
  <si>
    <t>152000</t>
  </si>
  <si>
    <t>260000</t>
  </si>
  <si>
    <t>63500</t>
  </si>
  <si>
    <t>73000</t>
  </si>
  <si>
    <t>33000</t>
  </si>
  <si>
    <t>42731</t>
  </si>
  <si>
    <t>42653</t>
  </si>
  <si>
    <t>43537</t>
  </si>
  <si>
    <t>73500</t>
  </si>
  <si>
    <t>69500</t>
  </si>
  <si>
    <t>56400</t>
  </si>
  <si>
    <t>43800</t>
  </si>
  <si>
    <t>44200</t>
  </si>
  <si>
    <t>170000</t>
  </si>
  <si>
    <t>71600</t>
  </si>
  <si>
    <t>243000</t>
  </si>
  <si>
    <t>249000</t>
  </si>
  <si>
    <t>226000</t>
  </si>
  <si>
    <t>240000</t>
  </si>
  <si>
    <t>230000</t>
  </si>
  <si>
    <t>460000</t>
  </si>
  <si>
    <t>61300</t>
  </si>
  <si>
    <t>285000</t>
  </si>
  <si>
    <t>254000</t>
  </si>
  <si>
    <t>710000</t>
  </si>
  <si>
    <t>49000</t>
  </si>
  <si>
    <t>480000</t>
  </si>
  <si>
    <t>60400</t>
  </si>
  <si>
    <t>258000</t>
  </si>
  <si>
    <t>64900</t>
  </si>
  <si>
    <t>67000</t>
  </si>
  <si>
    <t>264000</t>
  </si>
  <si>
    <t>257000</t>
  </si>
  <si>
    <t>227000</t>
  </si>
  <si>
    <t>216000</t>
  </si>
  <si>
    <t>248000</t>
  </si>
  <si>
    <t>45647</t>
  </si>
  <si>
    <t>83500</t>
  </si>
  <si>
    <t>32000</t>
  </si>
  <si>
    <t>191000</t>
  </si>
  <si>
    <t>78300</t>
  </si>
  <si>
    <t>58200</t>
  </si>
  <si>
    <t>72600</t>
  </si>
  <si>
    <t>30600</t>
  </si>
  <si>
    <t>104000</t>
  </si>
  <si>
    <t>25000</t>
  </si>
  <si>
    <t>27700</t>
  </si>
  <si>
    <t>24000</t>
  </si>
  <si>
    <t>30548</t>
  </si>
  <si>
    <t>77500</t>
  </si>
  <si>
    <t>106000</t>
  </si>
  <si>
    <t>59900</t>
  </si>
  <si>
    <t>49300</t>
  </si>
  <si>
    <t>30500</t>
  </si>
  <si>
    <t>72700</t>
  </si>
  <si>
    <t>71400</t>
  </si>
  <si>
    <t>74200</t>
  </si>
  <si>
    <t>30700</t>
  </si>
  <si>
    <t>72800</t>
  </si>
  <si>
    <t>78200</t>
  </si>
  <si>
    <t>54500</t>
  </si>
  <si>
    <t>85860</t>
  </si>
  <si>
    <t>35888</t>
  </si>
  <si>
    <t>52352</t>
  </si>
  <si>
    <t>118000</t>
  </si>
  <si>
    <t>52344</t>
  </si>
  <si>
    <t>122000</t>
  </si>
  <si>
    <t>19500</t>
  </si>
  <si>
    <t>21900</t>
  </si>
  <si>
    <t>23100</t>
  </si>
  <si>
    <t>23000</t>
  </si>
  <si>
    <t>69000</t>
  </si>
  <si>
    <t>16000</t>
  </si>
  <si>
    <t>20900</t>
  </si>
  <si>
    <t>26400</t>
  </si>
  <si>
    <t>19000</t>
  </si>
  <si>
    <t>22000</t>
  </si>
  <si>
    <t>21800</t>
  </si>
  <si>
    <t>21510</t>
  </si>
  <si>
    <t>19400</t>
  </si>
  <si>
    <t>20000</t>
  </si>
  <si>
    <t>21350</t>
  </si>
  <si>
    <t>45500</t>
  </si>
  <si>
    <t>175000</t>
  </si>
  <si>
    <t>115000</t>
  </si>
  <si>
    <t>37500</t>
  </si>
  <si>
    <t>76000</t>
  </si>
  <si>
    <t>24800</t>
  </si>
  <si>
    <t>34040</t>
  </si>
  <si>
    <t>34080</t>
  </si>
  <si>
    <t>33950</t>
  </si>
  <si>
    <t>34300</t>
  </si>
  <si>
    <t>34430</t>
  </si>
  <si>
    <t>31590</t>
  </si>
  <si>
    <t>30100</t>
  </si>
  <si>
    <t>66100</t>
  </si>
  <si>
    <t>31600</t>
  </si>
  <si>
    <t>35032</t>
  </si>
  <si>
    <t>37533</t>
  </si>
  <si>
    <t>35800</t>
  </si>
  <si>
    <t>36900</t>
  </si>
  <si>
    <t>32800</t>
  </si>
  <si>
    <t>67400</t>
  </si>
  <si>
    <t>87190</t>
  </si>
  <si>
    <t>89000</t>
  </si>
  <si>
    <t>58500</t>
  </si>
  <si>
    <t>57900</t>
  </si>
  <si>
    <t>53500</t>
  </si>
  <si>
    <t>55430</t>
  </si>
  <si>
    <t>50200</t>
  </si>
  <si>
    <t>145000</t>
  </si>
  <si>
    <t>156000</t>
  </si>
  <si>
    <t>57100</t>
  </si>
  <si>
    <t>53400</t>
  </si>
  <si>
    <t>53600</t>
  </si>
  <si>
    <t>54000</t>
  </si>
  <si>
    <t>54600</t>
  </si>
  <si>
    <t>123000</t>
  </si>
  <si>
    <t>53470</t>
  </si>
  <si>
    <t>127000</t>
  </si>
  <si>
    <t>177000</t>
  </si>
  <si>
    <t>99800</t>
  </si>
  <si>
    <t>149000</t>
  </si>
  <si>
    <t>99200</t>
  </si>
  <si>
    <t>109000</t>
  </si>
  <si>
    <t>95240</t>
  </si>
  <si>
    <t>52500</t>
  </si>
  <si>
    <t>51698</t>
  </si>
  <si>
    <t>121000</t>
  </si>
  <si>
    <t>48712</t>
  </si>
  <si>
    <t>56700</t>
  </si>
  <si>
    <t>37443</t>
  </si>
  <si>
    <t>81500</t>
  </si>
  <si>
    <t>37066</t>
  </si>
  <si>
    <t>37311</t>
  </si>
  <si>
    <t>39500</t>
  </si>
  <si>
    <t>39870</t>
  </si>
  <si>
    <t>39720</t>
  </si>
  <si>
    <t>40220</t>
  </si>
  <si>
    <t>40500</t>
  </si>
  <si>
    <t>36010</t>
  </si>
  <si>
    <t>37200</t>
  </si>
  <si>
    <t>380000</t>
  </si>
  <si>
    <t>158000</t>
  </si>
  <si>
    <t>133000</t>
  </si>
  <si>
    <t>37477</t>
  </si>
  <si>
    <t>28978</t>
  </si>
  <si>
    <t>27024</t>
  </si>
  <si>
    <t>28900</t>
  </si>
  <si>
    <t>39570</t>
  </si>
  <si>
    <t>37600</t>
  </si>
  <si>
    <t>74500</t>
  </si>
  <si>
    <t>41700</t>
  </si>
  <si>
    <t>200000</t>
  </si>
  <si>
    <t>31464</t>
  </si>
  <si>
    <t>36411</t>
  </si>
  <si>
    <t>290000</t>
  </si>
  <si>
    <t>91480</t>
  </si>
  <si>
    <t>37983</t>
  </si>
  <si>
    <t>40700</t>
  </si>
  <si>
    <t>31997</t>
  </si>
  <si>
    <t>41300</t>
  </si>
  <si>
    <t>55600</t>
  </si>
  <si>
    <t>27800</t>
  </si>
  <si>
    <t>34700</t>
  </si>
  <si>
    <t>31100</t>
  </si>
  <si>
    <t>150300</t>
  </si>
  <si>
    <t>37585</t>
  </si>
  <si>
    <t>37588</t>
  </si>
  <si>
    <t>37591</t>
  </si>
  <si>
    <t>164000</t>
  </si>
  <si>
    <t>320000</t>
  </si>
  <si>
    <t>24600</t>
  </si>
  <si>
    <t>26961</t>
  </si>
  <si>
    <t>82750</t>
  </si>
  <si>
    <t>176000</t>
  </si>
  <si>
    <t>99000</t>
  </si>
  <si>
    <t>48600</t>
  </si>
  <si>
    <t>57600</t>
  </si>
  <si>
    <t>77330</t>
  </si>
  <si>
    <t>82700</t>
  </si>
  <si>
    <t>45900</t>
  </si>
  <si>
    <t>14250</t>
  </si>
  <si>
    <t>14251</t>
  </si>
  <si>
    <t>15670</t>
  </si>
  <si>
    <t>15669</t>
  </si>
  <si>
    <t>16650</t>
  </si>
  <si>
    <t>17000</t>
  </si>
  <si>
    <t>31300</t>
  </si>
  <si>
    <t>16647</t>
  </si>
  <si>
    <t>35840</t>
  </si>
  <si>
    <t>29670</t>
  </si>
  <si>
    <t>148333</t>
  </si>
  <si>
    <t>14833</t>
  </si>
  <si>
    <t>14834</t>
  </si>
  <si>
    <t>21500</t>
  </si>
  <si>
    <t>43600</t>
  </si>
  <si>
    <t>42300</t>
  </si>
  <si>
    <t>23440</t>
  </si>
  <si>
    <t>38700</t>
  </si>
  <si>
    <t>16607</t>
  </si>
  <si>
    <t>14990</t>
  </si>
  <si>
    <t>14919</t>
  </si>
  <si>
    <t>43310</t>
  </si>
  <si>
    <t>20810</t>
  </si>
  <si>
    <t>41620</t>
  </si>
  <si>
    <t>51000</t>
  </si>
  <si>
    <t>20774</t>
  </si>
  <si>
    <t>20647</t>
  </si>
  <si>
    <t>18200</t>
  </si>
  <si>
    <t>35500</t>
  </si>
  <si>
    <t>15818</t>
  </si>
  <si>
    <t>34900</t>
  </si>
  <si>
    <t>47500</t>
  </si>
  <si>
    <t>22500</t>
  </si>
  <si>
    <t>27200</t>
  </si>
  <si>
    <t>31800</t>
  </si>
  <si>
    <t>24100</t>
  </si>
  <si>
    <t>25200</t>
  </si>
  <si>
    <t>24300</t>
  </si>
  <si>
    <t>25600</t>
  </si>
  <si>
    <t>25500</t>
  </si>
  <si>
    <t>36800</t>
  </si>
  <si>
    <t>32600</t>
  </si>
  <si>
    <t>47900</t>
  </si>
  <si>
    <t>24400</t>
  </si>
  <si>
    <t>14000</t>
  </si>
  <si>
    <t>23500</t>
  </si>
  <si>
    <t>49200</t>
  </si>
  <si>
    <t>25800</t>
  </si>
  <si>
    <t>26800</t>
  </si>
  <si>
    <t>27100</t>
  </si>
  <si>
    <t>25280</t>
  </si>
  <si>
    <t>28700</t>
  </si>
  <si>
    <t>23204</t>
  </si>
  <si>
    <t>25452</t>
  </si>
  <si>
    <t>26700</t>
  </si>
  <si>
    <t>26200</t>
  </si>
  <si>
    <t>26660</t>
  </si>
  <si>
    <t>49500</t>
  </si>
  <si>
    <t>24490</t>
  </si>
  <si>
    <t>24500</t>
  </si>
  <si>
    <t>25900</t>
  </si>
  <si>
    <t>25630</t>
  </si>
  <si>
    <t>25100</t>
  </si>
  <si>
    <t>23310</t>
  </si>
  <si>
    <t>20430</t>
  </si>
  <si>
    <t>53140</t>
  </si>
  <si>
    <t>20130</t>
  </si>
  <si>
    <t>50790</t>
  </si>
  <si>
    <t>19420</t>
  </si>
  <si>
    <t>29806</t>
  </si>
  <si>
    <t>23338</t>
  </si>
  <si>
    <t>24225</t>
  </si>
  <si>
    <t>27400</t>
  </si>
  <si>
    <t>26900</t>
  </si>
  <si>
    <t>25180</t>
  </si>
  <si>
    <t>27500</t>
  </si>
  <si>
    <t>27328</t>
  </si>
  <si>
    <t>25378</t>
  </si>
  <si>
    <t>29100</t>
  </si>
  <si>
    <t>23300</t>
  </si>
  <si>
    <t>25521</t>
  </si>
  <si>
    <t>26938</t>
  </si>
  <si>
    <t>24190</t>
  </si>
  <si>
    <t>49850</t>
  </si>
  <si>
    <t>30019</t>
  </si>
  <si>
    <t>23400</t>
  </si>
  <si>
    <t>23548</t>
  </si>
  <si>
    <t>26027</t>
  </si>
  <si>
    <t>26500</t>
  </si>
  <si>
    <t>22800</t>
  </si>
  <si>
    <t>25705</t>
  </si>
  <si>
    <t>#11# gel filtration in presence of EGTA, dimer &lt;3&gt;</t>
  </si>
  <si>
    <t>#11# SDS-PAGE &lt;2&gt;</t>
  </si>
  <si>
    <t>#11# gel filtration in presence of EGTA, monomer &lt;3&gt;</t>
  </si>
  <si>
    <t>#11# gel filtration in presence of EGTA, tetramer  &lt;3&gt;</t>
  </si>
  <si>
    <t>#15# 2 * 68000, SDS-PAGE &lt;25&gt;</t>
  </si>
  <si>
    <t>#15# gel filtration &lt;25&gt;</t>
  </si>
  <si>
    <t>#19# x * 103169, calculated from sequence &lt;51&gt;</t>
  </si>
  <si>
    <t>#20# PdeA, SDS-PAGE &lt;89&gt;</t>
  </si>
  <si>
    <t>#20# PdeB, SDS-PAGE &lt;89&gt;</t>
  </si>
  <si>
    <t>#20# x * 27600, about, sequence calculation &lt;98&gt;</t>
  </si>
  <si>
    <t>#21# Rhizobium fredii MAR-1, gel filtration &lt;1&gt;</t>
  </si>
  <si>
    <t>#21# gel filtration &lt;11&gt;</t>
  </si>
  <si>
    <t>#21# x * 28000 &lt;1&gt;</t>
  </si>
  <si>
    <t>#21# 2 * 21000, SDS-PAGE &lt;39&gt;</t>
  </si>
  <si>
    <t>#21# gel filtration, a third form of cyclic nucleotide  phosphodiesterase &lt;23&gt;</t>
  </si>
  <si>
    <t>#21# gel filtration &lt;39&gt;</t>
  </si>
  <si>
    <t>#24# x * 65800, deduced from gene sequence &lt;37&gt;</t>
  </si>
  <si>
    <t>#24# x * 78100, deduced from gene sequence &lt;37&gt;</t>
  </si>
  <si>
    <t>#3# equilibrium sedimentation &lt;14&gt;</t>
  </si>
  <si>
    <t>#44# 1 * 33600, calculated, 1 * 38000, SDS-PAGE of  recombinant protein including His-tag &lt;103&gt;</t>
  </si>
  <si>
    <t>#44# gel filtration &lt;103&gt;</t>
  </si>
  <si>
    <t>#6# 2 * 105000, calculated, 2 * 100000, SDS-PAGE of PDE11A4,  2 * 78000, calculated, 2 * 75000, SDS-PAGE of PDE11A3, 2 * 66000, calculated, 2 * 64000, SDS-PAGE of PDE11A2, 2 * 56000, calculated, 2 * 55000, SDS-PAGE ofPDE11A1 &lt;68&gt;</t>
  </si>
  <si>
    <t>#6# 2 * 105000, calculated, 2 * 100000, SDS-PAGE of PDE11A4,  2 * 78000, calculated, 2 * 75000, SDS-PAGE of PDE11A3, 2 * 66000, calculated, 2 * 64000, SDS-PAGE of PDE11A2, 2 * 56000, calculated, 2 * 55000, SDS-PAGE ofPDE11A1 &lt;68&gt;; #6# x * 72000, splice variant PDE1C1, x * 75000, splice variant PDE1C3 &lt;75&gt;</t>
  </si>
  <si>
    <t>#6# 2 * 105000, calculated, 2 * 100000, SDS-PAGE of  PDE11A4, 2 * 78000, calculated, 2 * 75000, SDS-PAGE of PDE11A3, 2 * 66000, calculated, 2 * 64000, SDS-PAGE of PDE11A2, 2 * 56000, calculated, 2 * 55000, SDS-PAGE ofPDE11A1 &lt;68&gt;</t>
  </si>
  <si>
    <t>#6# isoform PDE11A2, gel filtration &lt;68&gt;</t>
  </si>
  <si>
    <t>#6# 2 * 61000 &lt;6&gt;</t>
  </si>
  <si>
    <t>#6# x * 72000, splice variant PDE1C1, x * 75000, splice  variant PDE1C3 &lt;75&gt;</t>
  </si>
  <si>
    <t>#6# isoform PDE11A4, gel filtration &lt;68&gt;</t>
  </si>
  <si>
    <t>#6# isoform PDE11A1, gel filtration &lt;68&gt;</t>
  </si>
  <si>
    <t>#16# SDS-PAGE &lt;5&gt;; #6# 2 * 105000, calculated, 2 *  100000, SDS-PAGE of PDE11A4, 2 * 78000, calculated, 2 * 75000, SDS-PAGE of PDE11A3, 2 * 66000, calculated, 2 * 64000, SDS-PAGE of PDE11A2, 2 * 56000, calculated, 2 * 55000, SDS-PAGE ofPDE11A1 &lt;68&gt;</t>
  </si>
  <si>
    <t>#6,16# gel filtration &lt;5,6&gt;; #6# isoform PDE11A3, gel  filtration &lt;68&gt;</t>
  </si>
  <si>
    <t>#7# SDS-PAGE &lt;93&gt;; #9# 1 * 60000 + 1 * 63000,  heterodimeric or homodimeric, SDS-PAGE &lt;13&gt;; #9# x * 63000, bovine brain, x * 60000, bovine heart, lung and brain, SDS-PAGE &lt;20&gt;; #6# 2 * 60000 &lt;64&gt;; #9# 2 * 60000, SDS-PAGE, brain PDE1 isoform &lt;35&gt;</t>
  </si>
  <si>
    <t>#7# x * 63000, splice variant PDE1B, x * 74000 and x *  70000, splice variant PDE1C, x * 79000, splice variant PDE1A &lt;81&gt;</t>
  </si>
  <si>
    <t>#7# SDS-PAGE &lt;93&gt;; #7# x * 63000, splice variant PDE1B, x *  74000 and x * 70000, splice variant PDE1C, x * 79000, splice variant PDE1A &lt;81&gt;</t>
  </si>
  <si>
    <t>#9# 1 * 60000 + 1 * 63000, heterodimeric or homodimeric,  SDS-PAGE &lt;13&gt;; #9# x * 63000, bovine brain, x * 60000, bovine heart, lung and brain, SDS-PAGE &lt;20&gt;; #7# x * 63000, splice variant PDE1B, x * 74000 and x * 70000, splice variant PDE1C, x * 79000, splice variant PDE1A &lt;81&gt;</t>
  </si>
  <si>
    <t>#9# SDS-PAGE &lt;7&gt;</t>
  </si>
  <si>
    <t>#9# sedimentation coefficient, Stokes radius &lt;7&gt;</t>
  </si>
  <si>
    <t>#9# sedimentation data &lt;35&gt;</t>
  </si>
  <si>
    <t>#21# SDS-PAGE &lt;11&gt;; #9# 2 * 59000, SDS-PAGE &lt;14&gt;</t>
  </si>
  <si>
    <t>#19# x * 40300, about, sequence calculation, x * 34000,  recombinant His-tagged enzyme without transit peptide, SDS-PAGe &lt;16&gt;</t>
  </si>
  <si>
    <t>#2# gel filtration &lt;3&gt;</t>
  </si>
  <si>
    <t>#3# gel filtration &lt;3&gt;</t>
  </si>
  <si>
    <t>#6# gel filtration &lt;14&gt;</t>
  </si>
  <si>
    <t>#7# 1 * 30000 + 1 * 27000, or 2 * 30000, not  distinguishable, SDS-PAGE, the 27000 Da subunit is a glutathione S-transferase subunit, the 30000 Da the catalytic subunit of omega-amidase &lt;14&gt;; #6# 2 * 30000, SDS-PAGE, there is no glutathione S-transferase isoform like determined for the Nit2 enzyme in rat &lt;14&gt;</t>
  </si>
  <si>
    <t>#7# SDS-PAGE &lt;14&gt;; #7# liver, high-speed sedimentation  equilibrium and amino-acid analysis &lt;9,10&gt;; #7# liver, cytoplasmic enzyme &lt;1&gt;</t>
  </si>
  <si>
    <t>#7# gel filtration on Sephadex G-200 &lt;14&gt;</t>
  </si>
  <si>
    <t>#7# 1 * 30000 + 1 * 27000, or 2 * 30000, not  distinguishable, SDS-PAGE, the 27000 Da subunit is a glutathione S-transferase subunit, the 30000 Da the catalytic subunit of omega-amidase &lt;14&gt;</t>
  </si>
  <si>
    <t>#7# 1 * 31000 + 1 * 26000, or 2 * 31000, not  distinguishable, calculated from sequence, the 26000 Da subunit is a glutathione S-transferase subunit, the 31000 Da the catalytic subunit of omega-amidase &lt;14&gt;</t>
  </si>
  <si>
    <t>#7# liver, cytoplasmic enzyme, 2 * 28000 &lt;1&gt;</t>
  </si>
  <si>
    <t>#7# SDS-PAGE &lt;12&gt;; #7# 1 * 31000 + 1 * 26000, or 2 * 31000,  not distinguishable, calculated from sequence, the 26000 Da subunit is a glutathione S-transferase subunit, the 31000 Da the catalytic subunit of omega-amidase &lt;14&gt;</t>
  </si>
  <si>
    <t>#10# 2 * 45000, SDS-PAGE &lt;53&gt;</t>
  </si>
  <si>
    <t>#10# gel filtration, sedimentation equilibrium  analysis &lt;53&gt;</t>
  </si>
  <si>
    <t>#11# analytical ultracentrifugation &lt;23&gt;</t>
  </si>
  <si>
    <t>#11# gel filtration &lt;23&gt;</t>
  </si>
  <si>
    <t>#11# 2 * 46500, SDS-PAGE &lt;27&gt;</t>
  </si>
  <si>
    <t>#13# 2 * 45400, mitochondrial isozyme, SDS-PAGE &lt;21&gt;</t>
  </si>
  <si>
    <t>#13# mitochondrial isozyme, sedimentation equilibrium  analysis &lt;21&gt;</t>
  </si>
  <si>
    <t>#13# 2 * 46300, cytosolic isozyme &lt;21&gt;</t>
  </si>
  <si>
    <t>#36# isozyme AAT-2, gel filtration &lt;12&gt;; #13# cytosolic  isozyme, sedimentation equilibrium analysis &lt;21&gt;</t>
  </si>
  <si>
    <t>#14# gel filtration, gradient PAGE &lt;49&gt;</t>
  </si>
  <si>
    <t>#14# gel filtration &lt;38&gt;</t>
  </si>
  <si>
    <t>#14,59# 1 * 50000, SDS-PAGE &lt;49,71&gt;</t>
  </si>
  <si>
    <t>#15# cytosolic isozyme, sedimentation equilibrium &lt;43&gt;</t>
  </si>
  <si>
    <t>#15# sedimentation equilibrium analysis &lt;29&gt;</t>
  </si>
  <si>
    <t>#16,18,22,48,60# gel filtration &lt;8,25,28,39&gt;</t>
  </si>
  <si>
    <t>#20# sedimentation equilibrium centrifugation &lt;51&gt;</t>
  </si>
  <si>
    <t>#52,103# gel filtration &lt;40,161&gt;; #21# meniscus  depletion sedimentation equilibrium method &lt;20&gt;; #26# isozymes AAT-2a, 2b and 2c, gel filtration &lt;47&gt;</t>
  </si>
  <si>
    <t>#36# 2 * 44000, isozyme AAT-1, SDS-PAGE &lt;12&gt;; #22,60#  2 * 44000, mitochondria, SDS-PAGE &lt;8,39&gt;</t>
  </si>
  <si>
    <t>#51# SDS-PAGE &lt;127&gt;; #52# 2 * 40000, SDS-PAGE &lt;40&gt;;  #26# 2 * 40000, isozymes AAT-2a, 2b and 3c, SDS-PAGE &lt;47&gt;</t>
  </si>
  <si>
    <t>#27# isozyme AAT2, native PAGE &lt;73&gt;</t>
  </si>
  <si>
    <t>#27# isozyme AAT1, native PAGE &lt;73&gt;</t>
  </si>
  <si>
    <t>#27# 2 * 52200, isozyme AAT1, SDS-PAGE &lt;73&gt;</t>
  </si>
  <si>
    <t>#27# 2 * 54800, isozyme AAT2, SDS-PAGE &lt;73&gt;</t>
  </si>
  <si>
    <t>#36,60# gel filtration &lt;12,39&gt;; #36# isozyme AAT-1  &lt;12&gt;; #60# mitochondrial isozyme &lt;39&gt;; #27# isozyme AAT1, gel filtration &lt;73&gt;</t>
  </si>
  <si>
    <t>#28# gel filtration, sedimentation equilibrium &lt;41&gt;</t>
  </si>
  <si>
    <t>#28,48,57# 2 * 42000, SDS-PAGE &lt;28,41,63&gt;</t>
  </si>
  <si>
    <t>#3# 2 * 65000, SDS-PAGE &lt;48&gt;</t>
  </si>
  <si>
    <t>#3# gel filtration &lt;48&gt;</t>
  </si>
  <si>
    <t>#30# native PAGE &lt;44&gt;</t>
  </si>
  <si>
    <t>#32# cytosol, gel filtration &lt;39&gt;</t>
  </si>
  <si>
    <t>#32,60# 2 * 46000, cytosol, SDS-PAGE &lt;39&gt;</t>
  </si>
  <si>
    <t>#36,67,68# SDS-PAGE &lt;105&gt;; #37# x * 53000,  SDS-PAGE &lt;130&gt;; #37# 2 * 53000, SDS-PAGE &lt;30&gt;; #70# 2 * 53000 &lt;30&gt;</t>
  </si>
  <si>
    <t>#36,67,68# calculated from amino acid sequence &lt;105&gt;</t>
  </si>
  <si>
    <t>#37# gel filtration &lt;30&gt;</t>
  </si>
  <si>
    <t>#37,67# gel filtration &lt;105,130&gt;</t>
  </si>
  <si>
    <t>#40# 2 * 32500, SDS-PAGE &lt;50&gt;</t>
  </si>
  <si>
    <t>#40# gel filtration, PAGE, diffusion and  sedimentation equilibrium &lt;50&gt;</t>
  </si>
  <si>
    <t>#42# gel filtration, isozyme AAT-P2 &lt;52&gt;</t>
  </si>
  <si>
    <t>#42# isozyme AAT-P2, gel filtration &lt;52&gt;</t>
  </si>
  <si>
    <t>#45# gel filtration &lt;3&gt;</t>
  </si>
  <si>
    <t>#51# deduced from cDNA &lt;127&gt;</t>
  </si>
  <si>
    <t>#57# gel filtration &lt;63&gt;</t>
  </si>
  <si>
    <t>#59# isozyme AST II, gel filtration &lt;71&gt;</t>
  </si>
  <si>
    <t>#6# PAGE &lt;2&gt;</t>
  </si>
  <si>
    <t>#6# gel filtration, meniscus depletion sedimentation  equilibrium method &lt;45&gt;</t>
  </si>
  <si>
    <t>#6# meniscus depletion sedimentation equilibrium method  &lt;9&gt;; #8# cytosolic isozyme, gel filtration &lt;22&gt;</t>
  </si>
  <si>
    <t>#31# SDS-PAGE &lt;120&gt;; #14# 4 * 43000, SDS-PAGE &lt;38&gt;;  #8# x * 43000, SDS-PAGE &lt;55&gt;; #6# 2 * 43000, SDS-PAGE &lt;9,45&gt;</t>
  </si>
  <si>
    <t>#64# x * 43776, recombinant enzyme, DNA sequence  determination and mass spectrometry &lt;69&gt;</t>
  </si>
  <si>
    <t>#66# calculated from sequence of cDNA &lt;99&gt;</t>
  </si>
  <si>
    <t>#69# SDS-PAGE &lt;94&gt;</t>
  </si>
  <si>
    <t>#69# 2 * 43500, SDS-PAGE &lt;94&gt;</t>
  </si>
  <si>
    <t>#70# electrospray mass spectrometry &lt;112&gt;</t>
  </si>
  <si>
    <t>#79# SDS-PAGE &lt;128&gt;</t>
  </si>
  <si>
    <t>#79# calculated from cDNA &lt;128&gt;</t>
  </si>
  <si>
    <t>#8# 2 * 41000, cytosolic isozyme, SDS-PAGE &lt;22&gt;</t>
  </si>
  <si>
    <t>#8# cytoplasmic form, SDS-PAGE &lt;89&gt;</t>
  </si>
  <si>
    <t>#8# SDS-PAGE &lt;92&gt;</t>
  </si>
  <si>
    <t>#8# 2 * 43400, mitochondrial isozyme, SDS-PAGE &lt;22&gt;</t>
  </si>
  <si>
    <t>#15# cytosolic isozyme, gel filtration &lt;43&gt;; #8#  mitochondrial isozyme, gel filtration &lt;22&gt;</t>
  </si>
  <si>
    <t>#27# isozyme AAT2, gel filtration &lt;73&gt;; #29# isozymes  A and B, PAGE, gel filtration &lt;26&gt;; #8# mitochondrial form, SDS-PAGE &lt;89&gt;</t>
  </si>
  <si>
    <t>#36# 2 * 47000, AAT-2, SDS-PAGE &lt;12&gt;; #8# x * 47000,  premature mitochondrial isozyme pmAspAT, SDS-PAGE &lt;68&gt;</t>
  </si>
  <si>
    <t>#9# amino acid sequence &lt;10&gt;</t>
  </si>
  <si>
    <t>#9# 2 * 46470, SDS-PAGE &lt;42&gt;</t>
  </si>
  <si>
    <t>#9# 2 * 46344, amino acid sequence &lt;10&gt;</t>
  </si>
  <si>
    <t>#96,97# gel filtration &lt;137&gt;</t>
  </si>
  <si>
    <t>#99# x * 45705, calculated from sequence &lt;110&gt;</t>
  </si>
  <si>
    <t>#98# gel filtration &lt;32&gt;; #54# ultracentrifugal  studies &lt;4&gt;; #55# tetramer, gel filtration &lt;28&gt;</t>
  </si>
  <si>
    <t>#111# monomer, sedimentation velocity &lt;53&gt;</t>
  </si>
  <si>
    <t>#131# sequence analysis &lt;105&gt;</t>
  </si>
  <si>
    <t>#134# antibodies &lt;100&gt;</t>
  </si>
  <si>
    <t>#135# antibodies &lt;100&gt;</t>
  </si>
  <si>
    <t>#17# x * 40000, oligomer, SDS-PAGE &lt;21&gt;</t>
  </si>
  <si>
    <t>#17# above, gel filtration &lt;21&gt;</t>
  </si>
  <si>
    <t>#20# non-denaturing gel electrophoresis &lt;5&gt;</t>
  </si>
  <si>
    <t>#20# gel filtration &lt;5&gt;</t>
  </si>
  <si>
    <t>#20# 4 * 34000, SDS-PAGE &lt;5&gt;</t>
  </si>
  <si>
    <t>#23# sucrose density gradient centrifugation &lt;6&gt;; #23#  tetramer, sucrose density gradient centrifugation in presence of fructose 1,6-diphosphate and NADH &lt;23&gt;</t>
  </si>
  <si>
    <t>#110# x * 36000, SDS-PAGE &lt;45&gt;; #23,98# 4 * 36000,  SDS-PAGE &lt;6,23,32&gt;</t>
  </si>
  <si>
    <t>#3# x * 39000, recombinant His6-tagged LDH-1, SDS-PAGE, x *  34600, about, sequence calculation &lt;106&gt;</t>
  </si>
  <si>
    <t>#30# 2 * 39000, SDS-PAGE &lt;88&gt;; #3# x * 39000, recombinant  His6-tagged LDH-1, SDS-PAGE, x * 34600, about, sequence calculation &lt;106&gt;</t>
  </si>
  <si>
    <t>#30# gel filtration &lt;88&gt;</t>
  </si>
  <si>
    <t>#34# 2 * 37000, SDS-PAGE &lt;11&gt;</t>
  </si>
  <si>
    <t>#34# gel filtration &lt;11&gt;</t>
  </si>
  <si>
    <t>#47# 2 * 58000, isoenzyme LDH1 and LDH2, SDS-PAGE &lt;30&gt;</t>
  </si>
  <si>
    <t>#47# gel filtration &lt;30&gt;</t>
  </si>
  <si>
    <t>#50# 4 * 35900, SDS-PAGE &lt;2&gt;</t>
  </si>
  <si>
    <t>#50# equilibrium sedimentation &lt;2&gt;</t>
  </si>
  <si>
    <t>#55# octamer, gel filtration &lt;28&gt;</t>
  </si>
  <si>
    <t>#55# meniscus depletion experiments &lt;28&gt;</t>
  </si>
  <si>
    <t>#55# equilibrium sedimentation &lt;28&gt;</t>
  </si>
  <si>
    <t>#58# disc gel electrophoresis &lt;16&gt;</t>
  </si>
  <si>
    <t>#60# gel filtration &lt;41&gt;</t>
  </si>
  <si>
    <t>#63# gel filtration &lt;3&gt;</t>
  </si>
  <si>
    <t>#63# non-denaturing gel electrophoresis &lt;3&gt;</t>
  </si>
  <si>
    <t>#63# x * 33700, SDS-PAGE &lt;3&gt;</t>
  </si>
  <si>
    <t>#68# 4 * 33500, SDS-PAGE &lt;39&gt;</t>
  </si>
  <si>
    <t>#68# gel filtration &lt;39&gt;; #111# dimer, sedimentation  velocity &lt;53&gt;</t>
  </si>
  <si>
    <t>#9# SDS-PAGE &lt;134&gt;; #7# 4 * 35000, SDS-PAGE &lt;40&gt;; #55#  8 * 35000, enzyme also exists in an tetrameric enzyme form, SDS-PAGE, meniscus depletion experiments in 4 M guanidinium chloride &lt;28&gt;</t>
  </si>
  <si>
    <t>#75# x * 42000, recombinant His6-tagged LctD, SDS-PAGE  &lt;112&gt;</t>
  </si>
  <si>
    <t>#13# calculated from amino acid sequence &lt;46&gt;</t>
  </si>
  <si>
    <t>#14# gel filtration, isoforms I and II &lt;16&gt;</t>
  </si>
  <si>
    <t>#15# x * 65000, SDS-PAGE &lt;30&gt;</t>
  </si>
  <si>
    <t>#18# 4 * 56000, isoenzyme TAT-2, SDS-PAGE &lt;14&gt;</t>
  </si>
  <si>
    <t>#18# 4 * 43000, isoenzyme TAT-1, SDS-PAGE &lt;14&gt;</t>
  </si>
  <si>
    <t>#18# isoenzyme TAT-1, gel filtration &lt;14&gt;</t>
  </si>
  <si>
    <t>#18# isoenzymes TAT-2 and TAT-3, gel filtration &lt;14&gt;</t>
  </si>
  <si>
    <t>#21# X-ray crystallography &lt;35&gt;</t>
  </si>
  <si>
    <t>#24# x * 42000, SDS-PAGE &lt;42&gt;</t>
  </si>
  <si>
    <t>#25# calculated from cDNA &lt;48&gt;</t>
  </si>
  <si>
    <t>#33# gel filtration &lt;58&gt;</t>
  </si>
  <si>
    <t>#5# recombinant expressed in Escherichia coli, native  gradient PAGE &lt;15&gt;</t>
  </si>
  <si>
    <t>#5# recombinant expressed in Escherichia coli, gel  filtration &lt;15&gt;</t>
  </si>
  <si>
    <t>#5# isoenzymes: TAT-I, TAT-II, TAT-III, gel filtration &lt;9&gt;;  #5# amino acid composition and gel filtration &lt;2&gt;</t>
  </si>
  <si>
    <t>#5# sedimentation analysis &lt;2&gt;</t>
  </si>
  <si>
    <t>#5# glycerol gradient centrifugation &lt;4&gt;</t>
  </si>
  <si>
    <t>#5# x * 52000, SDS-PAGE &lt;8&gt;</t>
  </si>
  <si>
    <t>#5# 2 * 44000, isoenzymes TAT-I and TAT-II, SDS-PAGE &lt;9&gt;</t>
  </si>
  <si>
    <t>#5# 2 * 53000, SDS-PAGE &lt;5&gt;</t>
  </si>
  <si>
    <t>#5# gel filtration, different isoenzymes &lt;7&gt;</t>
  </si>
  <si>
    <t>#5# sucrose density gradient sedimentation &lt;5&gt;</t>
  </si>
  <si>
    <t>#5# ultracentrifugation &lt;8&gt;</t>
  </si>
  <si>
    <t>#11# gel filtration &lt;13&gt;; #5# recombinant expressed in  Escherichia coli, ultracentrifugation &lt;15&gt;</t>
  </si>
  <si>
    <t>#5# gel filtration &lt;4&gt;</t>
  </si>
  <si>
    <t>#21# SDS-PAGE &lt;35&gt;; #5# 2 * 50000, SDS-PAGE &lt;4,15&gt;; #5#  ? * 50000, SDS-PAGE &lt;6&gt;; #7# 1 * 50000 + 1 * 48000 &lt;17&gt;</t>
  </si>
  <si>
    <t>#7# 1 * 50000 + 1 * 48000 &lt;17&gt;</t>
  </si>
  <si>
    <t>#8# 2 * 45000, SDS-PAGE &lt;21&gt;</t>
  </si>
  <si>
    <t>#8# gel filtration &lt;21&gt;</t>
  </si>
  <si>
    <t>#1# 2 * 35000, SDS-PAGE &lt;9&gt;</t>
  </si>
  <si>
    <t>#1# gel filtration &lt;9&gt;</t>
  </si>
  <si>
    <t>#11# x * 46000, x * 68000, x * 86000, SDS-PAGE of 3  isoforms &lt;35&gt;</t>
  </si>
  <si>
    <t>#12# gel filtration &lt;8&gt;</t>
  </si>
  <si>
    <t>#14# AT-I, gel filtration &lt;12&gt;</t>
  </si>
  <si>
    <t>#14,15,26# AT-II, gel filtration &lt;12&gt;</t>
  </si>
  <si>
    <t>#15# AT-I, gel filtration &lt;12&gt;</t>
  </si>
  <si>
    <t>#19# PAGE &lt;46&gt;</t>
  </si>
  <si>
    <t>#19# gel filtration &lt;46&gt;</t>
  </si>
  <si>
    <t>#2# gel filtration &lt;18&gt;</t>
  </si>
  <si>
    <t>#2# form A, gel filtration &lt;17&gt;; #25# isoenzyme AAT-I,  gel filtration &lt;16&gt;</t>
  </si>
  <si>
    <t>#2# form B2, gel filtration &lt;17&gt;; #8# aromatic  aminotransferase AT-1, gel filtration &lt;37&gt;; #8# aromatic aminotransferase AT-2, gel filtration &lt;37&gt;</t>
  </si>
  <si>
    <t>#21# gel filtration &lt;23&gt;; #21# x * 44000, x * 66000,  SDS-PAGE of 2 isoforms &lt;35&gt;</t>
  </si>
  <si>
    <t>#21# 2 * 33000, SDS-PAGE &lt;23&gt;</t>
  </si>
  <si>
    <t>#22# gel filtration &lt;3&gt;</t>
  </si>
  <si>
    <t>#24# enzymes from strain CB 60 and CB 6, gel filtration  &lt;14&gt;</t>
  </si>
  <si>
    <t>#25# isoenzyme AAT-II, gel filtration &lt;16&gt;</t>
  </si>
  <si>
    <t>#25# isoenzyme AAT-III, gel filtration &lt;16&gt;</t>
  </si>
  <si>
    <t>#27# recombinant enzyme, gel filtration &lt;54&gt;</t>
  </si>
  <si>
    <t>#29# ArAT-I, gel filtration &lt;19&gt;</t>
  </si>
  <si>
    <t>#30# recombinant enzyme, gel filtration &lt;31&gt;</t>
  </si>
  <si>
    <t>#31# isoenzyme ArAT-I, gel filtration &lt;7&gt;</t>
  </si>
  <si>
    <t>#31# 2 * 47000, ArAT-I, SDS-PAGE &lt;7&gt;</t>
  </si>
  <si>
    <t>#31# 2 * 45000, ArAT-II, SDS-PAGE &lt;7&gt;</t>
  </si>
  <si>
    <t>#34# 2 * 42731, deduced from nucleotide sequence &lt;25&gt;</t>
  </si>
  <si>
    <t>#34# 2 * 42653, mass spectrometry &lt;25&gt;</t>
  </si>
  <si>
    <t>#39# x * 46300, calculated &lt;44&gt;</t>
  </si>
  <si>
    <t>#4# gel filtration &lt;4&gt;</t>
  </si>
  <si>
    <t>#4# 2 * 43000, SDS-PAGE &lt;10&gt;</t>
  </si>
  <si>
    <t>#4# 2 * 43537, deduced from nucleotide sequence &lt;10,11&gt;</t>
  </si>
  <si>
    <t>#4# 2 * 46000, SDS-PAGE &lt;6&gt;; #11# x * 46000, x * 68000, x  * 86000, SDS-PAGE of 3 isoforms &lt;35&gt;</t>
  </si>
  <si>
    <t>#4,34# gel filtration &lt;10,25&gt;</t>
  </si>
  <si>
    <t>#4,7# gel filtration &lt;6,13&gt;; #29# ArAT-II, gel  filtration &lt;19&gt;</t>
  </si>
  <si>
    <t>#41# gel filtration &lt;46&gt;</t>
  </si>
  <si>
    <t>#41# PAGE &lt;46&gt;</t>
  </si>
  <si>
    <t>#5# gel filtration, sucrose density gradient centrifugation  &lt;5&gt;</t>
  </si>
  <si>
    <t>#5# 2 * 52000, SDS-PAGE &lt;5&gt;</t>
  </si>
  <si>
    <t>#6# 2 * 44000, SDS-PAGE &lt;7,43&gt;; #21# x * 44000, x *  66000, SDS-PAGE of 2 isoforms &lt;35&gt;</t>
  </si>
  <si>
    <t>#6# gel filtration &lt;7,43&gt;; #31# isoenzyme ArAT-II, gel  filtration &lt;7&gt;</t>
  </si>
  <si>
    <t>#7# 2 * 42000, SDS-PAGE &lt;13&gt;; #9# 2 * 42000, dimeric  enzyme form, SDS-PAGE &lt;26&gt;; #30# 2 * 42000, recombinant enzyme, SDS-PAGE &lt;31&gt;; #9# 4 * 42000, tetrameric enzyme form, SDS-PAGE &lt;26&gt;</t>
  </si>
  <si>
    <t>#9# tetrameric form, gel filtration &lt;26&gt;</t>
  </si>
  <si>
    <t>#9# homodimeric form, gel filtration &lt;26&gt;</t>
  </si>
  <si>
    <t>#11# 1 * 72000, SDS-PAGE &lt;53&gt;; #11# 2 *  72000, SDS-PAGE &lt;53&gt;; #11,49# x * 72000, SDS-PAGE &lt;16&gt;; #11,23# 4 * 72000, SDS-PAGE &lt;26,53&gt;; #69# 4 * 72000, isozyme 2, SDS-PAGE &lt;39&gt;; #85# x * 62000, isozyme ZmChlMe1, x * 72000, isozyme ZmChlMe2 &lt;37&gt;; #69# x * 72000, isozyme 1, SDS-PAGE &lt;39&gt;; #109# 4 * 72000, about, isozyme Hvme1, sequence calculation &lt;63&gt;</t>
  </si>
  <si>
    <t>#112,113# native PAGE &lt;64&gt;</t>
  </si>
  <si>
    <t>#119# calculated from amino acid sequence &lt;75&gt;</t>
  </si>
  <si>
    <t>#12# gel filtration &lt;3&gt;</t>
  </si>
  <si>
    <t>#122# gel filtration &lt;70&gt;</t>
  </si>
  <si>
    <t>#123# gel filtration &lt;70&gt;</t>
  </si>
  <si>
    <t>#131# recombinant dimeric enzyme, gel filtration at pH  7.0, minor peak &lt;34&gt;</t>
  </si>
  <si>
    <t>#131# recombinant tetrameric enzyme, gel filtration at pH  8.0, major peak &lt;34&gt;</t>
  </si>
  <si>
    <t>#133# x * 83000, SDS-PAGE &lt;86&gt;</t>
  </si>
  <si>
    <t>#14# recombinant isozyme NADP-ME2, gel filtration &lt;67&gt;</t>
  </si>
  <si>
    <t>#14# and a second molecular weight form of  460000-480000 Da, gel filtration &lt;12&gt;</t>
  </si>
  <si>
    <t>#14# and a second molecular weight form of  230000-240000 Da, gel filtration &lt;12&gt;</t>
  </si>
  <si>
    <t>#14# 1 * 61300, about, DNA sequence calculation &lt;53&gt;; #14#  2 * 61300, about, DNA sequence calculation &lt;53&gt;; #14# 4 * 61300, about, DNA sequence calculation &lt;53&gt;</t>
  </si>
  <si>
    <t>#14,41# x * 62000, SDS-PAGE &lt;16&gt;; #14# 4 *  62000, SDS-PAGE &lt;33&gt;; #131# x * 62000, detagged recombinant wild-type enzyme &lt;34&gt;; #85# x * 62000, isozyme ZmChlMe1, x * 72000, isozyme ZmChlMe2 &lt;37&gt;; #14# 4 * 62000, recombinant mature isozyme NADP-ME2, SDS-PAGE &lt;67&gt;; #90# 4 * 62000, tissue specific isozymes, SDS-PAGE, 4 * 70000, tissue specific isozymes, SDS-PAGE &lt;52&gt;</t>
  </si>
  <si>
    <t>#19# sucrose density gradient centrifugation &lt;4&gt;</t>
  </si>
  <si>
    <t>#19# gel filtration &lt;4&gt;; #110# 4 * 68000, about,  isozyme Hvme2, sequence calculation &lt;63&gt;</t>
  </si>
  <si>
    <t>#22# 2 * 42000, SDS-PAGE &lt;23&gt;</t>
  </si>
  <si>
    <t>#35# gel filtration &lt;48&gt;</t>
  </si>
  <si>
    <t>#23# gel filtration &lt;26&gt;</t>
  </si>
  <si>
    <t>#23# gel filtration &lt;29&gt;</t>
  </si>
  <si>
    <t>#27# gel filtration &lt;21&gt;</t>
  </si>
  <si>
    <t>#30# gel filtration &lt;120&gt;</t>
  </si>
  <si>
    <t>#35# 2 * 49000, SDS-PAGE &lt;48&gt;</t>
  </si>
  <si>
    <t>#4# x * 82000, SDS-PAGE &lt;1&gt;</t>
  </si>
  <si>
    <t>#46# gel filtration &lt;119&gt;</t>
  </si>
  <si>
    <t>#48# x * 60400, calculated from amino acid sequence &lt;102&gt;</t>
  </si>
  <si>
    <t>#52# gel filtration &lt;17&gt;</t>
  </si>
  <si>
    <t>#52# 4 * 64900, SDS-PAGE &lt;17&gt;</t>
  </si>
  <si>
    <t>#56# x * 67000, SDS-PAGE &lt;16&gt;</t>
  </si>
  <si>
    <t>#69# isozyme 2, gel filtration &lt;39&gt;</t>
  </si>
  <si>
    <t>#7# gel filtration &lt;19&gt;</t>
  </si>
  <si>
    <t>#122,123# SDS-PAGE &lt;70&gt;; #18# x * 65000,  SDS-PAGE &lt;66&gt;; #7# 4 * 65000, SDS-PAGE &lt;25&gt;; #112# 4 * 65000, cytosolic isozyme, SDS-PAGE &lt;64&gt;</t>
  </si>
  <si>
    <t>#7# 4 * 63000, SDS-PAGE &lt;22&gt;; #23# 4 * 63000,  approximately, SDS-PAGE &lt;29&gt;; #113# 4 * 63000, plastidic isozyme, SDS-PAGE &lt;64&gt;</t>
  </si>
  <si>
    <t>#119# mature monomer of recombinant enzyme  after enterokinase digestion, SDS-PAGE &lt;75&gt;; #7,67# 4 * 64000, SDS-PAGE &lt;19,85&gt;; #38,62# x * 64000, SDS-PAGE &lt;16,96&gt;; #111# 4 * 64000, about, isozyme Hvme3, sequence calculation &lt;63&gt;</t>
  </si>
  <si>
    <t>#70# gel filtration &lt;32&gt;</t>
  </si>
  <si>
    <t>#70# 2 * 42500, SDS-PAGE &lt;32&gt;</t>
  </si>
  <si>
    <t>#9# mitochondrial enzyme, density gradient centrifugation  &lt;9&gt;</t>
  </si>
  <si>
    <t>#9# cytosolic enzyme, density gradient centrifugation &lt;9&gt;</t>
  </si>
  <si>
    <t>#90# monomeric flower isozyme, native PAGE &lt;52&gt;</t>
  </si>
  <si>
    <t>#90# dimeric flower isozyme, native PAGE &lt;52&gt;</t>
  </si>
  <si>
    <t>#90# tetrameric isozymes from flower, leaves, and stem,  native PAGE, overview &lt;52&gt;</t>
  </si>
  <si>
    <t>#90# tetrameric isozymes from leaves, stem and roots,  native PAGE, overview &lt;52&gt;</t>
  </si>
  <si>
    <t>#2# gel filtration &lt;5&gt;</t>
  </si>
  <si>
    <t>#2# 2 * 45000, SDS-PAGE &lt;5&gt;</t>
  </si>
  <si>
    <t>#6# 2 * 45647, X-ray crystallography &lt;4&gt;</t>
  </si>
  <si>
    <t>#1# gel filtration &lt;2&gt;</t>
  </si>
  <si>
    <t>#1# 1 * 84000, SDS-PAGE &lt;1&gt;</t>
  </si>
  <si>
    <t>#1# gel filtration &lt;1&gt;</t>
  </si>
  <si>
    <t>#1# holoenzyme, gel filtration &lt;55&gt;</t>
  </si>
  <si>
    <t>#1# x * 35000, mutant enzyme modifier subunit, SDS-PAGE  &lt;55&gt;</t>
  </si>
  <si>
    <t>#1# 1 * 80000, about, catalytic subunit, + 1 * 28000, about,  modifier subunit, SDS-PAGE &lt;55&gt;</t>
  </si>
  <si>
    <t>#67# SDS-PAGE &lt;136&gt;; #1# 1 * 80000, about, catalytic  subunit, + 1 * 28000, about, modifier subunit, SDS-PAGE &lt;55&gt;</t>
  </si>
  <si>
    <t>#10# gel filtration &lt;11&gt;</t>
  </si>
  <si>
    <t>#13# 2 * 34000, SDS-PAGE &lt;32&gt;; #13# 2 * 34000 &lt;35&gt;</t>
  </si>
  <si>
    <t>#13# gel filtration &lt;32&gt;; #26# 2 * 60000, SDS-PAGE  &lt;35&gt;; #19# 1 * 60000, about &lt;35&gt;</t>
  </si>
  <si>
    <t>#19# gel filtration, ultracentrifugal analysis,  SDS-PAGE after cross-linking with dimethylsuberimidate &lt;9&gt;</t>
  </si>
  <si>
    <t>#5# x * 73000, SDS-PAGE &lt;61&gt;; #5# 1 * 73000 + 1 *  27700, PAGE in presence of 50 mM DTT &lt;6,33&gt;; #2# x * 73000, calculation from nucleotide sequence &lt;28&gt;; #2,4,5# 1 * 73000, about, catalytic subunit, + 1 * 31000, about, regulatory subunit, SDS-PAGE &lt;48&gt;; #6,8,10# 1 * 73000, about, heavy catalytic subunit, + 1 * 31000, about, light regulatory subunit, SDS-PAGE &lt;35&gt;; #2,4,5# 1 * 73000, about, GCLC, + 1 * 31000, about, GCLM &lt;111&gt;</t>
  </si>
  <si>
    <t>#2,4,5# 1 * 73000, about, catalytic subunit, + 1  * 31000, about, regulatory subunit, SDS-PAGE &lt;48&gt;; #6,8,10# 1 * 73000, about, heavy catalytic subunit, + 1 * 31000, about, light regulatory subunit, SDS-PAGE &lt;35&gt;; #2,4,5# 1 * 73000, about, GCLC, + 1 * 31000, about, GCLM &lt;111&gt;</t>
  </si>
  <si>
    <t>#24# gel filtration, a 100000 MW enzyme form is also  detected &lt;23&gt;; #39# bifunctional enzyme accounts for gamma-glutamylcysteine synthetase and glutathione synthetase activities, gel filtration &lt;70&gt;</t>
  </si>
  <si>
    <t>#24# gel filtration, a 70000 MW enzyme form is also  detected &lt;23&gt;; #59# kidney enzyme, native PAGE &lt;35&gt;</t>
  </si>
  <si>
    <t>#3# gel filtration, native PAGE &lt;1&gt;</t>
  </si>
  <si>
    <t>#32# gel filtration &lt;182&gt;</t>
  </si>
  <si>
    <t>#38# PAGE &lt;134&gt;</t>
  </si>
  <si>
    <t>#38# 1 * 66000 + 1 * 57000, SDS-PAGE &lt;134&gt;</t>
  </si>
  <si>
    <t>#4# recombinant holoenzyme, gel filtration &lt;37&gt;; #4#  recombinant wild-type and mutant holoenzymes, gel filtration &lt;39&gt;</t>
  </si>
  <si>
    <t>#4# x * 72000 + x * 32000, denaturing SDS-PAGE &lt;26&gt;</t>
  </si>
  <si>
    <t>#5# 1 * 75000 + 1 * 25000, denaturing PAGE in presence of  50 mM DTT &lt;7&gt;; #5# 1 * 75000 + 1 * 25000, nondenaturing PAGE in presence of 50 mM DTT &lt;4&gt;; #4# 2 * 75000, recombinant wild-type and mutant enzymes, SDS-PAGE &lt;39&gt;</t>
  </si>
  <si>
    <t>#73# recombinant enzyme, gel filtration &lt;152&gt;; #40# x *  45000, SDS-PAGE &lt;76&gt;</t>
  </si>
  <si>
    <t>#46# 2 * 85000, SDS-PAGE &lt;73&gt;</t>
  </si>
  <si>
    <t>#46# gel filtration &lt;73&gt;</t>
  </si>
  <si>
    <t>#46# bifunctional enzyme gamma-glutamate-cysteine  ligase-glutathione synthetase, gel filtration &lt;73&gt;</t>
  </si>
  <si>
    <t>#47# x * 78300, catalytic subunit &lt;35&gt;</t>
  </si>
  <si>
    <t>#48# 1 * 58200 &lt;35&gt;</t>
  </si>
  <si>
    <t>#49# 1 * 72600, heavy catalytic subunit, + 1 * 30600, light  regulatory subunit, SDS-PAGE &lt;35&gt;</t>
  </si>
  <si>
    <t>#5# 1 * 74000 + 1 * 24000, SDS-PAGE. One enzyme species of  MW 100000 Da detected by SDS-PAGE after cross-linking with dimethylsuberimidate &lt;15&gt;</t>
  </si>
  <si>
    <t>#5# 1 * 75000 + 1 * 25000, denaturing PAGE in presence of 50  mM DTT &lt;7&gt;; #5# 1 * 75000 + 1 * 25000, nondenaturing PAGE in presence of 50 mM DTT &lt;4&gt;</t>
  </si>
  <si>
    <t>#5# 1 * 73000 + 1 * 27700, PAGE in presence of 50 mM DTT  &lt;6,33&gt;</t>
  </si>
  <si>
    <t>#5# x * 30548, calculation from nucleotide sequence &lt;30&gt;</t>
  </si>
  <si>
    <t>#50# 1 * 77500, catalytic unit &lt;35&gt;</t>
  </si>
  <si>
    <t>#51# gel filtration &lt;172&gt;</t>
  </si>
  <si>
    <t>#51# recombinant full-length enzyme, gel filtration  &lt;69&gt;</t>
  </si>
  <si>
    <t>#51# 1 * 59900, catalytic unit &lt;35&gt;</t>
  </si>
  <si>
    <t>#52# x * 49300, catalytic subunit &lt;35&gt;</t>
  </si>
  <si>
    <t>#53# 1 * 78100, catalytic unit &lt;35&gt;</t>
  </si>
  <si>
    <t>#54# 1 * 72700, heavy catalytic subunit, + 1 * 30500, light  regulatory subunit, SDS-PAGE &lt;35&gt;</t>
  </si>
  <si>
    <t>#55# x * 71400, catalytic subunit &lt;35&gt;</t>
  </si>
  <si>
    <t>#57# x * 74200, amino acid sequence calculation &lt;58&gt;</t>
  </si>
  <si>
    <t>#58# 1 * 72800, heavy catalytic subunit, + 1 * 30700, light  regulatory subunit, SDS-PAGE &lt;35&gt;</t>
  </si>
  <si>
    <t>#73# 1 * 46000, recombinant enzyme, SDS-PAGE &lt;152&gt;</t>
  </si>
  <si>
    <t>#79# recombinant enzyme, gel filtration &lt;157&gt;</t>
  </si>
  <si>
    <t>#12# gel filtration &lt;1&gt;; #28# SDS-PAGE &lt;62&gt;; #32# 2 *  85000, SDS-PAGE &lt;60&gt;; #32# 2 * 85000, gel filtration &lt;60&gt;</t>
  </si>
  <si>
    <t>#17# 2 * 33000 (alpha</t>
  </si>
  <si>
    <t>#17,18# gel filtration &lt;4,23,49&gt;</t>
  </si>
  <si>
    <t>#17# 2 * 56000, SDS-PAGE &lt;49&gt;; #56# x * 56000, about,  recombinant His-tagged wild-type and mutant enzymes, SDS-PAGE &lt;91&gt;</t>
  </si>
  <si>
    <t>#25# gel filtration &lt;106&gt;</t>
  </si>
  <si>
    <t>#27# gel filtration &lt;85&gt;; #29# bifunctional enzyme  accounts for gamma-glutamylcysteine synthetase and glutathione synthetase activities, gel filtration &lt;59&gt;</t>
  </si>
  <si>
    <t>#29# 2 * 88000, gel filtration &lt;64&gt;</t>
  </si>
  <si>
    <t>#32# about 220000 Da, gel filtration &lt;60&gt;</t>
  </si>
  <si>
    <t>#32# bifunctional enzyme gamma-glutamate-cysteine  ligase-glutathione synthetase, gel filtration &lt;60&gt;</t>
  </si>
  <si>
    <t>#32# calculated from amino acid sequence &lt;60&gt;</t>
  </si>
  <si>
    <t>#34# x * 36000, recombinant enzyme, SDS-PAGE &lt;89&gt;; #55#  2 * 36000, recombinant His-tagged enzyme, SDS-PAGE, 2 * 35888, sequence calculation &lt;90&gt;</t>
  </si>
  <si>
    <t>#48# SDS-PAGE &lt;81&gt;</t>
  </si>
  <si>
    <t>#5# gel filtration &lt;8&gt;</t>
  </si>
  <si>
    <t>#5# x * 38000, SDS-PAGE &lt;8,52&gt;; #50# 4 * 38000,  recombinant enzyme, SDS-PAGE &lt;88&gt;</t>
  </si>
  <si>
    <t>#50# recombinant enzyme, gel filtration &lt;88&gt;</t>
  </si>
  <si>
    <t>#55# recombinant His-tagged enzyme, gel filtration &lt;90&gt;</t>
  </si>
  <si>
    <t>#55# 2 * 36000, recombinant His-tagged enzyme, SDS-PAGE, 2  * 35888, sequence calculation &lt;90&gt;</t>
  </si>
  <si>
    <t>#6# 2 * 52352, calculation from nucleotide sequence &lt;40&gt;</t>
  </si>
  <si>
    <t>#7# gel filtration &lt;10&gt;</t>
  </si>
  <si>
    <t>#7# x * 52344, calculation from nucleotide sequence &lt;29&gt;</t>
  </si>
  <si>
    <t>#7,18# 2 * 59000, SDS-PAGE &lt;4,10&gt;</t>
  </si>
  <si>
    <t>#8# 2 * 60000, SDS-PAGE &lt;13&gt;</t>
  </si>
  <si>
    <t>#8# gel filtration &lt;13&gt;; #8# meniscus depletion  method &lt;13,15&gt;</t>
  </si>
  <si>
    <t>#9# gel filtration &lt;14&gt;</t>
  </si>
  <si>
    <t>#9# 2 * 61000, SDS-PAGE &lt;14&gt;</t>
  </si>
  <si>
    <t>#1# gel filtration &lt;42&gt;</t>
  </si>
  <si>
    <t>#46# SDS-PAGE &lt;91&gt;; #10# alpha4, 4 * 21900, nucleotide  sequence, SDS-PAGE &lt;9,19,21&gt;</t>
  </si>
  <si>
    <t>#11# alpha4, 4 * 23100, SDS-PAGE &lt;35&gt;</t>
  </si>
  <si>
    <t>#16# x * 23000, SDS-PAGE &lt;6&gt;; #43# 4 * 23000, SDS-PAGE  &lt;86&gt;</t>
  </si>
  <si>
    <t>#23# gel filtration &lt;7&gt;</t>
  </si>
  <si>
    <t>#23# x * 44000, SDS-PAGE &lt;7&gt;</t>
  </si>
  <si>
    <t>#25# gel filtration &lt;153&gt;</t>
  </si>
  <si>
    <t>#28# gel filtration &lt;38&gt;</t>
  </si>
  <si>
    <t>#28# alpha4, 4 * 16000, SDS-PAGE &lt;38&gt;</t>
  </si>
  <si>
    <t>#31# alpha4, 4 * 29000, SDS-PAGE &lt;26&gt;</t>
  </si>
  <si>
    <t>#33# gel filtration, isoform Gpx2 &lt;147&gt;</t>
  </si>
  <si>
    <t>#33# gel filtration, isoform Gpx1 &lt;147&gt;</t>
  </si>
  <si>
    <t>#34# gel filtration &lt;40&gt;</t>
  </si>
  <si>
    <t>#34# alpha2, 2 * 35000, SDS-PAGE &lt;40&gt;</t>
  </si>
  <si>
    <t>#37# x * 20900, calculated from amino acid sequence &lt;130&gt;</t>
  </si>
  <si>
    <t>#41# gel filtration &lt;67&gt;</t>
  </si>
  <si>
    <t>#42# x * 26400, calculated from sequence &lt;68&gt;</t>
  </si>
  <si>
    <t>#43# SDS-PAGE &lt;86&gt;</t>
  </si>
  <si>
    <t>#44# isozyme c-GPx4, SDS-PAGE &lt;87&gt;</t>
  </si>
  <si>
    <t>#48# theoretical molecular mass of alkylated GPx &lt;81&gt;</t>
  </si>
  <si>
    <t>#48# MALDI-TOF mass spectrometry &lt;81&gt;; #48# electrospray  ionization mass spectrometry &lt;81&gt;</t>
  </si>
  <si>
    <t>#57# 1 * 19400, estimated from SDS-PAGE &lt;119&gt;</t>
  </si>
  <si>
    <t>#6# gel filtration &lt;41&gt;</t>
  </si>
  <si>
    <t>#6,7,10# gel filtration &lt;8,9,14,16,17&gt;; #10#  sedimentation equilibrium centrifugation &lt;21&gt;; #7# sedimentation and diffusion constants, partial specific volume, sedimentation equilibrium centrifugation &lt;12&gt;</t>
  </si>
  <si>
    <t>#6,7,19# SDS-PAGE, truncated and active form of  snGPx produced by cleavage at the N-terminal end &lt;85&gt;; #41# 4 * 24000, SDS-PAGE &lt;67&gt;</t>
  </si>
  <si>
    <t>#6,7,19# SDS-PAGE, inactive full-length enzyme &lt;85&gt;;  #44# isozyme n-GPx4, SDS-PAGE &lt;87&gt;</t>
  </si>
  <si>
    <t>#6,8# SDS-PAGE &lt;101,104&gt;</t>
  </si>
  <si>
    <t>#69# x * 21350, calculated from amino acid sequence &lt;131&gt;</t>
  </si>
  <si>
    <t>#7# Toyopearl HW-65 column chromatography &lt;108&gt;</t>
  </si>
  <si>
    <t>#71# gel filtration &lt;146&gt;</t>
  </si>
  <si>
    <t>#9# gel filtration &lt;58&gt;</t>
  </si>
  <si>
    <t>#11# gel filtration &lt;35&gt;; #9# PAGE &lt;152&gt;</t>
  </si>
  <si>
    <t>#1# gel filtration, enzyme form CR1 &lt;15&gt;</t>
  </si>
  <si>
    <t>#1# gel filtration, enzyme forms CR2, CR3  &lt;15&gt;; #31# 2 * 32000, SDS-PAGE &lt;25&gt;; #7# x * 32000, SDS-PAGE &lt;61&gt;; #3# 4 * 32000, enzyme form CR2, SDS-PAGE &lt;11&gt;; #8# x * 32000, enzyme form T1, SDS-PAGE &lt;5&gt;; #2# x * 31000, isozyme CHCR1, SDS-PAGE, x * 32000, isozyme CHCR2, SDS-PAGE, x * 34000, isozyme CHCR3, SDS-PAGE &lt;39&gt;; #48# x * 32000, recombinant His-tagged enzyme, SDS-PAGE &lt;84&gt;; #48# x * 32000, SDS-PAGE and calculated &lt;84&gt;</t>
  </si>
  <si>
    <t>#9# 4 * 24000, SDS-PAGE &lt;8&gt;; #1# 2 * 24000, SDS-PAGE,  enzyme form CR1 &lt;15&gt;</t>
  </si>
  <si>
    <t>#11# gel filtration &lt;19&gt;; #37# analytical  ultracentrifugation analysis, mutant S67D/H68D and wild-type &lt;70&gt;</t>
  </si>
  <si>
    <t>#16# 1 * 46000, SDS-PAGE &lt;93&gt;</t>
  </si>
  <si>
    <t>#16# gel filtration &lt;93&gt;</t>
  </si>
  <si>
    <t>#18# gel filtration &lt;36&gt;; #36# x * 40000, SDS-PAGE,  His-tagged protein &lt;65&gt;; #49# 1 * 40000, SDS-PAGE, 1 * 37533, calculated &lt;85&gt;</t>
  </si>
  <si>
    <t>#7# gel filtration, SDS-PAGE &lt;28&gt;; #3# gel  filtration, enzyme form CR1 &lt;11&gt;; #41# mass spectrometry, His-tagged CHCR1 &lt;73&gt;; #34# Western blot analysis, wild-type and mutants &lt;77&gt;; #7# 2 * 34000, SDS-PAGE &lt;54&gt;; #2# x * 31000, isozyme CHCR1, SDS-PAGE, x * 32000, isozyme CHCR2, SDS-PAGE, x * 34000, isozyme CHCR3, SDS-PAGE &lt;39&gt;</t>
  </si>
  <si>
    <t>#7# x * 31000, SDS-PAGE &lt;101&gt;; #2# x * 31000,  isozyme CHCR1, SDS-PAGE, x * 32000, isozyme CHCR2, SDS-PAGE, x * 34000, isozyme CHCR3, SDS-PAGE &lt;39&gt;; #44,50# x * 31000, SDS-PAGE, x * 31590, calculated, His-tagged protein &lt;91&gt;</t>
  </si>
  <si>
    <t>#25# gel filtration &lt;22&gt;</t>
  </si>
  <si>
    <t>#25# 2 * 67000, SDS-PAGE &lt;22&gt;</t>
  </si>
  <si>
    <t>#26# x * 190000, SDS-PAGE &lt;34&gt;</t>
  </si>
  <si>
    <t>#28# gel filtration &lt;92&gt;</t>
  </si>
  <si>
    <t>#28# 4 * 44000, SDS-PAGE &lt;92&gt;</t>
  </si>
  <si>
    <t>#3# gel filtration, enzyme form CR2 &lt;11&gt;</t>
  </si>
  <si>
    <t>#3# 1 * 37500, enzyme form CR1, SDS-PAGE &lt;11&gt;</t>
  </si>
  <si>
    <t>#3# x * 23000, SDS-PAGE &lt;3&gt;; #6# 4 * 23000, mouse,  SDS-PAGE &lt;12&gt;</t>
  </si>
  <si>
    <t>#30# gel filtration, SDS-PAGE &lt;17&gt;</t>
  </si>
  <si>
    <t>#31# gel filtration &lt;25&gt;</t>
  </si>
  <si>
    <t>#32# gel filtration &lt;35&gt;</t>
  </si>
  <si>
    <t>#32# x * 24800, SDS-PAGE &lt;35&gt;</t>
  </si>
  <si>
    <t>#37# gel filtration, mutant V270D &lt;80&gt;</t>
  </si>
  <si>
    <t>#37# analytic ultracentrifugation, wild-type &lt;80&gt;</t>
  </si>
  <si>
    <t>#41# sequence analysis, His-tagged CHCR1 &lt;73&gt;</t>
  </si>
  <si>
    <t>#42# sequence analysis, His-tagged CHCR2 &lt;73&gt;</t>
  </si>
  <si>
    <t>#42# mass spectrometry, His-tagged CHCR2 &lt;73&gt;</t>
  </si>
  <si>
    <t>#45# x * 35000, SDS-PAGE &lt;82&gt;; #42# 1 * 35000,  SDS-PAGE &lt;73&gt;; #48# x * 35000, SDS-PAGE, x * 35032, calculated &lt;96&gt;</t>
  </si>
  <si>
    <t>#43# 1 * 38000, SDS-PAGE &lt;73&gt;</t>
  </si>
  <si>
    <t>#43# mass spectrometry, His-tagged CHCR3 &lt;73&gt;</t>
  </si>
  <si>
    <t>#43# sequence analysis, His-tagged CHCR3 &lt;73&gt;</t>
  </si>
  <si>
    <t>#44,50# x * 31000, SDS-PAGE, x * 31590, calculated,  His-tagged protein &lt;91&gt;</t>
  </si>
  <si>
    <t>#45# sequence analysis &lt;72&gt;</t>
  </si>
  <si>
    <t>#47,51# PAGE &lt;86&gt;</t>
  </si>
  <si>
    <t>#47,51# 2 * 31600, SDS-PAGE &lt;86&gt;</t>
  </si>
  <si>
    <t>#48# x * 35000, SDS-PAGE, x * 35032, calculated &lt;96&gt;</t>
  </si>
  <si>
    <t>#49# gel filtration &lt;85&gt;</t>
  </si>
  <si>
    <t>#49# 1 * 40000, SDS-PAGE, 1 * 37533, calculated &lt;85&gt;</t>
  </si>
  <si>
    <t>#53# gel filtration &lt;97&gt;</t>
  </si>
  <si>
    <t>#53,54# 1 * 37000, SDS-PAGE &lt;97&gt;</t>
  </si>
  <si>
    <t>#54# gel filtration &lt;97&gt;</t>
  </si>
  <si>
    <t>#6# gel filtration &lt;12&gt;</t>
  </si>
  <si>
    <t>#60# gel filtration &lt;114&gt;</t>
  </si>
  <si>
    <t>#7# gel filtration &lt;54&gt;</t>
  </si>
  <si>
    <t>#7# gel filtration, SDS-PAGE, amino acid analysis  &lt;2&gt;; #31# deduced from cloned gene &lt;26&gt;; #18# 1 * 30000, SDS-PAGE &lt;36&gt;; #34# 1 * 30000, immunoblot analysis &lt;78&gt;</t>
  </si>
  <si>
    <t>#8# rat, different enzyme forms from testis and vas  deferens, SDS-PAGE &lt;5&gt;</t>
  </si>
  <si>
    <t>#9# gel filtration, SDS-PAGE &lt;8&gt;</t>
  </si>
  <si>
    <t>#9# gel filtration, SDS-PAGE &lt;28&gt;</t>
  </si>
  <si>
    <t>#9# x * 27000, SDS-PAGE &lt;43&gt;; #9,11,13# 4 * 27000,  SDS-PAGE &lt;19,38,58&gt;; #46# 4 * 27000, SDS-PAGE and crystallization data &lt;68&gt;</t>
  </si>
  <si>
    <t>#13# gel filtration &lt;58&gt;; #9# about, gel  filtration &lt;38&gt;; #46# gel filtration, wild-type and mutants SHL, SKL &lt;68&gt;; #37# analytic ultracentrifugation, mutant DELTA31 &lt;80&gt;</t>
  </si>
  <si>
    <t>#14# x * 120000, SDS-PAGE &lt;43&gt;</t>
  </si>
  <si>
    <t>#17# sequence analysis &lt;44&gt;</t>
  </si>
  <si>
    <t>#21# x * 58200, amino acid sequence calculation &lt;24&gt;</t>
  </si>
  <si>
    <t>#24# x * 110000, SDS-PAGE &lt;21&gt;</t>
  </si>
  <si>
    <t>#28# x * 48000, SDS-PAGE &lt;69&gt;</t>
  </si>
  <si>
    <t>#4# x * 52000, SDS-PAGE &lt;10&gt;</t>
  </si>
  <si>
    <t>#40# x * 89000, recombinant His6-tagged enzyme, SDS-PAGE  &lt;17&gt;</t>
  </si>
  <si>
    <t>#71# sequence analysis &lt;58&gt;</t>
  </si>
  <si>
    <t>#72# sequence analysis &lt;58&gt;</t>
  </si>
  <si>
    <t>#1# 2 * 43000, SDS-PAGE &lt;75&gt;</t>
  </si>
  <si>
    <t>#1,8# gel filtration &lt;75,86&gt;; #12# analytical  ultracentrifugation &lt;37&gt;; #8# sedimentation equilibrium &lt;21&gt;; #3# gel filtration and PAGE &lt;65&gt;; #12# calf liver enzyme, gel filtration &lt;86&gt;</t>
  </si>
  <si>
    <t>#10# analytical ultracentrifugation &lt;16,17&gt;</t>
  </si>
  <si>
    <t>#10# 2 * 59000, SDS-PAGE &lt;16,17&gt;; #49# 2 * 59000, native  PAGE &lt;147&gt;</t>
  </si>
  <si>
    <t>#105# SDS-PAGE &lt;191&gt;</t>
  </si>
  <si>
    <t>#106# calculated from sequence &lt;188&gt;</t>
  </si>
  <si>
    <t>#12# gel filtration &lt;89&gt;; #11# equilibrium  sedimentation &lt;4&gt;; #49# native molecular mass, native PAGE &lt;147&gt;</t>
  </si>
  <si>
    <t>#49# composed of two major proteins of 58000 and 40000  Da, SDS-PAGE &lt;147&gt;; #12# 2 * 58000, SDS-PAGE &lt;89&gt;</t>
  </si>
  <si>
    <t>#13# chloroplast enzyme, gel filtration &lt;68&gt;</t>
  </si>
  <si>
    <t>#13# 2 * 56000 + associated polypeptide 1 * 32000, SDS-PAGE  &lt;68&gt;</t>
  </si>
  <si>
    <t>#14# SDS-PAGE, gel filtration, monomer, enzyme can  also be active as dimer &lt;29&gt;; #20,48# 2 * 56000, SDS-PAGE &lt;64,104&gt;; #13# 2 * 56000 + associated polypeptide 1 * 32000, SDS-PAGE &lt;68&gt;</t>
  </si>
  <si>
    <t>#14# ultracentrifugation in glycerol density gradient,  dimer, enzyme can also be active also as monomer &lt;29&gt;</t>
  </si>
  <si>
    <t>#14# liver enzyme, about &lt;86&gt;</t>
  </si>
  <si>
    <t>#49# composed of two major proteins of 58000 and 40000  Da, SDS-PAGE &lt;147&gt;; #15# 2 * 40000, SDS-PAGE &lt;15&gt;</t>
  </si>
  <si>
    <t>#15# gel filtration &lt;15&gt;; #79# native polyacrylamide gel  electrophoresis &lt;142&gt;</t>
  </si>
  <si>
    <t>#16# gel filtration &lt;12&gt;</t>
  </si>
  <si>
    <t>#16# about &lt;86&gt;; #16# 2 * 64000, SDS-PAGE &lt;12&gt;</t>
  </si>
  <si>
    <t>#17# 2 * 50200 &lt;14&gt;</t>
  </si>
  <si>
    <t>#19# gel filtration &lt;40&gt;</t>
  </si>
  <si>
    <t>#19# 2 * 72000, SDS-PAGE &lt;40&gt;</t>
  </si>
  <si>
    <t>#20# gel filtration &lt;27&gt;</t>
  </si>
  <si>
    <t>#24# 2 * 57100, calculated for GR1 including the N-terminal  His-tag &lt;145&gt;</t>
  </si>
  <si>
    <t>#30# gel filtration &lt;35&gt;; #24# purified native isoform  GR1, gel filtration &lt;145&gt;</t>
  </si>
  <si>
    <t>#27# native PAGE &lt;11&gt;</t>
  </si>
  <si>
    <t>#27# x * 57000 + x * 36000 &lt;11&gt;</t>
  </si>
  <si>
    <t>#58# x * 57000 + x * 37000, SDS-PAGE &lt;11&gt;; #27# x *  57000 + x * 36000 &lt;11&gt;</t>
  </si>
  <si>
    <t>#28# gel filtration &lt;47&gt;</t>
  </si>
  <si>
    <t>#12# bovine erythrocyte enzyme, gel fitration  &lt;86&gt;; #3,7,28,35# 2 * 52000, SDS-PAGE &lt;42,47,49,65&gt;</t>
  </si>
  <si>
    <t>#30# 2 * 53400, SDS-PAGE &lt;35&gt;</t>
  </si>
  <si>
    <t>#31,57,71# gel filtration &lt;1,67,162&gt;</t>
  </si>
  <si>
    <t>#32# SDS-PAGE &lt;121&gt;; #81# native polyacrylamide gel  electrophoresis &lt;142&gt;</t>
  </si>
  <si>
    <t>#33# native PAGE &lt;52&gt;; #33# liver enzyme, gel filtration  &lt;86&gt;</t>
  </si>
  <si>
    <t>#34# gel filtration &lt;50&gt;; #56# 2 * 63000, SDS-PAGE &lt;51&gt;</t>
  </si>
  <si>
    <t>#35# calculation from sedimentation and diffusion  coefficients &lt;49&gt;</t>
  </si>
  <si>
    <t>#35,102# gel filtration &lt;48,190&gt;; #43# PAGE at  different acrylamide concentrations, gel filtration &lt;36&gt;</t>
  </si>
  <si>
    <t>#37# calculated from sequence of cDNA &lt;92&gt;</t>
  </si>
  <si>
    <t>#43# 2 * 54000, SDS-PAGE, gel filtration in presence of  urea &lt;36&gt;</t>
  </si>
  <si>
    <t>#46# quadrupol time of flight electrospray ionization mass  spectrometry &lt;133&gt;</t>
  </si>
  <si>
    <t>#46# 1 * 54800, active monomeric form, SDS-PAGE &lt;133&gt;</t>
  </si>
  <si>
    <t>#48# gel filtration &lt;64&gt;</t>
  </si>
  <si>
    <t>#49# subunit, calculated from amino acid sequence &lt;147&gt;</t>
  </si>
  <si>
    <t>#5# 2 * 66000, SDS-PAGE &lt;54&gt;</t>
  </si>
  <si>
    <t>#5# gel filtration &lt;54&gt;</t>
  </si>
  <si>
    <t>#5# gel filtration &lt;59&gt;</t>
  </si>
  <si>
    <t>#53# sedimentation equilibrium, tetramer, enzyme exists  predominantly as a tetrameric species in equilibrium with a minor dimer fraction &lt;28&gt;</t>
  </si>
  <si>
    <t>#53# Spirulina maxima, pore gradient gel electrophoresis,  dimer, enzyme exists predominantly as tetrameric species in equilibrium with a minor dimer fraction &lt;28&gt;</t>
  </si>
  <si>
    <t>#84# one of two minor protein bands at 50000 and 47000  Da, SDS-PAGE &lt;143&gt;; #53# 2 * 47000, SDS-PAGE, enzyme exists predominantly as a tetrameric species in equilibrium with a minor dimer fraction &lt;28&gt;; #53# 4 * 47000, SDS-PAGE, enzyme exists predominantly as a tetrameric species in equilibrium with a minor dimer fraction &lt;28&gt;</t>
  </si>
  <si>
    <t>#58# x * 57000 + x * 37000, SDS-PAGE &lt;11&gt;</t>
  </si>
  <si>
    <t>#58# native PAGE &lt;11&gt;</t>
  </si>
  <si>
    <t>#55# SDS-PAGE &lt;103&gt;; #12# bovine brain  enzyme, gel fitration &lt;86&gt;; #84# major protein band, approximately 55000 Da, SDS-PAGE &lt;143&gt;; #6,69,71# 2 * 55000, SDS-PAGE &lt;38,161,162&gt;; #12# x * 55000, SDS-PAGE &lt;118&gt;; #7# 2 * 55000 &lt;32&gt;</t>
  </si>
  <si>
    <t>#6,7,40,44# gel filtration &lt;5,38,42,109,156&gt;</t>
  </si>
  <si>
    <t>#67# velocity sedimentation analysis &lt;84&gt;</t>
  </si>
  <si>
    <t>#67# 2 * 50000, SDS-PAGE, 2 * 49300, MALDI-TOF mass  spectrometry &lt;84&gt;</t>
  </si>
  <si>
    <t>#68# gel filtration &lt;87&gt;</t>
  </si>
  <si>
    <t>#68# 2 * 65000, SDS-PAGE &lt;87&gt;</t>
  </si>
  <si>
    <t>#7# 2 * 49000, SDS-PAGE &lt;10&gt;</t>
  </si>
  <si>
    <t>#72# gel filtration &lt;176&gt;</t>
  </si>
  <si>
    <t>#8# apoenzyme without FAD, sedimentation equilibrium &lt;21&gt;</t>
  </si>
  <si>
    <t>#8# 2 * 52500 &lt;3,24&gt;</t>
  </si>
  <si>
    <t>#8# 2 * 51698, sequence calculation &lt;86&gt;</t>
  </si>
  <si>
    <t>#74# SDS-PAGE &lt;93&gt;; #84# one of two minor  protein bands at 50000 and 47000 Da, SDS-PAGE &lt;143&gt;; #8,15,71# 2 * 50000, SDS-PAGE &lt;21,71,163&gt;; #67# 2 * 50000, SDS-PAGE, 2 * 49300, MALDI-TOF mass spectrometry &lt;84&gt;</t>
  </si>
  <si>
    <t>#80# native polyacrylamide gel electrophoresis &lt;142&gt;</t>
  </si>
  <si>
    <t>#83# native polyacrylamide gel electrophoresis &lt;142&gt;</t>
  </si>
  <si>
    <t>#9# gel filtration &lt;177&gt;</t>
  </si>
  <si>
    <t>#9,19# gel filtration &lt;39,45&gt;</t>
  </si>
  <si>
    <t>#9# about &lt;86&gt;; #9,24,44,57# 2 * 60000, SDS-PAGE  &lt;45,67,145,156&gt;; #20# x * 60000, SDS-PAGE &lt;26&gt;</t>
  </si>
  <si>
    <t>#9# native PAGE and SDS-PAGE &lt;154&gt;; #40# 2 * 53000,  SDS-PAGE &lt;109&gt;</t>
  </si>
  <si>
    <t>#96# gel filtration &lt;175&gt;</t>
  </si>
  <si>
    <t>#97# gel filtration &lt;185&gt;</t>
  </si>
  <si>
    <t>#98# calculated from sequence &lt;187&gt;</t>
  </si>
  <si>
    <t>#2# gel filtration &lt;1&gt;</t>
  </si>
  <si>
    <t>#1# x * 21000, SDS-PAGE &lt;1&gt;</t>
  </si>
  <si>
    <t>#116#  SDS-PAGE &lt;200&gt;; #110# isozyme ADH2, apparent molecular weight deduced from electrophoretic mobility &lt;217&gt;; #113# isozyme ADH4, calculated from amino acid sequence &lt;217&gt;; #96,135# 4 * 40000, SDS-PAGE &lt;147,242&gt;; #9,12,39,55,82# 2 * 40000, SDS-PAGE &lt;16,23,24,59,87,95&gt;; #1,9,83,134# x * 40000, SDS-PAGE &lt;11,44,52,230&gt;; #10# 2 * 40000, ADH-3, SDS-PAGE &lt;49&gt;; #45# 2 * 40000, enzyme form ADHI &lt;68&gt;</t>
  </si>
  <si>
    <t>#10,39,55# gel filtration &lt;47,49,59,95&gt;; #45#  enzyme form ADHI, gel filtration &lt;68&gt;</t>
  </si>
  <si>
    <t>#100# SDS-PAGE &lt;159&gt;</t>
  </si>
  <si>
    <t>#100# deduced from amino acid sequence &lt;159&gt;</t>
  </si>
  <si>
    <t>#102# x * 37443, ADH1, calculated from sequence &lt;175&gt;</t>
  </si>
  <si>
    <t>#104# gel filtration &lt;174&gt;</t>
  </si>
  <si>
    <t>#104# 2 * 36900, SDS-PAGE &lt;174&gt;</t>
  </si>
  <si>
    <t>#107# x * 37066, calculated &lt;180&gt;</t>
  </si>
  <si>
    <t>#108# x * 37311, calculated &lt;180&gt;</t>
  </si>
  <si>
    <t>#110# isozyme ADH3, apparent molecular weight deduced from  electrophoretic mobility &lt;217&gt;</t>
  </si>
  <si>
    <t>#110# isozyme ADH1C, calculated from amino acid sequence  &lt;217&gt;</t>
  </si>
  <si>
    <t>#110# isozyme ADH3, calculated from amino acid sequence  &lt;217&gt;</t>
  </si>
  <si>
    <t>#110# isozyme ADH2, calculated from amino acid sequence  &lt;217&gt;</t>
  </si>
  <si>
    <t>#110# isozyme ADH1C, apparent molecular weight deduced  from electrophoretic mobility &lt;217&gt;; #113# isozyme ADH4, apparent molecular weight deduced from electrophoretic mobility &lt;217&gt;</t>
  </si>
  <si>
    <t>#111# SDS-PAGE &lt;198&gt;</t>
  </si>
  <si>
    <t>#115# 4 * 36010, Ta1316 ADH, calculated from amino acid  sequence &lt;216&gt;</t>
  </si>
  <si>
    <t>#116# calculated molecular weight &lt;200&gt;</t>
  </si>
  <si>
    <t>#118# PAGE &lt;218&gt;</t>
  </si>
  <si>
    <t>#12# gel filtration &lt;87&gt;</t>
  </si>
  <si>
    <t>#122# gel filtration &lt;259&gt;</t>
  </si>
  <si>
    <t>#125# gel filtration &lt;220&gt;</t>
  </si>
  <si>
    <t>#125# 4 * 37477, calculeted from sequence &lt;220&gt;</t>
  </si>
  <si>
    <t>#126# 4 * 28978, calculated from sequence &lt;222&gt;</t>
  </si>
  <si>
    <t>#127# sucrose density gradient centrifugation &lt;221&gt;</t>
  </si>
  <si>
    <t>#127# 4 * 27024, ESI-MS analysis &lt;221&gt;</t>
  </si>
  <si>
    <t>#131# 2 * 28900, SDS-PAGE &lt;228&gt;</t>
  </si>
  <si>
    <t>#131# gel filtration &lt;228&gt;</t>
  </si>
  <si>
    <t>#135# 4 * 39570, calculated from sequence &lt;242&gt;</t>
  </si>
  <si>
    <t>#136# gel filtration &lt;240&gt;</t>
  </si>
  <si>
    <t>#136# 4 * 37600, SDS-PAGE &lt;240&gt;</t>
  </si>
  <si>
    <t>#139,140,141# gel filtration &lt;255&gt;</t>
  </si>
  <si>
    <t>#139,140,141# 4 * 48000, SDS-PAGE &lt;255&gt;</t>
  </si>
  <si>
    <t>#14# gel filtration &lt;46&gt;</t>
  </si>
  <si>
    <t>#14# 2 * 41700, enzyme form CM-I: a polypeptide chain + C  polypeptide chain, enzyme form CM-II: B-chain + C-chain, enzyme form CM III, homodimer of C chains, SDS-PAGE &lt;46&gt;</t>
  </si>
  <si>
    <t>#14# gel filtration &lt;45&gt;; #47# recombinant enzyme  expressed from Arxula adeninivorans and Saccharomyces cerevisiae, gel filtration &lt;235&gt;</t>
  </si>
  <si>
    <t>#98# deduced from amino acid sequence &lt;165&gt;;  #14# 2 * 36000, SDS-PAGE &lt;45&gt;; #115# 4 * 36000, Ta1316 ADH, SDS-PAGE &lt;216&gt;</t>
  </si>
  <si>
    <t>#142# gel filtration &lt;255&gt;</t>
  </si>
  <si>
    <t>#142# 4 * 49000, SDS-PAGE &lt;255&gt;</t>
  </si>
  <si>
    <t>#146# 1 * 32000, SDS-PAGE &lt;141&gt;</t>
  </si>
  <si>
    <t>#152# gel filtration &lt;246&gt;</t>
  </si>
  <si>
    <t>#152# 1 * 31000, SDS-PAGE, 1 * 31464, calculated &lt;246&gt;</t>
  </si>
  <si>
    <t>#153# x * 36411, calculated, x * 37000, SDS-PAGE &lt;247&gt;</t>
  </si>
  <si>
    <t>#16# gel filtration &lt;81&gt;</t>
  </si>
  <si>
    <t>#16# x * 37500, SDS-PAGE &lt;81&gt;</t>
  </si>
  <si>
    <t>#160# calculated from sequence &lt;285&gt;</t>
  </si>
  <si>
    <t>#163# gel filtration &lt;288&gt;</t>
  </si>
  <si>
    <t>#17# x * 37983, ADH3, calculated from sequence &lt;175&gt;</t>
  </si>
  <si>
    <t>#176# dimeric-tetrameric enzyme, native PAGE  &lt;309&gt;</t>
  </si>
  <si>
    <t>#19# gel filtration &lt;79&gt;</t>
  </si>
  <si>
    <t>#60# gel filtration &lt;150&gt;; #19# 2 * 45000, SDS-PAGE  &lt;79&gt;; #54# 4 * 45000, SDS-PAGE &lt;82&gt;</t>
  </si>
  <si>
    <t>#21# gel filtration &lt;75&gt;; #49# gel filtration,  sucrose density gradient centrifugation &lt;66&gt;; #64# ADH II, grl filtration &lt;116&gt;</t>
  </si>
  <si>
    <t>#21# 2 * 35000, SDS-PAGE &lt;75&gt;; #49,99# 4 * 35000,  gel filtration &lt;162&gt;; #103# 12 * 35000, SDS-PAGE &lt;176&gt;</t>
  </si>
  <si>
    <t>#49# gel filtration, sucrose density gradient  centrifugation &lt;70&gt;; #22# gel filtration sedimentation equilibrium centrifugation &lt;71&gt;; #51# recombinant His-tagged enzyme, gel filtration &lt;226&gt;</t>
  </si>
  <si>
    <t>#23# gel filtration &lt;286&gt;</t>
  </si>
  <si>
    <t>#24# gel filtration &lt;72&gt;</t>
  </si>
  <si>
    <t>#124# SDS-PAGE &lt;214&gt;; #122# 4 * 37000,  SDS-PAGE &lt;259&gt;; #24,49# 2 * 37000, SDS-PAGE &lt;66,70,72,168&gt;; #153# x * 36411, calculated, x * 37000, SDS-PAGE &lt;247&gt;</t>
  </si>
  <si>
    <t>#27# x * 96000, SDS-PAGE &lt;131&gt;; #75# x * 96000,  wild-type, SDS-PAGE &lt;244&gt;</t>
  </si>
  <si>
    <t>#28# x * 31997, amino acid sequence calculation &lt;109&gt;</t>
  </si>
  <si>
    <t>#29# gel filtration &lt;191&gt;; #69,84# 2 * 58000,  SDS-PAGE &lt;77,78&gt;</t>
  </si>
  <si>
    <t>#29,81# 2 * 28000, SDS-PAGE &lt;61,191&gt;; #76# x * 28000,  SDS-PAGE &lt;2&gt;</t>
  </si>
  <si>
    <t>#101,146# gel filtration &lt;141,171&gt;; #126# 4 *  30000, SDS-PAGE &lt;222&gt;; #88# x * 30000, SDS-PAGE &lt;229&gt;; #3# 2 * 30000 &lt;4&gt;</t>
  </si>
  <si>
    <t>#34# x * 41300, SDS-PAGE &lt;184&gt;</t>
  </si>
  <si>
    <t>#35,132,157# gel filtration &lt;73,233,274&gt;</t>
  </si>
  <si>
    <t>#4# gel filtration &lt;64&gt;</t>
  </si>
  <si>
    <t>#4,74,78# 2 * 27800, SDS-PAGE &lt;64&gt;</t>
  </si>
  <si>
    <t>#41# gel filtration &lt;85&gt;</t>
  </si>
  <si>
    <t>#47# 2 * 38000, SDS-PAGE &lt;117&gt;; #41,125# 4 *  38000, SDS-PAGE &lt;85,220&gt;; #45# 2 * 38000, enzyme form ADHII, SDS-PAGE &lt;68&gt;; #47# 2 * 38000, recombinant enzyme, SDS-PAGE &lt;235&gt;; #132# 4 * 38000, calculated from sequence &lt;233&gt;</t>
  </si>
  <si>
    <t>#45# enzyme form ADHII, gel filtration &lt;68&gt;</t>
  </si>
  <si>
    <t>#45# enzyme form ADH-I, glycerol density gradient  centrifugation &lt;67&gt;</t>
  </si>
  <si>
    <t>#45# enzyme form ADH-II, glycerol density gradient  centrifugation &lt;67&gt;</t>
  </si>
  <si>
    <t>#45# 2 * 34700, enzyme form ADH-I, SDS-PAGE &lt;67&gt;</t>
  </si>
  <si>
    <t>#45# 2 * 31100, enzyme form ADH-II, SDS-PAGE &lt;67&gt;</t>
  </si>
  <si>
    <t>#46# equilibrium sedimentation &lt;25&gt;</t>
  </si>
  <si>
    <t>#47# recombinant enzyme expressed from Hansenula  polymorpha, gel filtration &lt;235&gt;</t>
  </si>
  <si>
    <t>#48# 2 * 46000, SDS-PAGE &lt;6&gt;</t>
  </si>
  <si>
    <t>#75# alcohol dehydrogenase domain, gel filtration &lt;244&gt;</t>
  </si>
  <si>
    <t>#49# SDS-PAGE &lt;166&gt;</t>
  </si>
  <si>
    <t>#49# electrospray mass spectrometry &lt;157&gt;</t>
  </si>
  <si>
    <t>#49# 4 * 37585, electrospray mass spectrometry &lt;157&gt;</t>
  </si>
  <si>
    <t>#49# 4 * 37588, calculated from amino acid sequence &lt;166&gt;</t>
  </si>
  <si>
    <t>#49# 4 * 37591, electrospray mass spectrometry &lt;166&gt;</t>
  </si>
  <si>
    <t>#49,99# gel filtration &lt;162&gt;</t>
  </si>
  <si>
    <t>#5# gel filtration &lt;307&gt;</t>
  </si>
  <si>
    <t>#50# gel filtration &lt;152&gt;; #127# 4 * 29000, SDS-PAGE  &lt;221&gt;</t>
  </si>
  <si>
    <t>#54# gel filtration &lt;82&gt;</t>
  </si>
  <si>
    <t>#58# gel filtration &lt;99&gt;</t>
  </si>
  <si>
    <t>#6# 2 * 47000, isoenzyme C2, SDS-PAGE &lt;48&gt;</t>
  </si>
  <si>
    <t>#6# isoenzyme A2, gel filtration &lt;48&gt;</t>
  </si>
  <si>
    <t>#6# isoenzyme B2, gel filtration &lt;48&gt;</t>
  </si>
  <si>
    <t>#50# 1 * 39000, SDS-PAGE &lt;152&gt;; #6# 2 * 39000,  isoenzyme B2, SDS-PAGE &lt;48&gt;; #10# 2 * 39000, ADH-2, SDS-PAGE &lt;49&gt;</t>
  </si>
  <si>
    <t>#92# 2 * 43000, SDS-PAGE &lt;121&gt;; #10# 2 * 43000,  ADH-1, SDS-PAGE &lt;49&gt;; #6# 2 * 43000, isoenzyme A2, SDS-PAGE &lt;48&gt;; #58# 10 * 43000, SDS-PAGE &lt;99&gt;</t>
  </si>
  <si>
    <t>#6# isoenzyme C2, gel filtration &lt;48&gt;; #160# x * 85000,  SDS-PAGE &lt;285&gt;</t>
  </si>
  <si>
    <t>#61# gel filtration &lt;150&gt;</t>
  </si>
  <si>
    <t>#61# 1 * 24600, SDS-PAGE &lt;150&gt;</t>
  </si>
  <si>
    <t>#64# ADH I, gel filtration &lt;116&gt;</t>
  </si>
  <si>
    <t>#101# 1 * 31000, SDS-PAGE &lt;171&gt;; #64# 2 *  31000, ADH II, SDS-PAGE &lt;116&gt;; #129# x * 31000, recombinant His6-tagged enzyme, SDS-PAGE &lt;234&gt;; #152# 1 * 31000, SDS-PAGE, 1 * 31464, calculated &lt;246&gt;</t>
  </si>
  <si>
    <t>#69,84# gel filtration &lt;77,78&gt;</t>
  </si>
  <si>
    <t>#7# buffer containing 25 mM NaCl, gel filtration &lt;172&gt;</t>
  </si>
  <si>
    <t>#7# 4 * 26961, calculated from sequence &lt;172&gt;</t>
  </si>
  <si>
    <t>#70# gel filtration &lt;69&gt;</t>
  </si>
  <si>
    <t>#71# enzyme form ADH-3, equilibrium sedimentation &lt;60&gt;</t>
  </si>
  <si>
    <t>#72# non-denaturing PAGE &lt;84&gt;</t>
  </si>
  <si>
    <t>#74# gel filtration &lt;64&gt;</t>
  </si>
  <si>
    <t>#75# alcohol dehydrogenase domain, dynamic light-scattering  &lt;244&gt;</t>
  </si>
  <si>
    <t>#75# 2 * 48600, alcohol dehydrogenase domain, SDS-PAGE.  Unlike the native ADHE, the alcohol dehydrogenase domain alone does not assemble into spirosome structures &lt;244&gt;</t>
  </si>
  <si>
    <t>#78# gel filtration &lt;64&gt;</t>
  </si>
  <si>
    <t>#81# gel filtration &lt;61&gt;</t>
  </si>
  <si>
    <t>#82# equilibrium sedimentation &lt;24&gt;</t>
  </si>
  <si>
    <t>#9# ultracentrifugation under non-denaturing conditions  &lt;23&gt;</t>
  </si>
  <si>
    <t>#9# amino acid analysis, ultracentrifugation &lt;18&gt;</t>
  </si>
  <si>
    <t>#9# ultracentrifugal analysis &lt;21&gt;</t>
  </si>
  <si>
    <t>#9# equilibrium sedimentation &lt;16&gt;</t>
  </si>
  <si>
    <t>#72# 4 * 42000, SDS-PAGE &lt;84&gt;; #9# x * 42000,  SDS-PAGE &lt;14&gt;; #70# 2 * 42000, SDS-PAGE &lt;69&gt;; #9# 2 * 42000, anodic enzyme form, SDS-PAGE &lt;18&gt;; #71# 2 * 42000, enzyme form ADH-2 and ADH-3, SDS-PAGE &lt;60&gt;; #64# 3 * 42000, ADH I, SDS-PAGE &lt;116&gt;; #26# fusion protein, bet-AshD &lt;291&gt;</t>
  </si>
  <si>
    <t>#39# 2 * 41000, SDS-PAGE &lt;47&gt;; #9# 2 * 41000, class III  isoenzyme chi ADH, SDS-PAGE &lt;16&gt;</t>
  </si>
  <si>
    <t>#92# approximately, gel filtration &lt;121&gt;</t>
  </si>
  <si>
    <t>#96,135# gel filtration &lt;147,242&gt;</t>
  </si>
  <si>
    <t>#97# gel filtration &lt;140&gt;</t>
  </si>
  <si>
    <t>#97# 4 * 26000, SDS-PAGE &lt;140&gt;</t>
  </si>
  <si>
    <t>#10# gel filtration &lt;19&gt;</t>
  </si>
  <si>
    <t>#10,60,63# gel filtration &lt;1,4,14&gt;</t>
  </si>
  <si>
    <t>#11# gel filtration &lt;10,23&gt;</t>
  </si>
  <si>
    <t>#85# SDS-PAGE &lt;133&gt;; #11# gel giltration &lt;6&gt;; #92# x  * 33000, SDS-PAGE, native and recombinant Glb33 &lt;59&gt;</t>
  </si>
  <si>
    <t>#12# 2 * 22000, SDS-PAGE &lt;64&gt;</t>
  </si>
  <si>
    <t>#12,64# gel filtration &lt;46,64&gt;; #64# enzyme is a monomer  &lt;103&gt;</t>
  </si>
  <si>
    <t>#13# calculated from amino acid sequence &lt;136&gt;</t>
  </si>
  <si>
    <t>#13# Triticum aestivum gly I enzyme is a monomer &lt;103&gt;;  #90# 1 * 37000, SDS-PAGE &lt;63&gt;</t>
  </si>
  <si>
    <t>#15# gel filtration &lt;18&gt;</t>
  </si>
  <si>
    <t>#16# gel filtration &lt;3&gt;; #92# 1 * 36000, recombinant  enzyme, SDS-PAGE &lt;158&gt;</t>
  </si>
  <si>
    <t>#22# gel filtration &lt;44&gt;; #22# enzyme has two subunits  &lt;103&gt;</t>
  </si>
  <si>
    <t>#58# 1 * 27000 + 1 * 29000, SDS-PAGE &lt;29&gt;; #22# 1 *  26000 + 1 * 29000, SDS-PAGE &lt;44&gt;</t>
  </si>
  <si>
    <t>#24# electrospray ionization mass spectrometry &lt;72&gt;</t>
  </si>
  <si>
    <t>#24# x * 14251, electrospray ionization mass spectrometry,  x * 14251, calculated &lt;72&gt;</t>
  </si>
  <si>
    <t>#26# 1 * 20000, SDS-PAGE &lt;5&gt;</t>
  </si>
  <si>
    <t>#29# electrospray ionization mass spectrometry &lt;72&gt;</t>
  </si>
  <si>
    <t>#29# x * 15669, electrospray ionization mass spectrometry,  x * 15669, calculated &lt;72&gt;</t>
  </si>
  <si>
    <t>#34# native enzyme, SDS-PAGE &lt;140&gt;; #54# Western blot  analysis of whole cell lysate, equivalent to the predicted molecular mass &lt;105&gt;; #35# Western blot analysis of whole cell lysate, equivalent to the predicted molecular mass. Recombinant protein containing a tetracycline-inducible pLew100-TcGLO1 construct, expression of GLO1 of Trypanosoma cruzi in Trypanosoma brucei, Western blot analysis &lt;105&gt;</t>
  </si>
  <si>
    <t>#35# x * 17000, SDS-PAGE or Western blot analysis, x *  16647, predicted, x * 16650, MALDI-TOF-MS analysis &lt;76&gt;</t>
  </si>
  <si>
    <t>#35# size exclusion chromatography and analytical  ultracentrifugation &lt;76&gt;</t>
  </si>
  <si>
    <t>#39# calculated from amino acid sequence &lt;73&gt;</t>
  </si>
  <si>
    <t>#40# electrospray ionization mass spectrometry &lt;72&gt;</t>
  </si>
  <si>
    <t>#40# 2 * 148333, electrospray ionization mass spectrometry  &lt;72&gt;</t>
  </si>
  <si>
    <t>#40# x * 14833, electrospray ionization mass spectrometry,  x * 14834, calculated &lt;72&gt;</t>
  </si>
  <si>
    <t>#57# Brassica gly I enzyme &lt;103&gt;</t>
  </si>
  <si>
    <t>#45# SDS-PAGE &lt;119&gt;; #63# 1 * 24000 + 1 * 25000,  SDS-PAGE &lt;1&gt;</t>
  </si>
  <si>
    <t>#49# gel filtration &lt;50&gt;</t>
  </si>
  <si>
    <t>#10,49,60,67# 2 * 24000, SDS-PAGE  &lt;4,14,47,50&gt;; #5# 1 * 24000, SDS-PAGE &lt;31&gt;; #68# x * 24000, SDS-PAGE &lt;62&gt;; #63# 1 * 24000 + 1 * 25000, SDS-PAGE &lt;1&gt;</t>
  </si>
  <si>
    <t>#58# gel filtration &lt;29&gt;</t>
  </si>
  <si>
    <t>#58# Western blot analysis &lt;109&gt;</t>
  </si>
  <si>
    <t>#6# gel filtration &lt;17&gt;; #6# equilibrium sedimentation &lt;15&gt;</t>
  </si>
  <si>
    <t>#6# 2 * 21500 &lt;7,15&gt;</t>
  </si>
  <si>
    <t>#65,67# gel filtration &lt;42,47&gt;</t>
  </si>
  <si>
    <t>#69# 1 * 43600, SDS-PAGE, recombinant His-tagged PfGlx I  &lt;56&gt;</t>
  </si>
  <si>
    <t>#69# gel filtration &lt;56&gt;</t>
  </si>
  <si>
    <t>#30# gel filtration &lt;69&gt;</t>
  </si>
  <si>
    <t>#71# 2 * 23440, SDS-PAGE &lt;71&gt;</t>
  </si>
  <si>
    <t>#73# gel filtration &lt;75&gt;</t>
  </si>
  <si>
    <t>#73# 2 * 16607, mass spectrometry &lt;75&gt;</t>
  </si>
  <si>
    <t>#76# gel filtration &lt;33&gt;</t>
  </si>
  <si>
    <t>#76# 2 * 14990, SDS-PAGE &lt;33&gt;</t>
  </si>
  <si>
    <t>#76# 2 * 14919, electrospray mass spectrometry &lt;33&gt;</t>
  </si>
  <si>
    <t>#77# calculated from sequence, 30fold upregulated protein  spot in the 2D-electrophoresis, identified as glyoxalase I, the expression is regulated by the operon yahCD-yaiAB &lt;107&gt;</t>
  </si>
  <si>
    <t>#79# 2 * 20810, calculated from sequence, MALDI-TOF mass  spectrometry, SDS-PAGE &lt;113&gt;</t>
  </si>
  <si>
    <t>#79# calculated from sequence, MALDI-TOF mass spectrometry  &lt;113&gt;</t>
  </si>
  <si>
    <t>#8# SDS-PAGE &lt;132&gt;; #8# 2 * 23000, SDS-PAGE &lt;41&gt;</t>
  </si>
  <si>
    <t>#8# x * 20774, calculation from nucleotide sequence &lt;36&gt;</t>
  </si>
  <si>
    <t>#8# 2 * 20647, sequence calculation, 2 * 21000, recombinant  enzyme, SDS-PAGE &lt;156&gt;</t>
  </si>
  <si>
    <t>#14# gel filtration &lt;13&gt;; #8# reombinant enzyme, native  PAGE &lt;156&gt;</t>
  </si>
  <si>
    <t>#26# gel filtration &lt;5&gt;; #45# calculated from  amino acid sequence &lt;119&gt;; #14# 2 * 21000, SDS-PAGE &lt;13&gt;; #67# 2 * 21000, deduced from nucleotide sequence &lt;47&gt;; #8# 2 * 20647, sequence calculation, 2 * 21000, recombinant enzyme, SDS-PAGE &lt;156&gt;</t>
  </si>
  <si>
    <t>#8# 2 * 26000 &lt;12&gt;; #22# 1 * 26000 + 1 * 29000, SDS-PAGE  &lt;44&gt;</t>
  </si>
  <si>
    <t>#71# SDS-PAGE, enzyme cross-linked with glutaraldehyde  &lt;71&gt;</t>
  </si>
  <si>
    <t>#86# 2 * 18200, calculated from amino acid sequence &lt;114&gt;</t>
  </si>
  <si>
    <t>#87# x * 35500, calculated &lt;149&gt;</t>
  </si>
  <si>
    <t>#9# liver and erythrocyte enzyme, gel filtration &lt;16&gt;</t>
  </si>
  <si>
    <t>#9# gel filtration &lt;11&gt;</t>
  </si>
  <si>
    <t>#9# 2 * 27000, SDS-PAGE &lt;11&gt;; #58# x * 27000, SDS-PAGE  &lt;35&gt;; #58# 1 * 27000 + 1 * 29000, SDS-PAGE &lt;29&gt;</t>
  </si>
  <si>
    <t>#91# 2 * 15818, His6-tagged enzyme, sequence calculation,  the enzyme forms two active sites, each within single subunits &lt;157&gt;</t>
  </si>
  <si>
    <t>#92# recombinant enzyme, gel filtration &lt;158&gt;</t>
  </si>
  <si>
    <t>#1# GSH-S transferase rho, gel filtration &lt;202&gt;</t>
  </si>
  <si>
    <t>#172# SDS-PAGE &lt;176&gt;; #48,114# 2 *  24000, SDS-PAGE &lt;49,75&gt;; #16,71# x * 24000, SDS-PAGE &lt;88,279&gt;; #20# 2 * 24000, cationic isoenzyme &lt;47&gt;; #140# x * 24000, isozyme GST-1, SDS-PAGE &lt;126&gt;; #1# 2 * 24000, GSH-S transferase rho, SDS-PAGE &lt;202&gt;</t>
  </si>
  <si>
    <t>#1,9,12# gel filtration &lt;2,7,46,48&gt;; #12# isoenzymes  1 and 2.2 &lt;48&gt;; #11# erythrocytes, minor form &lt;30&gt;</t>
  </si>
  <si>
    <t>#195# isozyme GSTS1, calculated from  amino acid sequence &lt;168&gt;; #169# isozyme GSTS3, calculated from amino acid sequence &lt;168&gt;; #1,46# 2 * 23000, SDS-PAGE &lt;7,96&gt;; #11# 2 * 23000, acidic isoenzyme, SDS-PAGE &lt;17&gt;; #9# 2 * 23000, enzyme MII, SDS-PAGE &lt;2&gt;; #171# 2 * 23000, X-ray crystallography &lt;174&gt;</t>
  </si>
  <si>
    <t>#10,29,30,32,34,35,74# 2 * 22500 (about</t>
  </si>
  <si>
    <t>#104# isoform GST1, gel filtration &lt;303&gt;</t>
  </si>
  <si>
    <t>#106# 1 * 28000 + 1 * 27200, gel filtration &lt;184&gt;</t>
  </si>
  <si>
    <t>#107# 2 * 31800, SDS-PAGE &lt;85&gt;</t>
  </si>
  <si>
    <t>#107,257,282# gel filtration &lt;85,273&gt;;  #162# SDS-PAGE &lt;151&gt;</t>
  </si>
  <si>
    <t>#109# 2 * 24100, SDS-PAGE &lt;97&gt;</t>
  </si>
  <si>
    <t>#109# gel filtration &lt;97&gt;; #144# recombinant isozyme  GSTT1, gel filtration &lt;139&gt;</t>
  </si>
  <si>
    <t>#11# erythrocytes, major form &lt;30&gt;</t>
  </si>
  <si>
    <t>#11# 2 * 25200, form I-XII, SDS-PAGE &lt;23&gt;</t>
  </si>
  <si>
    <t>#11# x * 24300, recombinant His6-tagged wild-type GSTZ1-1,  SDS-PAGE &lt;250&gt;</t>
  </si>
  <si>
    <t>#11,13,143# 2 * 22000, SDS-PAGE &lt;37,42,121&gt;;  #155# 2 * 22000 &lt;151&gt;</t>
  </si>
  <si>
    <t>#11# 2 * 25600, form XIII, SDS-PAGE &lt;23&gt;; #47# 2 *  25600, recombinant cytosolic isozyme, SDS-PAGE &lt;195&gt;</t>
  </si>
  <si>
    <t>#171# His-tagged wild type enzyme, SDS-PAGE &lt;187&gt;;  #11# 2 * 25500 &lt;26&gt;; #97# x * 25500, SDS-PAGE &lt;92&gt;</t>
  </si>
  <si>
    <t>#115# 2 * 34000, enzyme occurs as homodimeric form and as  heterodimeric form, SDS-PAGE &lt;90&gt;</t>
  </si>
  <si>
    <t>#115# 1 * 32600 + 1 * 36800, enzyme occurs as homodimeric  form and as heterodimeric form, SDS-PAGE &lt;90&gt;</t>
  </si>
  <si>
    <t>#119# enzyme form GSTR1, gel filtration &lt;78&gt;</t>
  </si>
  <si>
    <t>#12# gel filtration, isoenzyme 2.1 &lt;48&gt;</t>
  </si>
  <si>
    <t>#12# 2 * 24400, SDS-PAGE &lt;28&gt;</t>
  </si>
  <si>
    <t>#12# SDS-PAGE &lt;4&gt;</t>
  </si>
  <si>
    <t>#12# gel filtration &lt;44&gt;</t>
  </si>
  <si>
    <t>#12# 2 * 23500, SDS-PAGE &lt;46&gt;; #118# x * 23500, MALDI  mass spectrometry &lt;93&gt;</t>
  </si>
  <si>
    <t>#120#  SDS-PAGE &lt;158&gt;; #162# around 26000 Da, SDS-PAGE &lt;155&gt;; #12,26,170# 2 * 26000, SDS-PAGE &lt;19,25,44,55,170&gt;; #16,110,111,287# x * 26000, SDS-PAGE &lt;87,262,275&gt;; #45# 2 * 26000 &lt;61&gt;; #13# 2 * 26000, isoenzyme VII, SDS-PAGE &lt;22&gt;; #20# 2 * 26000, anionic isoenzyme &lt;47&gt;; #13# 1 * 26800 + 1 * 26000, isoenzyme V, SDS-PAGE &lt;22&gt;; #106# 1 * 27500 + 1 * 26000, gel filtration &lt;184&gt;; #180# 2 * 26000, gel filtration &lt;151&gt;; #43# 4 * 26000, gel filtration, inactive enzyme form under native conditions &lt;165&gt;</t>
  </si>
  <si>
    <t>#24,52,125,238,320# gel  filtration &lt;10,45,64,299,315&gt;; #241# recombinant enzyme, gel filtration &lt;123&gt;; #67# about, native PAGE &lt;130&gt;; #12# about, recombinant wild-type enzyme, analytical ultracentrifugation &lt;112&gt;; #47# recombinant cytosolic isozyme, gel filtration &lt;195&gt;; #241# recombinant dimeric enzyme, gel filtration &lt;197&gt;</t>
  </si>
  <si>
    <t>#120# gel filtration &lt;167&gt;</t>
  </si>
  <si>
    <t>#120# MALDI-TOF mass spectrometry &lt;158&gt;</t>
  </si>
  <si>
    <t>#13# gel filtration &lt;42&gt;</t>
  </si>
  <si>
    <t>#13# 1 * 27100 + 1 * 26800, isoenzyme IV, SDS-PAGE &lt;22&gt;;  #13# 1 * 26800 + 1 * 26000, isoenzyme V, SDS-PAGE &lt;22&gt;</t>
  </si>
  <si>
    <t>#13# 2 * 26400, isoenzyme VI, SDS-PAGE &lt;22&gt;</t>
  </si>
  <si>
    <t>#13# 1 * 27100 + 1 * 28700, isoenzyme I, SDS-PAGE &lt;22&gt;;  #13# 1 * 27100 + 1 * 26800, isoenzyme IV, SDS-PAGE &lt;22&gt;</t>
  </si>
  <si>
    <t>#13# 1 * 27100 + 1 * 28700, isoenzyme I, SDS-PAGE &lt;22&gt;</t>
  </si>
  <si>
    <t>#139# x * 23204, sequence calculation &lt;116&gt;</t>
  </si>
  <si>
    <t>#143# gel filtration &lt;121&gt;</t>
  </si>
  <si>
    <t>#144# 2 * 25452, recombinant isozyme GSTT1, mass  spectrometry and SDS-PAGE &lt;139&gt;</t>
  </si>
  <si>
    <t>#145# 2 * 26700, isozyme SIGST, SDS-PAGE &lt;141&gt;</t>
  </si>
  <si>
    <t>#15# 2 * 27000, SDS-PAGE &lt;11,188&gt;</t>
  </si>
  <si>
    <t>#15,26# gel filtration &lt;11,12,55&gt;; #145# isozyme  SIGST, gel filtration &lt;141&gt;</t>
  </si>
  <si>
    <t>#78# gel filtration &lt;145&gt;; #15# native enzyme, gel  filtration &lt;188&gt;</t>
  </si>
  <si>
    <t>#153# 2 * 26200 &lt;151&gt;</t>
  </si>
  <si>
    <t>#16# SDS-PAGE &lt;152&gt;; #49# 1 * 25000 + 1 *  28000, GST II-III, SDS-PAGE &lt;53&gt;; #119# 2 * 28000, enzyme form GSTR1, SDS-PAGE &lt;78&gt;; #27# x * 28000, isozyme GSTU26, SDS-PAGE &lt;142&gt;; #106# 1 * 28000 + 1 * 27200, gel filtration &lt;184&gt;; #106# 1 * 29000 + 1 * 28000, gel filtration &lt;184&gt;; #185# 2 * 28000, in solution, gel filtration &lt;186&gt;</t>
  </si>
  <si>
    <t>#161# calculated from amino acid sequence &lt;154&gt;</t>
  </si>
  <si>
    <t>#167# fusion protein GST-OCX-32, SDS-PAGE &lt;166&gt;</t>
  </si>
  <si>
    <t>#17# native PAGE &lt;62&gt;</t>
  </si>
  <si>
    <t>#123# about 24500 kDa, His-tagged enzyme, SDS-PAGE  &lt;150&gt;; #17# 2 * 24500, SDS-PAGE &lt;62&gt;</t>
  </si>
  <si>
    <t>#170# SDS-PAGE &lt;170&gt;</t>
  </si>
  <si>
    <t>#170# 2 * 25900, MALDI-TOF mass spectrometry &lt;170&gt;</t>
  </si>
  <si>
    <t>#171# His-tagged wild type enzyme, calculated from amino  acid sequence &lt;187&gt;</t>
  </si>
  <si>
    <t>#179# estimated from amino acid sequence &lt;180&gt;; #175#  2 * 25100, gel filtration &lt;151&gt;</t>
  </si>
  <si>
    <t>#185# gel filtration &lt;186&gt;</t>
  </si>
  <si>
    <t>#19# recombinant enzyme, gel filtration &lt;221&gt;</t>
  </si>
  <si>
    <t>#195# recombinant His-tagged enzyme, SDS-PAGE &lt;168&gt;</t>
  </si>
  <si>
    <t>#196# isozyme GSTS2, calculated from amino acid sequence  &lt;168&gt;</t>
  </si>
  <si>
    <t>#197# 2 * 36000 &lt;151&gt;</t>
  </si>
  <si>
    <t>#205# 1 * 23310 + 1 * 20430, enzyme of Nanyang city  population, SDS-PAGE, 1 * 53140 + 1 * 20130, enzyme of Wuzhou population, SDS-PAGE, 1 * 50790 + 1 * 19420, enzyme of Hezhou population, SDS-PAGE &lt;201&gt;</t>
  </si>
  <si>
    <t>#209# x * 29806, GSTO, sequence calculation &lt;214&gt;</t>
  </si>
  <si>
    <t>#210# x * 23338, GSTO, sequence calculation &lt;214&gt;</t>
  </si>
  <si>
    <t>#211# x * 24225, GSTO, sequence calculation &lt;214&gt;</t>
  </si>
  <si>
    <t>#212# x * 27400, HdGSTO1, sequence calculation, x * 26900,  HdGSTO2, sequence calculation &lt;218&gt;</t>
  </si>
  <si>
    <t>#215# x * 25180, GSTU17, sequence calculation &lt;228&gt;</t>
  </si>
  <si>
    <t>#23# gel filtration &lt;1&gt;</t>
  </si>
  <si>
    <t>#23# 1 * 30000 + 1 * 27500 or 1 * 30000 + 1 * 29000,  SDS-PAGE, GSTF &lt;1&gt;; #23# 1 * 27500 + 1 * 29000, SDS-PAGE, GSTC and GPOX &lt;1&gt;; #106# 1 * 27500 + 1 * 26000, gel filtration &lt;184&gt;; #106# 1 * 30000 + 1 * 27500, gel filtration &lt;184&gt;</t>
  </si>
  <si>
    <t>#23# 1 * 30000 + 1 * 27500 or 1 * 30000 + 1 *  29000, SDS-PAGE, GSTF &lt;1&gt;; #23# 1 * 27500 + 1 * 29000, SDS-PAGE, GSTC and GPOX &lt;1&gt;; #24# 2 * 29000, enzyme GST II, SDS-PAGE &lt;45&gt;; #24# 2 * 29000, enzyme GST I, SDS-PAGE &lt;45&gt;; #113# 1 * 29000 + 1 * 25000, SDS-PAGE &lt;89&gt;; #106# 1 * 29000 + 1 * 28000, gel filtration &lt;184&gt;</t>
  </si>
  <si>
    <t>#161# His-tagged enzyme,  SDS-PAGE &lt;154&gt;; #179# His-tagged recombinant enzyme, SDS-PAGE &lt;180&gt;; #257,282# 2 * 30000, SDS-PAGE &lt;273&gt;; #59# x * 30000, SDS-PAGE &lt;272&gt;; #140# 2 * 30000 &lt;151&gt;; #23# 1 * 30000 + 1 * 27500 or 1 * 30000 + 1 * 29000, SDS-PAGE, GSTF &lt;1&gt;; #49# 2 * 30000, GST I, SDS-PAGE &lt;53&gt;; #106# 1 * 30000 + 1 * 27500, gel filtration &lt;184&gt;</t>
  </si>
  <si>
    <t>#238# 2 * 27328, electrospray ionization MS &lt;64&gt;</t>
  </si>
  <si>
    <t>#241# recombinant tetrameric enzyme, gel filtration  &lt;197&gt;</t>
  </si>
  <si>
    <t>#319# SEC-MALS analysis &lt;297&gt;</t>
  </si>
  <si>
    <t>#323# gel filtration &lt;302&gt;</t>
  </si>
  <si>
    <t>#4# sedimentation equilibrium analysis, gel filtration  &lt;41&gt;</t>
  </si>
  <si>
    <t>#154# 2 * 25000  &lt;151&gt;; #47,99# x * 25000, SDS-PAGE &lt;79,264&gt;; #4,67# 2 * 25000, SDS-PAGE &lt;41,130&gt;; #125,241# x * 25000, recombinant enzyme, SDS-PAGE &lt;197,223&gt;; #49# 1 * 25000 + 1 * 28000, GST II-III, SDS-PAGE &lt;53&gt;; #11# 2 * 25000, basic isoenzyme, SDS-PAGE &lt;17&gt;; #9# 2 * 25000, enzyme MI, SDS-PAGE &lt;2&gt;; #113# 1 * 29000 + 1 * 25000, SDS-PAGE &lt;89&gt;; #19,241# 2 * 25000, recombinant enzyme, SDS-PAGE &lt;123,221&gt;; #27# x * 25000, isozyme GSTF9, SDS-PAGE &lt;142&gt;</t>
  </si>
  <si>
    <t>#43# gel filtration &lt;165&gt;</t>
  </si>
  <si>
    <t>#46,114# gel filtration &lt;75,96&gt;; #48# isoenzyme  &lt;49&gt;</t>
  </si>
  <si>
    <t>#49# gel filtration &lt;53&gt;</t>
  </si>
  <si>
    <t>#78# 2 * 23400, SDS-PAGE &lt;145&gt;</t>
  </si>
  <si>
    <t>#83# x * 25348-25528, alpha class isozyme, mass  spectrometry, x * 23548, pi class isozyme, MALDI-TOF mass spectrometry, x * 26027, mu class isozyme, MALDI-TOF mass spectrometry &lt;106&gt;</t>
  </si>
  <si>
    <t>#162# gel filtration &lt;155&gt;; #108# 2 * 26500,  SDS-PAGE &lt;100&gt;; #9# 2 * 26500, enzyme MIII, SDS-PAGE &lt;2&gt;; #162# 2 * 26500, gel filtration &lt;151&gt;</t>
  </si>
  <si>
    <t>#90# 2 * 22800 or 2 * 24600, SDS-PAGE &lt;33&gt;</t>
  </si>
  <si>
    <t>#90# 2 * 22800 or 2 * 24600, SDS-PAGE &lt;33&gt;; #120# 2 *  24600, MALDI-TOF spectrometry &lt;167&gt;</t>
  </si>
  <si>
    <t>#96# x * 25705, isozyme Der p 8, sequence calcualtion  &lt;118&gt;</t>
  </si>
  <si>
    <t>5,6</t>
  </si>
  <si>
    <t>49,71</t>
  </si>
  <si>
    <t>8,25,28,39</t>
  </si>
  <si>
    <t>40,161</t>
  </si>
  <si>
    <t>12,39</t>
  </si>
  <si>
    <t>28,41,63</t>
  </si>
  <si>
    <t>105,130</t>
  </si>
  <si>
    <t>10,11</t>
  </si>
  <si>
    <t>10,25</t>
  </si>
  <si>
    <t>6,13</t>
  </si>
  <si>
    <t>6,33</t>
  </si>
  <si>
    <t>22,23</t>
  </si>
  <si>
    <t>4,23,49</t>
  </si>
  <si>
    <t>8,52</t>
  </si>
  <si>
    <t>4,10</t>
  </si>
  <si>
    <t>8,9,14,16,17</t>
  </si>
  <si>
    <t>101,104</t>
  </si>
  <si>
    <t>75,86</t>
  </si>
  <si>
    <t>1,67,162</t>
  </si>
  <si>
    <t>48,190</t>
  </si>
  <si>
    <t>5,38,42,109,156</t>
  </si>
  <si>
    <t>3,24</t>
  </si>
  <si>
    <t>39,45</t>
  </si>
  <si>
    <t>47,49,59,95</t>
  </si>
  <si>
    <t>285</t>
  </si>
  <si>
    <t>309</t>
  </si>
  <si>
    <t>61,191</t>
  </si>
  <si>
    <t>141,171</t>
  </si>
  <si>
    <t>73,233,274</t>
  </si>
  <si>
    <t>77,78</t>
  </si>
  <si>
    <t>147,242</t>
  </si>
  <si>
    <t>1,4,14</t>
  </si>
  <si>
    <t>10,23</t>
  </si>
  <si>
    <t>46,64</t>
  </si>
  <si>
    <t>4,14,47,50</t>
  </si>
  <si>
    <t>7,15</t>
  </si>
  <si>
    <t>42,47</t>
  </si>
  <si>
    <t>2,7,46,48</t>
  </si>
  <si>
    <t>85,273</t>
  </si>
  <si>
    <t>37,42,121</t>
  </si>
  <si>
    <t>10,45,64,299,315</t>
  </si>
  <si>
    <t>11,188</t>
  </si>
  <si>
    <t>11,12,55</t>
  </si>
  <si>
    <t>277</t>
  </si>
  <si>
    <t>75,96</t>
  </si>
  <si>
    <t>MW</t>
  </si>
  <si>
    <t>Da</t>
  </si>
  <si>
    <t>Motif</t>
  </si>
  <si>
    <t>Block</t>
  </si>
  <si>
    <t>Role</t>
  </si>
  <si>
    <t>membrane transport</t>
  </si>
  <si>
    <t>ID</t>
  </si>
  <si>
    <t>Name</t>
  </si>
  <si>
    <t>GPR</t>
  </si>
  <si>
    <t>(2805)</t>
  </si>
  <si>
    <t>(( (3945) &amp; (3939) ) | (160287) | (3948) | (3939) | (55293) | (3945) | (92483) )</t>
  </si>
  <si>
    <t>( (4143) | ( (27430) &amp; (4144) ))</t>
  </si>
  <si>
    <t>Compartment</t>
  </si>
  <si>
    <t>Direction</t>
  </si>
  <si>
    <t>FormulaEquation</t>
  </si>
  <si>
    <t>NamesEquation</t>
  </si>
  <si>
    <t>3,5-Cyclic Adenosine Monophosphate [camp[c]] + Water [h2o[c]]  -&gt;  Adenosine Monophosphate [amp[c]] + Proton [h[c]]</t>
  </si>
  <si>
    <t>Estrone [estrone[c]] + Proton [h[c]] + Nicotinamide Adenine Dinucleotide Phosphate - Reduced [nadph[c]] + Oxygen [o2[c]]  -&gt;  2-Hydroxyestrone [C05298[c]] + Water [h2o[c]] + Nicotinamide Adenine Dinucleotide Phosphate [nadp[c]]</t>
  </si>
  <si>
    <t>2-Oxoglutaramate [HC00591[c]] + Water [h2o[c]]  -&gt;  2-Oxoglutarate (m_in) [akg[c]] + Ammonium [nh4[c]]</t>
  </si>
  <si>
    <t>3-Sulfino-L-Alanine [3sala[c]] + 2-Oxoglutarate (m_in) [akg[c]] + Proton [h[c]]  -&gt;  3-Sulfinopyruvate (m_Ff) [3snpyr[c]] + L-Glutamate (m_Sf) [glu_L[c]]</t>
  </si>
  <si>
    <t>3-Sulfinopyruvate (m_Ff) [3snpyr[c]] + Water [h2o[c]]  -&gt;  Proton [h[c]] + Pyruvate (m_Fd) [pyr[c]] + Sulfite [so3[c]]</t>
  </si>
  <si>
    <t>Proton [h[c]] + Nicotinamide Adenine Dinucleotide - Reduced [nadh[c]] + Pyruvate (m_Fd) [pyr[c]]  -&gt;  (S)-Lactate [lac_L[c]] + Nicotinamide Adenine Dinucleotide [nad[c]]</t>
  </si>
  <si>
    <t>2-Oxoglutarate (m_in) [akg[c]] + L-Aspartate [asp_L[c]]  -&gt;  L-Glutamate (m_Sf) [glu_L[c]] + Oxaloacetate [oaa[c]]</t>
  </si>
  <si>
    <t>2-Keto-4-Methylthiobutyrate [2kmb[c]] + L-Glutamate (m_Sf) [glu_L[c]]  -&gt;  2-Oxoglutarate (m_in) [akg[c]] + L-Methionine (m_Sd) [met_L[c]]</t>
  </si>
  <si>
    <t>Adenosine Triphosphate [atp[c]] + Water [h2o[c]] + L-Methionine (m_Sd) [met_L[c]]  -&gt;  S-Adenosyl-L-Methionine [amet[c]] + Orthophosphate [pi[c]] + Diphosphate [ppi[c]]</t>
  </si>
  <si>
    <t>L-Methionine (m_Sd) [met_L[c]] + Pyruvate (m_Fd) [pyr[c]]  -&gt;  4-Methyl-Thio-Oxo-Butyrate [4mtob[c]] + L-Alanine [ala_L[c]]</t>
  </si>
  <si>
    <t>L-Cysteine [cys_L[e]] + L-Methionine (m_Sd) [met_L[c]] + Sodium [na1[e]]  -&gt;  L-Cysteine (m_c) [cys_L[c]] + L-Methionine [met_L[e]] + Sodium [na1[c]]</t>
  </si>
  <si>
    <t>2-Oxoglutarate (m_in) [akg[c]] + L-Cysteine (m_c) [cys_L[c]]  -&gt;  L-Glutamate (m_Sf) [glu_L[c]] + 3-Mercaptopyruvate [mercppyr[c]]</t>
  </si>
  <si>
    <t>Adenosine Triphosphate [atp[c]] + L-Cysteine (m_c) [cys_L[c]] + L-Glutamate (m_Sf) [glu_L[c]]  -&gt;  Adenosine Diphosphate [adp[c]] + Gamma-L-Glutamyl-L-Cysteine (m_Nf_1) [glucys[c]] + Proton [h[c]] + Orthophosphate [pi[c]]</t>
  </si>
  <si>
    <t>Adenosine Triphosphate [atp[c]] + Gamma-L-Glutamyl-L-Cysteine (m_Nf_1) [glucys[c]] + Glycine [gly[c]]  -&gt;  Adenosine Diphosphate [adp[c]] + Reduced Glutathione (m_Nd_1) [gthrd[c]] + Proton [h[c]] + Orthophosphate [pi[c]]</t>
  </si>
  <si>
    <t>2 Reduced Glutathione (m_Nd_1) [gthrd[c]] + Hydrogen Peroxide [h2o2[c]]  -&gt;  Glutathione Disulfide (Oxidized Glutathione) [gthox[c]] + 2 Water [h2o[c]]</t>
  </si>
  <si>
    <t>5(S)-Hydroperoxyeicosatetraenoic Acid [5HPET[c]] + 2 Reduced Glutathione (m_Nd_1) [gthrd[c]]  -&gt;  5-Hydroxyeicosatetraenoate (m_Nf_2) [C04805[c]] + Glutathione Disulfide (Oxidized Glutathione) [gthox[c]] + Water [h2o[c]]</t>
  </si>
  <si>
    <t>5-Hydroxyeicosatetraenoate (m_Nf_2) [C04805[c]] + Nicotinamide Adenine Dinucleotide Phosphate [nadp[c]]  -&gt;  5-Oxo-(6E,8Z,11Z,14Z)-Eicosatetraenoic Acid (m_out) [CE2084[c]] + Proton [h[c]] + Nicotinamide Adenine Dinucleotide Phosphate - Reduced [nadph[c]]</t>
  </si>
  <si>
    <t>2 5-Oxo-(6E,8Z,11Z,14Z)-Eicosatetraenoic Acid (m_out) [CE2084[c]] + Oxygen [o2[c]]  -&gt;  2 5-Oxo-6-Trans-Leukotriene B4 [CE5178[c]]</t>
  </si>
  <si>
    <t>2 Reduced Glutathione (m_Nd_1) [gthrd[c]] + Nicotinamide Adenine Dinucleotide [nad[c]]  -&gt;  Glutathione Disulfide (Oxidized Glutathione) [gthox[c]] + Proton [h[c]] + Nicotinamide Adenine Dinucleotide - Reduced [nadh[c]]</t>
  </si>
  <si>
    <t>L-Cystine [Lcystin[c]] + 2 Reduced Glutathione (m_Nd_1) [gthrd[c]]  -&gt;  2 L-Cysteine (m_c) [cys_L[c]] + Glutathione Disulfide (Oxidized Glutathione) [gthox[c]]</t>
  </si>
  <si>
    <t>L-Homocystine [Lhcystin[c]] + 2 Reduced Glutathione (m_Nd_1) [gthrd[c]]  -&gt;  Glutathione Disulfide (Oxidized Glutathione) [gthox[c]] + 2 L-Homocysteine [hcys_L[c]]</t>
  </si>
  <si>
    <t>Formaldehyde [fald[c]] + Reduced Glutathione (m_Nd_1) [gthrd[c]]  -&gt;  Hydroxymethylglutathione [HC02121[c]]</t>
  </si>
  <si>
    <t>Reduced Glutathione (m_Nd_1) [gthrd[c]] + (R)-Lactaldehyde [lald_D[c]] + Nicotinamide Adenine Dinucleotide [nad[c]]  -&gt;  Proton [h[c]] + (R)-S-Lactoylglutathionate [lgt_S[c]] + Nicotinamide Adenine Dinucleotide - Reduced [nadh[c]]</t>
  </si>
  <si>
    <t>Reduced Glutathione (m_Nd_1) [gthrd[c]] + Methylglyoxal [mthgxl[c]]  -&gt;  (R)-S-Lactoylglutathionate [lgt_S[c]]</t>
  </si>
  <si>
    <t>2,3-Dihydro-1H-Indole-5,6-Dione [23dh1i56dio[c]] + Reduced Glutathione (m_Nd_1) [gthrd[c]]  -&gt;  4-S-Glutathionyl-5,6-Dihydroxyindoline [4glu56dihdind[c]]</t>
  </si>
  <si>
    <t>Formaldehyde [fald[c]] + Reduced Glutathione (m_Nd_1) [gthrd[c]] + Nicotinamide Adenine Dinucleotide [nad[c]]  -&gt;  S-Formylglutathionate [Sfglutth[c]] + Proton [h[c]] + Nicotinamide Adenine Dinucleotide - Reduced [nadh[c]]</t>
  </si>
  <si>
    <t>L-Dopaquinone [dopaqn[c]] + Reduced Glutathione (m_Nd_1) [gthrd[c]]  -&gt;  5-S-Glutathionyl-L-Dopa [CE5026[c]]</t>
  </si>
  <si>
    <t>IDsEquation</t>
  </si>
  <si>
    <t>PathSubstrate</t>
  </si>
  <si>
    <t>ECSource</t>
  </si>
  <si>
    <t>model</t>
  </si>
  <si>
    <t>model (conflicts with BiGG)</t>
  </si>
  <si>
    <t>BiGG</t>
  </si>
  <si>
    <t>shipped default</t>
  </si>
  <si>
    <t>ECNote</t>
  </si>
  <si>
    <t>EC CONFLICT for RE1587C: the model annotates 1.14.13.67 but BiGG lists 1.14.14.1. The model's code was KEPT and queried. If BiGG is right, every number in this row describes a different enzyme -- set ECOverrides.r_CAMP_2 to override.</t>
  </si>
  <si>
    <t>EC 2.6.1.5, 2.6.1.57 RESOLVED FROM BiGG for reaction UNK3r; the model annotates none. Not model-derived.</t>
  </si>
  <si>
    <t>EC CONFLICT for METAT: the model annotates 1.1.1.40 but BiGG lists 2.5.1.6. The model's code was KEPT and queried. If BiGG is right, every number in this row describes a different enzyme -- set ECOverrides.r_Sr to override.</t>
  </si>
  <si>
    <t>EC 2.6.1.88 from the SHIPPED DEFAULT table for METTRANSc, REPLACING the annotated 3.1.1.3: methionine transaminase: ExPASy 2.6.1.88 is 2-oxocarboxylate + L-Met = 4-methylsulfanyl-2-oxobutanoate + L-amino acid, which is exactly met_L + pyr -&gt; 4mtob + ala_L. The model's 3.1.1.3 is triacylglycerol lipase and BiGG lists no EC.</t>
  </si>
  <si>
    <t>No EC in the model, and BiGG lists none for r1796 either (database_links has no EC entry). This reaction has no EC anywhere: assign one by hand via ECOverrides, or leave the row empty.</t>
  </si>
  <si>
    <t>EC 6.3.2.2 RESOLVED FROM BiGG for reaction GLUCYS; the model annotates none. Not model-derived.</t>
  </si>
  <si>
    <t>EC 6.3.2.3 RESOLVED FROM BiGG for reaction GTHS; the model annotates none. Not model-derived.</t>
  </si>
  <si>
    <t>No EC in the model, and BiGG lists none for LHCYSTIN either (database_links has no EC entry). This reaction has no EC anywhere: assign one by hand via ECOverrides, or leave the row empty.</t>
  </si>
  <si>
    <t>EC in motif file</t>
  </si>
  <si>
    <t>EC actually queried</t>
  </si>
  <si>
    <t>EC resolution</t>
  </si>
  <si>
    <t>local BRENDA flat file (release 2026.1)</t>
  </si>
  <si>
    <t>no records in local BRENDA flat file</t>
  </si>
  <si>
    <t>Organism requested</t>
  </si>
  <si>
    <t>Km query</t>
  </si>
  <si>
    <t>OK (local BRENDA flat file: 102 record(s))</t>
  </si>
  <si>
    <t>OK (local BRENDA flat file: 0 record(s)); online fallback also returned no Km</t>
  </si>
  <si>
    <t>OK (local BRENDA flat file: 60 record(s))</t>
  </si>
  <si>
    <t>OK (local BRENDA flat file: 200 record(s))</t>
  </si>
  <si>
    <t>OK (local BRENDA flat file: 240 record(s))</t>
  </si>
  <si>
    <t>OK (local BRENDA flat file: 120 record(s))</t>
  </si>
  <si>
    <t>OK (local BRENDA flat file: 160 record(s))</t>
  </si>
  <si>
    <t>OK (local BRENDA flat file: 307 record(s))</t>
  </si>
  <si>
    <t>OK (local BRENDA flat file: 13 record(s))</t>
  </si>
  <si>
    <t>OK (local BRENDA flat file: 2 record(s))</t>
  </si>
  <si>
    <t>OK (local BRENDA flat file: 288 record(s))</t>
  </si>
  <si>
    <t>OK (local BRENDA flat file: 188 record(s))</t>
  </si>
  <si>
    <t>OK (local BRENDA flat file: 63 record(s))</t>
  </si>
  <si>
    <t>OK (local BRENDA flat file: 339 record(s))</t>
  </si>
  <si>
    <t>OK (local BRENDA flat file: 55 record(s))</t>
  </si>
  <si>
    <t>OK (local BRENDA flat file: 950 record(s))</t>
  </si>
  <si>
    <t>OK (local BRENDA flat file: 103 record(s))</t>
  </si>
  <si>
    <t>OK (local BRENDA flat file: 720 record(s))</t>
  </si>
  <si>
    <t>kcat query</t>
  </si>
  <si>
    <t>OK (local BRENDA flat file: 31 record(s))</t>
  </si>
  <si>
    <t>OK (local BRENDA flat file: 0 record(s)); online fallback also returned no kcat</t>
  </si>
  <si>
    <t>OK (local BRENDA flat file: 11 record(s))</t>
  </si>
  <si>
    <t>OK (local BRENDA flat file: 71 record(s))</t>
  </si>
  <si>
    <t>OK (local BRENDA flat file: 94 record(s))</t>
  </si>
  <si>
    <t>OK (local BRENDA flat file: 91 record(s))</t>
  </si>
  <si>
    <t>OK (local BRENDA flat file: 27 record(s))</t>
  </si>
  <si>
    <t>OK (local BRENDA flat file: 177 record(s))</t>
  </si>
  <si>
    <t>OK (local BRENDA flat file: 116 record(s))</t>
  </si>
  <si>
    <t>OK (local BRENDA flat file: 107 record(s))</t>
  </si>
  <si>
    <t>OK (local BRENDA flat file: 23 record(s))</t>
  </si>
  <si>
    <t>OK (local BRENDA flat file: 197 record(s))</t>
  </si>
  <si>
    <t>OK (local BRENDA flat file: 39 record(s))</t>
  </si>
  <si>
    <t>OK (local BRENDA flat file: 67 record(s))</t>
  </si>
  <si>
    <t>OK (local BRENDA flat file: 559 record(s))</t>
  </si>
  <si>
    <t>OK (local BRENDA flat file: 43 record(s))</t>
  </si>
  <si>
    <t>OK (local BRENDA flat file: 502 record(s))</t>
  </si>
  <si>
    <t>SA query</t>
  </si>
  <si>
    <t>OK (local BRENDA flat file: 7 record(s))</t>
  </si>
  <si>
    <t>OK (local BRENDA flat file: 0 record(s)); online fallback also returned no SA</t>
  </si>
  <si>
    <t>OK (local BRENDA flat file: 15 record(s))</t>
  </si>
  <si>
    <t>OK (local BRENDA flat file: 83 record(s))</t>
  </si>
  <si>
    <t>OK (local BRENDA flat file: 69 record(s))</t>
  </si>
  <si>
    <t>OK (local BRENDA flat file: 10 record(s))</t>
  </si>
  <si>
    <t>OK (local BRENDA flat file: 16 record(s))</t>
  </si>
  <si>
    <t>OK (local BRENDA flat file: 1 record(s))</t>
  </si>
  <si>
    <t>OK (local BRENDA flat file: 46 record(s))</t>
  </si>
  <si>
    <t>OK (local BRENDA flat file: 28 record(s))</t>
  </si>
  <si>
    <t>OK (local BRENDA flat file: 118 record(s))</t>
  </si>
  <si>
    <t>OK (local BRENDA flat file: 45 record(s))</t>
  </si>
  <si>
    <t>OK (local BRENDA flat file: 89 record(s))</t>
  </si>
  <si>
    <t>OK (local BRENDA flat file: 72 record(s))</t>
  </si>
  <si>
    <t>OK (local BRENDA flat file: 346 record(s))</t>
  </si>
  <si>
    <t>MW query</t>
  </si>
  <si>
    <t>OK (local BRENDA flat file: 47 record(s))</t>
  </si>
  <si>
    <t>OK (local BRENDA flat file: 0 record(s)); online fallback also returned no MW</t>
  </si>
  <si>
    <t>OK (local BRENDA flat file: 12 record(s))</t>
  </si>
  <si>
    <t>OK (local BRENDA flat file: 33 record(s))</t>
  </si>
  <si>
    <t>OK (local BRENDA flat file: 30 record(s))</t>
  </si>
  <si>
    <t>OK (local BRENDA flat file: 48 record(s))</t>
  </si>
  <si>
    <t>OK (local BRENDA flat file: 42 record(s))</t>
  </si>
  <si>
    <t>OK (local BRENDA flat file: 3 record(s))</t>
  </si>
  <si>
    <t>OK (local BRENDA flat file: 51 record(s))</t>
  </si>
  <si>
    <t>OK (local BRENDA flat file: 26 record(s))</t>
  </si>
  <si>
    <t>OK (local BRENDA flat file: 52 record(s))</t>
  </si>
  <si>
    <t>OK (local BRENDA flat file: 9 record(s))</t>
  </si>
  <si>
    <t>OK (local BRENDA flat file: 75 record(s))</t>
  </si>
  <si>
    <t>OK (local BRENDA flat file: 65 record(s))</t>
  </si>
  <si>
    <t>Verdict</t>
  </si>
  <si>
    <t>Trail</t>
  </si>
  <si>
    <t>BRENDA records under the motif code</t>
  </si>
  <si>
    <t>BRENDA records under the live code</t>
  </si>
  <si>
    <t>Accepted name of the live entry</t>
  </si>
  <si>
    <t>Km substrate</t>
  </si>
  <si>
    <t>kcat substrate</t>
  </si>
  <si>
    <t>Km organism</t>
  </si>
  <si>
    <t>kcat organism</t>
  </si>
  <si>
    <t>Km literature</t>
  </si>
  <si>
    <t>kcat literature</t>
  </si>
  <si>
    <t>Km method</t>
  </si>
  <si>
    <t>kcat method</t>
  </si>
  <si>
    <t>Km n</t>
  </si>
  <si>
    <t>kcat n</t>
  </si>
  <si>
    <t>Km assay</t>
  </si>
  <si>
    <t>kcat assay</t>
  </si>
  <si>
    <t>Km source</t>
  </si>
  <si>
    <t>kcat source</t>
  </si>
  <si>
    <t>Assumptions</t>
  </si>
  <si>
    <t>Selected date</t>
  </si>
  <si>
    <t xml:space="preserve">For EC 1.14.13.67, the important nomenclature correction is that it is the former EC for quinine 3-monooxygenase and has been transferred to EC 1.14.14.55. The corresponding human enzyme is CYP3A4 / UniProt P08684.
EC CONFLICT for RE1587C: the model annotates 1.14.13.67 but BiGG lists 1.14.14.1. The model's code was KEPT and queried. If BiGG is right, every number in this row describes a different enzyme -- set ECOverrides.r_CAMP_2 to override. Candidate medians require assay, enzyme and direction review. Primary substrate unresolved: set PrimarySubstrate or review KM details.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</si>
</sst>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"/>
  <sheetViews>
    <sheetView tabSelected="1" workbookViewId="0">
      <pane ySplit="1" topLeftCell="A8" activePane="bottomLeft" state="frozen"/>
      <selection pane="bottomLeft" activeCell="D17" sqref="D17"/>
    </sheetView>
  </sheetViews>
  <sheetFormatPr defaultRowHeight="14.5" x14ac:dyDescent="0.35"/>
  <cols>
    <col min="1" max="1" width="16.26953125" customWidth="1"/>
    <col min="2" max="2" width="10.1796875" customWidth="1"/>
    <col min="3" max="3" width="58.54296875" customWidth="1"/>
    <col min="4" max="4" width="14" customWidth="1"/>
    <col min="5" max="5" width="10.26953125" customWidth="1"/>
    <col min="6" max="6" width="17.7265625" customWidth="1"/>
    <col min="7" max="7" width="14.7265625" customWidth="1"/>
    <col min="8" max="8" width="11.81640625" bestFit="1" customWidth="1"/>
    <col min="9" max="9" width="8.81640625" customWidth="1"/>
    <col min="10" max="10" width="21.6328125" bestFit="1" customWidth="1"/>
    <col min="11" max="11" width="8.1796875" customWidth="1"/>
    <col min="12" max="12" width="2.08984375" bestFit="1" customWidth="1"/>
    <col min="13" max="13" width="4.1796875" bestFit="1" customWidth="1"/>
    <col min="14" max="14" width="2403.81640625" customWidth="1"/>
    <col min="15" max="15" width="10.7265625" customWidth="1"/>
    <col min="16" max="16" width="18.453125" customWidth="1"/>
    <col min="17" max="17" width="29.54296875" customWidth="1"/>
    <col min="18" max="18" width="1373.1796875" customWidth="1"/>
    <col min="19" max="19" width="154.26953125" customWidth="1"/>
  </cols>
  <sheetData>
    <row r="1" spans="1:19" s="3" customFormat="1" x14ac:dyDescent="0.35">
      <c r="A1" s="3" t="s">
        <v>0</v>
      </c>
      <c r="B1" s="3" t="s">
        <v>51</v>
      </c>
      <c r="C1" s="3" t="s">
        <v>70</v>
      </c>
      <c r="D1" s="3" t="s">
        <v>97</v>
      </c>
      <c r="E1" s="3" t="s">
        <v>120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  <c r="L1" s="3" t="s">
        <v>127</v>
      </c>
      <c r="M1" s="3" t="s">
        <v>128</v>
      </c>
      <c r="N1" s="3" t="s">
        <v>129</v>
      </c>
      <c r="O1" s="3" t="s">
        <v>155</v>
      </c>
      <c r="P1" s="3" t="s">
        <v>157</v>
      </c>
      <c r="Q1" s="3" t="s">
        <v>158</v>
      </c>
      <c r="R1" s="3" t="s">
        <v>170</v>
      </c>
      <c r="S1" s="3" t="s">
        <v>184</v>
      </c>
    </row>
    <row r="2" spans="1:19" s="1" customFormat="1" x14ac:dyDescent="0.35">
      <c r="A2" s="1" t="s">
        <v>1</v>
      </c>
      <c r="B2" s="1" t="s">
        <v>52</v>
      </c>
      <c r="C2" s="1" t="s">
        <v>71</v>
      </c>
      <c r="D2" s="1" t="s">
        <v>98</v>
      </c>
      <c r="E2" s="1">
        <v>1.2E-2</v>
      </c>
      <c r="F2" s="1">
        <v>0.22800000000000001</v>
      </c>
      <c r="G2" s="1">
        <v>76.5</v>
      </c>
      <c r="H2" s="1">
        <f t="shared" ref="H2:H33" si="0">IF(AND(ISNUMBER(F2),ISNUMBER(G2)),F2*G2/60,"")</f>
        <v>0.29070000000000001</v>
      </c>
      <c r="I2" s="1">
        <v>0</v>
      </c>
      <c r="J2" s="1">
        <f t="shared" ref="J2:J33" si="1">IF(AND(ISNUMBER(H2),ISNUMBER(I2),ISNUMBER(E2)),IF(E2&gt;0,H2*I2/E2,""),"")</f>
        <v>0</v>
      </c>
      <c r="N2" s="1" t="s">
        <v>130</v>
      </c>
      <c r="O2" s="1" t="s">
        <v>98</v>
      </c>
      <c r="Q2" s="1" t="s">
        <v>159</v>
      </c>
      <c r="R2" s="1" t="s">
        <v>171</v>
      </c>
      <c r="S2" s="1" t="s">
        <v>185</v>
      </c>
    </row>
    <row r="3" spans="1:19" s="1" customFormat="1" x14ac:dyDescent="0.35">
      <c r="A3" s="1" t="s">
        <v>1</v>
      </c>
      <c r="B3" s="1" t="s">
        <v>53</v>
      </c>
      <c r="C3" s="1" t="s">
        <v>72</v>
      </c>
      <c r="D3" s="1" t="s">
        <v>99</v>
      </c>
      <c r="E3" s="1">
        <f>10^(-1.5)</f>
        <v>3.1622776601683784E-2</v>
      </c>
      <c r="H3" s="1">
        <f>1/10^(-2.5)</f>
        <v>316.22776601683825</v>
      </c>
      <c r="I3" s="1">
        <v>0</v>
      </c>
      <c r="J3" s="1">
        <f t="shared" si="1"/>
        <v>0</v>
      </c>
      <c r="N3" s="2" t="s">
        <v>8818</v>
      </c>
      <c r="S3" s="1" t="s">
        <v>186</v>
      </c>
    </row>
    <row r="4" spans="1:19" s="1" customFormat="1" x14ac:dyDescent="0.35">
      <c r="A4" s="1" t="s">
        <v>1</v>
      </c>
      <c r="B4" s="1" t="s">
        <v>54</v>
      </c>
      <c r="C4" s="1" t="s">
        <v>73</v>
      </c>
      <c r="D4" s="1" t="s">
        <v>100</v>
      </c>
      <c r="E4" s="1">
        <v>3.05</v>
      </c>
      <c r="F4" s="1">
        <v>2.2000000000000002</v>
      </c>
      <c r="G4" s="1">
        <v>35</v>
      </c>
      <c r="H4" s="1">
        <f t="shared" si="0"/>
        <v>1.2833333333333334</v>
      </c>
      <c r="I4" s="1">
        <v>0</v>
      </c>
      <c r="J4" s="1">
        <f t="shared" si="1"/>
        <v>0</v>
      </c>
      <c r="N4" s="1" t="s">
        <v>132</v>
      </c>
      <c r="O4" s="1" t="s">
        <v>100</v>
      </c>
      <c r="Q4" s="1" t="s">
        <v>160</v>
      </c>
      <c r="R4" s="1" t="s">
        <v>172</v>
      </c>
      <c r="S4" s="1" t="s">
        <v>187</v>
      </c>
    </row>
    <row r="5" spans="1:19" s="1" customFormat="1" x14ac:dyDescent="0.35">
      <c r="A5" s="1" t="s">
        <v>2</v>
      </c>
      <c r="B5" s="1" t="s">
        <v>55</v>
      </c>
      <c r="C5" s="1" t="s">
        <v>74</v>
      </c>
      <c r="D5" s="1" t="s">
        <v>101</v>
      </c>
      <c r="E5" s="1">
        <v>71.75</v>
      </c>
      <c r="F5" s="1">
        <v>110.05</v>
      </c>
      <c r="G5" s="1">
        <v>64.2</v>
      </c>
      <c r="H5" s="1">
        <f t="shared" si="0"/>
        <v>117.7535</v>
      </c>
      <c r="I5" s="1">
        <v>0</v>
      </c>
      <c r="J5" s="1">
        <f t="shared" si="1"/>
        <v>0</v>
      </c>
      <c r="K5" s="1" t="s">
        <v>56</v>
      </c>
      <c r="L5" s="1" t="str">
        <f>IFERROR(IF(COUNT(J5,J6)=2,J5/J6,""),"")</f>
        <v/>
      </c>
      <c r="M5" s="1" t="str">
        <f>IFERROR(IF(ISNUMBER(J6),1/J6,""),"")</f>
        <v/>
      </c>
      <c r="N5" s="1" t="s">
        <v>133</v>
      </c>
      <c r="O5" s="1" t="s">
        <v>101</v>
      </c>
      <c r="Q5" s="1" t="s">
        <v>161</v>
      </c>
      <c r="R5" s="1" t="s">
        <v>173</v>
      </c>
      <c r="S5" s="1" t="s">
        <v>188</v>
      </c>
    </row>
    <row r="6" spans="1:19" s="1" customFormat="1" x14ac:dyDescent="0.35">
      <c r="A6" s="1" t="s">
        <v>2</v>
      </c>
      <c r="B6" s="1" t="s">
        <v>56</v>
      </c>
      <c r="C6" s="1" t="s">
        <v>75</v>
      </c>
      <c r="D6" s="1" t="s">
        <v>101</v>
      </c>
      <c r="E6" s="1">
        <f>10^(0.5)</f>
        <v>3.1622776601683795</v>
      </c>
      <c r="F6" s="1">
        <v>110.05</v>
      </c>
      <c r="G6" s="1">
        <v>64.2</v>
      </c>
      <c r="H6" s="1">
        <f t="shared" si="0"/>
        <v>117.7535</v>
      </c>
      <c r="I6" s="1">
        <v>0</v>
      </c>
      <c r="J6" s="1">
        <f t="shared" si="1"/>
        <v>0</v>
      </c>
      <c r="N6" s="1" t="s">
        <v>134</v>
      </c>
      <c r="R6" s="1" t="s">
        <v>174</v>
      </c>
      <c r="S6" s="1" t="s">
        <v>189</v>
      </c>
    </row>
    <row r="7" spans="1:19" s="1" customFormat="1" x14ac:dyDescent="0.35">
      <c r="A7" s="1" t="s">
        <v>2</v>
      </c>
      <c r="B7" s="1" t="s">
        <v>57</v>
      </c>
      <c r="C7" s="1" t="s">
        <v>76</v>
      </c>
      <c r="D7" s="1" t="s">
        <v>102</v>
      </c>
      <c r="E7" s="1">
        <v>0.214</v>
      </c>
      <c r="F7" s="1">
        <v>1.7470000000000001</v>
      </c>
      <c r="G7" s="1">
        <v>35</v>
      </c>
      <c r="H7" s="1">
        <f t="shared" si="0"/>
        <v>1.0190833333333333</v>
      </c>
      <c r="I7" s="1">
        <v>0</v>
      </c>
      <c r="J7" s="1">
        <f t="shared" si="1"/>
        <v>0</v>
      </c>
      <c r="N7" s="1" t="s">
        <v>135</v>
      </c>
      <c r="O7" s="1" t="s">
        <v>102</v>
      </c>
      <c r="Q7" s="1" t="s">
        <v>162</v>
      </c>
      <c r="R7" s="1" t="s">
        <v>175</v>
      </c>
      <c r="S7" s="1" t="s">
        <v>190</v>
      </c>
    </row>
    <row r="8" spans="1:19" s="1" customFormat="1" x14ac:dyDescent="0.35">
      <c r="A8" s="1" t="s">
        <v>2</v>
      </c>
      <c r="B8" s="1" t="s">
        <v>58</v>
      </c>
      <c r="C8" s="1" t="s">
        <v>77</v>
      </c>
      <c r="D8" s="1" t="s">
        <v>101</v>
      </c>
      <c r="E8" s="1">
        <v>2.06</v>
      </c>
      <c r="F8" s="1">
        <v>110.05</v>
      </c>
      <c r="G8" s="1">
        <v>64.2</v>
      </c>
      <c r="H8" s="1">
        <f t="shared" si="0"/>
        <v>117.7535</v>
      </c>
      <c r="I8" s="1">
        <v>0</v>
      </c>
      <c r="J8" s="1">
        <f t="shared" si="1"/>
        <v>0</v>
      </c>
      <c r="K8" s="1" t="s">
        <v>59</v>
      </c>
      <c r="L8" s="1" t="str">
        <f>IFERROR(IF(COUNT(J8,J9)=2,J8/J9,""),"")</f>
        <v/>
      </c>
      <c r="M8" s="1" t="str">
        <f>IFERROR(IF(ISNUMBER(J9),1/J9,""),"")</f>
        <v/>
      </c>
      <c r="N8" s="1" t="s">
        <v>136</v>
      </c>
      <c r="O8" s="1" t="s">
        <v>101</v>
      </c>
      <c r="Q8" s="1" t="s">
        <v>163</v>
      </c>
      <c r="R8" s="1" t="s">
        <v>175</v>
      </c>
      <c r="S8" s="1" t="s">
        <v>191</v>
      </c>
    </row>
    <row r="9" spans="1:19" s="1" customFormat="1" x14ac:dyDescent="0.35">
      <c r="A9" s="1" t="s">
        <v>2</v>
      </c>
      <c r="B9" s="1" t="s">
        <v>59</v>
      </c>
      <c r="C9" s="1" t="s">
        <v>78</v>
      </c>
      <c r="D9" s="1" t="s">
        <v>103</v>
      </c>
      <c r="E9" s="1">
        <v>3.5500000000000003</v>
      </c>
      <c r="F9" s="1">
        <v>400</v>
      </c>
      <c r="G9" s="1">
        <v>87.5</v>
      </c>
      <c r="H9" s="1">
        <f t="shared" si="0"/>
        <v>583.33333333333337</v>
      </c>
      <c r="I9" s="1">
        <v>0</v>
      </c>
      <c r="J9" s="1">
        <f t="shared" si="1"/>
        <v>0</v>
      </c>
      <c r="N9" s="1" t="s">
        <v>137</v>
      </c>
      <c r="O9" s="1" t="s">
        <v>156</v>
      </c>
      <c r="Q9" s="1" t="s">
        <v>164</v>
      </c>
      <c r="R9" s="1" t="s">
        <v>176</v>
      </c>
      <c r="S9" s="1" t="s">
        <v>192</v>
      </c>
    </row>
    <row r="10" spans="1:19" s="1" customFormat="1" x14ac:dyDescent="0.35">
      <c r="A10" s="1" t="s">
        <v>2</v>
      </c>
      <c r="B10" s="1" t="s">
        <v>60</v>
      </c>
      <c r="C10" s="1" t="s">
        <v>79</v>
      </c>
      <c r="D10" s="1" t="s">
        <v>104</v>
      </c>
      <c r="E10" s="1">
        <f>10^(0.5)</f>
        <v>3.1622776601683795</v>
      </c>
      <c r="F10" s="1">
        <v>56.35</v>
      </c>
      <c r="G10" s="1">
        <v>64.5</v>
      </c>
      <c r="H10" s="1">
        <f t="shared" si="0"/>
        <v>60.576250000000002</v>
      </c>
      <c r="I10" s="1">
        <v>0</v>
      </c>
      <c r="J10" s="1">
        <f t="shared" si="1"/>
        <v>0</v>
      </c>
      <c r="N10" s="1" t="s">
        <v>138</v>
      </c>
      <c r="R10" s="1" t="s">
        <v>177</v>
      </c>
      <c r="S10" s="1" t="s">
        <v>193</v>
      </c>
    </row>
    <row r="11" spans="1:19" s="1" customFormat="1" x14ac:dyDescent="0.35">
      <c r="A11" s="1" t="s">
        <v>2</v>
      </c>
      <c r="B11" s="1" t="s">
        <v>61</v>
      </c>
      <c r="C11" s="1" t="s">
        <v>80</v>
      </c>
      <c r="D11" s="1" t="s">
        <v>105</v>
      </c>
      <c r="E11" s="1">
        <v>0.93</v>
      </c>
      <c r="F11" s="1">
        <v>0.36291999999999996</v>
      </c>
      <c r="G11" s="1">
        <v>45.646999999999998</v>
      </c>
      <c r="H11" s="1">
        <f t="shared" si="0"/>
        <v>0.27610348733333334</v>
      </c>
      <c r="I11" s="1">
        <v>0</v>
      </c>
      <c r="J11" s="1">
        <f t="shared" si="1"/>
        <v>0</v>
      </c>
      <c r="N11" s="1" t="s">
        <v>139</v>
      </c>
      <c r="O11" s="1" t="s">
        <v>105</v>
      </c>
      <c r="Q11" s="1" t="s">
        <v>165</v>
      </c>
      <c r="R11" s="1" t="s">
        <v>178</v>
      </c>
      <c r="S11" s="1" t="s">
        <v>194</v>
      </c>
    </row>
    <row r="12" spans="1:19" s="1" customFormat="1" x14ac:dyDescent="0.35">
      <c r="A12" s="1" t="s">
        <v>3</v>
      </c>
      <c r="B12" s="1" t="s">
        <v>62</v>
      </c>
      <c r="C12" s="1" t="s">
        <v>81</v>
      </c>
      <c r="H12" s="1" t="str">
        <f t="shared" si="0"/>
        <v/>
      </c>
      <c r="I12" s="1">
        <v>0</v>
      </c>
      <c r="J12" s="1" t="str">
        <f t="shared" si="1"/>
        <v/>
      </c>
      <c r="N12" s="1" t="s">
        <v>140</v>
      </c>
      <c r="S12" s="1" t="s">
        <v>195</v>
      </c>
    </row>
    <row r="13" spans="1:19" s="1" customFormat="1" x14ac:dyDescent="0.35">
      <c r="A13" s="1" t="s">
        <v>3</v>
      </c>
      <c r="B13" s="1" t="s">
        <v>63</v>
      </c>
      <c r="C13" s="1" t="s">
        <v>82</v>
      </c>
      <c r="D13" s="1" t="s">
        <v>106</v>
      </c>
      <c r="E13" s="1">
        <v>0.06</v>
      </c>
      <c r="F13" s="1">
        <v>2.085</v>
      </c>
      <c r="G13" s="1">
        <v>83.5</v>
      </c>
      <c r="H13" s="1">
        <f t="shared" si="0"/>
        <v>2.9016250000000001</v>
      </c>
      <c r="I13" s="1">
        <v>0</v>
      </c>
      <c r="J13" s="1">
        <f t="shared" si="1"/>
        <v>0</v>
      </c>
      <c r="N13" s="1" t="s">
        <v>141</v>
      </c>
      <c r="O13" s="1" t="s">
        <v>106</v>
      </c>
      <c r="Q13" s="1" t="s">
        <v>163</v>
      </c>
      <c r="R13" s="1" t="s">
        <v>179</v>
      </c>
      <c r="S13" s="1" t="s">
        <v>196</v>
      </c>
    </row>
    <row r="14" spans="1:19" s="1" customFormat="1" x14ac:dyDescent="0.35">
      <c r="A14" s="1" t="s">
        <v>4</v>
      </c>
      <c r="B14" s="1" t="s">
        <v>64</v>
      </c>
      <c r="C14" s="1" t="s">
        <v>83</v>
      </c>
      <c r="D14" s="1" t="s">
        <v>107</v>
      </c>
      <c r="E14" s="1">
        <v>0.5</v>
      </c>
      <c r="F14" s="1">
        <v>1.49</v>
      </c>
      <c r="G14" s="1">
        <v>72.400000000000006</v>
      </c>
      <c r="H14" s="1">
        <f t="shared" si="0"/>
        <v>1.7979333333333334</v>
      </c>
      <c r="I14" s="1">
        <v>0</v>
      </c>
      <c r="J14" s="1">
        <f t="shared" si="1"/>
        <v>0</v>
      </c>
      <c r="N14" s="1" t="s">
        <v>142</v>
      </c>
      <c r="O14" s="1" t="s">
        <v>107</v>
      </c>
      <c r="Q14" s="1" t="s">
        <v>166</v>
      </c>
      <c r="R14" s="1" t="s">
        <v>175</v>
      </c>
      <c r="S14" s="1" t="s">
        <v>197</v>
      </c>
    </row>
    <row r="15" spans="1:19" s="1" customFormat="1" x14ac:dyDescent="0.35">
      <c r="A15" s="1" t="s">
        <v>4</v>
      </c>
      <c r="B15" s="1" t="s">
        <v>65</v>
      </c>
      <c r="C15" s="1" t="s">
        <v>84</v>
      </c>
      <c r="D15" s="1" t="s">
        <v>108</v>
      </c>
      <c r="E15" s="1">
        <v>0.09</v>
      </c>
      <c r="F15" s="1">
        <v>11</v>
      </c>
      <c r="G15" s="1">
        <v>76</v>
      </c>
      <c r="H15" s="1">
        <f t="shared" si="0"/>
        <v>13.933333333333334</v>
      </c>
      <c r="I15" s="1">
        <v>0</v>
      </c>
      <c r="J15" s="1">
        <f t="shared" si="1"/>
        <v>0</v>
      </c>
      <c r="N15" s="1" t="s">
        <v>143</v>
      </c>
      <c r="O15" s="1" t="s">
        <v>108</v>
      </c>
      <c r="Q15" s="1" t="s">
        <v>166</v>
      </c>
      <c r="R15" s="1" t="s">
        <v>175</v>
      </c>
      <c r="S15" s="1" t="s">
        <v>198</v>
      </c>
    </row>
    <row r="16" spans="1:19" s="1" customFormat="1" x14ac:dyDescent="0.35">
      <c r="A16" s="1" t="s">
        <v>4</v>
      </c>
      <c r="B16" s="1" t="s">
        <v>66</v>
      </c>
      <c r="C16" s="1" t="s">
        <v>85</v>
      </c>
      <c r="D16" s="1" t="s">
        <v>109</v>
      </c>
      <c r="E16" s="1">
        <v>0.31</v>
      </c>
      <c r="F16" s="1">
        <v>6.1</v>
      </c>
      <c r="G16" s="1">
        <v>34</v>
      </c>
      <c r="H16" s="1">
        <f t="shared" si="0"/>
        <v>3.4566666666666661</v>
      </c>
      <c r="I16" s="1">
        <v>0</v>
      </c>
      <c r="J16" s="1">
        <f t="shared" si="1"/>
        <v>0</v>
      </c>
      <c r="N16" s="1" t="s">
        <v>144</v>
      </c>
      <c r="O16" s="1" t="s">
        <v>109</v>
      </c>
      <c r="Q16" s="1" t="s">
        <v>167</v>
      </c>
      <c r="R16" s="1" t="s">
        <v>175</v>
      </c>
      <c r="S16" s="1" t="s">
        <v>199</v>
      </c>
    </row>
    <row r="17" spans="1:19" s="1" customFormat="1" x14ac:dyDescent="0.35">
      <c r="A17" s="1" t="s">
        <v>5</v>
      </c>
      <c r="B17" s="1" t="s">
        <v>67</v>
      </c>
      <c r="C17" s="1" t="s">
        <v>85</v>
      </c>
      <c r="D17" s="1" t="s">
        <v>109</v>
      </c>
      <c r="E17" s="1">
        <v>0.31</v>
      </c>
      <c r="F17" s="1">
        <v>6.1</v>
      </c>
      <c r="G17" s="1">
        <v>34</v>
      </c>
      <c r="H17" s="1">
        <f t="shared" si="0"/>
        <v>3.4566666666666661</v>
      </c>
      <c r="I17" s="1">
        <v>0</v>
      </c>
      <c r="J17" s="1">
        <f t="shared" si="1"/>
        <v>0</v>
      </c>
      <c r="N17" s="1" t="s">
        <v>144</v>
      </c>
      <c r="O17" s="1" t="s">
        <v>109</v>
      </c>
      <c r="Q17" s="1" t="s">
        <v>167</v>
      </c>
      <c r="R17" s="1" t="s">
        <v>175</v>
      </c>
      <c r="S17" s="1" t="s">
        <v>199</v>
      </c>
    </row>
    <row r="18" spans="1:19" s="1" customFormat="1" x14ac:dyDescent="0.35">
      <c r="A18" s="1" t="s">
        <v>5</v>
      </c>
      <c r="B18" s="1" t="s">
        <v>68</v>
      </c>
      <c r="C18" s="1" t="s">
        <v>86</v>
      </c>
      <c r="D18" s="1" t="s">
        <v>111</v>
      </c>
      <c r="E18" s="1">
        <f>10^(0.5)</f>
        <v>3.1622776601683795</v>
      </c>
      <c r="F18" s="1">
        <v>161.6</v>
      </c>
      <c r="G18" s="1">
        <v>48.7</v>
      </c>
      <c r="H18" s="1">
        <f t="shared" si="0"/>
        <v>131.16533333333334</v>
      </c>
      <c r="I18" s="1">
        <v>0</v>
      </c>
      <c r="J18" s="1">
        <f t="shared" si="1"/>
        <v>0</v>
      </c>
      <c r="N18" s="1" t="s">
        <v>145</v>
      </c>
      <c r="R18" s="1" t="s">
        <v>177</v>
      </c>
      <c r="S18" s="1" t="s">
        <v>200</v>
      </c>
    </row>
    <row r="19" spans="1:19" s="1" customFormat="1" x14ac:dyDescent="0.35">
      <c r="A19" s="1" t="s">
        <v>5</v>
      </c>
      <c r="B19" s="1" t="s">
        <v>69</v>
      </c>
      <c r="C19" s="1" t="s">
        <v>87</v>
      </c>
      <c r="D19" s="1" t="s">
        <v>236</v>
      </c>
      <c r="E19" s="1">
        <f>10^(-1.5)</f>
        <v>3.1622776601683784E-2</v>
      </c>
      <c r="F19" s="1">
        <v>2.6000000000000002E-2</v>
      </c>
      <c r="G19" s="1">
        <v>52</v>
      </c>
      <c r="H19" s="1">
        <f t="shared" si="0"/>
        <v>2.2533333333333336E-2</v>
      </c>
      <c r="I19" s="1">
        <v>0</v>
      </c>
      <c r="J19" s="1">
        <f t="shared" si="1"/>
        <v>0</v>
      </c>
      <c r="N19" s="1" t="s">
        <v>146</v>
      </c>
      <c r="R19" s="1" t="s">
        <v>180</v>
      </c>
      <c r="S19" s="1" t="s">
        <v>201</v>
      </c>
    </row>
    <row r="20" spans="1:19" x14ac:dyDescent="0.35">
      <c r="A20" t="s">
        <v>6</v>
      </c>
      <c r="B20" t="s">
        <v>52</v>
      </c>
      <c r="C20" t="s">
        <v>71</v>
      </c>
      <c r="D20" t="s">
        <v>98</v>
      </c>
      <c r="E20">
        <v>1.2E-2</v>
      </c>
      <c r="F20">
        <v>0.22800000000000001</v>
      </c>
      <c r="G20">
        <v>76.5</v>
      </c>
      <c r="H20">
        <f t="shared" si="0"/>
        <v>0.29070000000000001</v>
      </c>
      <c r="I20">
        <v>0</v>
      </c>
      <c r="J20">
        <f t="shared" si="1"/>
        <v>0</v>
      </c>
      <c r="N20" t="s">
        <v>130</v>
      </c>
      <c r="O20" t="s">
        <v>98</v>
      </c>
      <c r="Q20" t="s">
        <v>159</v>
      </c>
      <c r="R20" t="s">
        <v>171</v>
      </c>
      <c r="S20" t="s">
        <v>185</v>
      </c>
    </row>
    <row r="21" spans="1:19" x14ac:dyDescent="0.35">
      <c r="A21" t="s">
        <v>6</v>
      </c>
      <c r="B21" t="s">
        <v>53</v>
      </c>
      <c r="C21" t="s">
        <v>72</v>
      </c>
      <c r="D21" t="s">
        <v>99</v>
      </c>
      <c r="H21" t="str">
        <f t="shared" si="0"/>
        <v/>
      </c>
      <c r="I21">
        <v>0</v>
      </c>
      <c r="J21" t="str">
        <f t="shared" si="1"/>
        <v/>
      </c>
      <c r="N21" t="s">
        <v>131</v>
      </c>
      <c r="S21" t="s">
        <v>186</v>
      </c>
    </row>
    <row r="22" spans="1:19" x14ac:dyDescent="0.35">
      <c r="A22" t="s">
        <v>6</v>
      </c>
      <c r="B22" t="s">
        <v>54</v>
      </c>
      <c r="C22" t="s">
        <v>73</v>
      </c>
      <c r="D22" t="s">
        <v>100</v>
      </c>
      <c r="E22">
        <v>3.05</v>
      </c>
      <c r="F22">
        <v>2.2000000000000002</v>
      </c>
      <c r="G22">
        <v>35</v>
      </c>
      <c r="H22">
        <f t="shared" si="0"/>
        <v>1.2833333333333334</v>
      </c>
      <c r="I22">
        <v>0</v>
      </c>
      <c r="J22">
        <f t="shared" si="1"/>
        <v>0</v>
      </c>
      <c r="N22" t="s">
        <v>132</v>
      </c>
      <c r="O22" t="s">
        <v>100</v>
      </c>
      <c r="Q22" t="s">
        <v>160</v>
      </c>
      <c r="R22" t="s">
        <v>172</v>
      </c>
      <c r="S22" t="s">
        <v>187</v>
      </c>
    </row>
    <row r="23" spans="1:19" x14ac:dyDescent="0.35">
      <c r="A23" t="s">
        <v>7</v>
      </c>
      <c r="B23" t="s">
        <v>55</v>
      </c>
      <c r="C23" t="s">
        <v>74</v>
      </c>
      <c r="D23" t="s">
        <v>101</v>
      </c>
      <c r="E23">
        <v>71.75</v>
      </c>
      <c r="F23">
        <v>110.05</v>
      </c>
      <c r="G23">
        <v>64.2</v>
      </c>
      <c r="H23">
        <f t="shared" si="0"/>
        <v>117.7535</v>
      </c>
      <c r="I23">
        <v>0</v>
      </c>
      <c r="J23">
        <f t="shared" si="1"/>
        <v>0</v>
      </c>
      <c r="K23" t="s">
        <v>56</v>
      </c>
      <c r="L23" t="str">
        <f>IFERROR(IF(COUNT(J23,J24)=2,J23/J24,""),"")</f>
        <v/>
      </c>
      <c r="M23" t="str">
        <f>IFERROR(IF(ISNUMBER(J24),1/J24,""),"")</f>
        <v/>
      </c>
      <c r="N23" t="s">
        <v>133</v>
      </c>
      <c r="O23" t="s">
        <v>101</v>
      </c>
      <c r="Q23" t="s">
        <v>161</v>
      </c>
      <c r="R23" t="s">
        <v>173</v>
      </c>
      <c r="S23" t="s">
        <v>188</v>
      </c>
    </row>
    <row r="24" spans="1:19" x14ac:dyDescent="0.35">
      <c r="A24" t="s">
        <v>7</v>
      </c>
      <c r="B24" t="s">
        <v>56</v>
      </c>
      <c r="C24" t="s">
        <v>75</v>
      </c>
      <c r="D24" t="s">
        <v>101</v>
      </c>
      <c r="F24">
        <v>110.05</v>
      </c>
      <c r="G24">
        <v>64.2</v>
      </c>
      <c r="H24">
        <f t="shared" si="0"/>
        <v>117.7535</v>
      </c>
      <c r="I24">
        <v>0</v>
      </c>
      <c r="J24" t="str">
        <f t="shared" si="1"/>
        <v/>
      </c>
      <c r="N24" t="s">
        <v>134</v>
      </c>
      <c r="R24" t="s">
        <v>174</v>
      </c>
      <c r="S24" t="s">
        <v>189</v>
      </c>
    </row>
    <row r="25" spans="1:19" x14ac:dyDescent="0.35">
      <c r="A25" t="s">
        <v>7</v>
      </c>
      <c r="B25" t="s">
        <v>57</v>
      </c>
      <c r="C25" t="s">
        <v>76</v>
      </c>
      <c r="D25" t="s">
        <v>102</v>
      </c>
      <c r="E25">
        <v>0.214</v>
      </c>
      <c r="F25">
        <v>1.7470000000000001</v>
      </c>
      <c r="G25">
        <v>35</v>
      </c>
      <c r="H25">
        <f t="shared" si="0"/>
        <v>1.0190833333333333</v>
      </c>
      <c r="I25">
        <v>0</v>
      </c>
      <c r="J25">
        <f t="shared" si="1"/>
        <v>0</v>
      </c>
      <c r="N25" t="s">
        <v>135</v>
      </c>
      <c r="O25" t="s">
        <v>102</v>
      </c>
      <c r="Q25" t="s">
        <v>162</v>
      </c>
      <c r="R25" t="s">
        <v>175</v>
      </c>
      <c r="S25" t="s">
        <v>190</v>
      </c>
    </row>
    <row r="26" spans="1:19" x14ac:dyDescent="0.35">
      <c r="A26" t="s">
        <v>7</v>
      </c>
      <c r="B26" t="s">
        <v>58</v>
      </c>
      <c r="C26" t="s">
        <v>77</v>
      </c>
      <c r="D26" t="s">
        <v>101</v>
      </c>
      <c r="E26">
        <v>2.06</v>
      </c>
      <c r="F26">
        <v>110.05</v>
      </c>
      <c r="G26">
        <v>64.2</v>
      </c>
      <c r="H26">
        <f t="shared" si="0"/>
        <v>117.7535</v>
      </c>
      <c r="I26">
        <v>0</v>
      </c>
      <c r="J26">
        <f t="shared" si="1"/>
        <v>0</v>
      </c>
      <c r="K26" t="s">
        <v>59</v>
      </c>
      <c r="L26" t="str">
        <f>IFERROR(IF(COUNT(J26,J27)=2,J26/J27,""),"")</f>
        <v/>
      </c>
      <c r="M26" t="str">
        <f>IFERROR(IF(ISNUMBER(J27),1/J27,""),"")</f>
        <v/>
      </c>
      <c r="N26" t="s">
        <v>136</v>
      </c>
      <c r="O26" t="s">
        <v>101</v>
      </c>
      <c r="Q26" t="s">
        <v>163</v>
      </c>
      <c r="R26" t="s">
        <v>175</v>
      </c>
      <c r="S26" t="s">
        <v>191</v>
      </c>
    </row>
    <row r="27" spans="1:19" x14ac:dyDescent="0.35">
      <c r="A27" t="s">
        <v>7</v>
      </c>
      <c r="B27" t="s">
        <v>59</v>
      </c>
      <c r="C27" t="s">
        <v>78</v>
      </c>
      <c r="D27" t="s">
        <v>103</v>
      </c>
      <c r="E27">
        <v>3.5500000000000003</v>
      </c>
      <c r="F27">
        <v>400</v>
      </c>
      <c r="G27">
        <v>87.5</v>
      </c>
      <c r="H27">
        <f t="shared" si="0"/>
        <v>583.33333333333337</v>
      </c>
      <c r="I27">
        <v>0</v>
      </c>
      <c r="J27">
        <f t="shared" si="1"/>
        <v>0</v>
      </c>
      <c r="N27" t="s">
        <v>137</v>
      </c>
      <c r="O27" t="s">
        <v>156</v>
      </c>
      <c r="Q27" t="s">
        <v>164</v>
      </c>
      <c r="R27" t="s">
        <v>176</v>
      </c>
      <c r="S27" t="s">
        <v>192</v>
      </c>
    </row>
    <row r="28" spans="1:19" x14ac:dyDescent="0.35">
      <c r="A28" t="s">
        <v>7</v>
      </c>
      <c r="B28" t="s">
        <v>60</v>
      </c>
      <c r="C28" t="s">
        <v>79</v>
      </c>
      <c r="D28" t="s">
        <v>104</v>
      </c>
      <c r="F28">
        <v>56.35</v>
      </c>
      <c r="G28">
        <v>64.5</v>
      </c>
      <c r="H28">
        <f t="shared" si="0"/>
        <v>60.576250000000002</v>
      </c>
      <c r="I28">
        <v>0</v>
      </c>
      <c r="J28" t="str">
        <f t="shared" si="1"/>
        <v/>
      </c>
      <c r="N28" t="s">
        <v>138</v>
      </c>
      <c r="R28" t="s">
        <v>177</v>
      </c>
      <c r="S28" t="s">
        <v>193</v>
      </c>
    </row>
    <row r="29" spans="1:19" x14ac:dyDescent="0.35">
      <c r="A29" t="s">
        <v>7</v>
      </c>
      <c r="B29" t="s">
        <v>61</v>
      </c>
      <c r="C29" t="s">
        <v>80</v>
      </c>
      <c r="D29" t="s">
        <v>105</v>
      </c>
      <c r="E29">
        <v>0.93</v>
      </c>
      <c r="F29">
        <v>0.36291999999999996</v>
      </c>
      <c r="G29">
        <v>45.646999999999998</v>
      </c>
      <c r="H29">
        <f t="shared" si="0"/>
        <v>0.27610348733333334</v>
      </c>
      <c r="I29">
        <v>0</v>
      </c>
      <c r="J29">
        <f t="shared" si="1"/>
        <v>0</v>
      </c>
      <c r="N29" t="s">
        <v>139</v>
      </c>
      <c r="O29" t="s">
        <v>105</v>
      </c>
      <c r="Q29" t="s">
        <v>165</v>
      </c>
      <c r="R29" t="s">
        <v>178</v>
      </c>
      <c r="S29" t="s">
        <v>194</v>
      </c>
    </row>
    <row r="30" spans="1:19" x14ac:dyDescent="0.35">
      <c r="A30" t="s">
        <v>8</v>
      </c>
      <c r="B30" t="s">
        <v>62</v>
      </c>
      <c r="C30" t="s">
        <v>81</v>
      </c>
      <c r="H30" t="str">
        <f t="shared" si="0"/>
        <v/>
      </c>
      <c r="I30">
        <v>0</v>
      </c>
      <c r="J30" t="str">
        <f t="shared" si="1"/>
        <v/>
      </c>
      <c r="N30" t="s">
        <v>140</v>
      </c>
      <c r="S30" t="s">
        <v>195</v>
      </c>
    </row>
    <row r="31" spans="1:19" x14ac:dyDescent="0.35">
      <c r="A31" t="s">
        <v>8</v>
      </c>
      <c r="B31" t="s">
        <v>63</v>
      </c>
      <c r="C31" t="s">
        <v>82</v>
      </c>
      <c r="D31" t="s">
        <v>106</v>
      </c>
      <c r="E31">
        <v>0.06</v>
      </c>
      <c r="F31">
        <v>2.085</v>
      </c>
      <c r="G31">
        <v>83.5</v>
      </c>
      <c r="H31">
        <f t="shared" si="0"/>
        <v>2.9016250000000001</v>
      </c>
      <c r="I31">
        <v>0</v>
      </c>
      <c r="J31">
        <f t="shared" si="1"/>
        <v>0</v>
      </c>
      <c r="N31" t="s">
        <v>141</v>
      </c>
      <c r="O31" t="s">
        <v>106</v>
      </c>
      <c r="Q31" t="s">
        <v>163</v>
      </c>
      <c r="R31" t="s">
        <v>179</v>
      </c>
      <c r="S31" t="s">
        <v>196</v>
      </c>
    </row>
    <row r="32" spans="1:19" x14ac:dyDescent="0.35">
      <c r="A32" t="s">
        <v>9</v>
      </c>
      <c r="B32" t="s">
        <v>64</v>
      </c>
      <c r="C32" t="s">
        <v>83</v>
      </c>
      <c r="D32" t="s">
        <v>107</v>
      </c>
      <c r="E32">
        <v>0.5</v>
      </c>
      <c r="F32">
        <v>1.49</v>
      </c>
      <c r="G32">
        <v>72.400000000000006</v>
      </c>
      <c r="H32">
        <f t="shared" si="0"/>
        <v>1.7979333333333334</v>
      </c>
      <c r="I32">
        <v>0</v>
      </c>
      <c r="J32">
        <f t="shared" si="1"/>
        <v>0</v>
      </c>
      <c r="N32" t="s">
        <v>142</v>
      </c>
      <c r="O32" t="s">
        <v>107</v>
      </c>
      <c r="Q32" t="s">
        <v>166</v>
      </c>
      <c r="R32" t="s">
        <v>175</v>
      </c>
      <c r="S32" t="s">
        <v>197</v>
      </c>
    </row>
    <row r="33" spans="1:19" x14ac:dyDescent="0.35">
      <c r="A33" t="s">
        <v>9</v>
      </c>
      <c r="B33" t="s">
        <v>65</v>
      </c>
      <c r="C33" t="s">
        <v>84</v>
      </c>
      <c r="D33" t="s">
        <v>108</v>
      </c>
      <c r="E33">
        <v>0.09</v>
      </c>
      <c r="F33">
        <v>11</v>
      </c>
      <c r="G33">
        <v>76</v>
      </c>
      <c r="H33">
        <f t="shared" si="0"/>
        <v>13.933333333333334</v>
      </c>
      <c r="I33">
        <v>0</v>
      </c>
      <c r="J33">
        <f t="shared" si="1"/>
        <v>0</v>
      </c>
      <c r="N33" t="s">
        <v>143</v>
      </c>
      <c r="O33" t="s">
        <v>108</v>
      </c>
      <c r="Q33" t="s">
        <v>166</v>
      </c>
      <c r="R33" t="s">
        <v>175</v>
      </c>
      <c r="S33" t="s">
        <v>198</v>
      </c>
    </row>
    <row r="34" spans="1:19" x14ac:dyDescent="0.35">
      <c r="A34" t="s">
        <v>9</v>
      </c>
      <c r="B34" t="s">
        <v>66</v>
      </c>
      <c r="C34" t="s">
        <v>88</v>
      </c>
      <c r="D34" t="s">
        <v>113</v>
      </c>
      <c r="E34">
        <v>6.5000000000000002E-2</v>
      </c>
      <c r="F34">
        <v>31</v>
      </c>
      <c r="G34">
        <v>52.098999999999997</v>
      </c>
      <c r="H34">
        <f t="shared" ref="H34:H65" si="2">IF(AND(ISNUMBER(F34),ISNUMBER(G34)),F34*G34/60,"")</f>
        <v>26.917816666666667</v>
      </c>
      <c r="I34">
        <v>0</v>
      </c>
      <c r="J34">
        <f t="shared" ref="J34:J65" si="3">IF(AND(ISNUMBER(H34),ISNUMBER(I34),ISNUMBER(E34)),IF(E34&gt;0,H34*I34/E34,""),"")</f>
        <v>0</v>
      </c>
      <c r="N34" t="s">
        <v>147</v>
      </c>
      <c r="O34" t="s">
        <v>113</v>
      </c>
      <c r="Q34" t="s">
        <v>167</v>
      </c>
      <c r="R34" t="s">
        <v>175</v>
      </c>
      <c r="S34" t="s">
        <v>202</v>
      </c>
    </row>
    <row r="35" spans="1:19" x14ac:dyDescent="0.35">
      <c r="A35" t="s">
        <v>10</v>
      </c>
      <c r="B35" t="s">
        <v>67</v>
      </c>
      <c r="C35" t="s">
        <v>85</v>
      </c>
      <c r="D35" t="s">
        <v>110</v>
      </c>
      <c r="E35">
        <v>0.31</v>
      </c>
      <c r="F35">
        <v>6.1</v>
      </c>
      <c r="G35">
        <v>34</v>
      </c>
      <c r="H35">
        <f t="shared" si="2"/>
        <v>3.4566666666666661</v>
      </c>
      <c r="I35">
        <v>0</v>
      </c>
      <c r="J35">
        <f t="shared" si="3"/>
        <v>0</v>
      </c>
      <c r="N35" t="s">
        <v>144</v>
      </c>
      <c r="O35" t="s">
        <v>109</v>
      </c>
      <c r="Q35" t="s">
        <v>167</v>
      </c>
      <c r="R35" t="s">
        <v>175</v>
      </c>
      <c r="S35" t="s">
        <v>199</v>
      </c>
    </row>
    <row r="36" spans="1:19" x14ac:dyDescent="0.35">
      <c r="A36" t="s">
        <v>10</v>
      </c>
      <c r="B36" t="s">
        <v>68</v>
      </c>
      <c r="C36" t="s">
        <v>86</v>
      </c>
      <c r="D36" t="s">
        <v>111</v>
      </c>
      <c r="F36">
        <v>161.6</v>
      </c>
      <c r="G36">
        <v>48.7</v>
      </c>
      <c r="H36">
        <f t="shared" si="2"/>
        <v>131.16533333333334</v>
      </c>
      <c r="I36">
        <v>0</v>
      </c>
      <c r="J36" t="str">
        <f t="shared" si="3"/>
        <v/>
      </c>
      <c r="N36" t="s">
        <v>145</v>
      </c>
      <c r="R36" t="s">
        <v>177</v>
      </c>
      <c r="S36" t="s">
        <v>200</v>
      </c>
    </row>
    <row r="37" spans="1:19" x14ac:dyDescent="0.35">
      <c r="A37" t="s">
        <v>10</v>
      </c>
      <c r="B37" t="s">
        <v>69</v>
      </c>
      <c r="C37" t="s">
        <v>87</v>
      </c>
      <c r="D37" t="s">
        <v>112</v>
      </c>
      <c r="F37">
        <v>2.6000000000000002E-2</v>
      </c>
      <c r="G37">
        <v>52</v>
      </c>
      <c r="H37">
        <f t="shared" si="2"/>
        <v>2.2533333333333336E-2</v>
      </c>
      <c r="I37">
        <v>0</v>
      </c>
      <c r="J37" t="str">
        <f t="shared" si="3"/>
        <v/>
      </c>
      <c r="N37" t="s">
        <v>146</v>
      </c>
      <c r="R37" t="s">
        <v>180</v>
      </c>
      <c r="S37" t="s">
        <v>201</v>
      </c>
    </row>
    <row r="38" spans="1:19" x14ac:dyDescent="0.35">
      <c r="A38" t="s">
        <v>11</v>
      </c>
      <c r="B38" t="s">
        <v>52</v>
      </c>
      <c r="C38" t="s">
        <v>71</v>
      </c>
      <c r="D38" t="s">
        <v>98</v>
      </c>
      <c r="E38">
        <v>1.2E-2</v>
      </c>
      <c r="F38">
        <v>0.22800000000000001</v>
      </c>
      <c r="G38">
        <v>76.5</v>
      </c>
      <c r="H38">
        <f t="shared" si="2"/>
        <v>0.29070000000000001</v>
      </c>
      <c r="I38">
        <v>0</v>
      </c>
      <c r="J38">
        <f t="shared" si="3"/>
        <v>0</v>
      </c>
      <c r="N38" t="s">
        <v>130</v>
      </c>
      <c r="O38" t="s">
        <v>98</v>
      </c>
      <c r="Q38" t="s">
        <v>159</v>
      </c>
      <c r="R38" t="s">
        <v>171</v>
      </c>
      <c r="S38" t="s">
        <v>185</v>
      </c>
    </row>
    <row r="39" spans="1:19" x14ac:dyDescent="0.35">
      <c r="A39" t="s">
        <v>11</v>
      </c>
      <c r="B39" t="s">
        <v>53</v>
      </c>
      <c r="C39" t="s">
        <v>72</v>
      </c>
      <c r="D39" t="s">
        <v>99</v>
      </c>
      <c r="H39" t="str">
        <f t="shared" si="2"/>
        <v/>
      </c>
      <c r="I39">
        <v>0</v>
      </c>
      <c r="J39" t="str">
        <f t="shared" si="3"/>
        <v/>
      </c>
      <c r="N39" t="s">
        <v>131</v>
      </c>
      <c r="S39" t="s">
        <v>186</v>
      </c>
    </row>
    <row r="40" spans="1:19" x14ac:dyDescent="0.35">
      <c r="A40" t="s">
        <v>11</v>
      </c>
      <c r="B40" t="s">
        <v>54</v>
      </c>
      <c r="C40" t="s">
        <v>73</v>
      </c>
      <c r="D40" t="s">
        <v>100</v>
      </c>
      <c r="E40">
        <v>3.05</v>
      </c>
      <c r="F40">
        <v>2.2000000000000002</v>
      </c>
      <c r="G40">
        <v>35</v>
      </c>
      <c r="H40">
        <f t="shared" si="2"/>
        <v>1.2833333333333334</v>
      </c>
      <c r="I40">
        <v>0</v>
      </c>
      <c r="J40">
        <f t="shared" si="3"/>
        <v>0</v>
      </c>
      <c r="N40" t="s">
        <v>132</v>
      </c>
      <c r="O40" t="s">
        <v>100</v>
      </c>
      <c r="Q40" t="s">
        <v>160</v>
      </c>
      <c r="R40" t="s">
        <v>172</v>
      </c>
      <c r="S40" t="s">
        <v>187</v>
      </c>
    </row>
    <row r="41" spans="1:19" x14ac:dyDescent="0.35">
      <c r="A41" t="s">
        <v>12</v>
      </c>
      <c r="B41" t="s">
        <v>55</v>
      </c>
      <c r="C41" t="s">
        <v>74</v>
      </c>
      <c r="D41" t="s">
        <v>101</v>
      </c>
      <c r="E41">
        <v>71.75</v>
      </c>
      <c r="F41">
        <v>110.05</v>
      </c>
      <c r="G41">
        <v>64.2</v>
      </c>
      <c r="H41">
        <f t="shared" si="2"/>
        <v>117.7535</v>
      </c>
      <c r="I41">
        <v>0</v>
      </c>
      <c r="J41">
        <f t="shared" si="3"/>
        <v>0</v>
      </c>
      <c r="K41" t="s">
        <v>56</v>
      </c>
      <c r="L41" t="str">
        <f>IFERROR(IF(COUNT(J41,J42)=2,J41/J42,""),"")</f>
        <v/>
      </c>
      <c r="M41" t="str">
        <f>IFERROR(IF(ISNUMBER(J42),1/J42,""),"")</f>
        <v/>
      </c>
      <c r="N41" t="s">
        <v>133</v>
      </c>
      <c r="O41" t="s">
        <v>101</v>
      </c>
      <c r="Q41" t="s">
        <v>161</v>
      </c>
      <c r="R41" t="s">
        <v>173</v>
      </c>
      <c r="S41" t="s">
        <v>188</v>
      </c>
    </row>
    <row r="42" spans="1:19" x14ac:dyDescent="0.35">
      <c r="A42" t="s">
        <v>12</v>
      </c>
      <c r="B42" t="s">
        <v>56</v>
      </c>
      <c r="C42" t="s">
        <v>75</v>
      </c>
      <c r="D42" t="s">
        <v>101</v>
      </c>
      <c r="F42">
        <v>110.05</v>
      </c>
      <c r="G42">
        <v>64.2</v>
      </c>
      <c r="H42">
        <f t="shared" si="2"/>
        <v>117.7535</v>
      </c>
      <c r="I42">
        <v>0</v>
      </c>
      <c r="J42" t="str">
        <f t="shared" si="3"/>
        <v/>
      </c>
      <c r="N42" t="s">
        <v>134</v>
      </c>
      <c r="R42" t="s">
        <v>174</v>
      </c>
      <c r="S42" t="s">
        <v>189</v>
      </c>
    </row>
    <row r="43" spans="1:19" x14ac:dyDescent="0.35">
      <c r="A43" t="s">
        <v>12</v>
      </c>
      <c r="B43" t="s">
        <v>57</v>
      </c>
      <c r="C43" t="s">
        <v>76</v>
      </c>
      <c r="D43" t="s">
        <v>102</v>
      </c>
      <c r="E43">
        <v>0.214</v>
      </c>
      <c r="F43">
        <v>1.7470000000000001</v>
      </c>
      <c r="G43">
        <v>35</v>
      </c>
      <c r="H43">
        <f t="shared" si="2"/>
        <v>1.0190833333333333</v>
      </c>
      <c r="I43">
        <v>0</v>
      </c>
      <c r="J43">
        <f t="shared" si="3"/>
        <v>0</v>
      </c>
      <c r="N43" t="s">
        <v>135</v>
      </c>
      <c r="O43" t="s">
        <v>102</v>
      </c>
      <c r="Q43" t="s">
        <v>162</v>
      </c>
      <c r="R43" t="s">
        <v>175</v>
      </c>
      <c r="S43" t="s">
        <v>190</v>
      </c>
    </row>
    <row r="44" spans="1:19" x14ac:dyDescent="0.35">
      <c r="A44" t="s">
        <v>12</v>
      </c>
      <c r="B44" t="s">
        <v>58</v>
      </c>
      <c r="C44" t="s">
        <v>77</v>
      </c>
      <c r="D44" t="s">
        <v>101</v>
      </c>
      <c r="E44">
        <v>2.06</v>
      </c>
      <c r="F44">
        <v>110.05</v>
      </c>
      <c r="G44">
        <v>64.2</v>
      </c>
      <c r="H44">
        <f t="shared" si="2"/>
        <v>117.7535</v>
      </c>
      <c r="I44">
        <v>0</v>
      </c>
      <c r="J44">
        <f t="shared" si="3"/>
        <v>0</v>
      </c>
      <c r="K44" t="s">
        <v>59</v>
      </c>
      <c r="L44" t="str">
        <f>IFERROR(IF(COUNT(J44,J45)=2,J44/J45,""),"")</f>
        <v/>
      </c>
      <c r="M44" t="str">
        <f>IFERROR(IF(ISNUMBER(J45),1/J45,""),"")</f>
        <v/>
      </c>
      <c r="N44" t="s">
        <v>136</v>
      </c>
      <c r="O44" t="s">
        <v>101</v>
      </c>
      <c r="Q44" t="s">
        <v>163</v>
      </c>
      <c r="R44" t="s">
        <v>175</v>
      </c>
      <c r="S44" t="s">
        <v>191</v>
      </c>
    </row>
    <row r="45" spans="1:19" x14ac:dyDescent="0.35">
      <c r="A45" t="s">
        <v>12</v>
      </c>
      <c r="B45" t="s">
        <v>59</v>
      </c>
      <c r="C45" t="s">
        <v>78</v>
      </c>
      <c r="D45" t="s">
        <v>103</v>
      </c>
      <c r="E45">
        <v>3.5500000000000003</v>
      </c>
      <c r="F45">
        <v>400</v>
      </c>
      <c r="G45">
        <v>87.5</v>
      </c>
      <c r="H45">
        <f t="shared" si="2"/>
        <v>583.33333333333337</v>
      </c>
      <c r="I45">
        <v>0</v>
      </c>
      <c r="J45">
        <f t="shared" si="3"/>
        <v>0</v>
      </c>
      <c r="N45" t="s">
        <v>137</v>
      </c>
      <c r="O45" t="s">
        <v>156</v>
      </c>
      <c r="Q45" t="s">
        <v>164</v>
      </c>
      <c r="R45" t="s">
        <v>176</v>
      </c>
      <c r="S45" t="s">
        <v>192</v>
      </c>
    </row>
    <row r="46" spans="1:19" x14ac:dyDescent="0.35">
      <c r="A46" t="s">
        <v>12</v>
      </c>
      <c r="B46" t="s">
        <v>60</v>
      </c>
      <c r="C46" t="s">
        <v>79</v>
      </c>
      <c r="D46" t="s">
        <v>104</v>
      </c>
      <c r="F46">
        <v>56.35</v>
      </c>
      <c r="G46">
        <v>64.5</v>
      </c>
      <c r="H46">
        <f t="shared" si="2"/>
        <v>60.576250000000002</v>
      </c>
      <c r="I46">
        <v>0</v>
      </c>
      <c r="J46" t="str">
        <f t="shared" si="3"/>
        <v/>
      </c>
      <c r="N46" t="s">
        <v>138</v>
      </c>
      <c r="R46" t="s">
        <v>177</v>
      </c>
      <c r="S46" t="s">
        <v>193</v>
      </c>
    </row>
    <row r="47" spans="1:19" x14ac:dyDescent="0.35">
      <c r="A47" t="s">
        <v>12</v>
      </c>
      <c r="B47" t="s">
        <v>61</v>
      </c>
      <c r="C47" t="s">
        <v>80</v>
      </c>
      <c r="D47" t="s">
        <v>105</v>
      </c>
      <c r="E47">
        <v>0.93</v>
      </c>
      <c r="F47">
        <v>0.36291999999999996</v>
      </c>
      <c r="G47">
        <v>45.646999999999998</v>
      </c>
      <c r="H47">
        <f t="shared" si="2"/>
        <v>0.27610348733333334</v>
      </c>
      <c r="I47">
        <v>0</v>
      </c>
      <c r="J47">
        <f t="shared" si="3"/>
        <v>0</v>
      </c>
      <c r="N47" t="s">
        <v>139</v>
      </c>
      <c r="O47" t="s">
        <v>105</v>
      </c>
      <c r="Q47" t="s">
        <v>165</v>
      </c>
      <c r="R47" t="s">
        <v>178</v>
      </c>
      <c r="S47" t="s">
        <v>194</v>
      </c>
    </row>
    <row r="48" spans="1:19" x14ac:dyDescent="0.35">
      <c r="A48" t="s">
        <v>13</v>
      </c>
      <c r="B48" t="s">
        <v>62</v>
      </c>
      <c r="C48" t="s">
        <v>81</v>
      </c>
      <c r="H48" t="str">
        <f t="shared" si="2"/>
        <v/>
      </c>
      <c r="I48">
        <v>0</v>
      </c>
      <c r="J48" t="str">
        <f t="shared" si="3"/>
        <v/>
      </c>
      <c r="N48" t="s">
        <v>140</v>
      </c>
      <c r="S48" t="s">
        <v>195</v>
      </c>
    </row>
    <row r="49" spans="1:19" x14ac:dyDescent="0.35">
      <c r="A49" t="s">
        <v>13</v>
      </c>
      <c r="B49" t="s">
        <v>63</v>
      </c>
      <c r="C49" t="s">
        <v>82</v>
      </c>
      <c r="D49" t="s">
        <v>106</v>
      </c>
      <c r="E49">
        <v>0.06</v>
      </c>
      <c r="F49">
        <v>2.085</v>
      </c>
      <c r="G49">
        <v>83.5</v>
      </c>
      <c r="H49">
        <f t="shared" si="2"/>
        <v>2.9016250000000001</v>
      </c>
      <c r="I49">
        <v>0</v>
      </c>
      <c r="J49">
        <f t="shared" si="3"/>
        <v>0</v>
      </c>
      <c r="N49" t="s">
        <v>141</v>
      </c>
      <c r="O49" t="s">
        <v>106</v>
      </c>
      <c r="Q49" t="s">
        <v>163</v>
      </c>
      <c r="R49" t="s">
        <v>179</v>
      </c>
      <c r="S49" t="s">
        <v>196</v>
      </c>
    </row>
    <row r="50" spans="1:19" x14ac:dyDescent="0.35">
      <c r="A50" t="s">
        <v>14</v>
      </c>
      <c r="B50" t="s">
        <v>64</v>
      </c>
      <c r="C50" t="s">
        <v>83</v>
      </c>
      <c r="D50" t="s">
        <v>107</v>
      </c>
      <c r="E50">
        <v>0.5</v>
      </c>
      <c r="F50">
        <v>1.49</v>
      </c>
      <c r="G50">
        <v>72.400000000000006</v>
      </c>
      <c r="H50">
        <f t="shared" si="2"/>
        <v>1.7979333333333334</v>
      </c>
      <c r="I50">
        <v>0</v>
      </c>
      <c r="J50">
        <f t="shared" si="3"/>
        <v>0</v>
      </c>
      <c r="N50" t="s">
        <v>142</v>
      </c>
      <c r="O50" t="s">
        <v>107</v>
      </c>
      <c r="Q50" t="s">
        <v>166</v>
      </c>
      <c r="R50" t="s">
        <v>175</v>
      </c>
      <c r="S50" t="s">
        <v>197</v>
      </c>
    </row>
    <row r="51" spans="1:19" x14ac:dyDescent="0.35">
      <c r="A51" t="s">
        <v>14</v>
      </c>
      <c r="B51" t="s">
        <v>65</v>
      </c>
      <c r="C51" t="s">
        <v>84</v>
      </c>
      <c r="D51" t="s">
        <v>108</v>
      </c>
      <c r="E51">
        <v>0.09</v>
      </c>
      <c r="F51">
        <v>11</v>
      </c>
      <c r="G51">
        <v>76</v>
      </c>
      <c r="H51">
        <f t="shared" si="2"/>
        <v>13.933333333333334</v>
      </c>
      <c r="I51">
        <v>0</v>
      </c>
      <c r="J51">
        <f t="shared" si="3"/>
        <v>0</v>
      </c>
      <c r="N51" t="s">
        <v>143</v>
      </c>
      <c r="O51" t="s">
        <v>108</v>
      </c>
      <c r="Q51" t="s">
        <v>166</v>
      </c>
      <c r="R51" t="s">
        <v>175</v>
      </c>
      <c r="S51" t="s">
        <v>198</v>
      </c>
    </row>
    <row r="52" spans="1:19" x14ac:dyDescent="0.35">
      <c r="A52" t="s">
        <v>14</v>
      </c>
      <c r="B52" t="s">
        <v>66</v>
      </c>
      <c r="C52" t="s">
        <v>89</v>
      </c>
      <c r="D52" t="s">
        <v>114</v>
      </c>
      <c r="E52">
        <v>0.23</v>
      </c>
      <c r="F52">
        <v>61.6</v>
      </c>
      <c r="G52">
        <v>150</v>
      </c>
      <c r="H52">
        <f t="shared" si="2"/>
        <v>154</v>
      </c>
      <c r="I52">
        <v>0</v>
      </c>
      <c r="J52">
        <f t="shared" si="3"/>
        <v>0</v>
      </c>
      <c r="N52" t="s">
        <v>148</v>
      </c>
      <c r="O52" t="s">
        <v>114</v>
      </c>
      <c r="Q52" t="s">
        <v>168</v>
      </c>
      <c r="R52" t="s">
        <v>179</v>
      </c>
      <c r="S52" t="s">
        <v>203</v>
      </c>
    </row>
    <row r="53" spans="1:19" x14ac:dyDescent="0.35">
      <c r="A53" t="s">
        <v>15</v>
      </c>
      <c r="B53" t="s">
        <v>67</v>
      </c>
      <c r="C53" t="s">
        <v>85</v>
      </c>
      <c r="D53" t="s">
        <v>110</v>
      </c>
      <c r="E53">
        <v>0.31</v>
      </c>
      <c r="F53">
        <v>6.1</v>
      </c>
      <c r="G53">
        <v>34</v>
      </c>
      <c r="H53">
        <f t="shared" si="2"/>
        <v>3.4566666666666661</v>
      </c>
      <c r="I53">
        <v>0</v>
      </c>
      <c r="J53">
        <f t="shared" si="3"/>
        <v>0</v>
      </c>
      <c r="N53" t="s">
        <v>144</v>
      </c>
      <c r="O53" t="s">
        <v>109</v>
      </c>
      <c r="Q53" t="s">
        <v>167</v>
      </c>
      <c r="R53" t="s">
        <v>175</v>
      </c>
      <c r="S53" t="s">
        <v>199</v>
      </c>
    </row>
    <row r="54" spans="1:19" x14ac:dyDescent="0.35">
      <c r="A54" t="s">
        <v>15</v>
      </c>
      <c r="B54" t="s">
        <v>68</v>
      </c>
      <c r="C54" t="s">
        <v>86</v>
      </c>
      <c r="D54" t="s">
        <v>111</v>
      </c>
      <c r="F54">
        <v>161.6</v>
      </c>
      <c r="G54">
        <v>48.7</v>
      </c>
      <c r="H54">
        <f t="shared" si="2"/>
        <v>131.16533333333334</v>
      </c>
      <c r="I54">
        <v>0</v>
      </c>
      <c r="J54" t="str">
        <f t="shared" si="3"/>
        <v/>
      </c>
      <c r="N54" t="s">
        <v>145</v>
      </c>
      <c r="R54" t="s">
        <v>177</v>
      </c>
      <c r="S54" t="s">
        <v>200</v>
      </c>
    </row>
    <row r="55" spans="1:19" x14ac:dyDescent="0.35">
      <c r="A55" t="s">
        <v>15</v>
      </c>
      <c r="B55" t="s">
        <v>69</v>
      </c>
      <c r="C55" t="s">
        <v>87</v>
      </c>
      <c r="D55" t="s">
        <v>112</v>
      </c>
      <c r="F55">
        <v>2.6000000000000002E-2</v>
      </c>
      <c r="G55">
        <v>52</v>
      </c>
      <c r="H55">
        <f t="shared" si="2"/>
        <v>2.2533333333333336E-2</v>
      </c>
      <c r="I55">
        <v>0</v>
      </c>
      <c r="J55" t="str">
        <f t="shared" si="3"/>
        <v/>
      </c>
      <c r="N55" t="s">
        <v>146</v>
      </c>
      <c r="R55" t="s">
        <v>180</v>
      </c>
      <c r="S55" t="s">
        <v>201</v>
      </c>
    </row>
    <row r="56" spans="1:19" x14ac:dyDescent="0.35">
      <c r="A56" t="s">
        <v>16</v>
      </c>
      <c r="B56" t="s">
        <v>52</v>
      </c>
      <c r="C56" t="s">
        <v>71</v>
      </c>
      <c r="D56" t="s">
        <v>98</v>
      </c>
      <c r="E56">
        <v>1.2E-2</v>
      </c>
      <c r="F56">
        <v>0.22800000000000001</v>
      </c>
      <c r="G56">
        <v>76.5</v>
      </c>
      <c r="H56">
        <f t="shared" si="2"/>
        <v>0.29070000000000001</v>
      </c>
      <c r="I56">
        <v>0</v>
      </c>
      <c r="J56">
        <f t="shared" si="3"/>
        <v>0</v>
      </c>
      <c r="N56" t="s">
        <v>130</v>
      </c>
      <c r="O56" t="s">
        <v>98</v>
      </c>
      <c r="Q56" t="s">
        <v>159</v>
      </c>
      <c r="R56" t="s">
        <v>171</v>
      </c>
      <c r="S56" t="s">
        <v>185</v>
      </c>
    </row>
    <row r="57" spans="1:19" x14ac:dyDescent="0.35">
      <c r="A57" t="s">
        <v>16</v>
      </c>
      <c r="B57" t="s">
        <v>53</v>
      </c>
      <c r="C57" t="s">
        <v>72</v>
      </c>
      <c r="D57" t="s">
        <v>99</v>
      </c>
      <c r="H57" t="str">
        <f t="shared" si="2"/>
        <v/>
      </c>
      <c r="I57">
        <v>0</v>
      </c>
      <c r="J57" t="str">
        <f t="shared" si="3"/>
        <v/>
      </c>
      <c r="N57" t="s">
        <v>131</v>
      </c>
      <c r="S57" t="s">
        <v>186</v>
      </c>
    </row>
    <row r="58" spans="1:19" x14ac:dyDescent="0.35">
      <c r="A58" t="s">
        <v>16</v>
      </c>
      <c r="B58" t="s">
        <v>54</v>
      </c>
      <c r="C58" t="s">
        <v>73</v>
      </c>
      <c r="D58" t="s">
        <v>100</v>
      </c>
      <c r="E58">
        <v>3.05</v>
      </c>
      <c r="F58">
        <v>2.2000000000000002</v>
      </c>
      <c r="G58">
        <v>35</v>
      </c>
      <c r="H58">
        <f t="shared" si="2"/>
        <v>1.2833333333333334</v>
      </c>
      <c r="I58">
        <v>0</v>
      </c>
      <c r="J58">
        <f t="shared" si="3"/>
        <v>0</v>
      </c>
      <c r="N58" t="s">
        <v>132</v>
      </c>
      <c r="O58" t="s">
        <v>100</v>
      </c>
      <c r="Q58" t="s">
        <v>160</v>
      </c>
      <c r="R58" t="s">
        <v>172</v>
      </c>
      <c r="S58" t="s">
        <v>187</v>
      </c>
    </row>
    <row r="59" spans="1:19" x14ac:dyDescent="0.35">
      <c r="A59" t="s">
        <v>17</v>
      </c>
      <c r="B59" t="s">
        <v>55</v>
      </c>
      <c r="C59" t="s">
        <v>74</v>
      </c>
      <c r="D59" t="s">
        <v>101</v>
      </c>
      <c r="E59">
        <v>71.75</v>
      </c>
      <c r="F59">
        <v>110.05</v>
      </c>
      <c r="G59">
        <v>64.2</v>
      </c>
      <c r="H59">
        <f t="shared" si="2"/>
        <v>117.7535</v>
      </c>
      <c r="I59">
        <v>0</v>
      </c>
      <c r="J59">
        <f t="shared" si="3"/>
        <v>0</v>
      </c>
      <c r="K59" t="s">
        <v>56</v>
      </c>
      <c r="L59" t="str">
        <f>IFERROR(IF(COUNT(J59,J60)=2,J59/J60,""),"")</f>
        <v/>
      </c>
      <c r="M59" t="str">
        <f>IFERROR(IF(ISNUMBER(J60),1/J60,""),"")</f>
        <v/>
      </c>
      <c r="N59" t="s">
        <v>133</v>
      </c>
      <c r="O59" t="s">
        <v>101</v>
      </c>
      <c r="Q59" t="s">
        <v>161</v>
      </c>
      <c r="R59" t="s">
        <v>173</v>
      </c>
      <c r="S59" t="s">
        <v>188</v>
      </c>
    </row>
    <row r="60" spans="1:19" x14ac:dyDescent="0.35">
      <c r="A60" t="s">
        <v>17</v>
      </c>
      <c r="B60" t="s">
        <v>56</v>
      </c>
      <c r="C60" t="s">
        <v>75</v>
      </c>
      <c r="D60" t="s">
        <v>101</v>
      </c>
      <c r="F60">
        <v>110.05</v>
      </c>
      <c r="G60">
        <v>64.2</v>
      </c>
      <c r="H60">
        <f t="shared" si="2"/>
        <v>117.7535</v>
      </c>
      <c r="I60">
        <v>0</v>
      </c>
      <c r="J60" t="str">
        <f t="shared" si="3"/>
        <v/>
      </c>
      <c r="N60" t="s">
        <v>134</v>
      </c>
      <c r="R60" t="s">
        <v>174</v>
      </c>
      <c r="S60" t="s">
        <v>189</v>
      </c>
    </row>
    <row r="61" spans="1:19" x14ac:dyDescent="0.35">
      <c r="A61" t="s">
        <v>17</v>
      </c>
      <c r="B61" t="s">
        <v>57</v>
      </c>
      <c r="C61" t="s">
        <v>76</v>
      </c>
      <c r="D61" t="s">
        <v>102</v>
      </c>
      <c r="E61">
        <v>0.214</v>
      </c>
      <c r="F61">
        <v>1.7470000000000001</v>
      </c>
      <c r="G61">
        <v>35</v>
      </c>
      <c r="H61">
        <f t="shared" si="2"/>
        <v>1.0190833333333333</v>
      </c>
      <c r="I61">
        <v>0</v>
      </c>
      <c r="J61">
        <f t="shared" si="3"/>
        <v>0</v>
      </c>
      <c r="N61" t="s">
        <v>135</v>
      </c>
      <c r="O61" t="s">
        <v>102</v>
      </c>
      <c r="Q61" t="s">
        <v>162</v>
      </c>
      <c r="R61" t="s">
        <v>175</v>
      </c>
      <c r="S61" t="s">
        <v>190</v>
      </c>
    </row>
    <row r="62" spans="1:19" x14ac:dyDescent="0.35">
      <c r="A62" t="s">
        <v>17</v>
      </c>
      <c r="B62" t="s">
        <v>58</v>
      </c>
      <c r="C62" t="s">
        <v>77</v>
      </c>
      <c r="D62" t="s">
        <v>101</v>
      </c>
      <c r="E62">
        <v>2.06</v>
      </c>
      <c r="F62">
        <v>110.05</v>
      </c>
      <c r="G62">
        <v>64.2</v>
      </c>
      <c r="H62">
        <f t="shared" si="2"/>
        <v>117.7535</v>
      </c>
      <c r="I62">
        <v>0</v>
      </c>
      <c r="J62">
        <f t="shared" si="3"/>
        <v>0</v>
      </c>
      <c r="K62" t="s">
        <v>59</v>
      </c>
      <c r="L62" t="str">
        <f>IFERROR(IF(COUNT(J62,J63)=2,J62/J63,""),"")</f>
        <v/>
      </c>
      <c r="M62" t="str">
        <f>IFERROR(IF(ISNUMBER(J63),1/J63,""),"")</f>
        <v/>
      </c>
      <c r="N62" t="s">
        <v>136</v>
      </c>
      <c r="O62" t="s">
        <v>101</v>
      </c>
      <c r="Q62" t="s">
        <v>163</v>
      </c>
      <c r="R62" t="s">
        <v>175</v>
      </c>
      <c r="S62" t="s">
        <v>191</v>
      </c>
    </row>
    <row r="63" spans="1:19" x14ac:dyDescent="0.35">
      <c r="A63" t="s">
        <v>17</v>
      </c>
      <c r="B63" t="s">
        <v>59</v>
      </c>
      <c r="C63" t="s">
        <v>78</v>
      </c>
      <c r="D63" t="s">
        <v>103</v>
      </c>
      <c r="E63">
        <v>3.5500000000000003</v>
      </c>
      <c r="F63">
        <v>400</v>
      </c>
      <c r="G63">
        <v>87.5</v>
      </c>
      <c r="H63">
        <f t="shared" si="2"/>
        <v>583.33333333333337</v>
      </c>
      <c r="I63">
        <v>0</v>
      </c>
      <c r="J63">
        <f t="shared" si="3"/>
        <v>0</v>
      </c>
      <c r="N63" t="s">
        <v>137</v>
      </c>
      <c r="O63" t="s">
        <v>156</v>
      </c>
      <c r="Q63" t="s">
        <v>164</v>
      </c>
      <c r="R63" t="s">
        <v>176</v>
      </c>
      <c r="S63" t="s">
        <v>192</v>
      </c>
    </row>
    <row r="64" spans="1:19" x14ac:dyDescent="0.35">
      <c r="A64" t="s">
        <v>17</v>
      </c>
      <c r="B64" t="s">
        <v>60</v>
      </c>
      <c r="C64" t="s">
        <v>79</v>
      </c>
      <c r="D64" t="s">
        <v>104</v>
      </c>
      <c r="F64">
        <v>56.35</v>
      </c>
      <c r="G64">
        <v>64.5</v>
      </c>
      <c r="H64">
        <f t="shared" si="2"/>
        <v>60.576250000000002</v>
      </c>
      <c r="I64">
        <v>0</v>
      </c>
      <c r="J64" t="str">
        <f t="shared" si="3"/>
        <v/>
      </c>
      <c r="N64" t="s">
        <v>138</v>
      </c>
      <c r="R64" t="s">
        <v>177</v>
      </c>
      <c r="S64" t="s">
        <v>193</v>
      </c>
    </row>
    <row r="65" spans="1:19" x14ac:dyDescent="0.35">
      <c r="A65" t="s">
        <v>17</v>
      </c>
      <c r="B65" t="s">
        <v>61</v>
      </c>
      <c r="C65" t="s">
        <v>80</v>
      </c>
      <c r="D65" t="s">
        <v>105</v>
      </c>
      <c r="E65">
        <v>0.93</v>
      </c>
      <c r="F65">
        <v>0.36291999999999996</v>
      </c>
      <c r="G65">
        <v>45.646999999999998</v>
      </c>
      <c r="H65">
        <f t="shared" si="2"/>
        <v>0.27610348733333334</v>
      </c>
      <c r="I65">
        <v>0</v>
      </c>
      <c r="J65">
        <f t="shared" si="3"/>
        <v>0</v>
      </c>
      <c r="N65" t="s">
        <v>139</v>
      </c>
      <c r="O65" t="s">
        <v>105</v>
      </c>
      <c r="Q65" t="s">
        <v>165</v>
      </c>
      <c r="R65" t="s">
        <v>178</v>
      </c>
      <c r="S65" t="s">
        <v>194</v>
      </c>
    </row>
    <row r="66" spans="1:19" x14ac:dyDescent="0.35">
      <c r="A66" t="s">
        <v>18</v>
      </c>
      <c r="B66" t="s">
        <v>62</v>
      </c>
      <c r="C66" t="s">
        <v>81</v>
      </c>
      <c r="H66" t="str">
        <f t="shared" ref="H66:H97" si="4">IF(AND(ISNUMBER(F66),ISNUMBER(G66)),F66*G66/60,"")</f>
        <v/>
      </c>
      <c r="I66">
        <v>0</v>
      </c>
      <c r="J66" t="str">
        <f t="shared" ref="J66:J97" si="5">IF(AND(ISNUMBER(H66),ISNUMBER(I66),ISNUMBER(E66)),IF(E66&gt;0,H66*I66/E66,""),"")</f>
        <v/>
      </c>
      <c r="N66" t="s">
        <v>140</v>
      </c>
      <c r="S66" t="s">
        <v>195</v>
      </c>
    </row>
    <row r="67" spans="1:19" x14ac:dyDescent="0.35">
      <c r="A67" t="s">
        <v>18</v>
      </c>
      <c r="B67" t="s">
        <v>63</v>
      </c>
      <c r="C67" t="s">
        <v>82</v>
      </c>
      <c r="D67" t="s">
        <v>106</v>
      </c>
      <c r="E67">
        <v>0.06</v>
      </c>
      <c r="F67">
        <v>2.085</v>
      </c>
      <c r="G67">
        <v>83.5</v>
      </c>
      <c r="H67">
        <f t="shared" si="4"/>
        <v>2.9016250000000001</v>
      </c>
      <c r="I67">
        <v>0</v>
      </c>
      <c r="J67">
        <f t="shared" si="5"/>
        <v>0</v>
      </c>
      <c r="N67" t="s">
        <v>141</v>
      </c>
      <c r="O67" t="s">
        <v>106</v>
      </c>
      <c r="Q67" t="s">
        <v>163</v>
      </c>
      <c r="R67" t="s">
        <v>179</v>
      </c>
      <c r="S67" t="s">
        <v>196</v>
      </c>
    </row>
    <row r="68" spans="1:19" x14ac:dyDescent="0.35">
      <c r="A68" t="s">
        <v>19</v>
      </c>
      <c r="B68" t="s">
        <v>64</v>
      </c>
      <c r="C68" t="s">
        <v>83</v>
      </c>
      <c r="D68" t="s">
        <v>107</v>
      </c>
      <c r="E68">
        <v>0.5</v>
      </c>
      <c r="F68">
        <v>1.49</v>
      </c>
      <c r="G68">
        <v>72.400000000000006</v>
      </c>
      <c r="H68">
        <f t="shared" si="4"/>
        <v>1.7979333333333334</v>
      </c>
      <c r="I68">
        <v>0</v>
      </c>
      <c r="J68">
        <f t="shared" si="5"/>
        <v>0</v>
      </c>
      <c r="N68" t="s">
        <v>142</v>
      </c>
      <c r="O68" t="s">
        <v>107</v>
      </c>
      <c r="Q68" t="s">
        <v>166</v>
      </c>
      <c r="R68" t="s">
        <v>175</v>
      </c>
      <c r="S68" t="s">
        <v>197</v>
      </c>
    </row>
    <row r="69" spans="1:19" x14ac:dyDescent="0.35">
      <c r="A69" t="s">
        <v>19</v>
      </c>
      <c r="B69" t="s">
        <v>65</v>
      </c>
      <c r="C69" t="s">
        <v>84</v>
      </c>
      <c r="D69" t="s">
        <v>108</v>
      </c>
      <c r="E69">
        <v>0.09</v>
      </c>
      <c r="F69">
        <v>11</v>
      </c>
      <c r="G69">
        <v>76</v>
      </c>
      <c r="H69">
        <f t="shared" si="4"/>
        <v>13.933333333333334</v>
      </c>
      <c r="I69">
        <v>0</v>
      </c>
      <c r="J69">
        <f t="shared" si="5"/>
        <v>0</v>
      </c>
      <c r="N69" t="s">
        <v>143</v>
      </c>
      <c r="O69" t="s">
        <v>108</v>
      </c>
      <c r="Q69" t="s">
        <v>166</v>
      </c>
      <c r="R69" t="s">
        <v>175</v>
      </c>
      <c r="S69" t="s">
        <v>198</v>
      </c>
    </row>
    <row r="70" spans="1:19" x14ac:dyDescent="0.35">
      <c r="A70" t="s">
        <v>19</v>
      </c>
      <c r="B70" t="s">
        <v>66</v>
      </c>
      <c r="C70" t="s">
        <v>90</v>
      </c>
      <c r="H70" t="str">
        <f t="shared" si="4"/>
        <v/>
      </c>
      <c r="I70">
        <v>0</v>
      </c>
      <c r="J70" t="str">
        <f t="shared" si="5"/>
        <v/>
      </c>
      <c r="N70" t="s">
        <v>149</v>
      </c>
      <c r="S70" t="s">
        <v>195</v>
      </c>
    </row>
    <row r="71" spans="1:19" x14ac:dyDescent="0.35">
      <c r="A71" t="s">
        <v>20</v>
      </c>
      <c r="B71" t="s">
        <v>67</v>
      </c>
      <c r="C71" t="s">
        <v>85</v>
      </c>
      <c r="D71" t="s">
        <v>110</v>
      </c>
      <c r="E71">
        <v>0.31</v>
      </c>
      <c r="F71">
        <v>6.1</v>
      </c>
      <c r="G71">
        <v>34</v>
      </c>
      <c r="H71">
        <f t="shared" si="4"/>
        <v>3.4566666666666661</v>
      </c>
      <c r="I71">
        <v>0</v>
      </c>
      <c r="J71">
        <f t="shared" si="5"/>
        <v>0</v>
      </c>
      <c r="N71" t="s">
        <v>144</v>
      </c>
      <c r="O71" t="s">
        <v>109</v>
      </c>
      <c r="Q71" t="s">
        <v>167</v>
      </c>
      <c r="R71" t="s">
        <v>175</v>
      </c>
      <c r="S71" t="s">
        <v>199</v>
      </c>
    </row>
    <row r="72" spans="1:19" x14ac:dyDescent="0.35">
      <c r="A72" t="s">
        <v>20</v>
      </c>
      <c r="B72" t="s">
        <v>68</v>
      </c>
      <c r="C72" t="s">
        <v>86</v>
      </c>
      <c r="D72" t="s">
        <v>111</v>
      </c>
      <c r="F72">
        <v>161.6</v>
      </c>
      <c r="G72">
        <v>48.7</v>
      </c>
      <c r="H72">
        <f t="shared" si="4"/>
        <v>131.16533333333334</v>
      </c>
      <c r="I72">
        <v>0</v>
      </c>
      <c r="J72" t="str">
        <f t="shared" si="5"/>
        <v/>
      </c>
      <c r="N72" t="s">
        <v>145</v>
      </c>
      <c r="R72" t="s">
        <v>177</v>
      </c>
      <c r="S72" t="s">
        <v>200</v>
      </c>
    </row>
    <row r="73" spans="1:19" x14ac:dyDescent="0.35">
      <c r="A73" t="s">
        <v>20</v>
      </c>
      <c r="B73" t="s">
        <v>69</v>
      </c>
      <c r="C73" t="s">
        <v>87</v>
      </c>
      <c r="D73" t="s">
        <v>112</v>
      </c>
      <c r="F73">
        <v>2.6000000000000002E-2</v>
      </c>
      <c r="G73">
        <v>52</v>
      </c>
      <c r="H73">
        <f t="shared" si="4"/>
        <v>2.2533333333333336E-2</v>
      </c>
      <c r="I73">
        <v>0</v>
      </c>
      <c r="J73" t="str">
        <f t="shared" si="5"/>
        <v/>
      </c>
      <c r="N73" t="s">
        <v>146</v>
      </c>
      <c r="R73" t="s">
        <v>180</v>
      </c>
      <c r="S73" t="s">
        <v>201</v>
      </c>
    </row>
    <row r="74" spans="1:19" x14ac:dyDescent="0.35">
      <c r="A74" t="s">
        <v>21</v>
      </c>
      <c r="B74" t="s">
        <v>52</v>
      </c>
      <c r="C74" t="s">
        <v>71</v>
      </c>
      <c r="D74" t="s">
        <v>98</v>
      </c>
      <c r="E74">
        <v>1.2E-2</v>
      </c>
      <c r="F74">
        <v>0.22800000000000001</v>
      </c>
      <c r="G74">
        <v>76.5</v>
      </c>
      <c r="H74">
        <f t="shared" si="4"/>
        <v>0.29070000000000001</v>
      </c>
      <c r="I74">
        <v>0</v>
      </c>
      <c r="J74">
        <f t="shared" si="5"/>
        <v>0</v>
      </c>
      <c r="N74" t="s">
        <v>130</v>
      </c>
      <c r="O74" t="s">
        <v>98</v>
      </c>
      <c r="Q74" t="s">
        <v>159</v>
      </c>
      <c r="R74" t="s">
        <v>171</v>
      </c>
      <c r="S74" t="s">
        <v>185</v>
      </c>
    </row>
    <row r="75" spans="1:19" x14ac:dyDescent="0.35">
      <c r="A75" t="s">
        <v>21</v>
      </c>
      <c r="B75" t="s">
        <v>53</v>
      </c>
      <c r="C75" t="s">
        <v>72</v>
      </c>
      <c r="D75" t="s">
        <v>99</v>
      </c>
      <c r="H75" t="str">
        <f t="shared" si="4"/>
        <v/>
      </c>
      <c r="I75">
        <v>0</v>
      </c>
      <c r="J75" t="str">
        <f t="shared" si="5"/>
        <v/>
      </c>
      <c r="N75" t="s">
        <v>131</v>
      </c>
      <c r="S75" t="s">
        <v>186</v>
      </c>
    </row>
    <row r="76" spans="1:19" x14ac:dyDescent="0.35">
      <c r="A76" t="s">
        <v>21</v>
      </c>
      <c r="B76" t="s">
        <v>54</v>
      </c>
      <c r="C76" t="s">
        <v>73</v>
      </c>
      <c r="D76" t="s">
        <v>100</v>
      </c>
      <c r="E76">
        <v>3.05</v>
      </c>
      <c r="F76">
        <v>2.2000000000000002</v>
      </c>
      <c r="G76">
        <v>35</v>
      </c>
      <c r="H76">
        <f t="shared" si="4"/>
        <v>1.2833333333333334</v>
      </c>
      <c r="I76">
        <v>0</v>
      </c>
      <c r="J76">
        <f t="shared" si="5"/>
        <v>0</v>
      </c>
      <c r="N76" t="s">
        <v>132</v>
      </c>
      <c r="O76" t="s">
        <v>100</v>
      </c>
      <c r="Q76" t="s">
        <v>160</v>
      </c>
      <c r="R76" t="s">
        <v>172</v>
      </c>
      <c r="S76" t="s">
        <v>187</v>
      </c>
    </row>
    <row r="77" spans="1:19" x14ac:dyDescent="0.35">
      <c r="A77" t="s">
        <v>22</v>
      </c>
      <c r="B77" t="s">
        <v>55</v>
      </c>
      <c r="C77" t="s">
        <v>74</v>
      </c>
      <c r="D77" t="s">
        <v>101</v>
      </c>
      <c r="E77">
        <v>71.75</v>
      </c>
      <c r="F77">
        <v>110.05</v>
      </c>
      <c r="G77">
        <v>64.2</v>
      </c>
      <c r="H77">
        <f t="shared" si="4"/>
        <v>117.7535</v>
      </c>
      <c r="I77">
        <v>0</v>
      </c>
      <c r="J77">
        <f t="shared" si="5"/>
        <v>0</v>
      </c>
      <c r="K77" t="s">
        <v>56</v>
      </c>
      <c r="L77" t="str">
        <f>IFERROR(IF(COUNT(J77,J78)=2,J77/J78,""),"")</f>
        <v/>
      </c>
      <c r="M77" t="str">
        <f>IFERROR(IF(ISNUMBER(J78),1/J78,""),"")</f>
        <v/>
      </c>
      <c r="N77" t="s">
        <v>133</v>
      </c>
      <c r="O77" t="s">
        <v>101</v>
      </c>
      <c r="Q77" t="s">
        <v>161</v>
      </c>
      <c r="R77" t="s">
        <v>173</v>
      </c>
      <c r="S77" t="s">
        <v>188</v>
      </c>
    </row>
    <row r="78" spans="1:19" x14ac:dyDescent="0.35">
      <c r="A78" t="s">
        <v>22</v>
      </c>
      <c r="B78" t="s">
        <v>56</v>
      </c>
      <c r="C78" t="s">
        <v>75</v>
      </c>
      <c r="D78" t="s">
        <v>101</v>
      </c>
      <c r="F78">
        <v>110.05</v>
      </c>
      <c r="G78">
        <v>64.2</v>
      </c>
      <c r="H78">
        <f t="shared" si="4"/>
        <v>117.7535</v>
      </c>
      <c r="I78">
        <v>0</v>
      </c>
      <c r="J78" t="str">
        <f t="shared" si="5"/>
        <v/>
      </c>
      <c r="N78" t="s">
        <v>134</v>
      </c>
      <c r="R78" t="s">
        <v>174</v>
      </c>
      <c r="S78" t="s">
        <v>189</v>
      </c>
    </row>
    <row r="79" spans="1:19" x14ac:dyDescent="0.35">
      <c r="A79" t="s">
        <v>22</v>
      </c>
      <c r="B79" t="s">
        <v>57</v>
      </c>
      <c r="C79" t="s">
        <v>76</v>
      </c>
      <c r="D79" t="s">
        <v>102</v>
      </c>
      <c r="E79">
        <v>0.214</v>
      </c>
      <c r="F79">
        <v>1.7470000000000001</v>
      </c>
      <c r="G79">
        <v>35</v>
      </c>
      <c r="H79">
        <f t="shared" si="4"/>
        <v>1.0190833333333333</v>
      </c>
      <c r="I79">
        <v>0</v>
      </c>
      <c r="J79">
        <f t="shared" si="5"/>
        <v>0</v>
      </c>
      <c r="N79" t="s">
        <v>135</v>
      </c>
      <c r="O79" t="s">
        <v>102</v>
      </c>
      <c r="Q79" t="s">
        <v>162</v>
      </c>
      <c r="R79" t="s">
        <v>175</v>
      </c>
      <c r="S79" t="s">
        <v>190</v>
      </c>
    </row>
    <row r="80" spans="1:19" x14ac:dyDescent="0.35">
      <c r="A80" t="s">
        <v>22</v>
      </c>
      <c r="B80" t="s">
        <v>58</v>
      </c>
      <c r="C80" t="s">
        <v>77</v>
      </c>
      <c r="D80" t="s">
        <v>101</v>
      </c>
      <c r="E80">
        <v>2.06</v>
      </c>
      <c r="F80">
        <v>110.05</v>
      </c>
      <c r="G80">
        <v>64.2</v>
      </c>
      <c r="H80">
        <f t="shared" si="4"/>
        <v>117.7535</v>
      </c>
      <c r="I80">
        <v>0</v>
      </c>
      <c r="J80">
        <f t="shared" si="5"/>
        <v>0</v>
      </c>
      <c r="K80" t="s">
        <v>59</v>
      </c>
      <c r="L80" t="str">
        <f>IFERROR(IF(COUNT(J80,J81)=2,J80/J81,""),"")</f>
        <v/>
      </c>
      <c r="M80" t="str">
        <f>IFERROR(IF(ISNUMBER(J81),1/J81,""),"")</f>
        <v/>
      </c>
      <c r="N80" t="s">
        <v>136</v>
      </c>
      <c r="O80" t="s">
        <v>101</v>
      </c>
      <c r="Q80" t="s">
        <v>163</v>
      </c>
      <c r="R80" t="s">
        <v>175</v>
      </c>
      <c r="S80" t="s">
        <v>191</v>
      </c>
    </row>
    <row r="81" spans="1:19" x14ac:dyDescent="0.35">
      <c r="A81" t="s">
        <v>22</v>
      </c>
      <c r="B81" t="s">
        <v>59</v>
      </c>
      <c r="C81" t="s">
        <v>78</v>
      </c>
      <c r="D81" t="s">
        <v>103</v>
      </c>
      <c r="E81">
        <v>3.5500000000000003</v>
      </c>
      <c r="F81">
        <v>400</v>
      </c>
      <c r="G81">
        <v>87.5</v>
      </c>
      <c r="H81">
        <f t="shared" si="4"/>
        <v>583.33333333333337</v>
      </c>
      <c r="I81">
        <v>0</v>
      </c>
      <c r="J81">
        <f t="shared" si="5"/>
        <v>0</v>
      </c>
      <c r="N81" t="s">
        <v>137</v>
      </c>
      <c r="O81" t="s">
        <v>156</v>
      </c>
      <c r="Q81" t="s">
        <v>164</v>
      </c>
      <c r="R81" t="s">
        <v>176</v>
      </c>
      <c r="S81" t="s">
        <v>192</v>
      </c>
    </row>
    <row r="82" spans="1:19" x14ac:dyDescent="0.35">
      <c r="A82" t="s">
        <v>22</v>
      </c>
      <c r="B82" t="s">
        <v>60</v>
      </c>
      <c r="C82" t="s">
        <v>79</v>
      </c>
      <c r="D82" t="s">
        <v>104</v>
      </c>
      <c r="F82">
        <v>56.35</v>
      </c>
      <c r="G82">
        <v>64.5</v>
      </c>
      <c r="H82">
        <f t="shared" si="4"/>
        <v>60.576250000000002</v>
      </c>
      <c r="I82">
        <v>0</v>
      </c>
      <c r="J82" t="str">
        <f t="shared" si="5"/>
        <v/>
      </c>
      <c r="N82" t="s">
        <v>138</v>
      </c>
      <c r="R82" t="s">
        <v>177</v>
      </c>
      <c r="S82" t="s">
        <v>193</v>
      </c>
    </row>
    <row r="83" spans="1:19" x14ac:dyDescent="0.35">
      <c r="A83" t="s">
        <v>22</v>
      </c>
      <c r="B83" t="s">
        <v>61</v>
      </c>
      <c r="C83" t="s">
        <v>80</v>
      </c>
      <c r="D83" t="s">
        <v>105</v>
      </c>
      <c r="E83">
        <v>0.93</v>
      </c>
      <c r="F83">
        <v>0.36291999999999996</v>
      </c>
      <c r="G83">
        <v>45.646999999999998</v>
      </c>
      <c r="H83">
        <f t="shared" si="4"/>
        <v>0.27610348733333334</v>
      </c>
      <c r="I83">
        <v>0</v>
      </c>
      <c r="J83">
        <f t="shared" si="5"/>
        <v>0</v>
      </c>
      <c r="N83" t="s">
        <v>139</v>
      </c>
      <c r="O83" t="s">
        <v>105</v>
      </c>
      <c r="Q83" t="s">
        <v>165</v>
      </c>
      <c r="R83" t="s">
        <v>178</v>
      </c>
      <c r="S83" t="s">
        <v>194</v>
      </c>
    </row>
    <row r="84" spans="1:19" x14ac:dyDescent="0.35">
      <c r="A84" t="s">
        <v>23</v>
      </c>
      <c r="B84" t="s">
        <v>62</v>
      </c>
      <c r="C84" t="s">
        <v>81</v>
      </c>
      <c r="H84" t="str">
        <f t="shared" si="4"/>
        <v/>
      </c>
      <c r="I84">
        <v>0</v>
      </c>
      <c r="J84" t="str">
        <f t="shared" si="5"/>
        <v/>
      </c>
      <c r="N84" t="s">
        <v>140</v>
      </c>
      <c r="S84" t="s">
        <v>195</v>
      </c>
    </row>
    <row r="85" spans="1:19" x14ac:dyDescent="0.35">
      <c r="A85" t="s">
        <v>23</v>
      </c>
      <c r="B85" t="s">
        <v>63</v>
      </c>
      <c r="C85" t="s">
        <v>82</v>
      </c>
      <c r="D85" t="s">
        <v>106</v>
      </c>
      <c r="E85">
        <v>0.06</v>
      </c>
      <c r="F85">
        <v>2.085</v>
      </c>
      <c r="G85">
        <v>83.5</v>
      </c>
      <c r="H85">
        <f t="shared" si="4"/>
        <v>2.9016250000000001</v>
      </c>
      <c r="I85">
        <v>0</v>
      </c>
      <c r="J85">
        <f t="shared" si="5"/>
        <v>0</v>
      </c>
      <c r="N85" t="s">
        <v>141</v>
      </c>
      <c r="O85" t="s">
        <v>106</v>
      </c>
      <c r="Q85" t="s">
        <v>163</v>
      </c>
      <c r="R85" t="s">
        <v>179</v>
      </c>
      <c r="S85" t="s">
        <v>196</v>
      </c>
    </row>
    <row r="86" spans="1:19" x14ac:dyDescent="0.35">
      <c r="A86" t="s">
        <v>24</v>
      </c>
      <c r="B86" t="s">
        <v>64</v>
      </c>
      <c r="C86" t="s">
        <v>83</v>
      </c>
      <c r="D86" t="s">
        <v>107</v>
      </c>
      <c r="E86">
        <v>0.5</v>
      </c>
      <c r="F86">
        <v>1.49</v>
      </c>
      <c r="G86">
        <v>72.400000000000006</v>
      </c>
      <c r="H86">
        <f t="shared" si="4"/>
        <v>1.7979333333333334</v>
      </c>
      <c r="I86">
        <v>0</v>
      </c>
      <c r="J86">
        <f t="shared" si="5"/>
        <v>0</v>
      </c>
      <c r="N86" t="s">
        <v>142</v>
      </c>
      <c r="O86" t="s">
        <v>107</v>
      </c>
      <c r="Q86" t="s">
        <v>166</v>
      </c>
      <c r="R86" t="s">
        <v>175</v>
      </c>
      <c r="S86" t="s">
        <v>197</v>
      </c>
    </row>
    <row r="87" spans="1:19" x14ac:dyDescent="0.35">
      <c r="A87" t="s">
        <v>24</v>
      </c>
      <c r="B87" t="s">
        <v>65</v>
      </c>
      <c r="C87" t="s">
        <v>84</v>
      </c>
      <c r="D87" t="s">
        <v>108</v>
      </c>
      <c r="E87">
        <v>0.09</v>
      </c>
      <c r="F87">
        <v>11</v>
      </c>
      <c r="G87">
        <v>76</v>
      </c>
      <c r="H87">
        <f t="shared" si="4"/>
        <v>13.933333333333334</v>
      </c>
      <c r="I87">
        <v>0</v>
      </c>
      <c r="J87">
        <f t="shared" si="5"/>
        <v>0</v>
      </c>
      <c r="N87" t="s">
        <v>143</v>
      </c>
      <c r="O87" t="s">
        <v>108</v>
      </c>
      <c r="Q87" t="s">
        <v>166</v>
      </c>
      <c r="R87" t="s">
        <v>175</v>
      </c>
      <c r="S87" t="s">
        <v>198</v>
      </c>
    </row>
    <row r="88" spans="1:19" x14ac:dyDescent="0.35">
      <c r="A88" t="s">
        <v>24</v>
      </c>
      <c r="B88" t="s">
        <v>66</v>
      </c>
      <c r="C88" t="s">
        <v>91</v>
      </c>
      <c r="D88" t="s">
        <v>115</v>
      </c>
      <c r="F88">
        <v>350</v>
      </c>
      <c r="G88">
        <v>21</v>
      </c>
      <c r="H88">
        <f t="shared" si="4"/>
        <v>122.5</v>
      </c>
      <c r="I88">
        <v>0</v>
      </c>
      <c r="J88" t="str">
        <f t="shared" si="5"/>
        <v/>
      </c>
      <c r="N88" t="s">
        <v>150</v>
      </c>
      <c r="R88" t="s">
        <v>181</v>
      </c>
      <c r="S88" t="s">
        <v>204</v>
      </c>
    </row>
    <row r="89" spans="1:19" x14ac:dyDescent="0.35">
      <c r="A89" t="s">
        <v>25</v>
      </c>
      <c r="B89" t="s">
        <v>67</v>
      </c>
      <c r="C89" t="s">
        <v>85</v>
      </c>
      <c r="D89" t="s">
        <v>110</v>
      </c>
      <c r="E89">
        <v>0.31</v>
      </c>
      <c r="F89">
        <v>6.1</v>
      </c>
      <c r="G89">
        <v>34</v>
      </c>
      <c r="H89">
        <f t="shared" si="4"/>
        <v>3.4566666666666661</v>
      </c>
      <c r="I89">
        <v>0</v>
      </c>
      <c r="J89">
        <f t="shared" si="5"/>
        <v>0</v>
      </c>
      <c r="N89" t="s">
        <v>144</v>
      </c>
      <c r="O89" t="s">
        <v>109</v>
      </c>
      <c r="Q89" t="s">
        <v>167</v>
      </c>
      <c r="R89" t="s">
        <v>175</v>
      </c>
      <c r="S89" t="s">
        <v>199</v>
      </c>
    </row>
    <row r="90" spans="1:19" x14ac:dyDescent="0.35">
      <c r="A90" t="s">
        <v>25</v>
      </c>
      <c r="B90" t="s">
        <v>68</v>
      </c>
      <c r="C90" t="s">
        <v>86</v>
      </c>
      <c r="D90" t="s">
        <v>111</v>
      </c>
      <c r="F90">
        <v>161.6</v>
      </c>
      <c r="G90">
        <v>48.7</v>
      </c>
      <c r="H90">
        <f t="shared" si="4"/>
        <v>131.16533333333334</v>
      </c>
      <c r="I90">
        <v>0</v>
      </c>
      <c r="J90" t="str">
        <f t="shared" si="5"/>
        <v/>
      </c>
      <c r="N90" t="s">
        <v>145</v>
      </c>
      <c r="R90" t="s">
        <v>177</v>
      </c>
      <c r="S90" t="s">
        <v>200</v>
      </c>
    </row>
    <row r="91" spans="1:19" x14ac:dyDescent="0.35">
      <c r="A91" t="s">
        <v>25</v>
      </c>
      <c r="B91" t="s">
        <v>69</v>
      </c>
      <c r="C91" t="s">
        <v>87</v>
      </c>
      <c r="D91" t="s">
        <v>112</v>
      </c>
      <c r="F91">
        <v>2.6000000000000002E-2</v>
      </c>
      <c r="G91">
        <v>52</v>
      </c>
      <c r="H91">
        <f t="shared" si="4"/>
        <v>2.2533333333333336E-2</v>
      </c>
      <c r="I91">
        <v>0</v>
      </c>
      <c r="J91" t="str">
        <f t="shared" si="5"/>
        <v/>
      </c>
      <c r="N91" t="s">
        <v>146</v>
      </c>
      <c r="R91" t="s">
        <v>180</v>
      </c>
      <c r="S91" t="s">
        <v>201</v>
      </c>
    </row>
    <row r="92" spans="1:19" x14ac:dyDescent="0.35">
      <c r="A92" t="s">
        <v>26</v>
      </c>
      <c r="B92" t="s">
        <v>52</v>
      </c>
      <c r="C92" t="s">
        <v>71</v>
      </c>
      <c r="D92" t="s">
        <v>98</v>
      </c>
      <c r="E92">
        <v>1.2E-2</v>
      </c>
      <c r="F92">
        <v>0.22800000000000001</v>
      </c>
      <c r="G92">
        <v>76.5</v>
      </c>
      <c r="H92">
        <f t="shared" si="4"/>
        <v>0.29070000000000001</v>
      </c>
      <c r="I92">
        <v>0</v>
      </c>
      <c r="J92">
        <f t="shared" si="5"/>
        <v>0</v>
      </c>
      <c r="N92" t="s">
        <v>130</v>
      </c>
      <c r="O92" t="s">
        <v>98</v>
      </c>
      <c r="Q92" t="s">
        <v>159</v>
      </c>
      <c r="R92" t="s">
        <v>171</v>
      </c>
      <c r="S92" t="s">
        <v>185</v>
      </c>
    </row>
    <row r="93" spans="1:19" x14ac:dyDescent="0.35">
      <c r="A93" t="s">
        <v>26</v>
      </c>
      <c r="B93" t="s">
        <v>53</v>
      </c>
      <c r="C93" t="s">
        <v>72</v>
      </c>
      <c r="D93" t="s">
        <v>99</v>
      </c>
      <c r="H93" t="str">
        <f t="shared" si="4"/>
        <v/>
      </c>
      <c r="I93">
        <v>0</v>
      </c>
      <c r="J93" t="str">
        <f t="shared" si="5"/>
        <v/>
      </c>
      <c r="N93" t="s">
        <v>131</v>
      </c>
      <c r="S93" t="s">
        <v>186</v>
      </c>
    </row>
    <row r="94" spans="1:19" x14ac:dyDescent="0.35">
      <c r="A94" t="s">
        <v>26</v>
      </c>
      <c r="B94" t="s">
        <v>54</v>
      </c>
      <c r="C94" t="s">
        <v>73</v>
      </c>
      <c r="D94" t="s">
        <v>100</v>
      </c>
      <c r="E94">
        <v>3.05</v>
      </c>
      <c r="F94">
        <v>2.2000000000000002</v>
      </c>
      <c r="G94">
        <v>35</v>
      </c>
      <c r="H94">
        <f t="shared" si="4"/>
        <v>1.2833333333333334</v>
      </c>
      <c r="I94">
        <v>0</v>
      </c>
      <c r="J94">
        <f t="shared" si="5"/>
        <v>0</v>
      </c>
      <c r="N94" t="s">
        <v>132</v>
      </c>
      <c r="O94" t="s">
        <v>100</v>
      </c>
      <c r="Q94" t="s">
        <v>160</v>
      </c>
      <c r="R94" t="s">
        <v>172</v>
      </c>
      <c r="S94" t="s">
        <v>187</v>
      </c>
    </row>
    <row r="95" spans="1:19" x14ac:dyDescent="0.35">
      <c r="A95" t="s">
        <v>27</v>
      </c>
      <c r="B95" t="s">
        <v>55</v>
      </c>
      <c r="C95" t="s">
        <v>74</v>
      </c>
      <c r="D95" t="s">
        <v>101</v>
      </c>
      <c r="E95">
        <v>71.75</v>
      </c>
      <c r="F95">
        <v>110.05</v>
      </c>
      <c r="G95">
        <v>64.2</v>
      </c>
      <c r="H95">
        <f t="shared" si="4"/>
        <v>117.7535</v>
      </c>
      <c r="I95">
        <v>0</v>
      </c>
      <c r="J95">
        <f t="shared" si="5"/>
        <v>0</v>
      </c>
      <c r="K95" t="s">
        <v>56</v>
      </c>
      <c r="L95" t="str">
        <f>IFERROR(IF(COUNT(J95,J96)=2,J95/J96,""),"")</f>
        <v/>
      </c>
      <c r="M95" t="str">
        <f>IFERROR(IF(ISNUMBER(J96),1/J96,""),"")</f>
        <v/>
      </c>
      <c r="N95" t="s">
        <v>133</v>
      </c>
      <c r="O95" t="s">
        <v>101</v>
      </c>
      <c r="Q95" t="s">
        <v>161</v>
      </c>
      <c r="R95" t="s">
        <v>173</v>
      </c>
      <c r="S95" t="s">
        <v>188</v>
      </c>
    </row>
    <row r="96" spans="1:19" x14ac:dyDescent="0.35">
      <c r="A96" t="s">
        <v>27</v>
      </c>
      <c r="B96" t="s">
        <v>56</v>
      </c>
      <c r="C96" t="s">
        <v>75</v>
      </c>
      <c r="D96" t="s">
        <v>101</v>
      </c>
      <c r="F96">
        <v>110.05</v>
      </c>
      <c r="G96">
        <v>64.2</v>
      </c>
      <c r="H96">
        <f t="shared" si="4"/>
        <v>117.7535</v>
      </c>
      <c r="I96">
        <v>0</v>
      </c>
      <c r="J96" t="str">
        <f t="shared" si="5"/>
        <v/>
      </c>
      <c r="N96" t="s">
        <v>134</v>
      </c>
      <c r="R96" t="s">
        <v>174</v>
      </c>
      <c r="S96" t="s">
        <v>189</v>
      </c>
    </row>
    <row r="97" spans="1:19" x14ac:dyDescent="0.35">
      <c r="A97" t="s">
        <v>27</v>
      </c>
      <c r="B97" t="s">
        <v>57</v>
      </c>
      <c r="C97" t="s">
        <v>76</v>
      </c>
      <c r="D97" t="s">
        <v>102</v>
      </c>
      <c r="E97">
        <v>0.214</v>
      </c>
      <c r="F97">
        <v>1.7470000000000001</v>
      </c>
      <c r="G97">
        <v>35</v>
      </c>
      <c r="H97">
        <f t="shared" si="4"/>
        <v>1.0190833333333333</v>
      </c>
      <c r="I97">
        <v>0</v>
      </c>
      <c r="J97">
        <f t="shared" si="5"/>
        <v>0</v>
      </c>
      <c r="N97" t="s">
        <v>135</v>
      </c>
      <c r="O97" t="s">
        <v>102</v>
      </c>
      <c r="Q97" t="s">
        <v>162</v>
      </c>
      <c r="R97" t="s">
        <v>175</v>
      </c>
      <c r="S97" t="s">
        <v>190</v>
      </c>
    </row>
    <row r="98" spans="1:19" x14ac:dyDescent="0.35">
      <c r="A98" t="s">
        <v>27</v>
      </c>
      <c r="B98" t="s">
        <v>58</v>
      </c>
      <c r="C98" t="s">
        <v>77</v>
      </c>
      <c r="D98" t="s">
        <v>101</v>
      </c>
      <c r="E98">
        <v>2.06</v>
      </c>
      <c r="F98">
        <v>110.05</v>
      </c>
      <c r="G98">
        <v>64.2</v>
      </c>
      <c r="H98">
        <f t="shared" ref="H98:H129" si="6">IF(AND(ISNUMBER(F98),ISNUMBER(G98)),F98*G98/60,"")</f>
        <v>117.7535</v>
      </c>
      <c r="I98">
        <v>0</v>
      </c>
      <c r="J98">
        <f t="shared" ref="J98:J129" si="7">IF(AND(ISNUMBER(H98),ISNUMBER(I98),ISNUMBER(E98)),IF(E98&gt;0,H98*I98/E98,""),"")</f>
        <v>0</v>
      </c>
      <c r="K98" t="s">
        <v>59</v>
      </c>
      <c r="L98" t="str">
        <f>IFERROR(IF(COUNT(J98,J99)=2,J98/J99,""),"")</f>
        <v/>
      </c>
      <c r="M98" t="str">
        <f>IFERROR(IF(ISNUMBER(J99),1/J99,""),"")</f>
        <v/>
      </c>
      <c r="N98" t="s">
        <v>136</v>
      </c>
      <c r="O98" t="s">
        <v>101</v>
      </c>
      <c r="Q98" t="s">
        <v>163</v>
      </c>
      <c r="R98" t="s">
        <v>175</v>
      </c>
      <c r="S98" t="s">
        <v>191</v>
      </c>
    </row>
    <row r="99" spans="1:19" x14ac:dyDescent="0.35">
      <c r="A99" t="s">
        <v>27</v>
      </c>
      <c r="B99" t="s">
        <v>59</v>
      </c>
      <c r="C99" t="s">
        <v>78</v>
      </c>
      <c r="D99" t="s">
        <v>103</v>
      </c>
      <c r="E99">
        <v>3.5500000000000003</v>
      </c>
      <c r="F99">
        <v>400</v>
      </c>
      <c r="G99">
        <v>87.5</v>
      </c>
      <c r="H99">
        <f t="shared" si="6"/>
        <v>583.33333333333337</v>
      </c>
      <c r="I99">
        <v>0</v>
      </c>
      <c r="J99">
        <f t="shared" si="7"/>
        <v>0</v>
      </c>
      <c r="N99" t="s">
        <v>137</v>
      </c>
      <c r="O99" t="s">
        <v>156</v>
      </c>
      <c r="Q99" t="s">
        <v>164</v>
      </c>
      <c r="R99" t="s">
        <v>176</v>
      </c>
      <c r="S99" t="s">
        <v>192</v>
      </c>
    </row>
    <row r="100" spans="1:19" x14ac:dyDescent="0.35">
      <c r="A100" t="s">
        <v>27</v>
      </c>
      <c r="B100" t="s">
        <v>60</v>
      </c>
      <c r="C100" t="s">
        <v>79</v>
      </c>
      <c r="D100" t="s">
        <v>104</v>
      </c>
      <c r="F100">
        <v>56.35</v>
      </c>
      <c r="G100">
        <v>64.5</v>
      </c>
      <c r="H100">
        <f t="shared" si="6"/>
        <v>60.576250000000002</v>
      </c>
      <c r="I100">
        <v>0</v>
      </c>
      <c r="J100" t="str">
        <f t="shared" si="7"/>
        <v/>
      </c>
      <c r="N100" t="s">
        <v>138</v>
      </c>
      <c r="R100" t="s">
        <v>177</v>
      </c>
      <c r="S100" t="s">
        <v>193</v>
      </c>
    </row>
    <row r="101" spans="1:19" x14ac:dyDescent="0.35">
      <c r="A101" t="s">
        <v>27</v>
      </c>
      <c r="B101" t="s">
        <v>61</v>
      </c>
      <c r="C101" t="s">
        <v>80</v>
      </c>
      <c r="D101" t="s">
        <v>105</v>
      </c>
      <c r="E101">
        <v>0.93</v>
      </c>
      <c r="F101">
        <v>0.36291999999999996</v>
      </c>
      <c r="G101">
        <v>45.646999999999998</v>
      </c>
      <c r="H101">
        <f t="shared" si="6"/>
        <v>0.27610348733333334</v>
      </c>
      <c r="I101">
        <v>0</v>
      </c>
      <c r="J101">
        <f t="shared" si="7"/>
        <v>0</v>
      </c>
      <c r="N101" t="s">
        <v>139</v>
      </c>
      <c r="O101" t="s">
        <v>105</v>
      </c>
      <c r="Q101" t="s">
        <v>165</v>
      </c>
      <c r="R101" t="s">
        <v>178</v>
      </c>
      <c r="S101" t="s">
        <v>194</v>
      </c>
    </row>
    <row r="102" spans="1:19" x14ac:dyDescent="0.35">
      <c r="A102" t="s">
        <v>28</v>
      </c>
      <c r="B102" t="s">
        <v>62</v>
      </c>
      <c r="C102" t="s">
        <v>81</v>
      </c>
      <c r="H102" t="str">
        <f t="shared" si="6"/>
        <v/>
      </c>
      <c r="I102">
        <v>0</v>
      </c>
      <c r="J102" t="str">
        <f t="shared" si="7"/>
        <v/>
      </c>
      <c r="N102" t="s">
        <v>140</v>
      </c>
      <c r="S102" t="s">
        <v>195</v>
      </c>
    </row>
    <row r="103" spans="1:19" x14ac:dyDescent="0.35">
      <c r="A103" t="s">
        <v>28</v>
      </c>
      <c r="B103" t="s">
        <v>63</v>
      </c>
      <c r="C103" t="s">
        <v>82</v>
      </c>
      <c r="D103" t="s">
        <v>106</v>
      </c>
      <c r="E103">
        <v>0.06</v>
      </c>
      <c r="F103">
        <v>2.085</v>
      </c>
      <c r="G103">
        <v>83.5</v>
      </c>
      <c r="H103">
        <f t="shared" si="6"/>
        <v>2.9016250000000001</v>
      </c>
      <c r="I103">
        <v>0</v>
      </c>
      <c r="J103">
        <f t="shared" si="7"/>
        <v>0</v>
      </c>
      <c r="N103" t="s">
        <v>141</v>
      </c>
      <c r="O103" t="s">
        <v>106</v>
      </c>
      <c r="Q103" t="s">
        <v>163</v>
      </c>
      <c r="R103" t="s">
        <v>179</v>
      </c>
      <c r="S103" t="s">
        <v>196</v>
      </c>
    </row>
    <row r="104" spans="1:19" x14ac:dyDescent="0.35">
      <c r="A104" t="s">
        <v>29</v>
      </c>
      <c r="B104" t="s">
        <v>64</v>
      </c>
      <c r="C104" t="s">
        <v>83</v>
      </c>
      <c r="D104" t="s">
        <v>107</v>
      </c>
      <c r="E104">
        <v>0.5</v>
      </c>
      <c r="F104">
        <v>1.49</v>
      </c>
      <c r="G104">
        <v>72.400000000000006</v>
      </c>
      <c r="H104">
        <f t="shared" si="6"/>
        <v>1.7979333333333334</v>
      </c>
      <c r="I104">
        <v>0</v>
      </c>
      <c r="J104">
        <f t="shared" si="7"/>
        <v>0</v>
      </c>
      <c r="N104" t="s">
        <v>142</v>
      </c>
      <c r="O104" t="s">
        <v>107</v>
      </c>
      <c r="Q104" t="s">
        <v>166</v>
      </c>
      <c r="R104" t="s">
        <v>175</v>
      </c>
      <c r="S104" t="s">
        <v>197</v>
      </c>
    </row>
    <row r="105" spans="1:19" x14ac:dyDescent="0.35">
      <c r="A105" t="s">
        <v>29</v>
      </c>
      <c r="B105" t="s">
        <v>65</v>
      </c>
      <c r="C105" t="s">
        <v>84</v>
      </c>
      <c r="D105" t="s">
        <v>108</v>
      </c>
      <c r="E105">
        <v>0.09</v>
      </c>
      <c r="F105">
        <v>11</v>
      </c>
      <c r="G105">
        <v>76</v>
      </c>
      <c r="H105">
        <f t="shared" si="6"/>
        <v>13.933333333333334</v>
      </c>
      <c r="I105">
        <v>0</v>
      </c>
      <c r="J105">
        <f t="shared" si="7"/>
        <v>0</v>
      </c>
      <c r="N105" t="s">
        <v>143</v>
      </c>
      <c r="O105" t="s">
        <v>108</v>
      </c>
      <c r="Q105" t="s">
        <v>166</v>
      </c>
      <c r="R105" t="s">
        <v>175</v>
      </c>
      <c r="S105" t="s">
        <v>198</v>
      </c>
    </row>
    <row r="106" spans="1:19" x14ac:dyDescent="0.35">
      <c r="A106" t="s">
        <v>29</v>
      </c>
      <c r="B106" t="s">
        <v>66</v>
      </c>
      <c r="C106" t="s">
        <v>92</v>
      </c>
      <c r="D106" t="s">
        <v>116</v>
      </c>
      <c r="F106">
        <v>4.1500000000000004</v>
      </c>
      <c r="G106">
        <v>39.869999999999997</v>
      </c>
      <c r="H106">
        <f t="shared" si="6"/>
        <v>2.7576749999999999</v>
      </c>
      <c r="I106">
        <v>0</v>
      </c>
      <c r="J106" t="str">
        <f t="shared" si="7"/>
        <v/>
      </c>
      <c r="N106" t="s">
        <v>151</v>
      </c>
      <c r="R106" t="s">
        <v>182</v>
      </c>
      <c r="S106" t="s">
        <v>205</v>
      </c>
    </row>
    <row r="107" spans="1:19" x14ac:dyDescent="0.35">
      <c r="A107" t="s">
        <v>30</v>
      </c>
      <c r="B107" t="s">
        <v>67</v>
      </c>
      <c r="C107" t="s">
        <v>85</v>
      </c>
      <c r="D107" t="s">
        <v>110</v>
      </c>
      <c r="E107">
        <v>0.31</v>
      </c>
      <c r="F107">
        <v>6.1</v>
      </c>
      <c r="G107">
        <v>34</v>
      </c>
      <c r="H107">
        <f t="shared" si="6"/>
        <v>3.4566666666666661</v>
      </c>
      <c r="I107">
        <v>0</v>
      </c>
      <c r="J107">
        <f t="shared" si="7"/>
        <v>0</v>
      </c>
      <c r="N107" t="s">
        <v>144</v>
      </c>
      <c r="O107" t="s">
        <v>109</v>
      </c>
      <c r="Q107" t="s">
        <v>167</v>
      </c>
      <c r="R107" t="s">
        <v>175</v>
      </c>
      <c r="S107" t="s">
        <v>199</v>
      </c>
    </row>
    <row r="108" spans="1:19" x14ac:dyDescent="0.35">
      <c r="A108" t="s">
        <v>30</v>
      </c>
      <c r="B108" t="s">
        <v>68</v>
      </c>
      <c r="C108" t="s">
        <v>86</v>
      </c>
      <c r="D108" t="s">
        <v>111</v>
      </c>
      <c r="F108">
        <v>161.6</v>
      </c>
      <c r="G108">
        <v>48.7</v>
      </c>
      <c r="H108">
        <f t="shared" si="6"/>
        <v>131.16533333333334</v>
      </c>
      <c r="I108">
        <v>0</v>
      </c>
      <c r="J108" t="str">
        <f t="shared" si="7"/>
        <v/>
      </c>
      <c r="N108" t="s">
        <v>145</v>
      </c>
      <c r="R108" t="s">
        <v>177</v>
      </c>
      <c r="S108" t="s">
        <v>200</v>
      </c>
    </row>
    <row r="109" spans="1:19" x14ac:dyDescent="0.35">
      <c r="A109" t="s">
        <v>30</v>
      </c>
      <c r="B109" t="s">
        <v>69</v>
      </c>
      <c r="C109" t="s">
        <v>87</v>
      </c>
      <c r="D109" t="s">
        <v>112</v>
      </c>
      <c r="F109">
        <v>2.6000000000000002E-2</v>
      </c>
      <c r="G109">
        <v>52</v>
      </c>
      <c r="H109">
        <f t="shared" si="6"/>
        <v>2.2533333333333336E-2</v>
      </c>
      <c r="I109">
        <v>0</v>
      </c>
      <c r="J109" t="str">
        <f t="shared" si="7"/>
        <v/>
      </c>
      <c r="N109" t="s">
        <v>146</v>
      </c>
      <c r="R109" t="s">
        <v>180</v>
      </c>
      <c r="S109" t="s">
        <v>201</v>
      </c>
    </row>
    <row r="110" spans="1:19" x14ac:dyDescent="0.35">
      <c r="A110" t="s">
        <v>31</v>
      </c>
      <c r="B110" t="s">
        <v>52</v>
      </c>
      <c r="C110" t="s">
        <v>71</v>
      </c>
      <c r="D110" t="s">
        <v>98</v>
      </c>
      <c r="E110">
        <v>1.2E-2</v>
      </c>
      <c r="F110">
        <v>0.22800000000000001</v>
      </c>
      <c r="G110">
        <v>76.5</v>
      </c>
      <c r="H110">
        <f t="shared" si="6"/>
        <v>0.29070000000000001</v>
      </c>
      <c r="I110">
        <v>0</v>
      </c>
      <c r="J110">
        <f t="shared" si="7"/>
        <v>0</v>
      </c>
      <c r="N110" t="s">
        <v>130</v>
      </c>
      <c r="O110" t="s">
        <v>98</v>
      </c>
      <c r="Q110" t="s">
        <v>159</v>
      </c>
      <c r="R110" t="s">
        <v>171</v>
      </c>
      <c r="S110" t="s">
        <v>185</v>
      </c>
    </row>
    <row r="111" spans="1:19" x14ac:dyDescent="0.35">
      <c r="A111" t="s">
        <v>31</v>
      </c>
      <c r="B111" t="s">
        <v>53</v>
      </c>
      <c r="C111" t="s">
        <v>72</v>
      </c>
      <c r="D111" t="s">
        <v>99</v>
      </c>
      <c r="H111" t="str">
        <f t="shared" si="6"/>
        <v/>
      </c>
      <c r="I111">
        <v>0</v>
      </c>
      <c r="J111" t="str">
        <f t="shared" si="7"/>
        <v/>
      </c>
      <c r="N111" t="s">
        <v>131</v>
      </c>
      <c r="S111" t="s">
        <v>186</v>
      </c>
    </row>
    <row r="112" spans="1:19" x14ac:dyDescent="0.35">
      <c r="A112" t="s">
        <v>31</v>
      </c>
      <c r="B112" t="s">
        <v>54</v>
      </c>
      <c r="C112" t="s">
        <v>73</v>
      </c>
      <c r="D112" t="s">
        <v>100</v>
      </c>
      <c r="E112">
        <v>3.05</v>
      </c>
      <c r="F112">
        <v>2.2000000000000002</v>
      </c>
      <c r="G112">
        <v>35</v>
      </c>
      <c r="H112">
        <f t="shared" si="6"/>
        <v>1.2833333333333334</v>
      </c>
      <c r="I112">
        <v>0</v>
      </c>
      <c r="J112">
        <f t="shared" si="7"/>
        <v>0</v>
      </c>
      <c r="N112" t="s">
        <v>132</v>
      </c>
      <c r="O112" t="s">
        <v>100</v>
      </c>
      <c r="Q112" t="s">
        <v>160</v>
      </c>
      <c r="R112" t="s">
        <v>172</v>
      </c>
      <c r="S112" t="s">
        <v>187</v>
      </c>
    </row>
    <row r="113" spans="1:19" x14ac:dyDescent="0.35">
      <c r="A113" t="s">
        <v>32</v>
      </c>
      <c r="B113" t="s">
        <v>55</v>
      </c>
      <c r="C113" t="s">
        <v>74</v>
      </c>
      <c r="D113" t="s">
        <v>101</v>
      </c>
      <c r="E113">
        <v>71.75</v>
      </c>
      <c r="F113">
        <v>110.05</v>
      </c>
      <c r="G113">
        <v>64.2</v>
      </c>
      <c r="H113">
        <f t="shared" si="6"/>
        <v>117.7535</v>
      </c>
      <c r="I113">
        <v>0</v>
      </c>
      <c r="J113">
        <f t="shared" si="7"/>
        <v>0</v>
      </c>
      <c r="K113" t="s">
        <v>56</v>
      </c>
      <c r="L113" t="str">
        <f>IFERROR(IF(COUNT(J113,J114)=2,J113/J114,""),"")</f>
        <v/>
      </c>
      <c r="M113" t="str">
        <f>IFERROR(IF(ISNUMBER(J114),1/J114,""),"")</f>
        <v/>
      </c>
      <c r="N113" t="s">
        <v>133</v>
      </c>
      <c r="O113" t="s">
        <v>101</v>
      </c>
      <c r="Q113" t="s">
        <v>161</v>
      </c>
      <c r="R113" t="s">
        <v>173</v>
      </c>
      <c r="S113" t="s">
        <v>188</v>
      </c>
    </row>
    <row r="114" spans="1:19" x14ac:dyDescent="0.35">
      <c r="A114" t="s">
        <v>32</v>
      </c>
      <c r="B114" t="s">
        <v>56</v>
      </c>
      <c r="C114" t="s">
        <v>75</v>
      </c>
      <c r="D114" t="s">
        <v>101</v>
      </c>
      <c r="F114">
        <v>110.05</v>
      </c>
      <c r="G114">
        <v>64.2</v>
      </c>
      <c r="H114">
        <f t="shared" si="6"/>
        <v>117.7535</v>
      </c>
      <c r="I114">
        <v>0</v>
      </c>
      <c r="J114" t="str">
        <f t="shared" si="7"/>
        <v/>
      </c>
      <c r="N114" t="s">
        <v>134</v>
      </c>
      <c r="R114" t="s">
        <v>174</v>
      </c>
      <c r="S114" t="s">
        <v>189</v>
      </c>
    </row>
    <row r="115" spans="1:19" x14ac:dyDescent="0.35">
      <c r="A115" t="s">
        <v>32</v>
      </c>
      <c r="B115" t="s">
        <v>57</v>
      </c>
      <c r="C115" t="s">
        <v>76</v>
      </c>
      <c r="D115" t="s">
        <v>102</v>
      </c>
      <c r="E115">
        <v>0.214</v>
      </c>
      <c r="F115">
        <v>1.7470000000000001</v>
      </c>
      <c r="G115">
        <v>35</v>
      </c>
      <c r="H115">
        <f t="shared" si="6"/>
        <v>1.0190833333333333</v>
      </c>
      <c r="I115">
        <v>0</v>
      </c>
      <c r="J115">
        <f t="shared" si="7"/>
        <v>0</v>
      </c>
      <c r="N115" t="s">
        <v>135</v>
      </c>
      <c r="O115" t="s">
        <v>102</v>
      </c>
      <c r="Q115" t="s">
        <v>162</v>
      </c>
      <c r="R115" t="s">
        <v>175</v>
      </c>
      <c r="S115" t="s">
        <v>190</v>
      </c>
    </row>
    <row r="116" spans="1:19" x14ac:dyDescent="0.35">
      <c r="A116" t="s">
        <v>32</v>
      </c>
      <c r="B116" t="s">
        <v>58</v>
      </c>
      <c r="C116" t="s">
        <v>77</v>
      </c>
      <c r="D116" t="s">
        <v>101</v>
      </c>
      <c r="E116">
        <v>2.06</v>
      </c>
      <c r="F116">
        <v>110.05</v>
      </c>
      <c r="G116">
        <v>64.2</v>
      </c>
      <c r="H116">
        <f t="shared" si="6"/>
        <v>117.7535</v>
      </c>
      <c r="I116">
        <v>0</v>
      </c>
      <c r="J116">
        <f t="shared" si="7"/>
        <v>0</v>
      </c>
      <c r="K116" t="s">
        <v>59</v>
      </c>
      <c r="L116" t="str">
        <f>IFERROR(IF(COUNT(J116,J117)=2,J116/J117,""),"")</f>
        <v/>
      </c>
      <c r="M116" t="str">
        <f>IFERROR(IF(ISNUMBER(J117),1/J117,""),"")</f>
        <v/>
      </c>
      <c r="N116" t="s">
        <v>136</v>
      </c>
      <c r="O116" t="s">
        <v>101</v>
      </c>
      <c r="Q116" t="s">
        <v>163</v>
      </c>
      <c r="R116" t="s">
        <v>175</v>
      </c>
      <c r="S116" t="s">
        <v>191</v>
      </c>
    </row>
    <row r="117" spans="1:19" x14ac:dyDescent="0.35">
      <c r="A117" t="s">
        <v>32</v>
      </c>
      <c r="B117" t="s">
        <v>59</v>
      </c>
      <c r="C117" t="s">
        <v>78</v>
      </c>
      <c r="D117" t="s">
        <v>103</v>
      </c>
      <c r="E117">
        <v>3.5500000000000003</v>
      </c>
      <c r="F117">
        <v>400</v>
      </c>
      <c r="G117">
        <v>87.5</v>
      </c>
      <c r="H117">
        <f t="shared" si="6"/>
        <v>583.33333333333337</v>
      </c>
      <c r="I117">
        <v>0</v>
      </c>
      <c r="J117">
        <f t="shared" si="7"/>
        <v>0</v>
      </c>
      <c r="N117" t="s">
        <v>137</v>
      </c>
      <c r="O117" t="s">
        <v>156</v>
      </c>
      <c r="Q117" t="s">
        <v>164</v>
      </c>
      <c r="R117" t="s">
        <v>176</v>
      </c>
      <c r="S117" t="s">
        <v>192</v>
      </c>
    </row>
    <row r="118" spans="1:19" x14ac:dyDescent="0.35">
      <c r="A118" t="s">
        <v>32</v>
      </c>
      <c r="B118" t="s">
        <v>60</v>
      </c>
      <c r="C118" t="s">
        <v>79</v>
      </c>
      <c r="D118" t="s">
        <v>104</v>
      </c>
      <c r="F118">
        <v>56.35</v>
      </c>
      <c r="G118">
        <v>64.5</v>
      </c>
      <c r="H118">
        <f t="shared" si="6"/>
        <v>60.576250000000002</v>
      </c>
      <c r="I118">
        <v>0</v>
      </c>
      <c r="J118" t="str">
        <f t="shared" si="7"/>
        <v/>
      </c>
      <c r="N118" t="s">
        <v>138</v>
      </c>
      <c r="R118" t="s">
        <v>177</v>
      </c>
      <c r="S118" t="s">
        <v>193</v>
      </c>
    </row>
    <row r="119" spans="1:19" x14ac:dyDescent="0.35">
      <c r="A119" t="s">
        <v>32</v>
      </c>
      <c r="B119" t="s">
        <v>61</v>
      </c>
      <c r="C119" t="s">
        <v>80</v>
      </c>
      <c r="D119" t="s">
        <v>105</v>
      </c>
      <c r="E119">
        <v>0.93</v>
      </c>
      <c r="F119">
        <v>0.36291999999999996</v>
      </c>
      <c r="G119">
        <v>45.646999999999998</v>
      </c>
      <c r="H119">
        <f t="shared" si="6"/>
        <v>0.27610348733333334</v>
      </c>
      <c r="I119">
        <v>0</v>
      </c>
      <c r="J119">
        <f t="shared" si="7"/>
        <v>0</v>
      </c>
      <c r="N119" t="s">
        <v>139</v>
      </c>
      <c r="O119" t="s">
        <v>105</v>
      </c>
      <c r="Q119" t="s">
        <v>165</v>
      </c>
      <c r="R119" t="s">
        <v>178</v>
      </c>
      <c r="S119" t="s">
        <v>194</v>
      </c>
    </row>
    <row r="120" spans="1:19" x14ac:dyDescent="0.35">
      <c r="A120" t="s">
        <v>33</v>
      </c>
      <c r="B120" t="s">
        <v>62</v>
      </c>
      <c r="C120" t="s">
        <v>81</v>
      </c>
      <c r="H120" t="str">
        <f t="shared" si="6"/>
        <v/>
      </c>
      <c r="I120">
        <v>0</v>
      </c>
      <c r="J120" t="str">
        <f t="shared" si="7"/>
        <v/>
      </c>
      <c r="N120" t="s">
        <v>140</v>
      </c>
      <c r="S120" t="s">
        <v>195</v>
      </c>
    </row>
    <row r="121" spans="1:19" x14ac:dyDescent="0.35">
      <c r="A121" t="s">
        <v>33</v>
      </c>
      <c r="B121" t="s">
        <v>63</v>
      </c>
      <c r="C121" t="s">
        <v>82</v>
      </c>
      <c r="D121" t="s">
        <v>106</v>
      </c>
      <c r="E121">
        <v>0.06</v>
      </c>
      <c r="F121">
        <v>2.085</v>
      </c>
      <c r="G121">
        <v>83.5</v>
      </c>
      <c r="H121">
        <f t="shared" si="6"/>
        <v>2.9016250000000001</v>
      </c>
      <c r="I121">
        <v>0</v>
      </c>
      <c r="J121">
        <f t="shared" si="7"/>
        <v>0</v>
      </c>
      <c r="N121" t="s">
        <v>141</v>
      </c>
      <c r="O121" t="s">
        <v>106</v>
      </c>
      <c r="Q121" t="s">
        <v>163</v>
      </c>
      <c r="R121" t="s">
        <v>179</v>
      </c>
      <c r="S121" t="s">
        <v>196</v>
      </c>
    </row>
    <row r="122" spans="1:19" x14ac:dyDescent="0.35">
      <c r="A122" t="s">
        <v>34</v>
      </c>
      <c r="B122" t="s">
        <v>64</v>
      </c>
      <c r="C122" t="s">
        <v>83</v>
      </c>
      <c r="D122" t="s">
        <v>107</v>
      </c>
      <c r="E122">
        <v>0.5</v>
      </c>
      <c r="F122">
        <v>1.49</v>
      </c>
      <c r="G122">
        <v>72.400000000000006</v>
      </c>
      <c r="H122">
        <f t="shared" si="6"/>
        <v>1.7979333333333334</v>
      </c>
      <c r="I122">
        <v>0</v>
      </c>
      <c r="J122">
        <f t="shared" si="7"/>
        <v>0</v>
      </c>
      <c r="N122" t="s">
        <v>142</v>
      </c>
      <c r="O122" t="s">
        <v>107</v>
      </c>
      <c r="Q122" t="s">
        <v>166</v>
      </c>
      <c r="R122" t="s">
        <v>175</v>
      </c>
      <c r="S122" t="s">
        <v>197</v>
      </c>
    </row>
    <row r="123" spans="1:19" x14ac:dyDescent="0.35">
      <c r="A123" t="s">
        <v>34</v>
      </c>
      <c r="B123" t="s">
        <v>65</v>
      </c>
      <c r="C123" t="s">
        <v>84</v>
      </c>
      <c r="D123" t="s">
        <v>108</v>
      </c>
      <c r="E123">
        <v>0.09</v>
      </c>
      <c r="F123">
        <v>11</v>
      </c>
      <c r="G123">
        <v>76</v>
      </c>
      <c r="H123">
        <f t="shared" si="6"/>
        <v>13.933333333333334</v>
      </c>
      <c r="I123">
        <v>0</v>
      </c>
      <c r="J123">
        <f t="shared" si="7"/>
        <v>0</v>
      </c>
      <c r="N123" t="s">
        <v>143</v>
      </c>
      <c r="O123" t="s">
        <v>108</v>
      </c>
      <c r="Q123" t="s">
        <v>166</v>
      </c>
      <c r="R123" t="s">
        <v>175</v>
      </c>
      <c r="S123" t="s">
        <v>198</v>
      </c>
    </row>
    <row r="124" spans="1:19" x14ac:dyDescent="0.35">
      <c r="A124" t="s">
        <v>34</v>
      </c>
      <c r="B124" t="s">
        <v>66</v>
      </c>
      <c r="C124" t="s">
        <v>93</v>
      </c>
      <c r="D124" t="s">
        <v>117</v>
      </c>
      <c r="E124">
        <v>0.34499999999999997</v>
      </c>
      <c r="F124">
        <v>150</v>
      </c>
      <c r="G124">
        <v>30.5</v>
      </c>
      <c r="H124">
        <f t="shared" si="6"/>
        <v>76.25</v>
      </c>
      <c r="I124">
        <v>0</v>
      </c>
      <c r="J124">
        <f t="shared" si="7"/>
        <v>0</v>
      </c>
      <c r="N124" t="s">
        <v>152</v>
      </c>
      <c r="O124" t="s">
        <v>117</v>
      </c>
      <c r="Q124" t="s">
        <v>169</v>
      </c>
      <c r="R124" t="s">
        <v>183</v>
      </c>
      <c r="S124" t="s">
        <v>206</v>
      </c>
    </row>
    <row r="125" spans="1:19" x14ac:dyDescent="0.35">
      <c r="A125" t="s">
        <v>35</v>
      </c>
      <c r="B125" t="s">
        <v>67</v>
      </c>
      <c r="C125" t="s">
        <v>85</v>
      </c>
      <c r="D125" t="s">
        <v>110</v>
      </c>
      <c r="E125">
        <v>0.31</v>
      </c>
      <c r="F125">
        <v>6.1</v>
      </c>
      <c r="G125">
        <v>34</v>
      </c>
      <c r="H125">
        <f t="shared" si="6"/>
        <v>3.4566666666666661</v>
      </c>
      <c r="I125">
        <v>0</v>
      </c>
      <c r="J125">
        <f t="shared" si="7"/>
        <v>0</v>
      </c>
      <c r="N125" t="s">
        <v>144</v>
      </c>
      <c r="O125" t="s">
        <v>109</v>
      </c>
      <c r="Q125" t="s">
        <v>167</v>
      </c>
      <c r="R125" t="s">
        <v>175</v>
      </c>
      <c r="S125" t="s">
        <v>199</v>
      </c>
    </row>
    <row r="126" spans="1:19" x14ac:dyDescent="0.35">
      <c r="A126" t="s">
        <v>35</v>
      </c>
      <c r="B126" t="s">
        <v>68</v>
      </c>
      <c r="C126" t="s">
        <v>86</v>
      </c>
      <c r="D126" t="s">
        <v>111</v>
      </c>
      <c r="F126">
        <v>161.6</v>
      </c>
      <c r="G126">
        <v>48.7</v>
      </c>
      <c r="H126">
        <f t="shared" si="6"/>
        <v>131.16533333333334</v>
      </c>
      <c r="I126">
        <v>0</v>
      </c>
      <c r="J126" t="str">
        <f t="shared" si="7"/>
        <v/>
      </c>
      <c r="N126" t="s">
        <v>145</v>
      </c>
      <c r="R126" t="s">
        <v>177</v>
      </c>
      <c r="S126" t="s">
        <v>200</v>
      </c>
    </row>
    <row r="127" spans="1:19" x14ac:dyDescent="0.35">
      <c r="A127" t="s">
        <v>35</v>
      </c>
      <c r="B127" t="s">
        <v>69</v>
      </c>
      <c r="C127" t="s">
        <v>87</v>
      </c>
      <c r="D127" t="s">
        <v>112</v>
      </c>
      <c r="F127">
        <v>2.6000000000000002E-2</v>
      </c>
      <c r="G127">
        <v>52</v>
      </c>
      <c r="H127">
        <f t="shared" si="6"/>
        <v>2.2533333333333336E-2</v>
      </c>
      <c r="I127">
        <v>0</v>
      </c>
      <c r="J127" t="str">
        <f t="shared" si="7"/>
        <v/>
      </c>
      <c r="N127" t="s">
        <v>146</v>
      </c>
      <c r="R127" t="s">
        <v>180</v>
      </c>
      <c r="S127" t="s">
        <v>201</v>
      </c>
    </row>
    <row r="128" spans="1:19" x14ac:dyDescent="0.35">
      <c r="A128" t="s">
        <v>36</v>
      </c>
      <c r="B128" t="s">
        <v>52</v>
      </c>
      <c r="C128" t="s">
        <v>71</v>
      </c>
      <c r="D128" t="s">
        <v>98</v>
      </c>
      <c r="E128">
        <v>1.2E-2</v>
      </c>
      <c r="F128">
        <v>0.22800000000000001</v>
      </c>
      <c r="G128">
        <v>76.5</v>
      </c>
      <c r="H128">
        <f t="shared" si="6"/>
        <v>0.29070000000000001</v>
      </c>
      <c r="I128">
        <v>0</v>
      </c>
      <c r="J128">
        <f t="shared" si="7"/>
        <v>0</v>
      </c>
      <c r="N128" t="s">
        <v>130</v>
      </c>
      <c r="O128" t="s">
        <v>98</v>
      </c>
      <c r="Q128" t="s">
        <v>159</v>
      </c>
      <c r="R128" t="s">
        <v>171</v>
      </c>
      <c r="S128" t="s">
        <v>185</v>
      </c>
    </row>
    <row r="129" spans="1:19" x14ac:dyDescent="0.35">
      <c r="A129" t="s">
        <v>36</v>
      </c>
      <c r="B129" t="s">
        <v>53</v>
      </c>
      <c r="C129" t="s">
        <v>72</v>
      </c>
      <c r="D129" t="s">
        <v>99</v>
      </c>
      <c r="H129" t="str">
        <f t="shared" si="6"/>
        <v/>
      </c>
      <c r="I129">
        <v>0</v>
      </c>
      <c r="J129" t="str">
        <f t="shared" si="7"/>
        <v/>
      </c>
      <c r="N129" t="s">
        <v>131</v>
      </c>
      <c r="S129" t="s">
        <v>186</v>
      </c>
    </row>
    <row r="130" spans="1:19" x14ac:dyDescent="0.35">
      <c r="A130" t="s">
        <v>36</v>
      </c>
      <c r="B130" t="s">
        <v>54</v>
      </c>
      <c r="C130" t="s">
        <v>73</v>
      </c>
      <c r="D130" t="s">
        <v>100</v>
      </c>
      <c r="E130">
        <v>3.05</v>
      </c>
      <c r="F130">
        <v>2.2000000000000002</v>
      </c>
      <c r="G130">
        <v>35</v>
      </c>
      <c r="H130">
        <f t="shared" ref="H130:H161" si="8">IF(AND(ISNUMBER(F130),ISNUMBER(G130)),F130*G130/60,"")</f>
        <v>1.2833333333333334</v>
      </c>
      <c r="I130">
        <v>0</v>
      </c>
      <c r="J130">
        <f t="shared" ref="J130:J161" si="9">IF(AND(ISNUMBER(H130),ISNUMBER(I130),ISNUMBER(E130)),IF(E130&gt;0,H130*I130/E130,""),"")</f>
        <v>0</v>
      </c>
      <c r="N130" t="s">
        <v>132</v>
      </c>
      <c r="O130" t="s">
        <v>100</v>
      </c>
      <c r="Q130" t="s">
        <v>160</v>
      </c>
      <c r="R130" t="s">
        <v>172</v>
      </c>
      <c r="S130" t="s">
        <v>187</v>
      </c>
    </row>
    <row r="131" spans="1:19" x14ac:dyDescent="0.35">
      <c r="A131" t="s">
        <v>37</v>
      </c>
      <c r="B131" t="s">
        <v>55</v>
      </c>
      <c r="C131" t="s">
        <v>74</v>
      </c>
      <c r="D131" t="s">
        <v>101</v>
      </c>
      <c r="E131">
        <v>71.75</v>
      </c>
      <c r="F131">
        <v>110.05</v>
      </c>
      <c r="G131">
        <v>64.2</v>
      </c>
      <c r="H131">
        <f t="shared" si="8"/>
        <v>117.7535</v>
      </c>
      <c r="I131">
        <v>0</v>
      </c>
      <c r="J131">
        <f t="shared" si="9"/>
        <v>0</v>
      </c>
      <c r="K131" t="s">
        <v>56</v>
      </c>
      <c r="L131" t="str">
        <f>IFERROR(IF(COUNT(J131,J132)=2,J131/J132,""),"")</f>
        <v/>
      </c>
      <c r="M131" t="str">
        <f>IFERROR(IF(ISNUMBER(J132),1/J132,""),"")</f>
        <v/>
      </c>
      <c r="N131" t="s">
        <v>133</v>
      </c>
      <c r="O131" t="s">
        <v>101</v>
      </c>
      <c r="Q131" t="s">
        <v>161</v>
      </c>
      <c r="R131" t="s">
        <v>173</v>
      </c>
      <c r="S131" t="s">
        <v>188</v>
      </c>
    </row>
    <row r="132" spans="1:19" x14ac:dyDescent="0.35">
      <c r="A132" t="s">
        <v>37</v>
      </c>
      <c r="B132" t="s">
        <v>56</v>
      </c>
      <c r="C132" t="s">
        <v>75</v>
      </c>
      <c r="D132" t="s">
        <v>101</v>
      </c>
      <c r="F132">
        <v>110.05</v>
      </c>
      <c r="G132">
        <v>64.2</v>
      </c>
      <c r="H132">
        <f t="shared" si="8"/>
        <v>117.7535</v>
      </c>
      <c r="I132">
        <v>0</v>
      </c>
      <c r="J132" t="str">
        <f t="shared" si="9"/>
        <v/>
      </c>
      <c r="N132" t="s">
        <v>134</v>
      </c>
      <c r="R132" t="s">
        <v>174</v>
      </c>
      <c r="S132" t="s">
        <v>189</v>
      </c>
    </row>
    <row r="133" spans="1:19" x14ac:dyDescent="0.35">
      <c r="A133" t="s">
        <v>37</v>
      </c>
      <c r="B133" t="s">
        <v>57</v>
      </c>
      <c r="C133" t="s">
        <v>76</v>
      </c>
      <c r="D133" t="s">
        <v>102</v>
      </c>
      <c r="E133">
        <v>0.214</v>
      </c>
      <c r="F133">
        <v>1.7470000000000001</v>
      </c>
      <c r="G133">
        <v>35</v>
      </c>
      <c r="H133">
        <f t="shared" si="8"/>
        <v>1.0190833333333333</v>
      </c>
      <c r="I133">
        <v>0</v>
      </c>
      <c r="J133">
        <f t="shared" si="9"/>
        <v>0</v>
      </c>
      <c r="N133" t="s">
        <v>135</v>
      </c>
      <c r="O133" t="s">
        <v>102</v>
      </c>
      <c r="Q133" t="s">
        <v>162</v>
      </c>
      <c r="R133" t="s">
        <v>175</v>
      </c>
      <c r="S133" t="s">
        <v>190</v>
      </c>
    </row>
    <row r="134" spans="1:19" x14ac:dyDescent="0.35">
      <c r="A134" t="s">
        <v>37</v>
      </c>
      <c r="B134" t="s">
        <v>58</v>
      </c>
      <c r="C134" t="s">
        <v>77</v>
      </c>
      <c r="D134" t="s">
        <v>101</v>
      </c>
      <c r="E134">
        <v>2.06</v>
      </c>
      <c r="F134">
        <v>110.05</v>
      </c>
      <c r="G134">
        <v>64.2</v>
      </c>
      <c r="H134">
        <f t="shared" si="8"/>
        <v>117.7535</v>
      </c>
      <c r="I134">
        <v>0</v>
      </c>
      <c r="J134">
        <f t="shared" si="9"/>
        <v>0</v>
      </c>
      <c r="K134" t="s">
        <v>59</v>
      </c>
      <c r="L134" t="str">
        <f>IFERROR(IF(COUNT(J134,J135)=2,J134/J135,""),"")</f>
        <v/>
      </c>
      <c r="M134" t="str">
        <f>IFERROR(IF(ISNUMBER(J135),1/J135,""),"")</f>
        <v/>
      </c>
      <c r="N134" t="s">
        <v>136</v>
      </c>
      <c r="O134" t="s">
        <v>101</v>
      </c>
      <c r="Q134" t="s">
        <v>163</v>
      </c>
      <c r="R134" t="s">
        <v>175</v>
      </c>
      <c r="S134" t="s">
        <v>191</v>
      </c>
    </row>
    <row r="135" spans="1:19" x14ac:dyDescent="0.35">
      <c r="A135" t="s">
        <v>37</v>
      </c>
      <c r="B135" t="s">
        <v>59</v>
      </c>
      <c r="C135" t="s">
        <v>78</v>
      </c>
      <c r="D135" t="s">
        <v>103</v>
      </c>
      <c r="E135">
        <v>3.5500000000000003</v>
      </c>
      <c r="F135">
        <v>400</v>
      </c>
      <c r="G135">
        <v>87.5</v>
      </c>
      <c r="H135">
        <f t="shared" si="8"/>
        <v>583.33333333333337</v>
      </c>
      <c r="I135">
        <v>0</v>
      </c>
      <c r="J135">
        <f t="shared" si="9"/>
        <v>0</v>
      </c>
      <c r="N135" t="s">
        <v>137</v>
      </c>
      <c r="O135" t="s">
        <v>156</v>
      </c>
      <c r="Q135" t="s">
        <v>164</v>
      </c>
      <c r="R135" t="s">
        <v>176</v>
      </c>
      <c r="S135" t="s">
        <v>192</v>
      </c>
    </row>
    <row r="136" spans="1:19" x14ac:dyDescent="0.35">
      <c r="A136" t="s">
        <v>37</v>
      </c>
      <c r="B136" t="s">
        <v>60</v>
      </c>
      <c r="C136" t="s">
        <v>79</v>
      </c>
      <c r="D136" t="s">
        <v>104</v>
      </c>
      <c r="F136">
        <v>56.35</v>
      </c>
      <c r="G136">
        <v>64.5</v>
      </c>
      <c r="H136">
        <f t="shared" si="8"/>
        <v>60.576250000000002</v>
      </c>
      <c r="I136">
        <v>0</v>
      </c>
      <c r="J136" t="str">
        <f t="shared" si="9"/>
        <v/>
      </c>
      <c r="N136" t="s">
        <v>138</v>
      </c>
      <c r="R136" t="s">
        <v>177</v>
      </c>
      <c r="S136" t="s">
        <v>193</v>
      </c>
    </row>
    <row r="137" spans="1:19" x14ac:dyDescent="0.35">
      <c r="A137" t="s">
        <v>37</v>
      </c>
      <c r="B137" t="s">
        <v>61</v>
      </c>
      <c r="C137" t="s">
        <v>80</v>
      </c>
      <c r="D137" t="s">
        <v>105</v>
      </c>
      <c r="E137">
        <v>0.93</v>
      </c>
      <c r="F137">
        <v>0.36291999999999996</v>
      </c>
      <c r="G137">
        <v>45.646999999999998</v>
      </c>
      <c r="H137">
        <f t="shared" si="8"/>
        <v>0.27610348733333334</v>
      </c>
      <c r="I137">
        <v>0</v>
      </c>
      <c r="J137">
        <f t="shared" si="9"/>
        <v>0</v>
      </c>
      <c r="N137" t="s">
        <v>139</v>
      </c>
      <c r="O137" t="s">
        <v>105</v>
      </c>
      <c r="Q137" t="s">
        <v>165</v>
      </c>
      <c r="R137" t="s">
        <v>178</v>
      </c>
      <c r="S137" t="s">
        <v>194</v>
      </c>
    </row>
    <row r="138" spans="1:19" x14ac:dyDescent="0.35">
      <c r="A138" t="s">
        <v>38</v>
      </c>
      <c r="B138" t="s">
        <v>62</v>
      </c>
      <c r="C138" t="s">
        <v>81</v>
      </c>
      <c r="H138" t="str">
        <f t="shared" si="8"/>
        <v/>
      </c>
      <c r="I138">
        <v>0</v>
      </c>
      <c r="J138" t="str">
        <f t="shared" si="9"/>
        <v/>
      </c>
      <c r="N138" t="s">
        <v>140</v>
      </c>
      <c r="S138" t="s">
        <v>195</v>
      </c>
    </row>
    <row r="139" spans="1:19" x14ac:dyDescent="0.35">
      <c r="A139" t="s">
        <v>38</v>
      </c>
      <c r="B139" t="s">
        <v>63</v>
      </c>
      <c r="C139" t="s">
        <v>82</v>
      </c>
      <c r="D139" t="s">
        <v>106</v>
      </c>
      <c r="E139">
        <v>0.06</v>
      </c>
      <c r="F139">
        <v>2.085</v>
      </c>
      <c r="G139">
        <v>83.5</v>
      </c>
      <c r="H139">
        <f t="shared" si="8"/>
        <v>2.9016250000000001</v>
      </c>
      <c r="I139">
        <v>0</v>
      </c>
      <c r="J139">
        <f t="shared" si="9"/>
        <v>0</v>
      </c>
      <c r="N139" t="s">
        <v>141</v>
      </c>
      <c r="O139" t="s">
        <v>106</v>
      </c>
      <c r="Q139" t="s">
        <v>163</v>
      </c>
      <c r="R139" t="s">
        <v>179</v>
      </c>
      <c r="S139" t="s">
        <v>196</v>
      </c>
    </row>
    <row r="140" spans="1:19" x14ac:dyDescent="0.35">
      <c r="A140" t="s">
        <v>39</v>
      </c>
      <c r="B140" t="s">
        <v>64</v>
      </c>
      <c r="C140" t="s">
        <v>83</v>
      </c>
      <c r="D140" t="s">
        <v>107</v>
      </c>
      <c r="E140">
        <v>0.5</v>
      </c>
      <c r="F140">
        <v>1.49</v>
      </c>
      <c r="G140">
        <v>72.400000000000006</v>
      </c>
      <c r="H140">
        <f t="shared" si="8"/>
        <v>1.7979333333333334</v>
      </c>
      <c r="I140">
        <v>0</v>
      </c>
      <c r="J140">
        <f t="shared" si="9"/>
        <v>0</v>
      </c>
      <c r="N140" t="s">
        <v>142</v>
      </c>
      <c r="O140" t="s">
        <v>107</v>
      </c>
      <c r="Q140" t="s">
        <v>166</v>
      </c>
      <c r="R140" t="s">
        <v>175</v>
      </c>
      <c r="S140" t="s">
        <v>197</v>
      </c>
    </row>
    <row r="141" spans="1:19" x14ac:dyDescent="0.35">
      <c r="A141" t="s">
        <v>39</v>
      </c>
      <c r="B141" t="s">
        <v>65</v>
      </c>
      <c r="C141" t="s">
        <v>84</v>
      </c>
      <c r="D141" t="s">
        <v>108</v>
      </c>
      <c r="E141">
        <v>0.09</v>
      </c>
      <c r="F141">
        <v>11</v>
      </c>
      <c r="G141">
        <v>76</v>
      </c>
      <c r="H141">
        <f t="shared" si="8"/>
        <v>13.933333333333334</v>
      </c>
      <c r="I141">
        <v>0</v>
      </c>
      <c r="J141">
        <f t="shared" si="9"/>
        <v>0</v>
      </c>
      <c r="N141" t="s">
        <v>143</v>
      </c>
      <c r="O141" t="s">
        <v>108</v>
      </c>
      <c r="Q141" t="s">
        <v>166</v>
      </c>
      <c r="R141" t="s">
        <v>175</v>
      </c>
      <c r="S141" t="s">
        <v>198</v>
      </c>
    </row>
    <row r="142" spans="1:19" x14ac:dyDescent="0.35">
      <c r="A142" t="s">
        <v>39</v>
      </c>
      <c r="B142" t="s">
        <v>66</v>
      </c>
      <c r="C142" t="s">
        <v>94</v>
      </c>
      <c r="D142" t="s">
        <v>118</v>
      </c>
      <c r="E142">
        <v>0.125</v>
      </c>
      <c r="F142">
        <v>7.26</v>
      </c>
      <c r="G142">
        <v>25.63</v>
      </c>
      <c r="H142">
        <f t="shared" si="8"/>
        <v>3.1012299999999997</v>
      </c>
      <c r="I142">
        <v>0</v>
      </c>
      <c r="J142">
        <f t="shared" si="9"/>
        <v>0</v>
      </c>
      <c r="N142" t="s">
        <v>153</v>
      </c>
      <c r="O142" t="s">
        <v>118</v>
      </c>
      <c r="Q142" t="s">
        <v>167</v>
      </c>
      <c r="R142" t="s">
        <v>175</v>
      </c>
      <c r="S142" t="s">
        <v>207</v>
      </c>
    </row>
    <row r="143" spans="1:19" x14ac:dyDescent="0.35">
      <c r="A143" t="s">
        <v>40</v>
      </c>
      <c r="B143" t="s">
        <v>67</v>
      </c>
      <c r="C143" t="s">
        <v>85</v>
      </c>
      <c r="D143" t="s">
        <v>110</v>
      </c>
      <c r="E143">
        <v>0.31</v>
      </c>
      <c r="F143">
        <v>6.1</v>
      </c>
      <c r="G143">
        <v>34</v>
      </c>
      <c r="H143">
        <f t="shared" si="8"/>
        <v>3.4566666666666661</v>
      </c>
      <c r="I143">
        <v>0</v>
      </c>
      <c r="J143">
        <f t="shared" si="9"/>
        <v>0</v>
      </c>
      <c r="N143" t="s">
        <v>144</v>
      </c>
      <c r="O143" t="s">
        <v>109</v>
      </c>
      <c r="Q143" t="s">
        <v>167</v>
      </c>
      <c r="R143" t="s">
        <v>175</v>
      </c>
      <c r="S143" t="s">
        <v>199</v>
      </c>
    </row>
    <row r="144" spans="1:19" x14ac:dyDescent="0.35">
      <c r="A144" t="s">
        <v>40</v>
      </c>
      <c r="B144" t="s">
        <v>68</v>
      </c>
      <c r="C144" t="s">
        <v>86</v>
      </c>
      <c r="D144" t="s">
        <v>111</v>
      </c>
      <c r="F144">
        <v>161.6</v>
      </c>
      <c r="G144">
        <v>48.7</v>
      </c>
      <c r="H144">
        <f t="shared" si="8"/>
        <v>131.16533333333334</v>
      </c>
      <c r="I144">
        <v>0</v>
      </c>
      <c r="J144" t="str">
        <f t="shared" si="9"/>
        <v/>
      </c>
      <c r="N144" t="s">
        <v>145</v>
      </c>
      <c r="R144" t="s">
        <v>177</v>
      </c>
      <c r="S144" t="s">
        <v>200</v>
      </c>
    </row>
    <row r="145" spans="1:19" x14ac:dyDescent="0.35">
      <c r="A145" t="s">
        <v>40</v>
      </c>
      <c r="B145" t="s">
        <v>69</v>
      </c>
      <c r="C145" t="s">
        <v>87</v>
      </c>
      <c r="D145" t="s">
        <v>112</v>
      </c>
      <c r="F145">
        <v>2.6000000000000002E-2</v>
      </c>
      <c r="G145">
        <v>52</v>
      </c>
      <c r="H145">
        <f t="shared" si="8"/>
        <v>2.2533333333333336E-2</v>
      </c>
      <c r="I145">
        <v>0</v>
      </c>
      <c r="J145" t="str">
        <f t="shared" si="9"/>
        <v/>
      </c>
      <c r="N145" t="s">
        <v>146</v>
      </c>
      <c r="R145" t="s">
        <v>180</v>
      </c>
      <c r="S145" t="s">
        <v>201</v>
      </c>
    </row>
    <row r="146" spans="1:19" x14ac:dyDescent="0.35">
      <c r="A146" t="s">
        <v>41</v>
      </c>
      <c r="B146" t="s">
        <v>52</v>
      </c>
      <c r="C146" t="s">
        <v>71</v>
      </c>
      <c r="D146" t="s">
        <v>98</v>
      </c>
      <c r="E146">
        <v>1.2E-2</v>
      </c>
      <c r="F146">
        <v>0.22800000000000001</v>
      </c>
      <c r="G146">
        <v>76.5</v>
      </c>
      <c r="H146">
        <f t="shared" si="8"/>
        <v>0.29070000000000001</v>
      </c>
      <c r="I146">
        <v>0</v>
      </c>
      <c r="J146">
        <f t="shared" si="9"/>
        <v>0</v>
      </c>
      <c r="N146" t="s">
        <v>130</v>
      </c>
      <c r="O146" t="s">
        <v>98</v>
      </c>
      <c r="Q146" t="s">
        <v>159</v>
      </c>
      <c r="R146" t="s">
        <v>171</v>
      </c>
      <c r="S146" t="s">
        <v>185</v>
      </c>
    </row>
    <row r="147" spans="1:19" x14ac:dyDescent="0.35">
      <c r="A147" t="s">
        <v>41</v>
      </c>
      <c r="B147" t="s">
        <v>53</v>
      </c>
      <c r="C147" t="s">
        <v>72</v>
      </c>
      <c r="D147" t="s">
        <v>99</v>
      </c>
      <c r="H147" t="str">
        <f t="shared" si="8"/>
        <v/>
      </c>
      <c r="I147">
        <v>0</v>
      </c>
      <c r="J147" t="str">
        <f t="shared" si="9"/>
        <v/>
      </c>
      <c r="N147" t="s">
        <v>131</v>
      </c>
      <c r="S147" t="s">
        <v>186</v>
      </c>
    </row>
    <row r="148" spans="1:19" x14ac:dyDescent="0.35">
      <c r="A148" t="s">
        <v>41</v>
      </c>
      <c r="B148" t="s">
        <v>54</v>
      </c>
      <c r="C148" t="s">
        <v>73</v>
      </c>
      <c r="D148" t="s">
        <v>100</v>
      </c>
      <c r="E148">
        <v>3.05</v>
      </c>
      <c r="F148">
        <v>2.2000000000000002</v>
      </c>
      <c r="G148">
        <v>35</v>
      </c>
      <c r="H148">
        <f t="shared" si="8"/>
        <v>1.2833333333333334</v>
      </c>
      <c r="I148">
        <v>0</v>
      </c>
      <c r="J148">
        <f t="shared" si="9"/>
        <v>0</v>
      </c>
      <c r="N148" t="s">
        <v>132</v>
      </c>
      <c r="O148" t="s">
        <v>100</v>
      </c>
      <c r="Q148" t="s">
        <v>160</v>
      </c>
      <c r="R148" t="s">
        <v>172</v>
      </c>
      <c r="S148" t="s">
        <v>187</v>
      </c>
    </row>
    <row r="149" spans="1:19" x14ac:dyDescent="0.35">
      <c r="A149" t="s">
        <v>42</v>
      </c>
      <c r="B149" t="s">
        <v>55</v>
      </c>
      <c r="C149" t="s">
        <v>74</v>
      </c>
      <c r="D149" t="s">
        <v>101</v>
      </c>
      <c r="E149">
        <v>71.75</v>
      </c>
      <c r="F149">
        <v>110.05</v>
      </c>
      <c r="G149">
        <v>64.2</v>
      </c>
      <c r="H149">
        <f t="shared" si="8"/>
        <v>117.7535</v>
      </c>
      <c r="I149">
        <v>0</v>
      </c>
      <c r="J149">
        <f t="shared" si="9"/>
        <v>0</v>
      </c>
      <c r="K149" t="s">
        <v>56</v>
      </c>
      <c r="L149" t="str">
        <f>IFERROR(IF(COUNT(J149,J150)=2,J149/J150,""),"")</f>
        <v/>
      </c>
      <c r="M149" t="str">
        <f>IFERROR(IF(ISNUMBER(J150),1/J150,""),"")</f>
        <v/>
      </c>
      <c r="N149" t="s">
        <v>133</v>
      </c>
      <c r="O149" t="s">
        <v>101</v>
      </c>
      <c r="Q149" t="s">
        <v>161</v>
      </c>
      <c r="R149" t="s">
        <v>173</v>
      </c>
      <c r="S149" t="s">
        <v>188</v>
      </c>
    </row>
    <row r="150" spans="1:19" x14ac:dyDescent="0.35">
      <c r="A150" t="s">
        <v>42</v>
      </c>
      <c r="B150" t="s">
        <v>56</v>
      </c>
      <c r="C150" t="s">
        <v>75</v>
      </c>
      <c r="D150" t="s">
        <v>101</v>
      </c>
      <c r="F150">
        <v>110.05</v>
      </c>
      <c r="G150">
        <v>64.2</v>
      </c>
      <c r="H150">
        <f t="shared" si="8"/>
        <v>117.7535</v>
      </c>
      <c r="I150">
        <v>0</v>
      </c>
      <c r="J150" t="str">
        <f t="shared" si="9"/>
        <v/>
      </c>
      <c r="N150" t="s">
        <v>134</v>
      </c>
      <c r="R150" t="s">
        <v>174</v>
      </c>
      <c r="S150" t="s">
        <v>189</v>
      </c>
    </row>
    <row r="151" spans="1:19" x14ac:dyDescent="0.35">
      <c r="A151" t="s">
        <v>42</v>
      </c>
      <c r="B151" t="s">
        <v>57</v>
      </c>
      <c r="C151" t="s">
        <v>76</v>
      </c>
      <c r="D151" t="s">
        <v>102</v>
      </c>
      <c r="E151">
        <v>0.214</v>
      </c>
      <c r="F151">
        <v>1.7470000000000001</v>
      </c>
      <c r="G151">
        <v>35</v>
      </c>
      <c r="H151">
        <f t="shared" si="8"/>
        <v>1.0190833333333333</v>
      </c>
      <c r="I151">
        <v>0</v>
      </c>
      <c r="J151">
        <f t="shared" si="9"/>
        <v>0</v>
      </c>
      <c r="N151" t="s">
        <v>135</v>
      </c>
      <c r="O151" t="s">
        <v>102</v>
      </c>
      <c r="Q151" t="s">
        <v>162</v>
      </c>
      <c r="R151" t="s">
        <v>175</v>
      </c>
      <c r="S151" t="s">
        <v>190</v>
      </c>
    </row>
    <row r="152" spans="1:19" x14ac:dyDescent="0.35">
      <c r="A152" t="s">
        <v>42</v>
      </c>
      <c r="B152" t="s">
        <v>58</v>
      </c>
      <c r="C152" t="s">
        <v>77</v>
      </c>
      <c r="D152" t="s">
        <v>101</v>
      </c>
      <c r="E152">
        <v>2.06</v>
      </c>
      <c r="F152">
        <v>110.05</v>
      </c>
      <c r="G152">
        <v>64.2</v>
      </c>
      <c r="H152">
        <f t="shared" si="8"/>
        <v>117.7535</v>
      </c>
      <c r="I152">
        <v>0</v>
      </c>
      <c r="J152">
        <f t="shared" si="9"/>
        <v>0</v>
      </c>
      <c r="K152" t="s">
        <v>59</v>
      </c>
      <c r="L152" t="str">
        <f>IFERROR(IF(COUNT(J152,J153)=2,J152/J153,""),"")</f>
        <v/>
      </c>
      <c r="M152" t="str">
        <f>IFERROR(IF(ISNUMBER(J153),1/J153,""),"")</f>
        <v/>
      </c>
      <c r="N152" t="s">
        <v>136</v>
      </c>
      <c r="O152" t="s">
        <v>101</v>
      </c>
      <c r="Q152" t="s">
        <v>163</v>
      </c>
      <c r="R152" t="s">
        <v>175</v>
      </c>
      <c r="S152" t="s">
        <v>191</v>
      </c>
    </row>
    <row r="153" spans="1:19" x14ac:dyDescent="0.35">
      <c r="A153" t="s">
        <v>42</v>
      </c>
      <c r="B153" t="s">
        <v>59</v>
      </c>
      <c r="C153" t="s">
        <v>78</v>
      </c>
      <c r="D153" t="s">
        <v>103</v>
      </c>
      <c r="E153">
        <v>3.5500000000000003</v>
      </c>
      <c r="F153">
        <v>400</v>
      </c>
      <c r="G153">
        <v>87.5</v>
      </c>
      <c r="H153">
        <f t="shared" si="8"/>
        <v>583.33333333333337</v>
      </c>
      <c r="I153">
        <v>0</v>
      </c>
      <c r="J153">
        <f t="shared" si="9"/>
        <v>0</v>
      </c>
      <c r="N153" t="s">
        <v>137</v>
      </c>
      <c r="O153" t="s">
        <v>156</v>
      </c>
      <c r="Q153" t="s">
        <v>164</v>
      </c>
      <c r="R153" t="s">
        <v>176</v>
      </c>
      <c r="S153" t="s">
        <v>192</v>
      </c>
    </row>
    <row r="154" spans="1:19" x14ac:dyDescent="0.35">
      <c r="A154" t="s">
        <v>42</v>
      </c>
      <c r="B154" t="s">
        <v>60</v>
      </c>
      <c r="C154" t="s">
        <v>79</v>
      </c>
      <c r="D154" t="s">
        <v>104</v>
      </c>
      <c r="F154">
        <v>56.35</v>
      </c>
      <c r="G154">
        <v>64.5</v>
      </c>
      <c r="H154">
        <f t="shared" si="8"/>
        <v>60.576250000000002</v>
      </c>
      <c r="I154">
        <v>0</v>
      </c>
      <c r="J154" t="str">
        <f t="shared" si="9"/>
        <v/>
      </c>
      <c r="N154" t="s">
        <v>138</v>
      </c>
      <c r="R154" t="s">
        <v>177</v>
      </c>
      <c r="S154" t="s">
        <v>193</v>
      </c>
    </row>
    <row r="155" spans="1:19" x14ac:dyDescent="0.35">
      <c r="A155" t="s">
        <v>42</v>
      </c>
      <c r="B155" t="s">
        <v>61</v>
      </c>
      <c r="C155" t="s">
        <v>80</v>
      </c>
      <c r="D155" t="s">
        <v>105</v>
      </c>
      <c r="E155">
        <f>10^(0.5)</f>
        <v>3.1622776601683795</v>
      </c>
      <c r="F155">
        <f>10^(-0.5)</f>
        <v>0.31622776601683794</v>
      </c>
      <c r="G155">
        <v>75</v>
      </c>
      <c r="H155">
        <f t="shared" si="8"/>
        <v>0.39528470752104744</v>
      </c>
      <c r="I155">
        <v>0</v>
      </c>
      <c r="J155">
        <f t="shared" si="9"/>
        <v>0</v>
      </c>
      <c r="N155" t="s">
        <v>139</v>
      </c>
      <c r="O155" t="s">
        <v>105</v>
      </c>
      <c r="Q155" t="s">
        <v>165</v>
      </c>
      <c r="R155" t="s">
        <v>178</v>
      </c>
      <c r="S155" t="s">
        <v>194</v>
      </c>
    </row>
    <row r="156" spans="1:19" x14ac:dyDescent="0.35">
      <c r="A156" t="s">
        <v>43</v>
      </c>
      <c r="B156" t="s">
        <v>62</v>
      </c>
      <c r="C156" t="s">
        <v>81</v>
      </c>
      <c r="H156" t="str">
        <f t="shared" si="8"/>
        <v/>
      </c>
      <c r="I156">
        <v>0</v>
      </c>
      <c r="J156" t="str">
        <f t="shared" si="9"/>
        <v/>
      </c>
      <c r="N156" t="s">
        <v>140</v>
      </c>
      <c r="S156" t="s">
        <v>195</v>
      </c>
    </row>
    <row r="157" spans="1:19" x14ac:dyDescent="0.35">
      <c r="A157" t="s">
        <v>43</v>
      </c>
      <c r="B157" t="s">
        <v>63</v>
      </c>
      <c r="C157" t="s">
        <v>82</v>
      </c>
      <c r="D157" t="s">
        <v>106</v>
      </c>
      <c r="E157">
        <v>0.06</v>
      </c>
      <c r="F157">
        <v>2.085</v>
      </c>
      <c r="G157">
        <v>83.5</v>
      </c>
      <c r="H157">
        <f t="shared" si="8"/>
        <v>2.9016250000000001</v>
      </c>
      <c r="I157">
        <v>0</v>
      </c>
      <c r="J157">
        <f t="shared" si="9"/>
        <v>0</v>
      </c>
      <c r="N157" t="s">
        <v>141</v>
      </c>
      <c r="O157" t="s">
        <v>106</v>
      </c>
      <c r="Q157" t="s">
        <v>163</v>
      </c>
      <c r="R157" t="s">
        <v>179</v>
      </c>
      <c r="S157" t="s">
        <v>196</v>
      </c>
    </row>
    <row r="158" spans="1:19" x14ac:dyDescent="0.35">
      <c r="A158" t="s">
        <v>44</v>
      </c>
      <c r="B158" t="s">
        <v>64</v>
      </c>
      <c r="C158" t="s">
        <v>83</v>
      </c>
      <c r="D158" t="s">
        <v>107</v>
      </c>
      <c r="E158">
        <v>0.5</v>
      </c>
      <c r="F158">
        <v>1.49</v>
      </c>
      <c r="G158">
        <v>72.400000000000006</v>
      </c>
      <c r="H158">
        <f t="shared" si="8"/>
        <v>1.7979333333333334</v>
      </c>
      <c r="I158">
        <v>0</v>
      </c>
      <c r="J158">
        <f t="shared" si="9"/>
        <v>0</v>
      </c>
      <c r="N158" t="s">
        <v>142</v>
      </c>
      <c r="O158" t="s">
        <v>107</v>
      </c>
      <c r="Q158" t="s">
        <v>166</v>
      </c>
      <c r="R158" t="s">
        <v>175</v>
      </c>
      <c r="S158" t="s">
        <v>197</v>
      </c>
    </row>
    <row r="159" spans="1:19" x14ac:dyDescent="0.35">
      <c r="A159" t="s">
        <v>44</v>
      </c>
      <c r="B159" t="s">
        <v>65</v>
      </c>
      <c r="C159" t="s">
        <v>84</v>
      </c>
      <c r="D159" t="s">
        <v>108</v>
      </c>
      <c r="E159">
        <v>0.09</v>
      </c>
      <c r="F159">
        <v>11</v>
      </c>
      <c r="G159">
        <v>76</v>
      </c>
      <c r="H159">
        <f t="shared" si="8"/>
        <v>13.933333333333334</v>
      </c>
      <c r="I159">
        <v>0</v>
      </c>
      <c r="J159">
        <f t="shared" si="9"/>
        <v>0</v>
      </c>
      <c r="N159" t="s">
        <v>143</v>
      </c>
      <c r="O159" t="s">
        <v>108</v>
      </c>
      <c r="Q159" t="s">
        <v>166</v>
      </c>
      <c r="R159" t="s">
        <v>175</v>
      </c>
      <c r="S159" t="s">
        <v>198</v>
      </c>
    </row>
    <row r="160" spans="1:19" x14ac:dyDescent="0.35">
      <c r="A160" t="s">
        <v>44</v>
      </c>
      <c r="B160" t="s">
        <v>66</v>
      </c>
      <c r="C160" t="s">
        <v>95</v>
      </c>
      <c r="D160" t="s">
        <v>119</v>
      </c>
      <c r="H160" t="str">
        <f t="shared" si="8"/>
        <v/>
      </c>
      <c r="I160">
        <v>0</v>
      </c>
      <c r="J160" t="str">
        <f t="shared" si="9"/>
        <v/>
      </c>
      <c r="N160" t="s">
        <v>154</v>
      </c>
      <c r="S160" t="s">
        <v>208</v>
      </c>
    </row>
    <row r="161" spans="1:19" x14ac:dyDescent="0.35">
      <c r="A161" t="s">
        <v>45</v>
      </c>
      <c r="B161" t="s">
        <v>67</v>
      </c>
      <c r="C161" t="s">
        <v>85</v>
      </c>
      <c r="D161" t="s">
        <v>110</v>
      </c>
      <c r="E161">
        <v>0.31</v>
      </c>
      <c r="F161">
        <v>6.1</v>
      </c>
      <c r="G161">
        <v>34</v>
      </c>
      <c r="H161">
        <f t="shared" si="8"/>
        <v>3.4566666666666661</v>
      </c>
      <c r="I161">
        <v>0</v>
      </c>
      <c r="J161">
        <f t="shared" si="9"/>
        <v>0</v>
      </c>
      <c r="N161" t="s">
        <v>144</v>
      </c>
      <c r="O161" t="s">
        <v>109</v>
      </c>
      <c r="Q161" t="s">
        <v>167</v>
      </c>
      <c r="R161" t="s">
        <v>175</v>
      </c>
      <c r="S161" t="s">
        <v>199</v>
      </c>
    </row>
    <row r="162" spans="1:19" x14ac:dyDescent="0.35">
      <c r="A162" t="s">
        <v>45</v>
      </c>
      <c r="B162" t="s">
        <v>68</v>
      </c>
      <c r="C162" t="s">
        <v>86</v>
      </c>
      <c r="D162" t="s">
        <v>111</v>
      </c>
      <c r="F162">
        <v>161.6</v>
      </c>
      <c r="G162">
        <v>48.7</v>
      </c>
      <c r="H162">
        <f t="shared" ref="H162:H193" si="10">IF(AND(ISNUMBER(F162),ISNUMBER(G162)),F162*G162/60,"")</f>
        <v>131.16533333333334</v>
      </c>
      <c r="I162">
        <v>0</v>
      </c>
      <c r="J162" t="str">
        <f t="shared" ref="J162:J193" si="11">IF(AND(ISNUMBER(H162),ISNUMBER(I162),ISNUMBER(E162)),IF(E162&gt;0,H162*I162/E162,""),"")</f>
        <v/>
      </c>
      <c r="N162" t="s">
        <v>145</v>
      </c>
      <c r="R162" t="s">
        <v>177</v>
      </c>
      <c r="S162" t="s">
        <v>200</v>
      </c>
    </row>
    <row r="163" spans="1:19" x14ac:dyDescent="0.35">
      <c r="A163" t="s">
        <v>45</v>
      </c>
      <c r="B163" t="s">
        <v>69</v>
      </c>
      <c r="C163" t="s">
        <v>87</v>
      </c>
      <c r="D163" t="s">
        <v>112</v>
      </c>
      <c r="F163">
        <v>2.6000000000000002E-2</v>
      </c>
      <c r="G163">
        <v>52</v>
      </c>
      <c r="H163">
        <f t="shared" si="10"/>
        <v>2.2533333333333336E-2</v>
      </c>
      <c r="I163">
        <v>0</v>
      </c>
      <c r="J163" t="str">
        <f t="shared" si="11"/>
        <v/>
      </c>
      <c r="N163" t="s">
        <v>146</v>
      </c>
      <c r="R163" t="s">
        <v>180</v>
      </c>
      <c r="S163" t="s">
        <v>201</v>
      </c>
    </row>
    <row r="164" spans="1:19" x14ac:dyDescent="0.35">
      <c r="A164" t="s">
        <v>46</v>
      </c>
      <c r="B164" t="s">
        <v>52</v>
      </c>
      <c r="C164" t="s">
        <v>71</v>
      </c>
      <c r="D164" t="s">
        <v>98</v>
      </c>
      <c r="E164">
        <v>1.2E-2</v>
      </c>
      <c r="F164">
        <v>0.22800000000000001</v>
      </c>
      <c r="G164">
        <v>76.5</v>
      </c>
      <c r="H164">
        <f t="shared" si="10"/>
        <v>0.29070000000000001</v>
      </c>
      <c r="I164">
        <v>0</v>
      </c>
      <c r="J164">
        <f t="shared" si="11"/>
        <v>0</v>
      </c>
      <c r="N164" t="s">
        <v>130</v>
      </c>
      <c r="O164" t="s">
        <v>98</v>
      </c>
      <c r="Q164" t="s">
        <v>159</v>
      </c>
      <c r="R164" t="s">
        <v>171</v>
      </c>
      <c r="S164" t="s">
        <v>185</v>
      </c>
    </row>
    <row r="165" spans="1:19" x14ac:dyDescent="0.35">
      <c r="A165" t="s">
        <v>46</v>
      </c>
      <c r="B165" t="s">
        <v>53</v>
      </c>
      <c r="C165" t="s">
        <v>72</v>
      </c>
      <c r="D165" t="s">
        <v>99</v>
      </c>
      <c r="H165" t="str">
        <f t="shared" si="10"/>
        <v/>
      </c>
      <c r="I165">
        <v>0</v>
      </c>
      <c r="J165" t="str">
        <f t="shared" si="11"/>
        <v/>
      </c>
      <c r="N165" t="s">
        <v>131</v>
      </c>
      <c r="S165" t="s">
        <v>186</v>
      </c>
    </row>
    <row r="166" spans="1:19" x14ac:dyDescent="0.35">
      <c r="A166" t="s">
        <v>46</v>
      </c>
      <c r="B166" t="s">
        <v>54</v>
      </c>
      <c r="C166" t="s">
        <v>73</v>
      </c>
      <c r="D166" t="s">
        <v>100</v>
      </c>
      <c r="E166">
        <v>3.05</v>
      </c>
      <c r="F166">
        <v>2.2000000000000002</v>
      </c>
      <c r="G166">
        <v>35</v>
      </c>
      <c r="H166">
        <f t="shared" si="10"/>
        <v>1.2833333333333334</v>
      </c>
      <c r="I166">
        <v>0</v>
      </c>
      <c r="J166">
        <f t="shared" si="11"/>
        <v>0</v>
      </c>
      <c r="N166" t="s">
        <v>132</v>
      </c>
      <c r="O166" t="s">
        <v>100</v>
      </c>
      <c r="Q166" t="s">
        <v>160</v>
      </c>
      <c r="R166" t="s">
        <v>172</v>
      </c>
      <c r="S166" t="s">
        <v>187</v>
      </c>
    </row>
    <row r="167" spans="1:19" x14ac:dyDescent="0.35">
      <c r="A167" t="s">
        <v>47</v>
      </c>
      <c r="B167" t="s">
        <v>55</v>
      </c>
      <c r="C167" t="s">
        <v>74</v>
      </c>
      <c r="D167" t="s">
        <v>101</v>
      </c>
      <c r="E167">
        <v>71.75</v>
      </c>
      <c r="F167">
        <v>110.05</v>
      </c>
      <c r="G167">
        <v>64.2</v>
      </c>
      <c r="H167">
        <f t="shared" si="10"/>
        <v>117.7535</v>
      </c>
      <c r="I167">
        <v>0</v>
      </c>
      <c r="J167">
        <f t="shared" si="11"/>
        <v>0</v>
      </c>
      <c r="K167" t="s">
        <v>56</v>
      </c>
      <c r="L167" t="str">
        <f>IFERROR(IF(COUNT(J167,J168)=2,J167/J168,""),"")</f>
        <v/>
      </c>
      <c r="M167" t="str">
        <f>IFERROR(IF(ISNUMBER(J168),1/J168,""),"")</f>
        <v/>
      </c>
      <c r="N167" t="s">
        <v>133</v>
      </c>
      <c r="O167" t="s">
        <v>101</v>
      </c>
      <c r="Q167" t="s">
        <v>161</v>
      </c>
      <c r="R167" t="s">
        <v>173</v>
      </c>
      <c r="S167" t="s">
        <v>188</v>
      </c>
    </row>
    <row r="168" spans="1:19" x14ac:dyDescent="0.35">
      <c r="A168" t="s">
        <v>47</v>
      </c>
      <c r="B168" t="s">
        <v>56</v>
      </c>
      <c r="C168" t="s">
        <v>75</v>
      </c>
      <c r="D168" t="s">
        <v>101</v>
      </c>
      <c r="F168">
        <v>110.05</v>
      </c>
      <c r="G168">
        <v>64.2</v>
      </c>
      <c r="H168">
        <f t="shared" si="10"/>
        <v>117.7535</v>
      </c>
      <c r="I168">
        <v>0</v>
      </c>
      <c r="J168" t="str">
        <f t="shared" si="11"/>
        <v/>
      </c>
      <c r="N168" t="s">
        <v>134</v>
      </c>
      <c r="R168" t="s">
        <v>174</v>
      </c>
      <c r="S168" t="s">
        <v>189</v>
      </c>
    </row>
    <row r="169" spans="1:19" x14ac:dyDescent="0.35">
      <c r="A169" t="s">
        <v>47</v>
      </c>
      <c r="B169" t="s">
        <v>57</v>
      </c>
      <c r="C169" t="s">
        <v>76</v>
      </c>
      <c r="D169" t="s">
        <v>102</v>
      </c>
      <c r="E169">
        <v>0.214</v>
      </c>
      <c r="F169">
        <v>1.7470000000000001</v>
      </c>
      <c r="G169">
        <v>35</v>
      </c>
      <c r="H169">
        <f t="shared" si="10"/>
        <v>1.0190833333333333</v>
      </c>
      <c r="I169">
        <v>0</v>
      </c>
      <c r="J169">
        <f t="shared" si="11"/>
        <v>0</v>
      </c>
      <c r="N169" t="s">
        <v>135</v>
      </c>
      <c r="O169" t="s">
        <v>102</v>
      </c>
      <c r="Q169" t="s">
        <v>162</v>
      </c>
      <c r="R169" t="s">
        <v>175</v>
      </c>
      <c r="S169" t="s">
        <v>190</v>
      </c>
    </row>
    <row r="170" spans="1:19" x14ac:dyDescent="0.35">
      <c r="A170" t="s">
        <v>47</v>
      </c>
      <c r="B170" t="s">
        <v>58</v>
      </c>
      <c r="C170" t="s">
        <v>77</v>
      </c>
      <c r="D170" t="s">
        <v>101</v>
      </c>
      <c r="E170">
        <v>2.06</v>
      </c>
      <c r="F170">
        <v>110.05</v>
      </c>
      <c r="G170">
        <v>64.2</v>
      </c>
      <c r="H170">
        <f t="shared" si="10"/>
        <v>117.7535</v>
      </c>
      <c r="I170">
        <v>0</v>
      </c>
      <c r="J170">
        <f t="shared" si="11"/>
        <v>0</v>
      </c>
      <c r="K170" t="s">
        <v>59</v>
      </c>
      <c r="L170" t="str">
        <f>IFERROR(IF(COUNT(J170,J171)=2,J170/J171,""),"")</f>
        <v/>
      </c>
      <c r="M170" t="str">
        <f>IFERROR(IF(ISNUMBER(J171),1/J171,""),"")</f>
        <v/>
      </c>
      <c r="N170" t="s">
        <v>136</v>
      </c>
      <c r="O170" t="s">
        <v>101</v>
      </c>
      <c r="Q170" t="s">
        <v>163</v>
      </c>
      <c r="R170" t="s">
        <v>175</v>
      </c>
      <c r="S170" t="s">
        <v>191</v>
      </c>
    </row>
    <row r="171" spans="1:19" x14ac:dyDescent="0.35">
      <c r="A171" t="s">
        <v>47</v>
      </c>
      <c r="B171" t="s">
        <v>59</v>
      </c>
      <c r="C171" t="s">
        <v>78</v>
      </c>
      <c r="D171" t="s">
        <v>103</v>
      </c>
      <c r="E171">
        <v>3.5500000000000003</v>
      </c>
      <c r="F171">
        <v>400</v>
      </c>
      <c r="G171">
        <v>87.5</v>
      </c>
      <c r="H171">
        <f t="shared" si="10"/>
        <v>583.33333333333337</v>
      </c>
      <c r="I171">
        <v>0</v>
      </c>
      <c r="J171">
        <f t="shared" si="11"/>
        <v>0</v>
      </c>
      <c r="N171" t="s">
        <v>137</v>
      </c>
      <c r="O171" t="s">
        <v>156</v>
      </c>
      <c r="Q171" t="s">
        <v>164</v>
      </c>
      <c r="R171" t="s">
        <v>176</v>
      </c>
      <c r="S171" t="s">
        <v>192</v>
      </c>
    </row>
    <row r="172" spans="1:19" x14ac:dyDescent="0.35">
      <c r="A172" t="s">
        <v>47</v>
      </c>
      <c r="B172" t="s">
        <v>60</v>
      </c>
      <c r="C172" t="s">
        <v>79</v>
      </c>
      <c r="D172" t="s">
        <v>104</v>
      </c>
      <c r="F172">
        <v>56.35</v>
      </c>
      <c r="G172">
        <v>64.5</v>
      </c>
      <c r="H172">
        <f t="shared" si="10"/>
        <v>60.576250000000002</v>
      </c>
      <c r="I172">
        <v>0</v>
      </c>
      <c r="J172" t="str">
        <f t="shared" si="11"/>
        <v/>
      </c>
      <c r="N172" t="s">
        <v>138</v>
      </c>
      <c r="R172" t="s">
        <v>177</v>
      </c>
      <c r="S172" t="s">
        <v>193</v>
      </c>
    </row>
    <row r="173" spans="1:19" x14ac:dyDescent="0.35">
      <c r="A173" t="s">
        <v>47</v>
      </c>
      <c r="B173" t="s">
        <v>61</v>
      </c>
      <c r="C173" t="s">
        <v>80</v>
      </c>
      <c r="D173" t="s">
        <v>105</v>
      </c>
      <c r="E173">
        <v>0.93</v>
      </c>
      <c r="F173">
        <v>0.36291999999999996</v>
      </c>
      <c r="G173">
        <v>45.646999999999998</v>
      </c>
      <c r="H173">
        <f t="shared" si="10"/>
        <v>0.27610348733333334</v>
      </c>
      <c r="I173">
        <v>0</v>
      </c>
      <c r="J173">
        <f t="shared" si="11"/>
        <v>0</v>
      </c>
      <c r="N173" t="s">
        <v>139</v>
      </c>
      <c r="O173" t="s">
        <v>105</v>
      </c>
      <c r="Q173" t="s">
        <v>165</v>
      </c>
      <c r="R173" t="s">
        <v>178</v>
      </c>
      <c r="S173" t="s">
        <v>194</v>
      </c>
    </row>
    <row r="174" spans="1:19" x14ac:dyDescent="0.35">
      <c r="A174" t="s">
        <v>48</v>
      </c>
      <c r="B174" t="s">
        <v>62</v>
      </c>
      <c r="C174" t="s">
        <v>81</v>
      </c>
      <c r="H174" t="str">
        <f t="shared" si="10"/>
        <v/>
      </c>
      <c r="I174">
        <v>0</v>
      </c>
      <c r="J174" t="str">
        <f t="shared" si="11"/>
        <v/>
      </c>
      <c r="N174" t="s">
        <v>140</v>
      </c>
      <c r="S174" t="s">
        <v>195</v>
      </c>
    </row>
    <row r="175" spans="1:19" x14ac:dyDescent="0.35">
      <c r="A175" t="s">
        <v>48</v>
      </c>
      <c r="B175" t="s">
        <v>63</v>
      </c>
      <c r="C175" t="s">
        <v>82</v>
      </c>
      <c r="D175" t="s">
        <v>106</v>
      </c>
      <c r="E175">
        <v>0.06</v>
      </c>
      <c r="F175">
        <v>2.085</v>
      </c>
      <c r="G175">
        <v>83.5</v>
      </c>
      <c r="H175">
        <f t="shared" si="10"/>
        <v>2.9016250000000001</v>
      </c>
      <c r="I175">
        <v>0</v>
      </c>
      <c r="J175">
        <f t="shared" si="11"/>
        <v>0</v>
      </c>
      <c r="N175" t="s">
        <v>141</v>
      </c>
      <c r="O175" t="s">
        <v>106</v>
      </c>
      <c r="Q175" t="s">
        <v>163</v>
      </c>
      <c r="R175" t="s">
        <v>179</v>
      </c>
      <c r="S175" t="s">
        <v>196</v>
      </c>
    </row>
    <row r="176" spans="1:19" x14ac:dyDescent="0.35">
      <c r="A176" t="s">
        <v>49</v>
      </c>
      <c r="B176" t="s">
        <v>64</v>
      </c>
      <c r="C176" t="s">
        <v>83</v>
      </c>
      <c r="D176" t="s">
        <v>107</v>
      </c>
      <c r="E176">
        <v>0.5</v>
      </c>
      <c r="F176">
        <v>1.49</v>
      </c>
      <c r="G176">
        <v>72.400000000000006</v>
      </c>
      <c r="H176">
        <f t="shared" si="10"/>
        <v>1.7979333333333334</v>
      </c>
      <c r="I176">
        <v>0</v>
      </c>
      <c r="J176">
        <f t="shared" si="11"/>
        <v>0</v>
      </c>
      <c r="N176" t="s">
        <v>142</v>
      </c>
      <c r="O176" t="s">
        <v>107</v>
      </c>
      <c r="Q176" t="s">
        <v>166</v>
      </c>
      <c r="R176" t="s">
        <v>175</v>
      </c>
      <c r="S176" t="s">
        <v>197</v>
      </c>
    </row>
    <row r="177" spans="1:19" x14ac:dyDescent="0.35">
      <c r="A177" t="s">
        <v>49</v>
      </c>
      <c r="B177" t="s">
        <v>65</v>
      </c>
      <c r="C177" t="s">
        <v>84</v>
      </c>
      <c r="D177" t="s">
        <v>108</v>
      </c>
      <c r="E177">
        <v>0.09</v>
      </c>
      <c r="F177">
        <v>11</v>
      </c>
      <c r="G177">
        <v>76</v>
      </c>
      <c r="H177">
        <f t="shared" si="10"/>
        <v>13.933333333333334</v>
      </c>
      <c r="I177">
        <v>0</v>
      </c>
      <c r="J177">
        <f t="shared" si="11"/>
        <v>0</v>
      </c>
      <c r="N177" t="s">
        <v>143</v>
      </c>
      <c r="O177" t="s">
        <v>108</v>
      </c>
      <c r="Q177" t="s">
        <v>166</v>
      </c>
      <c r="R177" t="s">
        <v>175</v>
      </c>
      <c r="S177" t="s">
        <v>198</v>
      </c>
    </row>
    <row r="178" spans="1:19" x14ac:dyDescent="0.35">
      <c r="A178" t="s">
        <v>49</v>
      </c>
      <c r="B178" t="s">
        <v>66</v>
      </c>
      <c r="C178" t="s">
        <v>96</v>
      </c>
      <c r="D178" t="s">
        <v>118</v>
      </c>
      <c r="E178">
        <v>0.125</v>
      </c>
      <c r="F178">
        <v>7.26</v>
      </c>
      <c r="G178">
        <v>25.63</v>
      </c>
      <c r="H178">
        <f t="shared" si="10"/>
        <v>3.1012299999999997</v>
      </c>
      <c r="I178">
        <v>0</v>
      </c>
      <c r="J178">
        <f t="shared" si="11"/>
        <v>0</v>
      </c>
      <c r="N178" t="s">
        <v>153</v>
      </c>
      <c r="O178" t="s">
        <v>118</v>
      </c>
      <c r="Q178" t="s">
        <v>167</v>
      </c>
      <c r="R178" t="s">
        <v>175</v>
      </c>
      <c r="S178" t="s">
        <v>207</v>
      </c>
    </row>
    <row r="179" spans="1:19" x14ac:dyDescent="0.35">
      <c r="A179" t="s">
        <v>50</v>
      </c>
      <c r="B179" t="s">
        <v>67</v>
      </c>
      <c r="C179" t="s">
        <v>85</v>
      </c>
      <c r="D179" t="s">
        <v>110</v>
      </c>
      <c r="E179">
        <v>0.31</v>
      </c>
      <c r="F179">
        <v>6.1</v>
      </c>
      <c r="G179">
        <v>34</v>
      </c>
      <c r="H179">
        <f t="shared" si="10"/>
        <v>3.4566666666666661</v>
      </c>
      <c r="I179">
        <v>0</v>
      </c>
      <c r="J179">
        <f t="shared" si="11"/>
        <v>0</v>
      </c>
      <c r="N179" t="s">
        <v>144</v>
      </c>
      <c r="O179" t="s">
        <v>109</v>
      </c>
      <c r="Q179" t="s">
        <v>167</v>
      </c>
      <c r="R179" t="s">
        <v>175</v>
      </c>
      <c r="S179" t="s">
        <v>199</v>
      </c>
    </row>
    <row r="180" spans="1:19" x14ac:dyDescent="0.35">
      <c r="A180" t="s">
        <v>50</v>
      </c>
      <c r="B180" t="s">
        <v>68</v>
      </c>
      <c r="C180" t="s">
        <v>86</v>
      </c>
      <c r="D180" t="s">
        <v>111</v>
      </c>
      <c r="F180">
        <v>161.6</v>
      </c>
      <c r="G180">
        <v>48.7</v>
      </c>
      <c r="H180">
        <f t="shared" si="10"/>
        <v>131.16533333333334</v>
      </c>
      <c r="I180">
        <v>0</v>
      </c>
      <c r="J180" t="str">
        <f t="shared" si="11"/>
        <v/>
      </c>
      <c r="N180" t="s">
        <v>145</v>
      </c>
      <c r="R180" t="s">
        <v>177</v>
      </c>
      <c r="S180" t="s">
        <v>200</v>
      </c>
    </row>
    <row r="181" spans="1:19" x14ac:dyDescent="0.35">
      <c r="A181" t="s">
        <v>50</v>
      </c>
      <c r="B181" t="s">
        <v>69</v>
      </c>
      <c r="C181" t="s">
        <v>87</v>
      </c>
      <c r="D181" t="s">
        <v>112</v>
      </c>
      <c r="F181">
        <v>2.6000000000000002E-2</v>
      </c>
      <c r="G181">
        <v>52</v>
      </c>
      <c r="H181">
        <f t="shared" si="10"/>
        <v>2.2533333333333336E-2</v>
      </c>
      <c r="I181">
        <v>0</v>
      </c>
      <c r="J181" t="str">
        <f t="shared" si="11"/>
        <v/>
      </c>
      <c r="N181" t="s">
        <v>146</v>
      </c>
      <c r="R181" t="s">
        <v>180</v>
      </c>
      <c r="S181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1"/>
  <sheetViews>
    <sheetView workbookViewId="0"/>
  </sheetViews>
  <sheetFormatPr defaultRowHeight="14.5" x14ac:dyDescent="0.35"/>
  <cols>
    <col min="1" max="1" width="10.1796875" customWidth="1"/>
    <col min="2" max="2" width="11.54296875" customWidth="1"/>
    <col min="3" max="3" width="9.81640625" customWidth="1"/>
    <col min="4" max="4" width="61.81640625" customWidth="1"/>
    <col min="5" max="5" width="15.26953125" customWidth="1"/>
    <col min="6" max="6" width="10.26953125" customWidth="1"/>
    <col min="7" max="7" width="3.1796875" customWidth="1"/>
    <col min="8" max="8" width="6.7265625" customWidth="1"/>
    <col min="9" max="9" width="7.81640625" customWidth="1"/>
    <col min="10" max="10" width="5.7265625" customWidth="1"/>
    <col min="11" max="11" width="324.26953125" customWidth="1"/>
  </cols>
  <sheetData>
    <row r="1" spans="1:11" x14ac:dyDescent="0.35">
      <c r="A1" t="s">
        <v>51</v>
      </c>
      <c r="B1" t="s">
        <v>209</v>
      </c>
      <c r="C1" t="s">
        <v>234</v>
      </c>
      <c r="D1" t="s">
        <v>237</v>
      </c>
      <c r="E1" t="s">
        <v>271</v>
      </c>
      <c r="F1" t="s">
        <v>120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</row>
    <row r="2" spans="1:11" x14ac:dyDescent="0.35">
      <c r="A2" t="s">
        <v>52</v>
      </c>
      <c r="B2" t="s">
        <v>210</v>
      </c>
      <c r="C2" t="s">
        <v>98</v>
      </c>
      <c r="D2" t="s">
        <v>238</v>
      </c>
      <c r="E2" t="s">
        <v>272</v>
      </c>
      <c r="F2">
        <v>1.2E-2</v>
      </c>
      <c r="G2">
        <v>1</v>
      </c>
      <c r="H2">
        <v>1.2E-2</v>
      </c>
      <c r="I2">
        <v>1.2E-2</v>
      </c>
      <c r="J2">
        <v>1.2E-2</v>
      </c>
      <c r="K2" t="s">
        <v>171</v>
      </c>
    </row>
    <row r="3" spans="1:11" x14ac:dyDescent="0.35">
      <c r="A3" t="s">
        <v>52</v>
      </c>
      <c r="B3" t="s">
        <v>210</v>
      </c>
      <c r="C3" t="s">
        <v>98</v>
      </c>
      <c r="D3" t="s">
        <v>239</v>
      </c>
      <c r="E3" t="s">
        <v>273</v>
      </c>
      <c r="G3">
        <v>0</v>
      </c>
    </row>
    <row r="4" spans="1:11" x14ac:dyDescent="0.35">
      <c r="A4" t="s">
        <v>53</v>
      </c>
      <c r="B4" t="s">
        <v>211</v>
      </c>
      <c r="C4" t="s">
        <v>99</v>
      </c>
      <c r="D4" t="s">
        <v>240</v>
      </c>
      <c r="E4" t="s">
        <v>273</v>
      </c>
      <c r="G4">
        <v>0</v>
      </c>
    </row>
    <row r="5" spans="1:11" x14ac:dyDescent="0.35">
      <c r="A5" t="s">
        <v>53</v>
      </c>
      <c r="B5" t="s">
        <v>211</v>
      </c>
      <c r="C5" t="s">
        <v>99</v>
      </c>
      <c r="D5" t="s">
        <v>241</v>
      </c>
      <c r="E5" t="s">
        <v>273</v>
      </c>
      <c r="G5">
        <v>0</v>
      </c>
    </row>
    <row r="6" spans="1:11" x14ac:dyDescent="0.35">
      <c r="A6" t="s">
        <v>53</v>
      </c>
      <c r="B6" t="s">
        <v>211</v>
      </c>
      <c r="C6" t="s">
        <v>99</v>
      </c>
      <c r="D6" t="s">
        <v>242</v>
      </c>
      <c r="E6" t="s">
        <v>273</v>
      </c>
      <c r="G6">
        <v>0</v>
      </c>
    </row>
    <row r="7" spans="1:11" x14ac:dyDescent="0.35">
      <c r="A7" t="s">
        <v>53</v>
      </c>
      <c r="B7" t="s">
        <v>211</v>
      </c>
      <c r="C7" t="s">
        <v>99</v>
      </c>
      <c r="D7" t="s">
        <v>243</v>
      </c>
      <c r="E7" t="s">
        <v>273</v>
      </c>
      <c r="G7">
        <v>0</v>
      </c>
    </row>
    <row r="8" spans="1:11" x14ac:dyDescent="0.35">
      <c r="A8" t="s">
        <v>54</v>
      </c>
      <c r="B8" t="s">
        <v>212</v>
      </c>
      <c r="C8" t="s">
        <v>100</v>
      </c>
      <c r="D8" t="s">
        <v>244</v>
      </c>
      <c r="E8" t="s">
        <v>272</v>
      </c>
      <c r="F8">
        <v>3.05</v>
      </c>
      <c r="G8">
        <v>14</v>
      </c>
      <c r="H8">
        <v>5.4000000000000003E-3</v>
      </c>
      <c r="I8">
        <v>3.05</v>
      </c>
      <c r="J8">
        <v>25</v>
      </c>
      <c r="K8" t="s">
        <v>172</v>
      </c>
    </row>
    <row r="9" spans="1:11" x14ac:dyDescent="0.35">
      <c r="A9" t="s">
        <v>54</v>
      </c>
      <c r="B9" t="s">
        <v>212</v>
      </c>
      <c r="C9" t="s">
        <v>100</v>
      </c>
      <c r="D9" t="s">
        <v>239</v>
      </c>
      <c r="E9" t="s">
        <v>273</v>
      </c>
      <c r="G9">
        <v>0</v>
      </c>
    </row>
    <row r="10" spans="1:11" x14ac:dyDescent="0.35">
      <c r="A10" t="s">
        <v>55</v>
      </c>
      <c r="B10" t="s">
        <v>213</v>
      </c>
      <c r="C10" t="s">
        <v>101</v>
      </c>
      <c r="D10" t="s">
        <v>245</v>
      </c>
      <c r="E10" t="s">
        <v>272</v>
      </c>
      <c r="F10">
        <v>71.75</v>
      </c>
      <c r="G10">
        <v>2</v>
      </c>
      <c r="H10">
        <v>3.5</v>
      </c>
      <c r="I10">
        <v>71.75</v>
      </c>
      <c r="J10">
        <v>140</v>
      </c>
      <c r="K10" t="s">
        <v>173</v>
      </c>
    </row>
    <row r="11" spans="1:11" x14ac:dyDescent="0.35">
      <c r="A11" t="s">
        <v>55</v>
      </c>
      <c r="B11" t="s">
        <v>213</v>
      </c>
      <c r="C11" t="s">
        <v>101</v>
      </c>
      <c r="D11" t="s">
        <v>246</v>
      </c>
      <c r="E11" t="s">
        <v>273</v>
      </c>
      <c r="F11">
        <v>2.06</v>
      </c>
      <c r="G11">
        <v>1</v>
      </c>
      <c r="H11">
        <v>2.06</v>
      </c>
      <c r="I11">
        <v>2.06</v>
      </c>
      <c r="J11">
        <v>2.06</v>
      </c>
      <c r="K11" t="s">
        <v>175</v>
      </c>
    </row>
    <row r="12" spans="1:11" x14ac:dyDescent="0.35">
      <c r="A12" t="s">
        <v>55</v>
      </c>
      <c r="B12" t="s">
        <v>213</v>
      </c>
      <c r="C12" t="s">
        <v>101</v>
      </c>
      <c r="D12" t="s">
        <v>241</v>
      </c>
      <c r="E12" t="s">
        <v>273</v>
      </c>
      <c r="G12">
        <v>0</v>
      </c>
    </row>
    <row r="13" spans="1:11" x14ac:dyDescent="0.35">
      <c r="A13" t="s">
        <v>56</v>
      </c>
      <c r="B13" t="s">
        <v>214</v>
      </c>
      <c r="C13" t="s">
        <v>101</v>
      </c>
      <c r="D13" t="s">
        <v>247</v>
      </c>
      <c r="E13" t="s">
        <v>273</v>
      </c>
      <c r="G13">
        <v>0</v>
      </c>
    </row>
    <row r="14" spans="1:11" x14ac:dyDescent="0.35">
      <c r="A14" t="s">
        <v>56</v>
      </c>
      <c r="B14" t="s">
        <v>214</v>
      </c>
      <c r="C14" t="s">
        <v>101</v>
      </c>
      <c r="D14" t="s">
        <v>239</v>
      </c>
      <c r="E14" t="s">
        <v>273</v>
      </c>
      <c r="G14">
        <v>0</v>
      </c>
    </row>
    <row r="15" spans="1:11" x14ac:dyDescent="0.35">
      <c r="A15" t="s">
        <v>57</v>
      </c>
      <c r="B15" t="s">
        <v>215</v>
      </c>
      <c r="C15" t="s">
        <v>102</v>
      </c>
      <c r="D15" t="s">
        <v>241</v>
      </c>
      <c r="E15" t="s">
        <v>273</v>
      </c>
      <c r="G15">
        <v>0</v>
      </c>
    </row>
    <row r="16" spans="1:11" x14ac:dyDescent="0.35">
      <c r="A16" t="s">
        <v>57</v>
      </c>
      <c r="B16" t="s">
        <v>215</v>
      </c>
      <c r="C16" t="s">
        <v>102</v>
      </c>
      <c r="D16" t="s">
        <v>248</v>
      </c>
      <c r="E16" t="s">
        <v>273</v>
      </c>
      <c r="G16">
        <v>0</v>
      </c>
    </row>
    <row r="17" spans="1:11" x14ac:dyDescent="0.35">
      <c r="A17" t="s">
        <v>57</v>
      </c>
      <c r="B17" t="s">
        <v>215</v>
      </c>
      <c r="C17" t="s">
        <v>102</v>
      </c>
      <c r="D17" t="s">
        <v>249</v>
      </c>
      <c r="E17" t="s">
        <v>272</v>
      </c>
      <c r="F17">
        <v>0.214</v>
      </c>
      <c r="G17">
        <v>2</v>
      </c>
      <c r="H17">
        <v>0.03</v>
      </c>
      <c r="I17">
        <v>0.214</v>
      </c>
      <c r="J17">
        <v>0.39800000000000002</v>
      </c>
      <c r="K17" t="s">
        <v>175</v>
      </c>
    </row>
    <row r="18" spans="1:11" x14ac:dyDescent="0.35">
      <c r="A18" t="s">
        <v>58</v>
      </c>
      <c r="B18" t="s">
        <v>216</v>
      </c>
      <c r="C18" t="s">
        <v>101</v>
      </c>
      <c r="D18" t="s">
        <v>246</v>
      </c>
      <c r="E18" t="s">
        <v>272</v>
      </c>
      <c r="F18">
        <v>2.06</v>
      </c>
      <c r="G18">
        <v>1</v>
      </c>
      <c r="H18">
        <v>2.06</v>
      </c>
      <c r="I18">
        <v>2.06</v>
      </c>
      <c r="J18">
        <v>2.06</v>
      </c>
      <c r="K18" t="s">
        <v>175</v>
      </c>
    </row>
    <row r="19" spans="1:11" x14ac:dyDescent="0.35">
      <c r="A19" t="s">
        <v>58</v>
      </c>
      <c r="B19" t="s">
        <v>216</v>
      </c>
      <c r="C19" t="s">
        <v>101</v>
      </c>
      <c r="D19" t="s">
        <v>250</v>
      </c>
      <c r="E19" t="s">
        <v>273</v>
      </c>
      <c r="F19">
        <v>22.5</v>
      </c>
      <c r="G19">
        <v>1</v>
      </c>
      <c r="H19">
        <v>22.5</v>
      </c>
      <c r="I19">
        <v>22.5</v>
      </c>
      <c r="J19">
        <v>22.5</v>
      </c>
      <c r="K19" t="s">
        <v>175</v>
      </c>
    </row>
    <row r="20" spans="1:11" x14ac:dyDescent="0.35">
      <c r="A20" t="s">
        <v>59</v>
      </c>
      <c r="B20" t="s">
        <v>217</v>
      </c>
      <c r="C20" t="s">
        <v>156</v>
      </c>
      <c r="D20" t="s">
        <v>251</v>
      </c>
      <c r="E20" t="s">
        <v>273</v>
      </c>
      <c r="G20">
        <v>0</v>
      </c>
    </row>
    <row r="21" spans="1:11" x14ac:dyDescent="0.35">
      <c r="A21" t="s">
        <v>59</v>
      </c>
      <c r="B21" t="s">
        <v>217</v>
      </c>
      <c r="C21" t="s">
        <v>156</v>
      </c>
      <c r="D21" t="s">
        <v>252</v>
      </c>
      <c r="E21" t="s">
        <v>272</v>
      </c>
      <c r="F21">
        <v>3.5500000000000003</v>
      </c>
      <c r="G21">
        <v>6</v>
      </c>
      <c r="H21">
        <v>1.4</v>
      </c>
      <c r="I21">
        <v>3.5500000000000003</v>
      </c>
      <c r="J21">
        <v>11.1</v>
      </c>
      <c r="K21" t="s">
        <v>176</v>
      </c>
    </row>
    <row r="22" spans="1:11" x14ac:dyDescent="0.35">
      <c r="A22" t="s">
        <v>59</v>
      </c>
      <c r="B22" t="s">
        <v>217</v>
      </c>
      <c r="C22" t="s">
        <v>235</v>
      </c>
      <c r="D22" t="s">
        <v>251</v>
      </c>
      <c r="E22" t="s">
        <v>273</v>
      </c>
      <c r="G22">
        <v>0</v>
      </c>
    </row>
    <row r="23" spans="1:11" x14ac:dyDescent="0.35">
      <c r="A23" t="s">
        <v>59</v>
      </c>
      <c r="B23" t="s">
        <v>217</v>
      </c>
      <c r="C23" t="s">
        <v>235</v>
      </c>
      <c r="D23" t="s">
        <v>252</v>
      </c>
      <c r="E23" t="s">
        <v>272</v>
      </c>
      <c r="F23">
        <v>5.1400000000000006</v>
      </c>
      <c r="G23">
        <v>2</v>
      </c>
      <c r="H23">
        <v>0.28000000000000003</v>
      </c>
      <c r="I23">
        <v>5.1400000000000006</v>
      </c>
      <c r="J23">
        <v>10</v>
      </c>
      <c r="K23" t="s">
        <v>279</v>
      </c>
    </row>
    <row r="24" spans="1:11" x14ac:dyDescent="0.35">
      <c r="A24" t="s">
        <v>60</v>
      </c>
      <c r="B24" t="s">
        <v>218</v>
      </c>
      <c r="C24" t="s">
        <v>104</v>
      </c>
      <c r="D24" t="s">
        <v>253</v>
      </c>
      <c r="E24" t="s">
        <v>273</v>
      </c>
      <c r="G24">
        <v>0</v>
      </c>
    </row>
    <row r="25" spans="1:11" x14ac:dyDescent="0.35">
      <c r="A25" t="s">
        <v>60</v>
      </c>
      <c r="B25" t="s">
        <v>218</v>
      </c>
      <c r="C25" t="s">
        <v>104</v>
      </c>
      <c r="D25" t="s">
        <v>239</v>
      </c>
      <c r="E25" t="s">
        <v>273</v>
      </c>
      <c r="G25">
        <v>0</v>
      </c>
    </row>
    <row r="26" spans="1:11" x14ac:dyDescent="0.35">
      <c r="A26" t="s">
        <v>60</v>
      </c>
      <c r="B26" t="s">
        <v>218</v>
      </c>
      <c r="C26" t="s">
        <v>104</v>
      </c>
      <c r="D26" t="s">
        <v>254</v>
      </c>
      <c r="E26" t="s">
        <v>273</v>
      </c>
      <c r="G26">
        <v>0</v>
      </c>
    </row>
    <row r="27" spans="1:11" x14ac:dyDescent="0.35">
      <c r="A27" t="s">
        <v>61</v>
      </c>
      <c r="B27" t="s">
        <v>219</v>
      </c>
      <c r="C27" t="s">
        <v>105</v>
      </c>
      <c r="D27" t="s">
        <v>254</v>
      </c>
      <c r="E27" t="s">
        <v>272</v>
      </c>
      <c r="F27">
        <v>0.93</v>
      </c>
      <c r="G27">
        <v>1</v>
      </c>
      <c r="H27">
        <v>0.93</v>
      </c>
      <c r="I27">
        <v>0.93</v>
      </c>
      <c r="J27">
        <v>0.93</v>
      </c>
      <c r="K27" t="s">
        <v>178</v>
      </c>
    </row>
    <row r="28" spans="1:11" x14ac:dyDescent="0.35">
      <c r="A28" t="s">
        <v>61</v>
      </c>
      <c r="B28" t="s">
        <v>219</v>
      </c>
      <c r="C28" t="s">
        <v>105</v>
      </c>
      <c r="D28" t="s">
        <v>249</v>
      </c>
      <c r="E28" t="s">
        <v>273</v>
      </c>
      <c r="G28">
        <v>0</v>
      </c>
    </row>
    <row r="29" spans="1:11" x14ac:dyDescent="0.35">
      <c r="A29" t="s">
        <v>63</v>
      </c>
      <c r="B29" t="s">
        <v>220</v>
      </c>
      <c r="C29" t="s">
        <v>106</v>
      </c>
      <c r="D29" t="s">
        <v>246</v>
      </c>
      <c r="E29" t="s">
        <v>272</v>
      </c>
      <c r="F29">
        <v>0.06</v>
      </c>
      <c r="G29">
        <v>1</v>
      </c>
      <c r="H29">
        <v>0.06</v>
      </c>
      <c r="I29">
        <v>0.06</v>
      </c>
      <c r="J29">
        <v>0.06</v>
      </c>
      <c r="K29" t="s">
        <v>179</v>
      </c>
    </row>
    <row r="30" spans="1:11" x14ac:dyDescent="0.35">
      <c r="A30" t="s">
        <v>63</v>
      </c>
      <c r="B30" t="s">
        <v>220</v>
      </c>
      <c r="C30" t="s">
        <v>106</v>
      </c>
      <c r="D30" t="s">
        <v>255</v>
      </c>
      <c r="E30" t="s">
        <v>273</v>
      </c>
      <c r="F30">
        <v>22.2</v>
      </c>
      <c r="G30">
        <v>1</v>
      </c>
      <c r="H30">
        <v>22.2</v>
      </c>
      <c r="I30">
        <v>22.2</v>
      </c>
      <c r="J30">
        <v>22.2</v>
      </c>
      <c r="K30" t="s">
        <v>179</v>
      </c>
    </row>
    <row r="31" spans="1:11" x14ac:dyDescent="0.35">
      <c r="A31" t="s">
        <v>64</v>
      </c>
      <c r="B31" t="s">
        <v>221</v>
      </c>
      <c r="C31" t="s">
        <v>107</v>
      </c>
      <c r="D31" t="s">
        <v>253</v>
      </c>
      <c r="E31" t="s">
        <v>272</v>
      </c>
      <c r="F31">
        <v>0.5</v>
      </c>
      <c r="G31">
        <v>9</v>
      </c>
      <c r="H31">
        <v>0.26</v>
      </c>
      <c r="I31">
        <v>0.5</v>
      </c>
      <c r="J31">
        <v>4.47</v>
      </c>
      <c r="K31" t="s">
        <v>175</v>
      </c>
    </row>
    <row r="32" spans="1:11" x14ac:dyDescent="0.35">
      <c r="A32" t="s">
        <v>64</v>
      </c>
      <c r="B32" t="s">
        <v>221</v>
      </c>
      <c r="C32" t="s">
        <v>107</v>
      </c>
      <c r="D32" t="s">
        <v>255</v>
      </c>
      <c r="E32" t="s">
        <v>273</v>
      </c>
      <c r="F32">
        <v>0.315</v>
      </c>
      <c r="G32">
        <v>4</v>
      </c>
      <c r="H32">
        <v>0.1</v>
      </c>
      <c r="I32">
        <v>0.315</v>
      </c>
      <c r="J32">
        <v>0.8</v>
      </c>
      <c r="K32" t="s">
        <v>175</v>
      </c>
    </row>
    <row r="33" spans="1:11" x14ac:dyDescent="0.35">
      <c r="A33" t="s">
        <v>64</v>
      </c>
      <c r="B33" t="s">
        <v>221</v>
      </c>
      <c r="C33" t="s">
        <v>107</v>
      </c>
      <c r="D33" t="s">
        <v>252</v>
      </c>
      <c r="E33" t="s">
        <v>273</v>
      </c>
      <c r="F33">
        <v>2.15</v>
      </c>
      <c r="G33">
        <v>6</v>
      </c>
      <c r="H33">
        <v>0.7</v>
      </c>
      <c r="I33">
        <v>2.15</v>
      </c>
      <c r="J33">
        <v>3.5</v>
      </c>
      <c r="K33" t="s">
        <v>175</v>
      </c>
    </row>
    <row r="34" spans="1:11" x14ac:dyDescent="0.35">
      <c r="A34" t="s">
        <v>65</v>
      </c>
      <c r="B34" t="s">
        <v>222</v>
      </c>
      <c r="C34" t="s">
        <v>108</v>
      </c>
      <c r="D34" t="s">
        <v>253</v>
      </c>
      <c r="E34" t="s">
        <v>272</v>
      </c>
      <c r="F34">
        <v>0.09</v>
      </c>
      <c r="G34">
        <v>9</v>
      </c>
      <c r="H34">
        <v>0.02</v>
      </c>
      <c r="I34">
        <v>0.09</v>
      </c>
      <c r="J34">
        <v>2.66</v>
      </c>
      <c r="K34" t="s">
        <v>175</v>
      </c>
    </row>
    <row r="35" spans="1:11" x14ac:dyDescent="0.35">
      <c r="A35" t="s">
        <v>65</v>
      </c>
      <c r="B35" t="s">
        <v>222</v>
      </c>
      <c r="C35" t="s">
        <v>108</v>
      </c>
      <c r="D35" t="s">
        <v>256</v>
      </c>
      <c r="E35" t="s">
        <v>273</v>
      </c>
      <c r="F35">
        <v>0.27</v>
      </c>
      <c r="G35">
        <v>4</v>
      </c>
      <c r="H35">
        <v>0.1</v>
      </c>
      <c r="I35">
        <v>0.27</v>
      </c>
      <c r="J35">
        <v>1.41</v>
      </c>
      <c r="K35" t="s">
        <v>175</v>
      </c>
    </row>
    <row r="36" spans="1:11" x14ac:dyDescent="0.35">
      <c r="A36" t="s">
        <v>65</v>
      </c>
      <c r="B36" t="s">
        <v>222</v>
      </c>
      <c r="C36" t="s">
        <v>108</v>
      </c>
      <c r="D36" t="s">
        <v>257</v>
      </c>
      <c r="E36" t="s">
        <v>273</v>
      </c>
      <c r="F36">
        <v>1.96</v>
      </c>
      <c r="G36">
        <v>7</v>
      </c>
      <c r="H36">
        <v>0.25</v>
      </c>
      <c r="I36">
        <v>1.96</v>
      </c>
      <c r="J36">
        <v>51</v>
      </c>
      <c r="K36" t="s">
        <v>175</v>
      </c>
    </row>
    <row r="37" spans="1:11" x14ac:dyDescent="0.35">
      <c r="A37" t="s">
        <v>66</v>
      </c>
      <c r="B37" t="s">
        <v>223</v>
      </c>
      <c r="C37" t="s">
        <v>109</v>
      </c>
      <c r="D37" t="s">
        <v>258</v>
      </c>
      <c r="E37" t="s">
        <v>272</v>
      </c>
      <c r="F37">
        <v>0.31</v>
      </c>
      <c r="G37">
        <v>3</v>
      </c>
      <c r="H37">
        <v>2.1999999999999999E-2</v>
      </c>
      <c r="I37">
        <v>0.31</v>
      </c>
      <c r="J37">
        <v>1.33</v>
      </c>
      <c r="K37" t="s">
        <v>175</v>
      </c>
    </row>
    <row r="38" spans="1:11" x14ac:dyDescent="0.35">
      <c r="A38" t="s">
        <v>66</v>
      </c>
      <c r="B38" t="s">
        <v>223</v>
      </c>
      <c r="C38" t="s">
        <v>109</v>
      </c>
      <c r="D38" t="s">
        <v>259</v>
      </c>
      <c r="E38" t="s">
        <v>273</v>
      </c>
      <c r="G38">
        <v>0</v>
      </c>
    </row>
    <row r="39" spans="1:11" x14ac:dyDescent="0.35">
      <c r="A39" t="s">
        <v>67</v>
      </c>
      <c r="B39" t="s">
        <v>224</v>
      </c>
      <c r="C39" t="s">
        <v>109</v>
      </c>
      <c r="D39" t="s">
        <v>260</v>
      </c>
      <c r="E39" t="s">
        <v>273</v>
      </c>
      <c r="G39">
        <v>0</v>
      </c>
    </row>
    <row r="40" spans="1:11" x14ac:dyDescent="0.35">
      <c r="A40" t="s">
        <v>67</v>
      </c>
      <c r="B40" t="s">
        <v>224</v>
      </c>
      <c r="C40" t="s">
        <v>109</v>
      </c>
      <c r="D40" t="s">
        <v>258</v>
      </c>
      <c r="E40" t="s">
        <v>272</v>
      </c>
      <c r="F40">
        <v>0.31</v>
      </c>
      <c r="G40">
        <v>3</v>
      </c>
      <c r="H40">
        <v>2.1999999999999999E-2</v>
      </c>
      <c r="I40">
        <v>0.31</v>
      </c>
      <c r="J40">
        <v>1.33</v>
      </c>
      <c r="K40" t="s">
        <v>175</v>
      </c>
    </row>
    <row r="41" spans="1:11" x14ac:dyDescent="0.35">
      <c r="A41" t="s">
        <v>68</v>
      </c>
      <c r="B41" t="s">
        <v>225</v>
      </c>
      <c r="C41" t="s">
        <v>111</v>
      </c>
      <c r="D41" t="s">
        <v>261</v>
      </c>
      <c r="E41" t="s">
        <v>273</v>
      </c>
      <c r="G41">
        <v>0</v>
      </c>
    </row>
    <row r="42" spans="1:11" x14ac:dyDescent="0.35">
      <c r="A42" t="s">
        <v>68</v>
      </c>
      <c r="B42" t="s">
        <v>225</v>
      </c>
      <c r="C42" t="s">
        <v>111</v>
      </c>
      <c r="D42" t="s">
        <v>262</v>
      </c>
      <c r="E42" t="s">
        <v>273</v>
      </c>
      <c r="G42">
        <v>0</v>
      </c>
    </row>
    <row r="43" spans="1:11" x14ac:dyDescent="0.35">
      <c r="A43" t="s">
        <v>69</v>
      </c>
      <c r="B43" t="s">
        <v>87</v>
      </c>
      <c r="C43" t="s">
        <v>236</v>
      </c>
      <c r="D43" t="s">
        <v>263</v>
      </c>
      <c r="E43" t="s">
        <v>273</v>
      </c>
      <c r="G43">
        <v>0</v>
      </c>
    </row>
    <row r="44" spans="1:11" x14ac:dyDescent="0.35">
      <c r="A44" t="s">
        <v>69</v>
      </c>
      <c r="B44" t="s">
        <v>87</v>
      </c>
      <c r="C44" t="s">
        <v>236</v>
      </c>
      <c r="D44" t="s">
        <v>243</v>
      </c>
      <c r="E44" t="s">
        <v>273</v>
      </c>
      <c r="G44">
        <v>0</v>
      </c>
    </row>
    <row r="45" spans="1:11" x14ac:dyDescent="0.35">
      <c r="A45" t="s">
        <v>52</v>
      </c>
      <c r="B45" t="s">
        <v>210</v>
      </c>
      <c r="C45" t="s">
        <v>98</v>
      </c>
      <c r="D45" t="s">
        <v>238</v>
      </c>
      <c r="E45" t="s">
        <v>272</v>
      </c>
      <c r="F45">
        <v>1.2E-2</v>
      </c>
      <c r="G45">
        <v>1</v>
      </c>
      <c r="H45">
        <v>1.2E-2</v>
      </c>
      <c r="I45">
        <v>1.2E-2</v>
      </c>
      <c r="J45">
        <v>1.2E-2</v>
      </c>
      <c r="K45" t="s">
        <v>171</v>
      </c>
    </row>
    <row r="46" spans="1:11" x14ac:dyDescent="0.35">
      <c r="A46" t="s">
        <v>52</v>
      </c>
      <c r="B46" t="s">
        <v>210</v>
      </c>
      <c r="C46" t="s">
        <v>98</v>
      </c>
      <c r="D46" t="s">
        <v>239</v>
      </c>
      <c r="E46" t="s">
        <v>273</v>
      </c>
      <c r="G46">
        <v>0</v>
      </c>
    </row>
    <row r="47" spans="1:11" x14ac:dyDescent="0.35">
      <c r="A47" t="s">
        <v>53</v>
      </c>
      <c r="B47" t="s">
        <v>211</v>
      </c>
      <c r="C47" t="s">
        <v>99</v>
      </c>
      <c r="D47" t="s">
        <v>240</v>
      </c>
      <c r="E47" t="s">
        <v>273</v>
      </c>
      <c r="G47">
        <v>0</v>
      </c>
    </row>
    <row r="48" spans="1:11" x14ac:dyDescent="0.35">
      <c r="A48" t="s">
        <v>53</v>
      </c>
      <c r="B48" t="s">
        <v>211</v>
      </c>
      <c r="C48" t="s">
        <v>99</v>
      </c>
      <c r="D48" t="s">
        <v>241</v>
      </c>
      <c r="E48" t="s">
        <v>273</v>
      </c>
      <c r="G48">
        <v>0</v>
      </c>
    </row>
    <row r="49" spans="1:11" x14ac:dyDescent="0.35">
      <c r="A49" t="s">
        <v>53</v>
      </c>
      <c r="B49" t="s">
        <v>211</v>
      </c>
      <c r="C49" t="s">
        <v>99</v>
      </c>
      <c r="D49" t="s">
        <v>242</v>
      </c>
      <c r="E49" t="s">
        <v>273</v>
      </c>
      <c r="G49">
        <v>0</v>
      </c>
    </row>
    <row r="50" spans="1:11" x14ac:dyDescent="0.35">
      <c r="A50" t="s">
        <v>53</v>
      </c>
      <c r="B50" t="s">
        <v>211</v>
      </c>
      <c r="C50" t="s">
        <v>99</v>
      </c>
      <c r="D50" t="s">
        <v>243</v>
      </c>
      <c r="E50" t="s">
        <v>273</v>
      </c>
      <c r="G50">
        <v>0</v>
      </c>
    </row>
    <row r="51" spans="1:11" x14ac:dyDescent="0.35">
      <c r="A51" t="s">
        <v>54</v>
      </c>
      <c r="B51" t="s">
        <v>212</v>
      </c>
      <c r="C51" t="s">
        <v>100</v>
      </c>
      <c r="D51" t="s">
        <v>244</v>
      </c>
      <c r="E51" t="s">
        <v>272</v>
      </c>
      <c r="F51">
        <v>3.05</v>
      </c>
      <c r="G51">
        <v>14</v>
      </c>
      <c r="H51">
        <v>5.4000000000000003E-3</v>
      </c>
      <c r="I51">
        <v>3.05</v>
      </c>
      <c r="J51">
        <v>25</v>
      </c>
      <c r="K51" t="s">
        <v>172</v>
      </c>
    </row>
    <row r="52" spans="1:11" x14ac:dyDescent="0.35">
      <c r="A52" t="s">
        <v>54</v>
      </c>
      <c r="B52" t="s">
        <v>212</v>
      </c>
      <c r="C52" t="s">
        <v>100</v>
      </c>
      <c r="D52" t="s">
        <v>239</v>
      </c>
      <c r="E52" t="s">
        <v>273</v>
      </c>
      <c r="G52">
        <v>0</v>
      </c>
    </row>
    <row r="53" spans="1:11" x14ac:dyDescent="0.35">
      <c r="A53" t="s">
        <v>55</v>
      </c>
      <c r="B53" t="s">
        <v>213</v>
      </c>
      <c r="C53" t="s">
        <v>101</v>
      </c>
      <c r="D53" t="s">
        <v>245</v>
      </c>
      <c r="E53" t="s">
        <v>272</v>
      </c>
      <c r="F53">
        <v>71.75</v>
      </c>
      <c r="G53">
        <v>2</v>
      </c>
      <c r="H53">
        <v>3.5</v>
      </c>
      <c r="I53">
        <v>71.75</v>
      </c>
      <c r="J53">
        <v>140</v>
      </c>
      <c r="K53" t="s">
        <v>173</v>
      </c>
    </row>
    <row r="54" spans="1:11" x14ac:dyDescent="0.35">
      <c r="A54" t="s">
        <v>55</v>
      </c>
      <c r="B54" t="s">
        <v>213</v>
      </c>
      <c r="C54" t="s">
        <v>101</v>
      </c>
      <c r="D54" t="s">
        <v>246</v>
      </c>
      <c r="E54" t="s">
        <v>273</v>
      </c>
      <c r="F54">
        <v>2.06</v>
      </c>
      <c r="G54">
        <v>1</v>
      </c>
      <c r="H54">
        <v>2.06</v>
      </c>
      <c r="I54">
        <v>2.06</v>
      </c>
      <c r="J54">
        <v>2.06</v>
      </c>
      <c r="K54" t="s">
        <v>175</v>
      </c>
    </row>
    <row r="55" spans="1:11" x14ac:dyDescent="0.35">
      <c r="A55" t="s">
        <v>55</v>
      </c>
      <c r="B55" t="s">
        <v>213</v>
      </c>
      <c r="C55" t="s">
        <v>101</v>
      </c>
      <c r="D55" t="s">
        <v>241</v>
      </c>
      <c r="E55" t="s">
        <v>273</v>
      </c>
      <c r="G55">
        <v>0</v>
      </c>
    </row>
    <row r="56" spans="1:11" x14ac:dyDescent="0.35">
      <c r="A56" t="s">
        <v>56</v>
      </c>
      <c r="B56" t="s">
        <v>214</v>
      </c>
      <c r="C56" t="s">
        <v>101</v>
      </c>
      <c r="D56" t="s">
        <v>247</v>
      </c>
      <c r="E56" t="s">
        <v>273</v>
      </c>
      <c r="G56">
        <v>0</v>
      </c>
    </row>
    <row r="57" spans="1:11" x14ac:dyDescent="0.35">
      <c r="A57" t="s">
        <v>56</v>
      </c>
      <c r="B57" t="s">
        <v>214</v>
      </c>
      <c r="C57" t="s">
        <v>101</v>
      </c>
      <c r="D57" t="s">
        <v>239</v>
      </c>
      <c r="E57" t="s">
        <v>273</v>
      </c>
      <c r="G57">
        <v>0</v>
      </c>
    </row>
    <row r="58" spans="1:11" x14ac:dyDescent="0.35">
      <c r="A58" t="s">
        <v>57</v>
      </c>
      <c r="B58" t="s">
        <v>215</v>
      </c>
      <c r="C58" t="s">
        <v>102</v>
      </c>
      <c r="D58" t="s">
        <v>241</v>
      </c>
      <c r="E58" t="s">
        <v>273</v>
      </c>
      <c r="G58">
        <v>0</v>
      </c>
    </row>
    <row r="59" spans="1:11" x14ac:dyDescent="0.35">
      <c r="A59" t="s">
        <v>57</v>
      </c>
      <c r="B59" t="s">
        <v>215</v>
      </c>
      <c r="C59" t="s">
        <v>102</v>
      </c>
      <c r="D59" t="s">
        <v>248</v>
      </c>
      <c r="E59" t="s">
        <v>273</v>
      </c>
      <c r="G59">
        <v>0</v>
      </c>
    </row>
    <row r="60" spans="1:11" x14ac:dyDescent="0.35">
      <c r="A60" t="s">
        <v>57</v>
      </c>
      <c r="B60" t="s">
        <v>215</v>
      </c>
      <c r="C60" t="s">
        <v>102</v>
      </c>
      <c r="D60" t="s">
        <v>249</v>
      </c>
      <c r="E60" t="s">
        <v>272</v>
      </c>
      <c r="F60">
        <v>0.214</v>
      </c>
      <c r="G60">
        <v>2</v>
      </c>
      <c r="H60">
        <v>0.03</v>
      </c>
      <c r="I60">
        <v>0.214</v>
      </c>
      <c r="J60">
        <v>0.39800000000000002</v>
      </c>
      <c r="K60" t="s">
        <v>175</v>
      </c>
    </row>
    <row r="61" spans="1:11" x14ac:dyDescent="0.35">
      <c r="A61" t="s">
        <v>58</v>
      </c>
      <c r="B61" t="s">
        <v>216</v>
      </c>
      <c r="C61" t="s">
        <v>101</v>
      </c>
      <c r="D61" t="s">
        <v>246</v>
      </c>
      <c r="E61" t="s">
        <v>272</v>
      </c>
      <c r="F61">
        <v>2.06</v>
      </c>
      <c r="G61">
        <v>1</v>
      </c>
      <c r="H61">
        <v>2.06</v>
      </c>
      <c r="I61">
        <v>2.06</v>
      </c>
      <c r="J61">
        <v>2.06</v>
      </c>
      <c r="K61" t="s">
        <v>175</v>
      </c>
    </row>
    <row r="62" spans="1:11" x14ac:dyDescent="0.35">
      <c r="A62" t="s">
        <v>58</v>
      </c>
      <c r="B62" t="s">
        <v>216</v>
      </c>
      <c r="C62" t="s">
        <v>101</v>
      </c>
      <c r="D62" t="s">
        <v>250</v>
      </c>
      <c r="E62" t="s">
        <v>273</v>
      </c>
      <c r="F62">
        <v>22.5</v>
      </c>
      <c r="G62">
        <v>1</v>
      </c>
      <c r="H62">
        <v>22.5</v>
      </c>
      <c r="I62">
        <v>22.5</v>
      </c>
      <c r="J62">
        <v>22.5</v>
      </c>
      <c r="K62" t="s">
        <v>175</v>
      </c>
    </row>
    <row r="63" spans="1:11" x14ac:dyDescent="0.35">
      <c r="A63" t="s">
        <v>59</v>
      </c>
      <c r="B63" t="s">
        <v>217</v>
      </c>
      <c r="C63" t="s">
        <v>156</v>
      </c>
      <c r="D63" t="s">
        <v>251</v>
      </c>
      <c r="E63" t="s">
        <v>273</v>
      </c>
      <c r="G63">
        <v>0</v>
      </c>
    </row>
    <row r="64" spans="1:11" x14ac:dyDescent="0.35">
      <c r="A64" t="s">
        <v>59</v>
      </c>
      <c r="B64" t="s">
        <v>217</v>
      </c>
      <c r="C64" t="s">
        <v>156</v>
      </c>
      <c r="D64" t="s">
        <v>252</v>
      </c>
      <c r="E64" t="s">
        <v>272</v>
      </c>
      <c r="F64">
        <v>3.5500000000000003</v>
      </c>
      <c r="G64">
        <v>6</v>
      </c>
      <c r="H64">
        <v>1.4</v>
      </c>
      <c r="I64">
        <v>3.5500000000000003</v>
      </c>
      <c r="J64">
        <v>11.1</v>
      </c>
      <c r="K64" t="s">
        <v>176</v>
      </c>
    </row>
    <row r="65" spans="1:11" x14ac:dyDescent="0.35">
      <c r="A65" t="s">
        <v>59</v>
      </c>
      <c r="B65" t="s">
        <v>217</v>
      </c>
      <c r="C65" t="s">
        <v>235</v>
      </c>
      <c r="D65" t="s">
        <v>251</v>
      </c>
      <c r="E65" t="s">
        <v>273</v>
      </c>
      <c r="G65">
        <v>0</v>
      </c>
    </row>
    <row r="66" spans="1:11" x14ac:dyDescent="0.35">
      <c r="A66" t="s">
        <v>59</v>
      </c>
      <c r="B66" t="s">
        <v>217</v>
      </c>
      <c r="C66" t="s">
        <v>235</v>
      </c>
      <c r="D66" t="s">
        <v>252</v>
      </c>
      <c r="E66" t="s">
        <v>272</v>
      </c>
      <c r="F66">
        <v>5.1400000000000006</v>
      </c>
      <c r="G66">
        <v>2</v>
      </c>
      <c r="H66">
        <v>0.28000000000000003</v>
      </c>
      <c r="I66">
        <v>5.1400000000000006</v>
      </c>
      <c r="J66">
        <v>10</v>
      </c>
      <c r="K66" t="s">
        <v>279</v>
      </c>
    </row>
    <row r="67" spans="1:11" x14ac:dyDescent="0.35">
      <c r="A67" t="s">
        <v>60</v>
      </c>
      <c r="B67" t="s">
        <v>218</v>
      </c>
      <c r="C67" t="s">
        <v>104</v>
      </c>
      <c r="D67" t="s">
        <v>253</v>
      </c>
      <c r="E67" t="s">
        <v>273</v>
      </c>
      <c r="G67">
        <v>0</v>
      </c>
    </row>
    <row r="68" spans="1:11" x14ac:dyDescent="0.35">
      <c r="A68" t="s">
        <v>60</v>
      </c>
      <c r="B68" t="s">
        <v>218</v>
      </c>
      <c r="C68" t="s">
        <v>104</v>
      </c>
      <c r="D68" t="s">
        <v>239</v>
      </c>
      <c r="E68" t="s">
        <v>273</v>
      </c>
      <c r="G68">
        <v>0</v>
      </c>
    </row>
    <row r="69" spans="1:11" x14ac:dyDescent="0.35">
      <c r="A69" t="s">
        <v>60</v>
      </c>
      <c r="B69" t="s">
        <v>218</v>
      </c>
      <c r="C69" t="s">
        <v>104</v>
      </c>
      <c r="D69" t="s">
        <v>254</v>
      </c>
      <c r="E69" t="s">
        <v>273</v>
      </c>
      <c r="G69">
        <v>0</v>
      </c>
    </row>
    <row r="70" spans="1:11" x14ac:dyDescent="0.35">
      <c r="A70" t="s">
        <v>61</v>
      </c>
      <c r="B70" t="s">
        <v>219</v>
      </c>
      <c r="C70" t="s">
        <v>105</v>
      </c>
      <c r="D70" t="s">
        <v>254</v>
      </c>
      <c r="E70" t="s">
        <v>272</v>
      </c>
      <c r="F70">
        <v>0.93</v>
      </c>
      <c r="G70">
        <v>1</v>
      </c>
      <c r="H70">
        <v>0.93</v>
      </c>
      <c r="I70">
        <v>0.93</v>
      </c>
      <c r="J70">
        <v>0.93</v>
      </c>
      <c r="K70" t="s">
        <v>178</v>
      </c>
    </row>
    <row r="71" spans="1:11" x14ac:dyDescent="0.35">
      <c r="A71" t="s">
        <v>61</v>
      </c>
      <c r="B71" t="s">
        <v>219</v>
      </c>
      <c r="C71" t="s">
        <v>105</v>
      </c>
      <c r="D71" t="s">
        <v>249</v>
      </c>
      <c r="E71" t="s">
        <v>273</v>
      </c>
      <c r="G71">
        <v>0</v>
      </c>
    </row>
    <row r="72" spans="1:11" x14ac:dyDescent="0.35">
      <c r="A72" t="s">
        <v>63</v>
      </c>
      <c r="B72" t="s">
        <v>220</v>
      </c>
      <c r="C72" t="s">
        <v>106</v>
      </c>
      <c r="D72" t="s">
        <v>246</v>
      </c>
      <c r="E72" t="s">
        <v>272</v>
      </c>
      <c r="F72">
        <v>0.06</v>
      </c>
      <c r="G72">
        <v>1</v>
      </c>
      <c r="H72">
        <v>0.06</v>
      </c>
      <c r="I72">
        <v>0.06</v>
      </c>
      <c r="J72">
        <v>0.06</v>
      </c>
      <c r="K72" t="s">
        <v>179</v>
      </c>
    </row>
    <row r="73" spans="1:11" x14ac:dyDescent="0.35">
      <c r="A73" t="s">
        <v>63</v>
      </c>
      <c r="B73" t="s">
        <v>220</v>
      </c>
      <c r="C73" t="s">
        <v>106</v>
      </c>
      <c r="D73" t="s">
        <v>255</v>
      </c>
      <c r="E73" t="s">
        <v>273</v>
      </c>
      <c r="F73">
        <v>22.2</v>
      </c>
      <c r="G73">
        <v>1</v>
      </c>
      <c r="H73">
        <v>22.2</v>
      </c>
      <c r="I73">
        <v>22.2</v>
      </c>
      <c r="J73">
        <v>22.2</v>
      </c>
      <c r="K73" t="s">
        <v>179</v>
      </c>
    </row>
    <row r="74" spans="1:11" x14ac:dyDescent="0.35">
      <c r="A74" t="s">
        <v>64</v>
      </c>
      <c r="B74" t="s">
        <v>221</v>
      </c>
      <c r="C74" t="s">
        <v>107</v>
      </c>
      <c r="D74" t="s">
        <v>253</v>
      </c>
      <c r="E74" t="s">
        <v>272</v>
      </c>
      <c r="F74">
        <v>0.5</v>
      </c>
      <c r="G74">
        <v>9</v>
      </c>
      <c r="H74">
        <v>0.26</v>
      </c>
      <c r="I74">
        <v>0.5</v>
      </c>
      <c r="J74">
        <v>4.47</v>
      </c>
      <c r="K74" t="s">
        <v>175</v>
      </c>
    </row>
    <row r="75" spans="1:11" x14ac:dyDescent="0.35">
      <c r="A75" t="s">
        <v>64</v>
      </c>
      <c r="B75" t="s">
        <v>221</v>
      </c>
      <c r="C75" t="s">
        <v>107</v>
      </c>
      <c r="D75" t="s">
        <v>255</v>
      </c>
      <c r="E75" t="s">
        <v>273</v>
      </c>
      <c r="F75">
        <v>0.315</v>
      </c>
      <c r="G75">
        <v>4</v>
      </c>
      <c r="H75">
        <v>0.1</v>
      </c>
      <c r="I75">
        <v>0.315</v>
      </c>
      <c r="J75">
        <v>0.8</v>
      </c>
      <c r="K75" t="s">
        <v>175</v>
      </c>
    </row>
    <row r="76" spans="1:11" x14ac:dyDescent="0.35">
      <c r="A76" t="s">
        <v>64</v>
      </c>
      <c r="B76" t="s">
        <v>221</v>
      </c>
      <c r="C76" t="s">
        <v>107</v>
      </c>
      <c r="D76" t="s">
        <v>252</v>
      </c>
      <c r="E76" t="s">
        <v>273</v>
      </c>
      <c r="F76">
        <v>2.15</v>
      </c>
      <c r="G76">
        <v>6</v>
      </c>
      <c r="H76">
        <v>0.7</v>
      </c>
      <c r="I76">
        <v>2.15</v>
      </c>
      <c r="J76">
        <v>3.5</v>
      </c>
      <c r="K76" t="s">
        <v>175</v>
      </c>
    </row>
    <row r="77" spans="1:11" x14ac:dyDescent="0.35">
      <c r="A77" t="s">
        <v>65</v>
      </c>
      <c r="B77" t="s">
        <v>222</v>
      </c>
      <c r="C77" t="s">
        <v>108</v>
      </c>
      <c r="D77" t="s">
        <v>253</v>
      </c>
      <c r="E77" t="s">
        <v>272</v>
      </c>
      <c r="F77">
        <v>0.09</v>
      </c>
      <c r="G77">
        <v>9</v>
      </c>
      <c r="H77">
        <v>0.02</v>
      </c>
      <c r="I77">
        <v>0.09</v>
      </c>
      <c r="J77">
        <v>2.66</v>
      </c>
      <c r="K77" t="s">
        <v>175</v>
      </c>
    </row>
    <row r="78" spans="1:11" x14ac:dyDescent="0.35">
      <c r="A78" t="s">
        <v>65</v>
      </c>
      <c r="B78" t="s">
        <v>222</v>
      </c>
      <c r="C78" t="s">
        <v>108</v>
      </c>
      <c r="D78" t="s">
        <v>256</v>
      </c>
      <c r="E78" t="s">
        <v>273</v>
      </c>
      <c r="F78">
        <v>0.27</v>
      </c>
      <c r="G78">
        <v>4</v>
      </c>
      <c r="H78">
        <v>0.1</v>
      </c>
      <c r="I78">
        <v>0.27</v>
      </c>
      <c r="J78">
        <v>1.41</v>
      </c>
      <c r="K78" t="s">
        <v>175</v>
      </c>
    </row>
    <row r="79" spans="1:11" x14ac:dyDescent="0.35">
      <c r="A79" t="s">
        <v>65</v>
      </c>
      <c r="B79" t="s">
        <v>222</v>
      </c>
      <c r="C79" t="s">
        <v>108</v>
      </c>
      <c r="D79" t="s">
        <v>257</v>
      </c>
      <c r="E79" t="s">
        <v>273</v>
      </c>
      <c r="F79">
        <v>1.96</v>
      </c>
      <c r="G79">
        <v>7</v>
      </c>
      <c r="H79">
        <v>0.25</v>
      </c>
      <c r="I79">
        <v>1.96</v>
      </c>
      <c r="J79">
        <v>51</v>
      </c>
      <c r="K79" t="s">
        <v>175</v>
      </c>
    </row>
    <row r="80" spans="1:11" x14ac:dyDescent="0.35">
      <c r="A80" t="s">
        <v>66</v>
      </c>
      <c r="B80" t="s">
        <v>226</v>
      </c>
      <c r="C80" t="s">
        <v>113</v>
      </c>
      <c r="D80" t="s">
        <v>258</v>
      </c>
      <c r="E80" t="s">
        <v>272</v>
      </c>
      <c r="F80">
        <v>6.5000000000000002E-2</v>
      </c>
      <c r="G80">
        <v>1</v>
      </c>
      <c r="H80">
        <v>6.5000000000000002E-2</v>
      </c>
      <c r="I80">
        <v>6.5000000000000002E-2</v>
      </c>
      <c r="J80">
        <v>6.5000000000000002E-2</v>
      </c>
      <c r="K80" t="s">
        <v>175</v>
      </c>
    </row>
    <row r="81" spans="1:11" x14ac:dyDescent="0.35">
      <c r="A81" t="s">
        <v>66</v>
      </c>
      <c r="B81" t="s">
        <v>226</v>
      </c>
      <c r="C81" t="s">
        <v>113</v>
      </c>
      <c r="D81" t="s">
        <v>264</v>
      </c>
      <c r="E81" t="s">
        <v>273</v>
      </c>
      <c r="G81">
        <v>0</v>
      </c>
    </row>
    <row r="82" spans="1:11" x14ac:dyDescent="0.35">
      <c r="A82" t="s">
        <v>67</v>
      </c>
      <c r="B82" t="s">
        <v>224</v>
      </c>
      <c r="C82" t="s">
        <v>109</v>
      </c>
      <c r="D82" t="s">
        <v>260</v>
      </c>
      <c r="E82" t="s">
        <v>273</v>
      </c>
      <c r="G82">
        <v>0</v>
      </c>
    </row>
    <row r="83" spans="1:11" x14ac:dyDescent="0.35">
      <c r="A83" t="s">
        <v>67</v>
      </c>
      <c r="B83" t="s">
        <v>224</v>
      </c>
      <c r="C83" t="s">
        <v>109</v>
      </c>
      <c r="D83" t="s">
        <v>258</v>
      </c>
      <c r="E83" t="s">
        <v>272</v>
      </c>
      <c r="F83">
        <v>0.31</v>
      </c>
      <c r="G83">
        <v>3</v>
      </c>
      <c r="H83">
        <v>2.1999999999999999E-2</v>
      </c>
      <c r="I83">
        <v>0.31</v>
      </c>
      <c r="J83">
        <v>1.33</v>
      </c>
      <c r="K83" t="s">
        <v>175</v>
      </c>
    </row>
    <row r="84" spans="1:11" x14ac:dyDescent="0.35">
      <c r="A84" t="s">
        <v>68</v>
      </c>
      <c r="B84" t="s">
        <v>225</v>
      </c>
      <c r="C84" t="s">
        <v>111</v>
      </c>
      <c r="D84" t="s">
        <v>261</v>
      </c>
      <c r="E84" t="s">
        <v>273</v>
      </c>
      <c r="G84">
        <v>0</v>
      </c>
    </row>
    <row r="85" spans="1:11" x14ac:dyDescent="0.35">
      <c r="A85" t="s">
        <v>68</v>
      </c>
      <c r="B85" t="s">
        <v>225</v>
      </c>
      <c r="C85" t="s">
        <v>111</v>
      </c>
      <c r="D85" t="s">
        <v>262</v>
      </c>
      <c r="E85" t="s">
        <v>273</v>
      </c>
      <c r="G85">
        <v>0</v>
      </c>
    </row>
    <row r="86" spans="1:11" x14ac:dyDescent="0.35">
      <c r="A86" t="s">
        <v>69</v>
      </c>
      <c r="B86" t="s">
        <v>87</v>
      </c>
      <c r="C86" t="s">
        <v>236</v>
      </c>
      <c r="D86" t="s">
        <v>263</v>
      </c>
      <c r="E86" t="s">
        <v>273</v>
      </c>
      <c r="G86">
        <v>0</v>
      </c>
    </row>
    <row r="87" spans="1:11" x14ac:dyDescent="0.35">
      <c r="A87" t="s">
        <v>69</v>
      </c>
      <c r="B87" t="s">
        <v>87</v>
      </c>
      <c r="C87" t="s">
        <v>236</v>
      </c>
      <c r="D87" t="s">
        <v>243</v>
      </c>
      <c r="E87" t="s">
        <v>273</v>
      </c>
      <c r="G87">
        <v>0</v>
      </c>
    </row>
    <row r="88" spans="1:11" x14ac:dyDescent="0.35">
      <c r="A88" t="s">
        <v>52</v>
      </c>
      <c r="B88" t="s">
        <v>210</v>
      </c>
      <c r="C88" t="s">
        <v>98</v>
      </c>
      <c r="D88" t="s">
        <v>238</v>
      </c>
      <c r="E88" t="s">
        <v>272</v>
      </c>
      <c r="F88">
        <v>1.2E-2</v>
      </c>
      <c r="G88">
        <v>1</v>
      </c>
      <c r="H88">
        <v>1.2E-2</v>
      </c>
      <c r="I88">
        <v>1.2E-2</v>
      </c>
      <c r="J88">
        <v>1.2E-2</v>
      </c>
      <c r="K88" t="s">
        <v>171</v>
      </c>
    </row>
    <row r="89" spans="1:11" x14ac:dyDescent="0.35">
      <c r="A89" t="s">
        <v>52</v>
      </c>
      <c r="B89" t="s">
        <v>210</v>
      </c>
      <c r="C89" t="s">
        <v>98</v>
      </c>
      <c r="D89" t="s">
        <v>239</v>
      </c>
      <c r="E89" t="s">
        <v>273</v>
      </c>
      <c r="G89">
        <v>0</v>
      </c>
    </row>
    <row r="90" spans="1:11" x14ac:dyDescent="0.35">
      <c r="A90" t="s">
        <v>53</v>
      </c>
      <c r="B90" t="s">
        <v>211</v>
      </c>
      <c r="C90" t="s">
        <v>99</v>
      </c>
      <c r="D90" t="s">
        <v>240</v>
      </c>
      <c r="E90" t="s">
        <v>273</v>
      </c>
      <c r="G90">
        <v>0</v>
      </c>
    </row>
    <row r="91" spans="1:11" x14ac:dyDescent="0.35">
      <c r="A91" t="s">
        <v>53</v>
      </c>
      <c r="B91" t="s">
        <v>211</v>
      </c>
      <c r="C91" t="s">
        <v>99</v>
      </c>
      <c r="D91" t="s">
        <v>241</v>
      </c>
      <c r="E91" t="s">
        <v>273</v>
      </c>
      <c r="G91">
        <v>0</v>
      </c>
    </row>
    <row r="92" spans="1:11" x14ac:dyDescent="0.35">
      <c r="A92" t="s">
        <v>53</v>
      </c>
      <c r="B92" t="s">
        <v>211</v>
      </c>
      <c r="C92" t="s">
        <v>99</v>
      </c>
      <c r="D92" t="s">
        <v>242</v>
      </c>
      <c r="E92" t="s">
        <v>273</v>
      </c>
      <c r="G92">
        <v>0</v>
      </c>
    </row>
    <row r="93" spans="1:11" x14ac:dyDescent="0.35">
      <c r="A93" t="s">
        <v>53</v>
      </c>
      <c r="B93" t="s">
        <v>211</v>
      </c>
      <c r="C93" t="s">
        <v>99</v>
      </c>
      <c r="D93" t="s">
        <v>243</v>
      </c>
      <c r="E93" t="s">
        <v>273</v>
      </c>
      <c r="G93">
        <v>0</v>
      </c>
    </row>
    <row r="94" spans="1:11" x14ac:dyDescent="0.35">
      <c r="A94" t="s">
        <v>54</v>
      </c>
      <c r="B94" t="s">
        <v>212</v>
      </c>
      <c r="C94" t="s">
        <v>100</v>
      </c>
      <c r="D94" t="s">
        <v>244</v>
      </c>
      <c r="E94" t="s">
        <v>272</v>
      </c>
      <c r="F94">
        <v>3.05</v>
      </c>
      <c r="G94">
        <v>14</v>
      </c>
      <c r="H94">
        <v>5.4000000000000003E-3</v>
      </c>
      <c r="I94">
        <v>3.05</v>
      </c>
      <c r="J94">
        <v>25</v>
      </c>
      <c r="K94" t="s">
        <v>172</v>
      </c>
    </row>
    <row r="95" spans="1:11" x14ac:dyDescent="0.35">
      <c r="A95" t="s">
        <v>54</v>
      </c>
      <c r="B95" t="s">
        <v>212</v>
      </c>
      <c r="C95" t="s">
        <v>100</v>
      </c>
      <c r="D95" t="s">
        <v>239</v>
      </c>
      <c r="E95" t="s">
        <v>273</v>
      </c>
      <c r="G95">
        <v>0</v>
      </c>
    </row>
    <row r="96" spans="1:11" x14ac:dyDescent="0.35">
      <c r="A96" t="s">
        <v>55</v>
      </c>
      <c r="B96" t="s">
        <v>213</v>
      </c>
      <c r="C96" t="s">
        <v>101</v>
      </c>
      <c r="D96" t="s">
        <v>245</v>
      </c>
      <c r="E96" t="s">
        <v>272</v>
      </c>
      <c r="F96">
        <v>71.75</v>
      </c>
      <c r="G96">
        <v>2</v>
      </c>
      <c r="H96">
        <v>3.5</v>
      </c>
      <c r="I96">
        <v>71.75</v>
      </c>
      <c r="J96">
        <v>140</v>
      </c>
      <c r="K96" t="s">
        <v>173</v>
      </c>
    </row>
    <row r="97" spans="1:11" x14ac:dyDescent="0.35">
      <c r="A97" t="s">
        <v>55</v>
      </c>
      <c r="B97" t="s">
        <v>213</v>
      </c>
      <c r="C97" t="s">
        <v>101</v>
      </c>
      <c r="D97" t="s">
        <v>246</v>
      </c>
      <c r="E97" t="s">
        <v>273</v>
      </c>
      <c r="F97">
        <v>2.06</v>
      </c>
      <c r="G97">
        <v>1</v>
      </c>
      <c r="H97">
        <v>2.06</v>
      </c>
      <c r="I97">
        <v>2.06</v>
      </c>
      <c r="J97">
        <v>2.06</v>
      </c>
      <c r="K97" t="s">
        <v>175</v>
      </c>
    </row>
    <row r="98" spans="1:11" x14ac:dyDescent="0.35">
      <c r="A98" t="s">
        <v>55</v>
      </c>
      <c r="B98" t="s">
        <v>213</v>
      </c>
      <c r="C98" t="s">
        <v>101</v>
      </c>
      <c r="D98" t="s">
        <v>241</v>
      </c>
      <c r="E98" t="s">
        <v>273</v>
      </c>
      <c r="G98">
        <v>0</v>
      </c>
    </row>
    <row r="99" spans="1:11" x14ac:dyDescent="0.35">
      <c r="A99" t="s">
        <v>56</v>
      </c>
      <c r="B99" t="s">
        <v>214</v>
      </c>
      <c r="C99" t="s">
        <v>101</v>
      </c>
      <c r="D99" t="s">
        <v>247</v>
      </c>
      <c r="E99" t="s">
        <v>273</v>
      </c>
      <c r="G99">
        <v>0</v>
      </c>
    </row>
    <row r="100" spans="1:11" x14ac:dyDescent="0.35">
      <c r="A100" t="s">
        <v>56</v>
      </c>
      <c r="B100" t="s">
        <v>214</v>
      </c>
      <c r="C100" t="s">
        <v>101</v>
      </c>
      <c r="D100" t="s">
        <v>239</v>
      </c>
      <c r="E100" t="s">
        <v>273</v>
      </c>
      <c r="G100">
        <v>0</v>
      </c>
    </row>
    <row r="101" spans="1:11" x14ac:dyDescent="0.35">
      <c r="A101" t="s">
        <v>57</v>
      </c>
      <c r="B101" t="s">
        <v>215</v>
      </c>
      <c r="C101" t="s">
        <v>102</v>
      </c>
      <c r="D101" t="s">
        <v>241</v>
      </c>
      <c r="E101" t="s">
        <v>273</v>
      </c>
      <c r="G101">
        <v>0</v>
      </c>
    </row>
    <row r="102" spans="1:11" x14ac:dyDescent="0.35">
      <c r="A102" t="s">
        <v>57</v>
      </c>
      <c r="B102" t="s">
        <v>215</v>
      </c>
      <c r="C102" t="s">
        <v>102</v>
      </c>
      <c r="D102" t="s">
        <v>248</v>
      </c>
      <c r="E102" t="s">
        <v>273</v>
      </c>
      <c r="G102">
        <v>0</v>
      </c>
    </row>
    <row r="103" spans="1:11" x14ac:dyDescent="0.35">
      <c r="A103" t="s">
        <v>57</v>
      </c>
      <c r="B103" t="s">
        <v>215</v>
      </c>
      <c r="C103" t="s">
        <v>102</v>
      </c>
      <c r="D103" t="s">
        <v>249</v>
      </c>
      <c r="E103" t="s">
        <v>272</v>
      </c>
      <c r="F103">
        <v>0.214</v>
      </c>
      <c r="G103">
        <v>2</v>
      </c>
      <c r="H103">
        <v>0.03</v>
      </c>
      <c r="I103">
        <v>0.214</v>
      </c>
      <c r="J103">
        <v>0.39800000000000002</v>
      </c>
      <c r="K103" t="s">
        <v>175</v>
      </c>
    </row>
    <row r="104" spans="1:11" x14ac:dyDescent="0.35">
      <c r="A104" t="s">
        <v>58</v>
      </c>
      <c r="B104" t="s">
        <v>216</v>
      </c>
      <c r="C104" t="s">
        <v>101</v>
      </c>
      <c r="D104" t="s">
        <v>246</v>
      </c>
      <c r="E104" t="s">
        <v>272</v>
      </c>
      <c r="F104">
        <v>2.06</v>
      </c>
      <c r="G104">
        <v>1</v>
      </c>
      <c r="H104">
        <v>2.06</v>
      </c>
      <c r="I104">
        <v>2.06</v>
      </c>
      <c r="J104">
        <v>2.06</v>
      </c>
      <c r="K104" t="s">
        <v>175</v>
      </c>
    </row>
    <row r="105" spans="1:11" x14ac:dyDescent="0.35">
      <c r="A105" t="s">
        <v>58</v>
      </c>
      <c r="B105" t="s">
        <v>216</v>
      </c>
      <c r="C105" t="s">
        <v>101</v>
      </c>
      <c r="D105" t="s">
        <v>250</v>
      </c>
      <c r="E105" t="s">
        <v>273</v>
      </c>
      <c r="F105">
        <v>22.5</v>
      </c>
      <c r="G105">
        <v>1</v>
      </c>
      <c r="H105">
        <v>22.5</v>
      </c>
      <c r="I105">
        <v>22.5</v>
      </c>
      <c r="J105">
        <v>22.5</v>
      </c>
      <c r="K105" t="s">
        <v>175</v>
      </c>
    </row>
    <row r="106" spans="1:11" x14ac:dyDescent="0.35">
      <c r="A106" t="s">
        <v>59</v>
      </c>
      <c r="B106" t="s">
        <v>217</v>
      </c>
      <c r="C106" t="s">
        <v>156</v>
      </c>
      <c r="D106" t="s">
        <v>251</v>
      </c>
      <c r="E106" t="s">
        <v>273</v>
      </c>
      <c r="G106">
        <v>0</v>
      </c>
    </row>
    <row r="107" spans="1:11" x14ac:dyDescent="0.35">
      <c r="A107" t="s">
        <v>59</v>
      </c>
      <c r="B107" t="s">
        <v>217</v>
      </c>
      <c r="C107" t="s">
        <v>156</v>
      </c>
      <c r="D107" t="s">
        <v>252</v>
      </c>
      <c r="E107" t="s">
        <v>272</v>
      </c>
      <c r="F107">
        <v>3.5500000000000003</v>
      </c>
      <c r="G107">
        <v>6</v>
      </c>
      <c r="H107">
        <v>1.4</v>
      </c>
      <c r="I107">
        <v>3.5500000000000003</v>
      </c>
      <c r="J107">
        <v>11.1</v>
      </c>
      <c r="K107" t="s">
        <v>176</v>
      </c>
    </row>
    <row r="108" spans="1:11" x14ac:dyDescent="0.35">
      <c r="A108" t="s">
        <v>59</v>
      </c>
      <c r="B108" t="s">
        <v>217</v>
      </c>
      <c r="C108" t="s">
        <v>235</v>
      </c>
      <c r="D108" t="s">
        <v>251</v>
      </c>
      <c r="E108" t="s">
        <v>273</v>
      </c>
      <c r="G108">
        <v>0</v>
      </c>
    </row>
    <row r="109" spans="1:11" x14ac:dyDescent="0.35">
      <c r="A109" t="s">
        <v>59</v>
      </c>
      <c r="B109" t="s">
        <v>217</v>
      </c>
      <c r="C109" t="s">
        <v>235</v>
      </c>
      <c r="D109" t="s">
        <v>252</v>
      </c>
      <c r="E109" t="s">
        <v>272</v>
      </c>
      <c r="F109">
        <v>5.1400000000000006</v>
      </c>
      <c r="G109">
        <v>2</v>
      </c>
      <c r="H109">
        <v>0.28000000000000003</v>
      </c>
      <c r="I109">
        <v>5.1400000000000006</v>
      </c>
      <c r="J109">
        <v>10</v>
      </c>
      <c r="K109" t="s">
        <v>279</v>
      </c>
    </row>
    <row r="110" spans="1:11" x14ac:dyDescent="0.35">
      <c r="A110" t="s">
        <v>60</v>
      </c>
      <c r="B110" t="s">
        <v>218</v>
      </c>
      <c r="C110" t="s">
        <v>104</v>
      </c>
      <c r="D110" t="s">
        <v>253</v>
      </c>
      <c r="E110" t="s">
        <v>273</v>
      </c>
      <c r="G110">
        <v>0</v>
      </c>
    </row>
    <row r="111" spans="1:11" x14ac:dyDescent="0.35">
      <c r="A111" t="s">
        <v>60</v>
      </c>
      <c r="B111" t="s">
        <v>218</v>
      </c>
      <c r="C111" t="s">
        <v>104</v>
      </c>
      <c r="D111" t="s">
        <v>239</v>
      </c>
      <c r="E111" t="s">
        <v>273</v>
      </c>
      <c r="G111">
        <v>0</v>
      </c>
    </row>
    <row r="112" spans="1:11" x14ac:dyDescent="0.35">
      <c r="A112" t="s">
        <v>60</v>
      </c>
      <c r="B112" t="s">
        <v>218</v>
      </c>
      <c r="C112" t="s">
        <v>104</v>
      </c>
      <c r="D112" t="s">
        <v>254</v>
      </c>
      <c r="E112" t="s">
        <v>273</v>
      </c>
      <c r="G112">
        <v>0</v>
      </c>
    </row>
    <row r="113" spans="1:11" x14ac:dyDescent="0.35">
      <c r="A113" t="s">
        <v>61</v>
      </c>
      <c r="B113" t="s">
        <v>219</v>
      </c>
      <c r="C113" t="s">
        <v>105</v>
      </c>
      <c r="D113" t="s">
        <v>254</v>
      </c>
      <c r="E113" t="s">
        <v>272</v>
      </c>
      <c r="F113">
        <v>0.93</v>
      </c>
      <c r="G113">
        <v>1</v>
      </c>
      <c r="H113">
        <v>0.93</v>
      </c>
      <c r="I113">
        <v>0.93</v>
      </c>
      <c r="J113">
        <v>0.93</v>
      </c>
      <c r="K113" t="s">
        <v>178</v>
      </c>
    </row>
    <row r="114" spans="1:11" x14ac:dyDescent="0.35">
      <c r="A114" t="s">
        <v>61</v>
      </c>
      <c r="B114" t="s">
        <v>219</v>
      </c>
      <c r="C114" t="s">
        <v>105</v>
      </c>
      <c r="D114" t="s">
        <v>249</v>
      </c>
      <c r="E114" t="s">
        <v>273</v>
      </c>
      <c r="G114">
        <v>0</v>
      </c>
    </row>
    <row r="115" spans="1:11" x14ac:dyDescent="0.35">
      <c r="A115" t="s">
        <v>63</v>
      </c>
      <c r="B115" t="s">
        <v>220</v>
      </c>
      <c r="C115" t="s">
        <v>106</v>
      </c>
      <c r="D115" t="s">
        <v>246</v>
      </c>
      <c r="E115" t="s">
        <v>272</v>
      </c>
      <c r="F115">
        <v>0.06</v>
      </c>
      <c r="G115">
        <v>1</v>
      </c>
      <c r="H115">
        <v>0.06</v>
      </c>
      <c r="I115">
        <v>0.06</v>
      </c>
      <c r="J115">
        <v>0.06</v>
      </c>
      <c r="K115" t="s">
        <v>179</v>
      </c>
    </row>
    <row r="116" spans="1:11" x14ac:dyDescent="0.35">
      <c r="A116" t="s">
        <v>63</v>
      </c>
      <c r="B116" t="s">
        <v>220</v>
      </c>
      <c r="C116" t="s">
        <v>106</v>
      </c>
      <c r="D116" t="s">
        <v>255</v>
      </c>
      <c r="E116" t="s">
        <v>273</v>
      </c>
      <c r="F116">
        <v>22.2</v>
      </c>
      <c r="G116">
        <v>1</v>
      </c>
      <c r="H116">
        <v>22.2</v>
      </c>
      <c r="I116">
        <v>22.2</v>
      </c>
      <c r="J116">
        <v>22.2</v>
      </c>
      <c r="K116" t="s">
        <v>179</v>
      </c>
    </row>
    <row r="117" spans="1:11" x14ac:dyDescent="0.35">
      <c r="A117" t="s">
        <v>64</v>
      </c>
      <c r="B117" t="s">
        <v>221</v>
      </c>
      <c r="C117" t="s">
        <v>107</v>
      </c>
      <c r="D117" t="s">
        <v>253</v>
      </c>
      <c r="E117" t="s">
        <v>272</v>
      </c>
      <c r="F117">
        <v>0.5</v>
      </c>
      <c r="G117">
        <v>9</v>
      </c>
      <c r="H117">
        <v>0.26</v>
      </c>
      <c r="I117">
        <v>0.5</v>
      </c>
      <c r="J117">
        <v>4.47</v>
      </c>
      <c r="K117" t="s">
        <v>175</v>
      </c>
    </row>
    <row r="118" spans="1:11" x14ac:dyDescent="0.35">
      <c r="A118" t="s">
        <v>64</v>
      </c>
      <c r="B118" t="s">
        <v>221</v>
      </c>
      <c r="C118" t="s">
        <v>107</v>
      </c>
      <c r="D118" t="s">
        <v>255</v>
      </c>
      <c r="E118" t="s">
        <v>273</v>
      </c>
      <c r="F118">
        <v>0.315</v>
      </c>
      <c r="G118">
        <v>4</v>
      </c>
      <c r="H118">
        <v>0.1</v>
      </c>
      <c r="I118">
        <v>0.315</v>
      </c>
      <c r="J118">
        <v>0.8</v>
      </c>
      <c r="K118" t="s">
        <v>175</v>
      </c>
    </row>
    <row r="119" spans="1:11" x14ac:dyDescent="0.35">
      <c r="A119" t="s">
        <v>64</v>
      </c>
      <c r="B119" t="s">
        <v>221</v>
      </c>
      <c r="C119" t="s">
        <v>107</v>
      </c>
      <c r="D119" t="s">
        <v>252</v>
      </c>
      <c r="E119" t="s">
        <v>273</v>
      </c>
      <c r="F119">
        <v>2.15</v>
      </c>
      <c r="G119">
        <v>6</v>
      </c>
      <c r="H119">
        <v>0.7</v>
      </c>
      <c r="I119">
        <v>2.15</v>
      </c>
      <c r="J119">
        <v>3.5</v>
      </c>
      <c r="K119" t="s">
        <v>175</v>
      </c>
    </row>
    <row r="120" spans="1:11" x14ac:dyDescent="0.35">
      <c r="A120" t="s">
        <v>65</v>
      </c>
      <c r="B120" t="s">
        <v>222</v>
      </c>
      <c r="C120" t="s">
        <v>108</v>
      </c>
      <c r="D120" t="s">
        <v>253</v>
      </c>
      <c r="E120" t="s">
        <v>272</v>
      </c>
      <c r="F120">
        <v>0.09</v>
      </c>
      <c r="G120">
        <v>9</v>
      </c>
      <c r="H120">
        <v>0.02</v>
      </c>
      <c r="I120">
        <v>0.09</v>
      </c>
      <c r="J120">
        <v>2.66</v>
      </c>
      <c r="K120" t="s">
        <v>175</v>
      </c>
    </row>
    <row r="121" spans="1:11" x14ac:dyDescent="0.35">
      <c r="A121" t="s">
        <v>65</v>
      </c>
      <c r="B121" t="s">
        <v>222</v>
      </c>
      <c r="C121" t="s">
        <v>108</v>
      </c>
      <c r="D121" t="s">
        <v>256</v>
      </c>
      <c r="E121" t="s">
        <v>273</v>
      </c>
      <c r="F121">
        <v>0.27</v>
      </c>
      <c r="G121">
        <v>4</v>
      </c>
      <c r="H121">
        <v>0.1</v>
      </c>
      <c r="I121">
        <v>0.27</v>
      </c>
      <c r="J121">
        <v>1.41</v>
      </c>
      <c r="K121" t="s">
        <v>175</v>
      </c>
    </row>
    <row r="122" spans="1:11" x14ac:dyDescent="0.35">
      <c r="A122" t="s">
        <v>65</v>
      </c>
      <c r="B122" t="s">
        <v>222</v>
      </c>
      <c r="C122" t="s">
        <v>108</v>
      </c>
      <c r="D122" t="s">
        <v>257</v>
      </c>
      <c r="E122" t="s">
        <v>273</v>
      </c>
      <c r="F122">
        <v>1.96</v>
      </c>
      <c r="G122">
        <v>7</v>
      </c>
      <c r="H122">
        <v>0.25</v>
      </c>
      <c r="I122">
        <v>1.96</v>
      </c>
      <c r="J122">
        <v>51</v>
      </c>
      <c r="K122" t="s">
        <v>175</v>
      </c>
    </row>
    <row r="123" spans="1:11" x14ac:dyDescent="0.35">
      <c r="A123" t="s">
        <v>66</v>
      </c>
      <c r="B123" t="s">
        <v>227</v>
      </c>
      <c r="C123" t="s">
        <v>114</v>
      </c>
      <c r="D123" t="s">
        <v>265</v>
      </c>
      <c r="E123" t="s">
        <v>272</v>
      </c>
      <c r="F123">
        <v>0.23</v>
      </c>
      <c r="G123">
        <v>1</v>
      </c>
      <c r="H123">
        <v>0.23</v>
      </c>
      <c r="I123">
        <v>0.23</v>
      </c>
      <c r="J123">
        <v>0.23</v>
      </c>
      <c r="K123" t="s">
        <v>179</v>
      </c>
    </row>
    <row r="124" spans="1:11" x14ac:dyDescent="0.35">
      <c r="A124" t="s">
        <v>66</v>
      </c>
      <c r="B124" t="s">
        <v>227</v>
      </c>
      <c r="C124" t="s">
        <v>114</v>
      </c>
      <c r="D124" t="s">
        <v>258</v>
      </c>
      <c r="E124" t="s">
        <v>273</v>
      </c>
      <c r="F124">
        <v>1.67</v>
      </c>
      <c r="G124">
        <v>1</v>
      </c>
      <c r="H124">
        <v>1.67</v>
      </c>
      <c r="I124">
        <v>1.67</v>
      </c>
      <c r="J124">
        <v>1.67</v>
      </c>
      <c r="K124" t="s">
        <v>179</v>
      </c>
    </row>
    <row r="125" spans="1:11" x14ac:dyDescent="0.35">
      <c r="A125" t="s">
        <v>67</v>
      </c>
      <c r="B125" t="s">
        <v>224</v>
      </c>
      <c r="C125" t="s">
        <v>109</v>
      </c>
      <c r="D125" t="s">
        <v>260</v>
      </c>
      <c r="E125" t="s">
        <v>273</v>
      </c>
      <c r="G125">
        <v>0</v>
      </c>
    </row>
    <row r="126" spans="1:11" x14ac:dyDescent="0.35">
      <c r="A126" t="s">
        <v>67</v>
      </c>
      <c r="B126" t="s">
        <v>224</v>
      </c>
      <c r="C126" t="s">
        <v>109</v>
      </c>
      <c r="D126" t="s">
        <v>258</v>
      </c>
      <c r="E126" t="s">
        <v>272</v>
      </c>
      <c r="F126">
        <v>0.31</v>
      </c>
      <c r="G126">
        <v>3</v>
      </c>
      <c r="H126">
        <v>2.1999999999999999E-2</v>
      </c>
      <c r="I126">
        <v>0.31</v>
      </c>
      <c r="J126">
        <v>1.33</v>
      </c>
      <c r="K126" t="s">
        <v>175</v>
      </c>
    </row>
    <row r="127" spans="1:11" x14ac:dyDescent="0.35">
      <c r="A127" t="s">
        <v>68</v>
      </c>
      <c r="B127" t="s">
        <v>225</v>
      </c>
      <c r="C127" t="s">
        <v>111</v>
      </c>
      <c r="D127" t="s">
        <v>261</v>
      </c>
      <c r="E127" t="s">
        <v>273</v>
      </c>
      <c r="G127">
        <v>0</v>
      </c>
    </row>
    <row r="128" spans="1:11" x14ac:dyDescent="0.35">
      <c r="A128" t="s">
        <v>68</v>
      </c>
      <c r="B128" t="s">
        <v>225</v>
      </c>
      <c r="C128" t="s">
        <v>111</v>
      </c>
      <c r="D128" t="s">
        <v>262</v>
      </c>
      <c r="E128" t="s">
        <v>273</v>
      </c>
      <c r="G128">
        <v>0</v>
      </c>
    </row>
    <row r="129" spans="1:11" x14ac:dyDescent="0.35">
      <c r="A129" t="s">
        <v>69</v>
      </c>
      <c r="B129" t="s">
        <v>87</v>
      </c>
      <c r="C129" t="s">
        <v>236</v>
      </c>
      <c r="D129" t="s">
        <v>263</v>
      </c>
      <c r="E129" t="s">
        <v>273</v>
      </c>
      <c r="G129">
        <v>0</v>
      </c>
    </row>
    <row r="130" spans="1:11" x14ac:dyDescent="0.35">
      <c r="A130" t="s">
        <v>69</v>
      </c>
      <c r="B130" t="s">
        <v>87</v>
      </c>
      <c r="C130" t="s">
        <v>236</v>
      </c>
      <c r="D130" t="s">
        <v>243</v>
      </c>
      <c r="E130" t="s">
        <v>273</v>
      </c>
      <c r="G130">
        <v>0</v>
      </c>
    </row>
    <row r="131" spans="1:11" x14ac:dyDescent="0.35">
      <c r="A131" t="s">
        <v>52</v>
      </c>
      <c r="B131" t="s">
        <v>210</v>
      </c>
      <c r="C131" t="s">
        <v>98</v>
      </c>
      <c r="D131" t="s">
        <v>238</v>
      </c>
      <c r="E131" t="s">
        <v>272</v>
      </c>
      <c r="F131">
        <v>1.2E-2</v>
      </c>
      <c r="G131">
        <v>1</v>
      </c>
      <c r="H131">
        <v>1.2E-2</v>
      </c>
      <c r="I131">
        <v>1.2E-2</v>
      </c>
      <c r="J131">
        <v>1.2E-2</v>
      </c>
      <c r="K131" t="s">
        <v>171</v>
      </c>
    </row>
    <row r="132" spans="1:11" x14ac:dyDescent="0.35">
      <c r="A132" t="s">
        <v>52</v>
      </c>
      <c r="B132" t="s">
        <v>210</v>
      </c>
      <c r="C132" t="s">
        <v>98</v>
      </c>
      <c r="D132" t="s">
        <v>239</v>
      </c>
      <c r="E132" t="s">
        <v>273</v>
      </c>
      <c r="G132">
        <v>0</v>
      </c>
    </row>
    <row r="133" spans="1:11" x14ac:dyDescent="0.35">
      <c r="A133" t="s">
        <v>53</v>
      </c>
      <c r="B133" t="s">
        <v>211</v>
      </c>
      <c r="C133" t="s">
        <v>99</v>
      </c>
      <c r="D133" t="s">
        <v>240</v>
      </c>
      <c r="E133" t="s">
        <v>273</v>
      </c>
      <c r="G133">
        <v>0</v>
      </c>
    </row>
    <row r="134" spans="1:11" x14ac:dyDescent="0.35">
      <c r="A134" t="s">
        <v>53</v>
      </c>
      <c r="B134" t="s">
        <v>211</v>
      </c>
      <c r="C134" t="s">
        <v>99</v>
      </c>
      <c r="D134" t="s">
        <v>241</v>
      </c>
      <c r="E134" t="s">
        <v>273</v>
      </c>
      <c r="G134">
        <v>0</v>
      </c>
    </row>
    <row r="135" spans="1:11" x14ac:dyDescent="0.35">
      <c r="A135" t="s">
        <v>53</v>
      </c>
      <c r="B135" t="s">
        <v>211</v>
      </c>
      <c r="C135" t="s">
        <v>99</v>
      </c>
      <c r="D135" t="s">
        <v>242</v>
      </c>
      <c r="E135" t="s">
        <v>273</v>
      </c>
      <c r="G135">
        <v>0</v>
      </c>
    </row>
    <row r="136" spans="1:11" x14ac:dyDescent="0.35">
      <c r="A136" t="s">
        <v>53</v>
      </c>
      <c r="B136" t="s">
        <v>211</v>
      </c>
      <c r="C136" t="s">
        <v>99</v>
      </c>
      <c r="D136" t="s">
        <v>243</v>
      </c>
      <c r="E136" t="s">
        <v>273</v>
      </c>
      <c r="G136">
        <v>0</v>
      </c>
    </row>
    <row r="137" spans="1:11" x14ac:dyDescent="0.35">
      <c r="A137" t="s">
        <v>54</v>
      </c>
      <c r="B137" t="s">
        <v>212</v>
      </c>
      <c r="C137" t="s">
        <v>100</v>
      </c>
      <c r="D137" t="s">
        <v>244</v>
      </c>
      <c r="E137" t="s">
        <v>272</v>
      </c>
      <c r="F137">
        <v>3.05</v>
      </c>
      <c r="G137">
        <v>14</v>
      </c>
      <c r="H137">
        <v>5.4000000000000003E-3</v>
      </c>
      <c r="I137">
        <v>3.05</v>
      </c>
      <c r="J137">
        <v>25</v>
      </c>
      <c r="K137" t="s">
        <v>172</v>
      </c>
    </row>
    <row r="138" spans="1:11" x14ac:dyDescent="0.35">
      <c r="A138" t="s">
        <v>54</v>
      </c>
      <c r="B138" t="s">
        <v>212</v>
      </c>
      <c r="C138" t="s">
        <v>100</v>
      </c>
      <c r="D138" t="s">
        <v>239</v>
      </c>
      <c r="E138" t="s">
        <v>273</v>
      </c>
      <c r="G138">
        <v>0</v>
      </c>
    </row>
    <row r="139" spans="1:11" x14ac:dyDescent="0.35">
      <c r="A139" t="s">
        <v>55</v>
      </c>
      <c r="B139" t="s">
        <v>213</v>
      </c>
      <c r="C139" t="s">
        <v>101</v>
      </c>
      <c r="D139" t="s">
        <v>245</v>
      </c>
      <c r="E139" t="s">
        <v>272</v>
      </c>
      <c r="F139">
        <v>71.75</v>
      </c>
      <c r="G139">
        <v>2</v>
      </c>
      <c r="H139">
        <v>3.5</v>
      </c>
      <c r="I139">
        <v>71.75</v>
      </c>
      <c r="J139">
        <v>140</v>
      </c>
      <c r="K139" t="s">
        <v>173</v>
      </c>
    </row>
    <row r="140" spans="1:11" x14ac:dyDescent="0.35">
      <c r="A140" t="s">
        <v>55</v>
      </c>
      <c r="B140" t="s">
        <v>213</v>
      </c>
      <c r="C140" t="s">
        <v>101</v>
      </c>
      <c r="D140" t="s">
        <v>246</v>
      </c>
      <c r="E140" t="s">
        <v>273</v>
      </c>
      <c r="F140">
        <v>2.06</v>
      </c>
      <c r="G140">
        <v>1</v>
      </c>
      <c r="H140">
        <v>2.06</v>
      </c>
      <c r="I140">
        <v>2.06</v>
      </c>
      <c r="J140">
        <v>2.06</v>
      </c>
      <c r="K140" t="s">
        <v>175</v>
      </c>
    </row>
    <row r="141" spans="1:11" x14ac:dyDescent="0.35">
      <c r="A141" t="s">
        <v>55</v>
      </c>
      <c r="B141" t="s">
        <v>213</v>
      </c>
      <c r="C141" t="s">
        <v>101</v>
      </c>
      <c r="D141" t="s">
        <v>241</v>
      </c>
      <c r="E141" t="s">
        <v>273</v>
      </c>
      <c r="G141">
        <v>0</v>
      </c>
    </row>
    <row r="142" spans="1:11" x14ac:dyDescent="0.35">
      <c r="A142" t="s">
        <v>56</v>
      </c>
      <c r="B142" t="s">
        <v>214</v>
      </c>
      <c r="C142" t="s">
        <v>101</v>
      </c>
      <c r="D142" t="s">
        <v>247</v>
      </c>
      <c r="E142" t="s">
        <v>273</v>
      </c>
      <c r="G142">
        <v>0</v>
      </c>
    </row>
    <row r="143" spans="1:11" x14ac:dyDescent="0.35">
      <c r="A143" t="s">
        <v>56</v>
      </c>
      <c r="B143" t="s">
        <v>214</v>
      </c>
      <c r="C143" t="s">
        <v>101</v>
      </c>
      <c r="D143" t="s">
        <v>239</v>
      </c>
      <c r="E143" t="s">
        <v>273</v>
      </c>
      <c r="G143">
        <v>0</v>
      </c>
    </row>
    <row r="144" spans="1:11" x14ac:dyDescent="0.35">
      <c r="A144" t="s">
        <v>57</v>
      </c>
      <c r="B144" t="s">
        <v>215</v>
      </c>
      <c r="C144" t="s">
        <v>102</v>
      </c>
      <c r="D144" t="s">
        <v>241</v>
      </c>
      <c r="E144" t="s">
        <v>273</v>
      </c>
      <c r="G144">
        <v>0</v>
      </c>
    </row>
    <row r="145" spans="1:11" x14ac:dyDescent="0.35">
      <c r="A145" t="s">
        <v>57</v>
      </c>
      <c r="B145" t="s">
        <v>215</v>
      </c>
      <c r="C145" t="s">
        <v>102</v>
      </c>
      <c r="D145" t="s">
        <v>248</v>
      </c>
      <c r="E145" t="s">
        <v>273</v>
      </c>
      <c r="G145">
        <v>0</v>
      </c>
    </row>
    <row r="146" spans="1:11" x14ac:dyDescent="0.35">
      <c r="A146" t="s">
        <v>57</v>
      </c>
      <c r="B146" t="s">
        <v>215</v>
      </c>
      <c r="C146" t="s">
        <v>102</v>
      </c>
      <c r="D146" t="s">
        <v>249</v>
      </c>
      <c r="E146" t="s">
        <v>272</v>
      </c>
      <c r="F146">
        <v>0.214</v>
      </c>
      <c r="G146">
        <v>2</v>
      </c>
      <c r="H146">
        <v>0.03</v>
      </c>
      <c r="I146">
        <v>0.214</v>
      </c>
      <c r="J146">
        <v>0.39800000000000002</v>
      </c>
      <c r="K146" t="s">
        <v>175</v>
      </c>
    </row>
    <row r="147" spans="1:11" x14ac:dyDescent="0.35">
      <c r="A147" t="s">
        <v>58</v>
      </c>
      <c r="B147" t="s">
        <v>216</v>
      </c>
      <c r="C147" t="s">
        <v>101</v>
      </c>
      <c r="D147" t="s">
        <v>246</v>
      </c>
      <c r="E147" t="s">
        <v>272</v>
      </c>
      <c r="F147">
        <v>2.06</v>
      </c>
      <c r="G147">
        <v>1</v>
      </c>
      <c r="H147">
        <v>2.06</v>
      </c>
      <c r="I147">
        <v>2.06</v>
      </c>
      <c r="J147">
        <v>2.06</v>
      </c>
      <c r="K147" t="s">
        <v>175</v>
      </c>
    </row>
    <row r="148" spans="1:11" x14ac:dyDescent="0.35">
      <c r="A148" t="s">
        <v>58</v>
      </c>
      <c r="B148" t="s">
        <v>216</v>
      </c>
      <c r="C148" t="s">
        <v>101</v>
      </c>
      <c r="D148" t="s">
        <v>250</v>
      </c>
      <c r="E148" t="s">
        <v>273</v>
      </c>
      <c r="F148">
        <v>22.5</v>
      </c>
      <c r="G148">
        <v>1</v>
      </c>
      <c r="H148">
        <v>22.5</v>
      </c>
      <c r="I148">
        <v>22.5</v>
      </c>
      <c r="J148">
        <v>22.5</v>
      </c>
      <c r="K148" t="s">
        <v>175</v>
      </c>
    </row>
    <row r="149" spans="1:11" x14ac:dyDescent="0.35">
      <c r="A149" t="s">
        <v>59</v>
      </c>
      <c r="B149" t="s">
        <v>217</v>
      </c>
      <c r="C149" t="s">
        <v>156</v>
      </c>
      <c r="D149" t="s">
        <v>251</v>
      </c>
      <c r="E149" t="s">
        <v>273</v>
      </c>
      <c r="G149">
        <v>0</v>
      </c>
    </row>
    <row r="150" spans="1:11" x14ac:dyDescent="0.35">
      <c r="A150" t="s">
        <v>59</v>
      </c>
      <c r="B150" t="s">
        <v>217</v>
      </c>
      <c r="C150" t="s">
        <v>156</v>
      </c>
      <c r="D150" t="s">
        <v>252</v>
      </c>
      <c r="E150" t="s">
        <v>272</v>
      </c>
      <c r="F150">
        <v>3.5500000000000003</v>
      </c>
      <c r="G150">
        <v>6</v>
      </c>
      <c r="H150">
        <v>1.4</v>
      </c>
      <c r="I150">
        <v>3.5500000000000003</v>
      </c>
      <c r="J150">
        <v>11.1</v>
      </c>
      <c r="K150" t="s">
        <v>176</v>
      </c>
    </row>
    <row r="151" spans="1:11" x14ac:dyDescent="0.35">
      <c r="A151" t="s">
        <v>59</v>
      </c>
      <c r="B151" t="s">
        <v>217</v>
      </c>
      <c r="C151" t="s">
        <v>235</v>
      </c>
      <c r="D151" t="s">
        <v>251</v>
      </c>
      <c r="E151" t="s">
        <v>273</v>
      </c>
      <c r="G151">
        <v>0</v>
      </c>
    </row>
    <row r="152" spans="1:11" x14ac:dyDescent="0.35">
      <c r="A152" t="s">
        <v>59</v>
      </c>
      <c r="B152" t="s">
        <v>217</v>
      </c>
      <c r="C152" t="s">
        <v>235</v>
      </c>
      <c r="D152" t="s">
        <v>252</v>
      </c>
      <c r="E152" t="s">
        <v>272</v>
      </c>
      <c r="F152">
        <v>5.1400000000000006</v>
      </c>
      <c r="G152">
        <v>2</v>
      </c>
      <c r="H152">
        <v>0.28000000000000003</v>
      </c>
      <c r="I152">
        <v>5.1400000000000006</v>
      </c>
      <c r="J152">
        <v>10</v>
      </c>
      <c r="K152" t="s">
        <v>279</v>
      </c>
    </row>
    <row r="153" spans="1:11" x14ac:dyDescent="0.35">
      <c r="A153" t="s">
        <v>60</v>
      </c>
      <c r="B153" t="s">
        <v>218</v>
      </c>
      <c r="C153" t="s">
        <v>104</v>
      </c>
      <c r="D153" t="s">
        <v>253</v>
      </c>
      <c r="E153" t="s">
        <v>273</v>
      </c>
      <c r="G153">
        <v>0</v>
      </c>
    </row>
    <row r="154" spans="1:11" x14ac:dyDescent="0.35">
      <c r="A154" t="s">
        <v>60</v>
      </c>
      <c r="B154" t="s">
        <v>218</v>
      </c>
      <c r="C154" t="s">
        <v>104</v>
      </c>
      <c r="D154" t="s">
        <v>239</v>
      </c>
      <c r="E154" t="s">
        <v>273</v>
      </c>
      <c r="G154">
        <v>0</v>
      </c>
    </row>
    <row r="155" spans="1:11" x14ac:dyDescent="0.35">
      <c r="A155" t="s">
        <v>60</v>
      </c>
      <c r="B155" t="s">
        <v>218</v>
      </c>
      <c r="C155" t="s">
        <v>104</v>
      </c>
      <c r="D155" t="s">
        <v>254</v>
      </c>
      <c r="E155" t="s">
        <v>273</v>
      </c>
      <c r="G155">
        <v>0</v>
      </c>
    </row>
    <row r="156" spans="1:11" x14ac:dyDescent="0.35">
      <c r="A156" t="s">
        <v>61</v>
      </c>
      <c r="B156" t="s">
        <v>219</v>
      </c>
      <c r="C156" t="s">
        <v>105</v>
      </c>
      <c r="D156" t="s">
        <v>254</v>
      </c>
      <c r="E156" t="s">
        <v>272</v>
      </c>
      <c r="F156">
        <v>0.93</v>
      </c>
      <c r="G156">
        <v>1</v>
      </c>
      <c r="H156">
        <v>0.93</v>
      </c>
      <c r="I156">
        <v>0.93</v>
      </c>
      <c r="J156">
        <v>0.93</v>
      </c>
      <c r="K156" t="s">
        <v>178</v>
      </c>
    </row>
    <row r="157" spans="1:11" x14ac:dyDescent="0.35">
      <c r="A157" t="s">
        <v>61</v>
      </c>
      <c r="B157" t="s">
        <v>219</v>
      </c>
      <c r="C157" t="s">
        <v>105</v>
      </c>
      <c r="D157" t="s">
        <v>249</v>
      </c>
      <c r="E157" t="s">
        <v>273</v>
      </c>
      <c r="G157">
        <v>0</v>
      </c>
    </row>
    <row r="158" spans="1:11" x14ac:dyDescent="0.35">
      <c r="A158" t="s">
        <v>63</v>
      </c>
      <c r="B158" t="s">
        <v>220</v>
      </c>
      <c r="C158" t="s">
        <v>106</v>
      </c>
      <c r="D158" t="s">
        <v>246</v>
      </c>
      <c r="E158" t="s">
        <v>272</v>
      </c>
      <c r="F158">
        <v>0.06</v>
      </c>
      <c r="G158">
        <v>1</v>
      </c>
      <c r="H158">
        <v>0.06</v>
      </c>
      <c r="I158">
        <v>0.06</v>
      </c>
      <c r="J158">
        <v>0.06</v>
      </c>
      <c r="K158" t="s">
        <v>179</v>
      </c>
    </row>
    <row r="159" spans="1:11" x14ac:dyDescent="0.35">
      <c r="A159" t="s">
        <v>63</v>
      </c>
      <c r="B159" t="s">
        <v>220</v>
      </c>
      <c r="C159" t="s">
        <v>106</v>
      </c>
      <c r="D159" t="s">
        <v>255</v>
      </c>
      <c r="E159" t="s">
        <v>273</v>
      </c>
      <c r="F159">
        <v>22.2</v>
      </c>
      <c r="G159">
        <v>1</v>
      </c>
      <c r="H159">
        <v>22.2</v>
      </c>
      <c r="I159">
        <v>22.2</v>
      </c>
      <c r="J159">
        <v>22.2</v>
      </c>
      <c r="K159" t="s">
        <v>179</v>
      </c>
    </row>
    <row r="160" spans="1:11" x14ac:dyDescent="0.35">
      <c r="A160" t="s">
        <v>64</v>
      </c>
      <c r="B160" t="s">
        <v>221</v>
      </c>
      <c r="C160" t="s">
        <v>107</v>
      </c>
      <c r="D160" t="s">
        <v>253</v>
      </c>
      <c r="E160" t="s">
        <v>272</v>
      </c>
      <c r="F160">
        <v>0.5</v>
      </c>
      <c r="G160">
        <v>9</v>
      </c>
      <c r="H160">
        <v>0.26</v>
      </c>
      <c r="I160">
        <v>0.5</v>
      </c>
      <c r="J160">
        <v>4.47</v>
      </c>
      <c r="K160" t="s">
        <v>175</v>
      </c>
    </row>
    <row r="161" spans="1:11" x14ac:dyDescent="0.35">
      <c r="A161" t="s">
        <v>64</v>
      </c>
      <c r="B161" t="s">
        <v>221</v>
      </c>
      <c r="C161" t="s">
        <v>107</v>
      </c>
      <c r="D161" t="s">
        <v>255</v>
      </c>
      <c r="E161" t="s">
        <v>273</v>
      </c>
      <c r="F161">
        <v>0.315</v>
      </c>
      <c r="G161">
        <v>4</v>
      </c>
      <c r="H161">
        <v>0.1</v>
      </c>
      <c r="I161">
        <v>0.315</v>
      </c>
      <c r="J161">
        <v>0.8</v>
      </c>
      <c r="K161" t="s">
        <v>175</v>
      </c>
    </row>
    <row r="162" spans="1:11" x14ac:dyDescent="0.35">
      <c r="A162" t="s">
        <v>64</v>
      </c>
      <c r="B162" t="s">
        <v>221</v>
      </c>
      <c r="C162" t="s">
        <v>107</v>
      </c>
      <c r="D162" t="s">
        <v>252</v>
      </c>
      <c r="E162" t="s">
        <v>273</v>
      </c>
      <c r="F162">
        <v>2.15</v>
      </c>
      <c r="G162">
        <v>6</v>
      </c>
      <c r="H162">
        <v>0.7</v>
      </c>
      <c r="I162">
        <v>2.15</v>
      </c>
      <c r="J162">
        <v>3.5</v>
      </c>
      <c r="K162" t="s">
        <v>175</v>
      </c>
    </row>
    <row r="163" spans="1:11" x14ac:dyDescent="0.35">
      <c r="A163" t="s">
        <v>65</v>
      </c>
      <c r="B163" t="s">
        <v>222</v>
      </c>
      <c r="C163" t="s">
        <v>108</v>
      </c>
      <c r="D163" t="s">
        <v>253</v>
      </c>
      <c r="E163" t="s">
        <v>272</v>
      </c>
      <c r="F163">
        <v>0.09</v>
      </c>
      <c r="G163">
        <v>9</v>
      </c>
      <c r="H163">
        <v>0.02</v>
      </c>
      <c r="I163">
        <v>0.09</v>
      </c>
      <c r="J163">
        <v>2.66</v>
      </c>
      <c r="K163" t="s">
        <v>175</v>
      </c>
    </row>
    <row r="164" spans="1:11" x14ac:dyDescent="0.35">
      <c r="A164" t="s">
        <v>65</v>
      </c>
      <c r="B164" t="s">
        <v>222</v>
      </c>
      <c r="C164" t="s">
        <v>108</v>
      </c>
      <c r="D164" t="s">
        <v>256</v>
      </c>
      <c r="E164" t="s">
        <v>273</v>
      </c>
      <c r="F164">
        <v>0.27</v>
      </c>
      <c r="G164">
        <v>4</v>
      </c>
      <c r="H164">
        <v>0.1</v>
      </c>
      <c r="I164">
        <v>0.27</v>
      </c>
      <c r="J164">
        <v>1.41</v>
      </c>
      <c r="K164" t="s">
        <v>175</v>
      </c>
    </row>
    <row r="165" spans="1:11" x14ac:dyDescent="0.35">
      <c r="A165" t="s">
        <v>65</v>
      </c>
      <c r="B165" t="s">
        <v>222</v>
      </c>
      <c r="C165" t="s">
        <v>108</v>
      </c>
      <c r="D165" t="s">
        <v>257</v>
      </c>
      <c r="E165" t="s">
        <v>273</v>
      </c>
      <c r="F165">
        <v>1.96</v>
      </c>
      <c r="G165">
        <v>7</v>
      </c>
      <c r="H165">
        <v>0.25</v>
      </c>
      <c r="I165">
        <v>1.96</v>
      </c>
      <c r="J165">
        <v>51</v>
      </c>
      <c r="K165" t="s">
        <v>175</v>
      </c>
    </row>
    <row r="166" spans="1:11" x14ac:dyDescent="0.35">
      <c r="A166" t="s">
        <v>67</v>
      </c>
      <c r="B166" t="s">
        <v>224</v>
      </c>
      <c r="C166" t="s">
        <v>109</v>
      </c>
      <c r="D166" t="s">
        <v>260</v>
      </c>
      <c r="E166" t="s">
        <v>273</v>
      </c>
      <c r="G166">
        <v>0</v>
      </c>
    </row>
    <row r="167" spans="1:11" x14ac:dyDescent="0.35">
      <c r="A167" t="s">
        <v>67</v>
      </c>
      <c r="B167" t="s">
        <v>224</v>
      </c>
      <c r="C167" t="s">
        <v>109</v>
      </c>
      <c r="D167" t="s">
        <v>258</v>
      </c>
      <c r="E167" t="s">
        <v>272</v>
      </c>
      <c r="F167">
        <v>0.31</v>
      </c>
      <c r="G167">
        <v>3</v>
      </c>
      <c r="H167">
        <v>2.1999999999999999E-2</v>
      </c>
      <c r="I167">
        <v>0.31</v>
      </c>
      <c r="J167">
        <v>1.33</v>
      </c>
      <c r="K167" t="s">
        <v>175</v>
      </c>
    </row>
    <row r="168" spans="1:11" x14ac:dyDescent="0.35">
      <c r="A168" t="s">
        <v>68</v>
      </c>
      <c r="B168" t="s">
        <v>225</v>
      </c>
      <c r="C168" t="s">
        <v>111</v>
      </c>
      <c r="D168" t="s">
        <v>261</v>
      </c>
      <c r="E168" t="s">
        <v>273</v>
      </c>
      <c r="G168">
        <v>0</v>
      </c>
    </row>
    <row r="169" spans="1:11" x14ac:dyDescent="0.35">
      <c r="A169" t="s">
        <v>68</v>
      </c>
      <c r="B169" t="s">
        <v>225</v>
      </c>
      <c r="C169" t="s">
        <v>111</v>
      </c>
      <c r="D169" t="s">
        <v>262</v>
      </c>
      <c r="E169" t="s">
        <v>273</v>
      </c>
      <c r="G169">
        <v>0</v>
      </c>
    </row>
    <row r="170" spans="1:11" x14ac:dyDescent="0.35">
      <c r="A170" t="s">
        <v>69</v>
      </c>
      <c r="B170" t="s">
        <v>87</v>
      </c>
      <c r="C170" t="s">
        <v>236</v>
      </c>
      <c r="D170" t="s">
        <v>263</v>
      </c>
      <c r="E170" t="s">
        <v>273</v>
      </c>
      <c r="G170">
        <v>0</v>
      </c>
    </row>
    <row r="171" spans="1:11" x14ac:dyDescent="0.35">
      <c r="A171" t="s">
        <v>69</v>
      </c>
      <c r="B171" t="s">
        <v>87</v>
      </c>
      <c r="C171" t="s">
        <v>236</v>
      </c>
      <c r="D171" t="s">
        <v>243</v>
      </c>
      <c r="E171" t="s">
        <v>273</v>
      </c>
      <c r="G171">
        <v>0</v>
      </c>
    </row>
    <row r="172" spans="1:11" x14ac:dyDescent="0.35">
      <c r="A172" t="s">
        <v>52</v>
      </c>
      <c r="B172" t="s">
        <v>210</v>
      </c>
      <c r="C172" t="s">
        <v>98</v>
      </c>
      <c r="D172" t="s">
        <v>238</v>
      </c>
      <c r="E172" t="s">
        <v>272</v>
      </c>
      <c r="F172">
        <v>1.2E-2</v>
      </c>
      <c r="G172">
        <v>1</v>
      </c>
      <c r="H172">
        <v>1.2E-2</v>
      </c>
      <c r="I172">
        <v>1.2E-2</v>
      </c>
      <c r="J172">
        <v>1.2E-2</v>
      </c>
      <c r="K172" t="s">
        <v>171</v>
      </c>
    </row>
    <row r="173" spans="1:11" x14ac:dyDescent="0.35">
      <c r="A173" t="s">
        <v>52</v>
      </c>
      <c r="B173" t="s">
        <v>210</v>
      </c>
      <c r="C173" t="s">
        <v>98</v>
      </c>
      <c r="D173" t="s">
        <v>239</v>
      </c>
      <c r="E173" t="s">
        <v>273</v>
      </c>
      <c r="G173">
        <v>0</v>
      </c>
    </row>
    <row r="174" spans="1:11" x14ac:dyDescent="0.35">
      <c r="A174" t="s">
        <v>53</v>
      </c>
      <c r="B174" t="s">
        <v>211</v>
      </c>
      <c r="C174" t="s">
        <v>99</v>
      </c>
      <c r="D174" t="s">
        <v>240</v>
      </c>
      <c r="E174" t="s">
        <v>273</v>
      </c>
      <c r="G174">
        <v>0</v>
      </c>
    </row>
    <row r="175" spans="1:11" x14ac:dyDescent="0.35">
      <c r="A175" t="s">
        <v>53</v>
      </c>
      <c r="B175" t="s">
        <v>211</v>
      </c>
      <c r="C175" t="s">
        <v>99</v>
      </c>
      <c r="D175" t="s">
        <v>241</v>
      </c>
      <c r="E175" t="s">
        <v>273</v>
      </c>
      <c r="G175">
        <v>0</v>
      </c>
    </row>
    <row r="176" spans="1:11" x14ac:dyDescent="0.35">
      <c r="A176" t="s">
        <v>53</v>
      </c>
      <c r="B176" t="s">
        <v>211</v>
      </c>
      <c r="C176" t="s">
        <v>99</v>
      </c>
      <c r="D176" t="s">
        <v>242</v>
      </c>
      <c r="E176" t="s">
        <v>273</v>
      </c>
      <c r="G176">
        <v>0</v>
      </c>
    </row>
    <row r="177" spans="1:11" x14ac:dyDescent="0.35">
      <c r="A177" t="s">
        <v>53</v>
      </c>
      <c r="B177" t="s">
        <v>211</v>
      </c>
      <c r="C177" t="s">
        <v>99</v>
      </c>
      <c r="D177" t="s">
        <v>243</v>
      </c>
      <c r="E177" t="s">
        <v>273</v>
      </c>
      <c r="G177">
        <v>0</v>
      </c>
    </row>
    <row r="178" spans="1:11" x14ac:dyDescent="0.35">
      <c r="A178" t="s">
        <v>54</v>
      </c>
      <c r="B178" t="s">
        <v>212</v>
      </c>
      <c r="C178" t="s">
        <v>100</v>
      </c>
      <c r="D178" t="s">
        <v>244</v>
      </c>
      <c r="E178" t="s">
        <v>272</v>
      </c>
      <c r="F178">
        <v>3.05</v>
      </c>
      <c r="G178">
        <v>14</v>
      </c>
      <c r="H178">
        <v>5.4000000000000003E-3</v>
      </c>
      <c r="I178">
        <v>3.05</v>
      </c>
      <c r="J178">
        <v>25</v>
      </c>
      <c r="K178" t="s">
        <v>172</v>
      </c>
    </row>
    <row r="179" spans="1:11" x14ac:dyDescent="0.35">
      <c r="A179" t="s">
        <v>54</v>
      </c>
      <c r="B179" t="s">
        <v>212</v>
      </c>
      <c r="C179" t="s">
        <v>100</v>
      </c>
      <c r="D179" t="s">
        <v>239</v>
      </c>
      <c r="E179" t="s">
        <v>273</v>
      </c>
      <c r="G179">
        <v>0</v>
      </c>
    </row>
    <row r="180" spans="1:11" x14ac:dyDescent="0.35">
      <c r="A180" t="s">
        <v>55</v>
      </c>
      <c r="B180" t="s">
        <v>213</v>
      </c>
      <c r="C180" t="s">
        <v>101</v>
      </c>
      <c r="D180" t="s">
        <v>245</v>
      </c>
      <c r="E180" t="s">
        <v>272</v>
      </c>
      <c r="F180">
        <v>71.75</v>
      </c>
      <c r="G180">
        <v>2</v>
      </c>
      <c r="H180">
        <v>3.5</v>
      </c>
      <c r="I180">
        <v>71.75</v>
      </c>
      <c r="J180">
        <v>140</v>
      </c>
      <c r="K180" t="s">
        <v>173</v>
      </c>
    </row>
    <row r="181" spans="1:11" x14ac:dyDescent="0.35">
      <c r="A181" t="s">
        <v>55</v>
      </c>
      <c r="B181" t="s">
        <v>213</v>
      </c>
      <c r="C181" t="s">
        <v>101</v>
      </c>
      <c r="D181" t="s">
        <v>246</v>
      </c>
      <c r="E181" t="s">
        <v>273</v>
      </c>
      <c r="F181">
        <v>2.06</v>
      </c>
      <c r="G181">
        <v>1</v>
      </c>
      <c r="H181">
        <v>2.06</v>
      </c>
      <c r="I181">
        <v>2.06</v>
      </c>
      <c r="J181">
        <v>2.06</v>
      </c>
      <c r="K181" t="s">
        <v>175</v>
      </c>
    </row>
    <row r="182" spans="1:11" x14ac:dyDescent="0.35">
      <c r="A182" t="s">
        <v>55</v>
      </c>
      <c r="B182" t="s">
        <v>213</v>
      </c>
      <c r="C182" t="s">
        <v>101</v>
      </c>
      <c r="D182" t="s">
        <v>241</v>
      </c>
      <c r="E182" t="s">
        <v>273</v>
      </c>
      <c r="G182">
        <v>0</v>
      </c>
    </row>
    <row r="183" spans="1:11" x14ac:dyDescent="0.35">
      <c r="A183" t="s">
        <v>56</v>
      </c>
      <c r="B183" t="s">
        <v>214</v>
      </c>
      <c r="C183" t="s">
        <v>101</v>
      </c>
      <c r="D183" t="s">
        <v>247</v>
      </c>
      <c r="E183" t="s">
        <v>273</v>
      </c>
      <c r="G183">
        <v>0</v>
      </c>
    </row>
    <row r="184" spans="1:11" x14ac:dyDescent="0.35">
      <c r="A184" t="s">
        <v>56</v>
      </c>
      <c r="B184" t="s">
        <v>214</v>
      </c>
      <c r="C184" t="s">
        <v>101</v>
      </c>
      <c r="D184" t="s">
        <v>239</v>
      </c>
      <c r="E184" t="s">
        <v>273</v>
      </c>
      <c r="G184">
        <v>0</v>
      </c>
    </row>
    <row r="185" spans="1:11" x14ac:dyDescent="0.35">
      <c r="A185" t="s">
        <v>57</v>
      </c>
      <c r="B185" t="s">
        <v>215</v>
      </c>
      <c r="C185" t="s">
        <v>102</v>
      </c>
      <c r="D185" t="s">
        <v>241</v>
      </c>
      <c r="E185" t="s">
        <v>273</v>
      </c>
      <c r="G185">
        <v>0</v>
      </c>
    </row>
    <row r="186" spans="1:11" x14ac:dyDescent="0.35">
      <c r="A186" t="s">
        <v>57</v>
      </c>
      <c r="B186" t="s">
        <v>215</v>
      </c>
      <c r="C186" t="s">
        <v>102</v>
      </c>
      <c r="D186" t="s">
        <v>248</v>
      </c>
      <c r="E186" t="s">
        <v>273</v>
      </c>
      <c r="G186">
        <v>0</v>
      </c>
    </row>
    <row r="187" spans="1:11" x14ac:dyDescent="0.35">
      <c r="A187" t="s">
        <v>57</v>
      </c>
      <c r="B187" t="s">
        <v>215</v>
      </c>
      <c r="C187" t="s">
        <v>102</v>
      </c>
      <c r="D187" t="s">
        <v>249</v>
      </c>
      <c r="E187" t="s">
        <v>272</v>
      </c>
      <c r="F187">
        <v>0.214</v>
      </c>
      <c r="G187">
        <v>2</v>
      </c>
      <c r="H187">
        <v>0.03</v>
      </c>
      <c r="I187">
        <v>0.214</v>
      </c>
      <c r="J187">
        <v>0.39800000000000002</v>
      </c>
      <c r="K187" t="s">
        <v>175</v>
      </c>
    </row>
    <row r="188" spans="1:11" x14ac:dyDescent="0.35">
      <c r="A188" t="s">
        <v>58</v>
      </c>
      <c r="B188" t="s">
        <v>216</v>
      </c>
      <c r="C188" t="s">
        <v>101</v>
      </c>
      <c r="D188" t="s">
        <v>246</v>
      </c>
      <c r="E188" t="s">
        <v>272</v>
      </c>
      <c r="F188">
        <v>2.06</v>
      </c>
      <c r="G188">
        <v>1</v>
      </c>
      <c r="H188">
        <v>2.06</v>
      </c>
      <c r="I188">
        <v>2.06</v>
      </c>
      <c r="J188">
        <v>2.06</v>
      </c>
      <c r="K188" t="s">
        <v>175</v>
      </c>
    </row>
    <row r="189" spans="1:11" x14ac:dyDescent="0.35">
      <c r="A189" t="s">
        <v>58</v>
      </c>
      <c r="B189" t="s">
        <v>216</v>
      </c>
      <c r="C189" t="s">
        <v>101</v>
      </c>
      <c r="D189" t="s">
        <v>250</v>
      </c>
      <c r="E189" t="s">
        <v>273</v>
      </c>
      <c r="F189">
        <v>22.5</v>
      </c>
      <c r="G189">
        <v>1</v>
      </c>
      <c r="H189">
        <v>22.5</v>
      </c>
      <c r="I189">
        <v>22.5</v>
      </c>
      <c r="J189">
        <v>22.5</v>
      </c>
      <c r="K189" t="s">
        <v>175</v>
      </c>
    </row>
    <row r="190" spans="1:11" x14ac:dyDescent="0.35">
      <c r="A190" t="s">
        <v>59</v>
      </c>
      <c r="B190" t="s">
        <v>217</v>
      </c>
      <c r="C190" t="s">
        <v>156</v>
      </c>
      <c r="D190" t="s">
        <v>251</v>
      </c>
      <c r="E190" t="s">
        <v>273</v>
      </c>
      <c r="G190">
        <v>0</v>
      </c>
    </row>
    <row r="191" spans="1:11" x14ac:dyDescent="0.35">
      <c r="A191" t="s">
        <v>59</v>
      </c>
      <c r="B191" t="s">
        <v>217</v>
      </c>
      <c r="C191" t="s">
        <v>156</v>
      </c>
      <c r="D191" t="s">
        <v>252</v>
      </c>
      <c r="E191" t="s">
        <v>272</v>
      </c>
      <c r="F191">
        <v>3.5500000000000003</v>
      </c>
      <c r="G191">
        <v>6</v>
      </c>
      <c r="H191">
        <v>1.4</v>
      </c>
      <c r="I191">
        <v>3.5500000000000003</v>
      </c>
      <c r="J191">
        <v>11.1</v>
      </c>
      <c r="K191" t="s">
        <v>176</v>
      </c>
    </row>
    <row r="192" spans="1:11" x14ac:dyDescent="0.35">
      <c r="A192" t="s">
        <v>59</v>
      </c>
      <c r="B192" t="s">
        <v>217</v>
      </c>
      <c r="C192" t="s">
        <v>235</v>
      </c>
      <c r="D192" t="s">
        <v>251</v>
      </c>
      <c r="E192" t="s">
        <v>273</v>
      </c>
      <c r="G192">
        <v>0</v>
      </c>
    </row>
    <row r="193" spans="1:11" x14ac:dyDescent="0.35">
      <c r="A193" t="s">
        <v>59</v>
      </c>
      <c r="B193" t="s">
        <v>217</v>
      </c>
      <c r="C193" t="s">
        <v>235</v>
      </c>
      <c r="D193" t="s">
        <v>252</v>
      </c>
      <c r="E193" t="s">
        <v>272</v>
      </c>
      <c r="F193">
        <v>5.1400000000000006</v>
      </c>
      <c r="G193">
        <v>2</v>
      </c>
      <c r="H193">
        <v>0.28000000000000003</v>
      </c>
      <c r="I193">
        <v>5.1400000000000006</v>
      </c>
      <c r="J193">
        <v>10</v>
      </c>
      <c r="K193" t="s">
        <v>279</v>
      </c>
    </row>
    <row r="194" spans="1:11" x14ac:dyDescent="0.35">
      <c r="A194" t="s">
        <v>60</v>
      </c>
      <c r="B194" t="s">
        <v>218</v>
      </c>
      <c r="C194" t="s">
        <v>104</v>
      </c>
      <c r="D194" t="s">
        <v>253</v>
      </c>
      <c r="E194" t="s">
        <v>273</v>
      </c>
      <c r="G194">
        <v>0</v>
      </c>
    </row>
    <row r="195" spans="1:11" x14ac:dyDescent="0.35">
      <c r="A195" t="s">
        <v>60</v>
      </c>
      <c r="B195" t="s">
        <v>218</v>
      </c>
      <c r="C195" t="s">
        <v>104</v>
      </c>
      <c r="D195" t="s">
        <v>239</v>
      </c>
      <c r="E195" t="s">
        <v>273</v>
      </c>
      <c r="G195">
        <v>0</v>
      </c>
    </row>
    <row r="196" spans="1:11" x14ac:dyDescent="0.35">
      <c r="A196" t="s">
        <v>60</v>
      </c>
      <c r="B196" t="s">
        <v>218</v>
      </c>
      <c r="C196" t="s">
        <v>104</v>
      </c>
      <c r="D196" t="s">
        <v>254</v>
      </c>
      <c r="E196" t="s">
        <v>273</v>
      </c>
      <c r="G196">
        <v>0</v>
      </c>
    </row>
    <row r="197" spans="1:11" x14ac:dyDescent="0.35">
      <c r="A197" t="s">
        <v>61</v>
      </c>
      <c r="B197" t="s">
        <v>219</v>
      </c>
      <c r="C197" t="s">
        <v>105</v>
      </c>
      <c r="D197" t="s">
        <v>254</v>
      </c>
      <c r="E197" t="s">
        <v>272</v>
      </c>
      <c r="F197">
        <v>0.93</v>
      </c>
      <c r="G197">
        <v>1</v>
      </c>
      <c r="H197">
        <v>0.93</v>
      </c>
      <c r="I197">
        <v>0.93</v>
      </c>
      <c r="J197">
        <v>0.93</v>
      </c>
      <c r="K197" t="s">
        <v>178</v>
      </c>
    </row>
    <row r="198" spans="1:11" x14ac:dyDescent="0.35">
      <c r="A198" t="s">
        <v>61</v>
      </c>
      <c r="B198" t="s">
        <v>219</v>
      </c>
      <c r="C198" t="s">
        <v>105</v>
      </c>
      <c r="D198" t="s">
        <v>249</v>
      </c>
      <c r="E198" t="s">
        <v>273</v>
      </c>
      <c r="G198">
        <v>0</v>
      </c>
    </row>
    <row r="199" spans="1:11" x14ac:dyDescent="0.35">
      <c r="A199" t="s">
        <v>63</v>
      </c>
      <c r="B199" t="s">
        <v>220</v>
      </c>
      <c r="C199" t="s">
        <v>106</v>
      </c>
      <c r="D199" t="s">
        <v>246</v>
      </c>
      <c r="E199" t="s">
        <v>272</v>
      </c>
      <c r="F199">
        <v>0.06</v>
      </c>
      <c r="G199">
        <v>1</v>
      </c>
      <c r="H199">
        <v>0.06</v>
      </c>
      <c r="I199">
        <v>0.06</v>
      </c>
      <c r="J199">
        <v>0.06</v>
      </c>
      <c r="K199" t="s">
        <v>179</v>
      </c>
    </row>
    <row r="200" spans="1:11" x14ac:dyDescent="0.35">
      <c r="A200" t="s">
        <v>63</v>
      </c>
      <c r="B200" t="s">
        <v>220</v>
      </c>
      <c r="C200" t="s">
        <v>106</v>
      </c>
      <c r="D200" t="s">
        <v>255</v>
      </c>
      <c r="E200" t="s">
        <v>273</v>
      </c>
      <c r="F200">
        <v>22.2</v>
      </c>
      <c r="G200">
        <v>1</v>
      </c>
      <c r="H200">
        <v>22.2</v>
      </c>
      <c r="I200">
        <v>22.2</v>
      </c>
      <c r="J200">
        <v>22.2</v>
      </c>
      <c r="K200" t="s">
        <v>179</v>
      </c>
    </row>
    <row r="201" spans="1:11" x14ac:dyDescent="0.35">
      <c r="A201" t="s">
        <v>64</v>
      </c>
      <c r="B201" t="s">
        <v>221</v>
      </c>
      <c r="C201" t="s">
        <v>107</v>
      </c>
      <c r="D201" t="s">
        <v>253</v>
      </c>
      <c r="E201" t="s">
        <v>272</v>
      </c>
      <c r="F201">
        <v>0.5</v>
      </c>
      <c r="G201">
        <v>9</v>
      </c>
      <c r="H201">
        <v>0.26</v>
      </c>
      <c r="I201">
        <v>0.5</v>
      </c>
      <c r="J201">
        <v>4.47</v>
      </c>
      <c r="K201" t="s">
        <v>175</v>
      </c>
    </row>
    <row r="202" spans="1:11" x14ac:dyDescent="0.35">
      <c r="A202" t="s">
        <v>64</v>
      </c>
      <c r="B202" t="s">
        <v>221</v>
      </c>
      <c r="C202" t="s">
        <v>107</v>
      </c>
      <c r="D202" t="s">
        <v>255</v>
      </c>
      <c r="E202" t="s">
        <v>273</v>
      </c>
      <c r="F202">
        <v>0.315</v>
      </c>
      <c r="G202">
        <v>4</v>
      </c>
      <c r="H202">
        <v>0.1</v>
      </c>
      <c r="I202">
        <v>0.315</v>
      </c>
      <c r="J202">
        <v>0.8</v>
      </c>
      <c r="K202" t="s">
        <v>175</v>
      </c>
    </row>
    <row r="203" spans="1:11" x14ac:dyDescent="0.35">
      <c r="A203" t="s">
        <v>64</v>
      </c>
      <c r="B203" t="s">
        <v>221</v>
      </c>
      <c r="C203" t="s">
        <v>107</v>
      </c>
      <c r="D203" t="s">
        <v>252</v>
      </c>
      <c r="E203" t="s">
        <v>273</v>
      </c>
      <c r="F203">
        <v>2.15</v>
      </c>
      <c r="G203">
        <v>6</v>
      </c>
      <c r="H203">
        <v>0.7</v>
      </c>
      <c r="I203">
        <v>2.15</v>
      </c>
      <c r="J203">
        <v>3.5</v>
      </c>
      <c r="K203" t="s">
        <v>175</v>
      </c>
    </row>
    <row r="204" spans="1:11" x14ac:dyDescent="0.35">
      <c r="A204" t="s">
        <v>65</v>
      </c>
      <c r="B204" t="s">
        <v>222</v>
      </c>
      <c r="C204" t="s">
        <v>108</v>
      </c>
      <c r="D204" t="s">
        <v>253</v>
      </c>
      <c r="E204" t="s">
        <v>272</v>
      </c>
      <c r="F204">
        <v>0.09</v>
      </c>
      <c r="G204">
        <v>9</v>
      </c>
      <c r="H204">
        <v>0.02</v>
      </c>
      <c r="I204">
        <v>0.09</v>
      </c>
      <c r="J204">
        <v>2.66</v>
      </c>
      <c r="K204" t="s">
        <v>175</v>
      </c>
    </row>
    <row r="205" spans="1:11" x14ac:dyDescent="0.35">
      <c r="A205" t="s">
        <v>65</v>
      </c>
      <c r="B205" t="s">
        <v>222</v>
      </c>
      <c r="C205" t="s">
        <v>108</v>
      </c>
      <c r="D205" t="s">
        <v>256</v>
      </c>
      <c r="E205" t="s">
        <v>273</v>
      </c>
      <c r="F205">
        <v>0.27</v>
      </c>
      <c r="G205">
        <v>4</v>
      </c>
      <c r="H205">
        <v>0.1</v>
      </c>
      <c r="I205">
        <v>0.27</v>
      </c>
      <c r="J205">
        <v>1.41</v>
      </c>
      <c r="K205" t="s">
        <v>175</v>
      </c>
    </row>
    <row r="206" spans="1:11" x14ac:dyDescent="0.35">
      <c r="A206" t="s">
        <v>65</v>
      </c>
      <c r="B206" t="s">
        <v>222</v>
      </c>
      <c r="C206" t="s">
        <v>108</v>
      </c>
      <c r="D206" t="s">
        <v>257</v>
      </c>
      <c r="E206" t="s">
        <v>273</v>
      </c>
      <c r="F206">
        <v>1.96</v>
      </c>
      <c r="G206">
        <v>7</v>
      </c>
      <c r="H206">
        <v>0.25</v>
      </c>
      <c r="I206">
        <v>1.96</v>
      </c>
      <c r="J206">
        <v>51</v>
      </c>
      <c r="K206" t="s">
        <v>175</v>
      </c>
    </row>
    <row r="207" spans="1:11" x14ac:dyDescent="0.35">
      <c r="A207" t="s">
        <v>66</v>
      </c>
      <c r="B207" t="s">
        <v>228</v>
      </c>
      <c r="C207" t="s">
        <v>115</v>
      </c>
      <c r="D207" t="s">
        <v>266</v>
      </c>
      <c r="E207" t="s">
        <v>273</v>
      </c>
      <c r="G207">
        <v>0</v>
      </c>
    </row>
    <row r="208" spans="1:11" x14ac:dyDescent="0.35">
      <c r="A208" t="s">
        <v>66</v>
      </c>
      <c r="B208" t="s">
        <v>228</v>
      </c>
      <c r="C208" t="s">
        <v>115</v>
      </c>
      <c r="D208" t="s">
        <v>258</v>
      </c>
      <c r="E208" t="s">
        <v>273</v>
      </c>
      <c r="G208">
        <v>0</v>
      </c>
    </row>
    <row r="209" spans="1:11" x14ac:dyDescent="0.35">
      <c r="A209" t="s">
        <v>67</v>
      </c>
      <c r="B209" t="s">
        <v>224</v>
      </c>
      <c r="C209" t="s">
        <v>109</v>
      </c>
      <c r="D209" t="s">
        <v>260</v>
      </c>
      <c r="E209" t="s">
        <v>273</v>
      </c>
      <c r="G209">
        <v>0</v>
      </c>
    </row>
    <row r="210" spans="1:11" x14ac:dyDescent="0.35">
      <c r="A210" t="s">
        <v>67</v>
      </c>
      <c r="B210" t="s">
        <v>224</v>
      </c>
      <c r="C210" t="s">
        <v>109</v>
      </c>
      <c r="D210" t="s">
        <v>258</v>
      </c>
      <c r="E210" t="s">
        <v>272</v>
      </c>
      <c r="F210">
        <v>0.31</v>
      </c>
      <c r="G210">
        <v>3</v>
      </c>
      <c r="H210">
        <v>2.1999999999999999E-2</v>
      </c>
      <c r="I210">
        <v>0.31</v>
      </c>
      <c r="J210">
        <v>1.33</v>
      </c>
      <c r="K210" t="s">
        <v>175</v>
      </c>
    </row>
    <row r="211" spans="1:11" x14ac:dyDescent="0.35">
      <c r="A211" t="s">
        <v>68</v>
      </c>
      <c r="B211" t="s">
        <v>225</v>
      </c>
      <c r="C211" t="s">
        <v>111</v>
      </c>
      <c r="D211" t="s">
        <v>261</v>
      </c>
      <c r="E211" t="s">
        <v>273</v>
      </c>
      <c r="G211">
        <v>0</v>
      </c>
    </row>
    <row r="212" spans="1:11" x14ac:dyDescent="0.35">
      <c r="A212" t="s">
        <v>68</v>
      </c>
      <c r="B212" t="s">
        <v>225</v>
      </c>
      <c r="C212" t="s">
        <v>111</v>
      </c>
      <c r="D212" t="s">
        <v>262</v>
      </c>
      <c r="E212" t="s">
        <v>273</v>
      </c>
      <c r="G212">
        <v>0</v>
      </c>
    </row>
    <row r="213" spans="1:11" x14ac:dyDescent="0.35">
      <c r="A213" t="s">
        <v>69</v>
      </c>
      <c r="B213" t="s">
        <v>87</v>
      </c>
      <c r="C213" t="s">
        <v>236</v>
      </c>
      <c r="D213" t="s">
        <v>263</v>
      </c>
      <c r="E213" t="s">
        <v>273</v>
      </c>
      <c r="G213">
        <v>0</v>
      </c>
    </row>
    <row r="214" spans="1:11" x14ac:dyDescent="0.35">
      <c r="A214" t="s">
        <v>69</v>
      </c>
      <c r="B214" t="s">
        <v>87</v>
      </c>
      <c r="C214" t="s">
        <v>236</v>
      </c>
      <c r="D214" t="s">
        <v>243</v>
      </c>
      <c r="E214" t="s">
        <v>273</v>
      </c>
      <c r="G214">
        <v>0</v>
      </c>
    </row>
    <row r="215" spans="1:11" x14ac:dyDescent="0.35">
      <c r="A215" t="s">
        <v>52</v>
      </c>
      <c r="B215" t="s">
        <v>210</v>
      </c>
      <c r="C215" t="s">
        <v>98</v>
      </c>
      <c r="D215" t="s">
        <v>238</v>
      </c>
      <c r="E215" t="s">
        <v>272</v>
      </c>
      <c r="F215">
        <v>1.2E-2</v>
      </c>
      <c r="G215">
        <v>1</v>
      </c>
      <c r="H215">
        <v>1.2E-2</v>
      </c>
      <c r="I215">
        <v>1.2E-2</v>
      </c>
      <c r="J215">
        <v>1.2E-2</v>
      </c>
      <c r="K215" t="s">
        <v>171</v>
      </c>
    </row>
    <row r="216" spans="1:11" x14ac:dyDescent="0.35">
      <c r="A216" t="s">
        <v>52</v>
      </c>
      <c r="B216" t="s">
        <v>210</v>
      </c>
      <c r="C216" t="s">
        <v>98</v>
      </c>
      <c r="D216" t="s">
        <v>239</v>
      </c>
      <c r="E216" t="s">
        <v>273</v>
      </c>
      <c r="G216">
        <v>0</v>
      </c>
    </row>
    <row r="217" spans="1:11" x14ac:dyDescent="0.35">
      <c r="A217" t="s">
        <v>53</v>
      </c>
      <c r="B217" t="s">
        <v>211</v>
      </c>
      <c r="C217" t="s">
        <v>99</v>
      </c>
      <c r="D217" t="s">
        <v>240</v>
      </c>
      <c r="E217" t="s">
        <v>273</v>
      </c>
      <c r="G217">
        <v>0</v>
      </c>
    </row>
    <row r="218" spans="1:11" x14ac:dyDescent="0.35">
      <c r="A218" t="s">
        <v>53</v>
      </c>
      <c r="B218" t="s">
        <v>211</v>
      </c>
      <c r="C218" t="s">
        <v>99</v>
      </c>
      <c r="D218" t="s">
        <v>241</v>
      </c>
      <c r="E218" t="s">
        <v>273</v>
      </c>
      <c r="G218">
        <v>0</v>
      </c>
    </row>
    <row r="219" spans="1:11" x14ac:dyDescent="0.35">
      <c r="A219" t="s">
        <v>53</v>
      </c>
      <c r="B219" t="s">
        <v>211</v>
      </c>
      <c r="C219" t="s">
        <v>99</v>
      </c>
      <c r="D219" t="s">
        <v>242</v>
      </c>
      <c r="E219" t="s">
        <v>273</v>
      </c>
      <c r="G219">
        <v>0</v>
      </c>
    </row>
    <row r="220" spans="1:11" x14ac:dyDescent="0.35">
      <c r="A220" t="s">
        <v>53</v>
      </c>
      <c r="B220" t="s">
        <v>211</v>
      </c>
      <c r="C220" t="s">
        <v>99</v>
      </c>
      <c r="D220" t="s">
        <v>243</v>
      </c>
      <c r="E220" t="s">
        <v>273</v>
      </c>
      <c r="G220">
        <v>0</v>
      </c>
    </row>
    <row r="221" spans="1:11" x14ac:dyDescent="0.35">
      <c r="A221" t="s">
        <v>54</v>
      </c>
      <c r="B221" t="s">
        <v>212</v>
      </c>
      <c r="C221" t="s">
        <v>100</v>
      </c>
      <c r="D221" t="s">
        <v>244</v>
      </c>
      <c r="E221" t="s">
        <v>272</v>
      </c>
      <c r="F221">
        <v>3.05</v>
      </c>
      <c r="G221">
        <v>14</v>
      </c>
      <c r="H221">
        <v>5.4000000000000003E-3</v>
      </c>
      <c r="I221">
        <v>3.05</v>
      </c>
      <c r="J221">
        <v>25</v>
      </c>
      <c r="K221" t="s">
        <v>172</v>
      </c>
    </row>
    <row r="222" spans="1:11" x14ac:dyDescent="0.35">
      <c r="A222" t="s">
        <v>54</v>
      </c>
      <c r="B222" t="s">
        <v>212</v>
      </c>
      <c r="C222" t="s">
        <v>100</v>
      </c>
      <c r="D222" t="s">
        <v>239</v>
      </c>
      <c r="E222" t="s">
        <v>273</v>
      </c>
      <c r="G222">
        <v>0</v>
      </c>
    </row>
    <row r="223" spans="1:11" x14ac:dyDescent="0.35">
      <c r="A223" t="s">
        <v>55</v>
      </c>
      <c r="B223" t="s">
        <v>213</v>
      </c>
      <c r="C223" t="s">
        <v>101</v>
      </c>
      <c r="D223" t="s">
        <v>245</v>
      </c>
      <c r="E223" t="s">
        <v>272</v>
      </c>
      <c r="F223">
        <v>71.75</v>
      </c>
      <c r="G223">
        <v>2</v>
      </c>
      <c r="H223">
        <v>3.5</v>
      </c>
      <c r="I223">
        <v>71.75</v>
      </c>
      <c r="J223">
        <v>140</v>
      </c>
      <c r="K223" t="s">
        <v>173</v>
      </c>
    </row>
    <row r="224" spans="1:11" x14ac:dyDescent="0.35">
      <c r="A224" t="s">
        <v>55</v>
      </c>
      <c r="B224" t="s">
        <v>213</v>
      </c>
      <c r="C224" t="s">
        <v>101</v>
      </c>
      <c r="D224" t="s">
        <v>246</v>
      </c>
      <c r="E224" t="s">
        <v>273</v>
      </c>
      <c r="F224">
        <v>2.06</v>
      </c>
      <c r="G224">
        <v>1</v>
      </c>
      <c r="H224">
        <v>2.06</v>
      </c>
      <c r="I224">
        <v>2.06</v>
      </c>
      <c r="J224">
        <v>2.06</v>
      </c>
      <c r="K224" t="s">
        <v>175</v>
      </c>
    </row>
    <row r="225" spans="1:11" x14ac:dyDescent="0.35">
      <c r="A225" t="s">
        <v>55</v>
      </c>
      <c r="B225" t="s">
        <v>213</v>
      </c>
      <c r="C225" t="s">
        <v>101</v>
      </c>
      <c r="D225" t="s">
        <v>241</v>
      </c>
      <c r="E225" t="s">
        <v>273</v>
      </c>
      <c r="G225">
        <v>0</v>
      </c>
    </row>
    <row r="226" spans="1:11" x14ac:dyDescent="0.35">
      <c r="A226" t="s">
        <v>56</v>
      </c>
      <c r="B226" t="s">
        <v>214</v>
      </c>
      <c r="C226" t="s">
        <v>101</v>
      </c>
      <c r="D226" t="s">
        <v>247</v>
      </c>
      <c r="E226" t="s">
        <v>273</v>
      </c>
      <c r="G226">
        <v>0</v>
      </c>
    </row>
    <row r="227" spans="1:11" x14ac:dyDescent="0.35">
      <c r="A227" t="s">
        <v>56</v>
      </c>
      <c r="B227" t="s">
        <v>214</v>
      </c>
      <c r="C227" t="s">
        <v>101</v>
      </c>
      <c r="D227" t="s">
        <v>239</v>
      </c>
      <c r="E227" t="s">
        <v>273</v>
      </c>
      <c r="G227">
        <v>0</v>
      </c>
    </row>
    <row r="228" spans="1:11" x14ac:dyDescent="0.35">
      <c r="A228" t="s">
        <v>57</v>
      </c>
      <c r="B228" t="s">
        <v>215</v>
      </c>
      <c r="C228" t="s">
        <v>102</v>
      </c>
      <c r="D228" t="s">
        <v>241</v>
      </c>
      <c r="E228" t="s">
        <v>273</v>
      </c>
      <c r="G228">
        <v>0</v>
      </c>
    </row>
    <row r="229" spans="1:11" x14ac:dyDescent="0.35">
      <c r="A229" t="s">
        <v>57</v>
      </c>
      <c r="B229" t="s">
        <v>215</v>
      </c>
      <c r="C229" t="s">
        <v>102</v>
      </c>
      <c r="D229" t="s">
        <v>248</v>
      </c>
      <c r="E229" t="s">
        <v>273</v>
      </c>
      <c r="G229">
        <v>0</v>
      </c>
    </row>
    <row r="230" spans="1:11" x14ac:dyDescent="0.35">
      <c r="A230" t="s">
        <v>57</v>
      </c>
      <c r="B230" t="s">
        <v>215</v>
      </c>
      <c r="C230" t="s">
        <v>102</v>
      </c>
      <c r="D230" t="s">
        <v>249</v>
      </c>
      <c r="E230" t="s">
        <v>272</v>
      </c>
      <c r="F230">
        <v>0.214</v>
      </c>
      <c r="G230">
        <v>2</v>
      </c>
      <c r="H230">
        <v>0.03</v>
      </c>
      <c r="I230">
        <v>0.214</v>
      </c>
      <c r="J230">
        <v>0.39800000000000002</v>
      </c>
      <c r="K230" t="s">
        <v>175</v>
      </c>
    </row>
    <row r="231" spans="1:11" x14ac:dyDescent="0.35">
      <c r="A231" t="s">
        <v>58</v>
      </c>
      <c r="B231" t="s">
        <v>216</v>
      </c>
      <c r="C231" t="s">
        <v>101</v>
      </c>
      <c r="D231" t="s">
        <v>246</v>
      </c>
      <c r="E231" t="s">
        <v>272</v>
      </c>
      <c r="F231">
        <v>2.06</v>
      </c>
      <c r="G231">
        <v>1</v>
      </c>
      <c r="H231">
        <v>2.06</v>
      </c>
      <c r="I231">
        <v>2.06</v>
      </c>
      <c r="J231">
        <v>2.06</v>
      </c>
      <c r="K231" t="s">
        <v>175</v>
      </c>
    </row>
    <row r="232" spans="1:11" x14ac:dyDescent="0.35">
      <c r="A232" t="s">
        <v>58</v>
      </c>
      <c r="B232" t="s">
        <v>216</v>
      </c>
      <c r="C232" t="s">
        <v>101</v>
      </c>
      <c r="D232" t="s">
        <v>250</v>
      </c>
      <c r="E232" t="s">
        <v>273</v>
      </c>
      <c r="F232">
        <v>22.5</v>
      </c>
      <c r="G232">
        <v>1</v>
      </c>
      <c r="H232">
        <v>22.5</v>
      </c>
      <c r="I232">
        <v>22.5</v>
      </c>
      <c r="J232">
        <v>22.5</v>
      </c>
      <c r="K232" t="s">
        <v>175</v>
      </c>
    </row>
    <row r="233" spans="1:11" x14ac:dyDescent="0.35">
      <c r="A233" t="s">
        <v>59</v>
      </c>
      <c r="B233" t="s">
        <v>217</v>
      </c>
      <c r="C233" t="s">
        <v>156</v>
      </c>
      <c r="D233" t="s">
        <v>251</v>
      </c>
      <c r="E233" t="s">
        <v>273</v>
      </c>
      <c r="G233">
        <v>0</v>
      </c>
    </row>
    <row r="234" spans="1:11" x14ac:dyDescent="0.35">
      <c r="A234" t="s">
        <v>59</v>
      </c>
      <c r="B234" t="s">
        <v>217</v>
      </c>
      <c r="C234" t="s">
        <v>156</v>
      </c>
      <c r="D234" t="s">
        <v>252</v>
      </c>
      <c r="E234" t="s">
        <v>272</v>
      </c>
      <c r="F234">
        <v>3.5500000000000003</v>
      </c>
      <c r="G234">
        <v>6</v>
      </c>
      <c r="H234">
        <v>1.4</v>
      </c>
      <c r="I234">
        <v>3.5500000000000003</v>
      </c>
      <c r="J234">
        <v>11.1</v>
      </c>
      <c r="K234" t="s">
        <v>176</v>
      </c>
    </row>
    <row r="235" spans="1:11" x14ac:dyDescent="0.35">
      <c r="A235" t="s">
        <v>59</v>
      </c>
      <c r="B235" t="s">
        <v>217</v>
      </c>
      <c r="C235" t="s">
        <v>235</v>
      </c>
      <c r="D235" t="s">
        <v>251</v>
      </c>
      <c r="E235" t="s">
        <v>273</v>
      </c>
      <c r="G235">
        <v>0</v>
      </c>
    </row>
    <row r="236" spans="1:11" x14ac:dyDescent="0.35">
      <c r="A236" t="s">
        <v>59</v>
      </c>
      <c r="B236" t="s">
        <v>217</v>
      </c>
      <c r="C236" t="s">
        <v>235</v>
      </c>
      <c r="D236" t="s">
        <v>252</v>
      </c>
      <c r="E236" t="s">
        <v>272</v>
      </c>
      <c r="F236">
        <v>5.1400000000000006</v>
      </c>
      <c r="G236">
        <v>2</v>
      </c>
      <c r="H236">
        <v>0.28000000000000003</v>
      </c>
      <c r="I236">
        <v>5.1400000000000006</v>
      </c>
      <c r="J236">
        <v>10</v>
      </c>
      <c r="K236" t="s">
        <v>279</v>
      </c>
    </row>
    <row r="237" spans="1:11" x14ac:dyDescent="0.35">
      <c r="A237" t="s">
        <v>60</v>
      </c>
      <c r="B237" t="s">
        <v>218</v>
      </c>
      <c r="C237" t="s">
        <v>104</v>
      </c>
      <c r="D237" t="s">
        <v>253</v>
      </c>
      <c r="E237" t="s">
        <v>273</v>
      </c>
      <c r="G237">
        <v>0</v>
      </c>
    </row>
    <row r="238" spans="1:11" x14ac:dyDescent="0.35">
      <c r="A238" t="s">
        <v>60</v>
      </c>
      <c r="B238" t="s">
        <v>218</v>
      </c>
      <c r="C238" t="s">
        <v>104</v>
      </c>
      <c r="D238" t="s">
        <v>239</v>
      </c>
      <c r="E238" t="s">
        <v>273</v>
      </c>
      <c r="G238">
        <v>0</v>
      </c>
    </row>
    <row r="239" spans="1:11" x14ac:dyDescent="0.35">
      <c r="A239" t="s">
        <v>60</v>
      </c>
      <c r="B239" t="s">
        <v>218</v>
      </c>
      <c r="C239" t="s">
        <v>104</v>
      </c>
      <c r="D239" t="s">
        <v>254</v>
      </c>
      <c r="E239" t="s">
        <v>273</v>
      </c>
      <c r="G239">
        <v>0</v>
      </c>
    </row>
    <row r="240" spans="1:11" x14ac:dyDescent="0.35">
      <c r="A240" t="s">
        <v>61</v>
      </c>
      <c r="B240" t="s">
        <v>219</v>
      </c>
      <c r="C240" t="s">
        <v>105</v>
      </c>
      <c r="D240" t="s">
        <v>254</v>
      </c>
      <c r="E240" t="s">
        <v>272</v>
      </c>
      <c r="F240">
        <v>0.93</v>
      </c>
      <c r="G240">
        <v>1</v>
      </c>
      <c r="H240">
        <v>0.93</v>
      </c>
      <c r="I240">
        <v>0.93</v>
      </c>
      <c r="J240">
        <v>0.93</v>
      </c>
      <c r="K240" t="s">
        <v>178</v>
      </c>
    </row>
    <row r="241" spans="1:11" x14ac:dyDescent="0.35">
      <c r="A241" t="s">
        <v>61</v>
      </c>
      <c r="B241" t="s">
        <v>219</v>
      </c>
      <c r="C241" t="s">
        <v>105</v>
      </c>
      <c r="D241" t="s">
        <v>249</v>
      </c>
      <c r="E241" t="s">
        <v>273</v>
      </c>
      <c r="G241">
        <v>0</v>
      </c>
    </row>
    <row r="242" spans="1:11" x14ac:dyDescent="0.35">
      <c r="A242" t="s">
        <v>63</v>
      </c>
      <c r="B242" t="s">
        <v>220</v>
      </c>
      <c r="C242" t="s">
        <v>106</v>
      </c>
      <c r="D242" t="s">
        <v>246</v>
      </c>
      <c r="E242" t="s">
        <v>272</v>
      </c>
      <c r="F242">
        <v>0.06</v>
      </c>
      <c r="G242">
        <v>1</v>
      </c>
      <c r="H242">
        <v>0.06</v>
      </c>
      <c r="I242">
        <v>0.06</v>
      </c>
      <c r="J242">
        <v>0.06</v>
      </c>
      <c r="K242" t="s">
        <v>179</v>
      </c>
    </row>
    <row r="243" spans="1:11" x14ac:dyDescent="0.35">
      <c r="A243" t="s">
        <v>63</v>
      </c>
      <c r="B243" t="s">
        <v>220</v>
      </c>
      <c r="C243" t="s">
        <v>106</v>
      </c>
      <c r="D243" t="s">
        <v>255</v>
      </c>
      <c r="E243" t="s">
        <v>273</v>
      </c>
      <c r="F243">
        <v>22.2</v>
      </c>
      <c r="G243">
        <v>1</v>
      </c>
      <c r="H243">
        <v>22.2</v>
      </c>
      <c r="I243">
        <v>22.2</v>
      </c>
      <c r="J243">
        <v>22.2</v>
      </c>
      <c r="K243" t="s">
        <v>179</v>
      </c>
    </row>
    <row r="244" spans="1:11" x14ac:dyDescent="0.35">
      <c r="A244" t="s">
        <v>64</v>
      </c>
      <c r="B244" t="s">
        <v>221</v>
      </c>
      <c r="C244" t="s">
        <v>107</v>
      </c>
      <c r="D244" t="s">
        <v>253</v>
      </c>
      <c r="E244" t="s">
        <v>272</v>
      </c>
      <c r="F244">
        <v>0.5</v>
      </c>
      <c r="G244">
        <v>9</v>
      </c>
      <c r="H244">
        <v>0.26</v>
      </c>
      <c r="I244">
        <v>0.5</v>
      </c>
      <c r="J244">
        <v>4.47</v>
      </c>
      <c r="K244" t="s">
        <v>175</v>
      </c>
    </row>
    <row r="245" spans="1:11" x14ac:dyDescent="0.35">
      <c r="A245" t="s">
        <v>64</v>
      </c>
      <c r="B245" t="s">
        <v>221</v>
      </c>
      <c r="C245" t="s">
        <v>107</v>
      </c>
      <c r="D245" t="s">
        <v>255</v>
      </c>
      <c r="E245" t="s">
        <v>273</v>
      </c>
      <c r="F245">
        <v>0.315</v>
      </c>
      <c r="G245">
        <v>4</v>
      </c>
      <c r="H245">
        <v>0.1</v>
      </c>
      <c r="I245">
        <v>0.315</v>
      </c>
      <c r="J245">
        <v>0.8</v>
      </c>
      <c r="K245" t="s">
        <v>175</v>
      </c>
    </row>
    <row r="246" spans="1:11" x14ac:dyDescent="0.35">
      <c r="A246" t="s">
        <v>64</v>
      </c>
      <c r="B246" t="s">
        <v>221</v>
      </c>
      <c r="C246" t="s">
        <v>107</v>
      </c>
      <c r="D246" t="s">
        <v>252</v>
      </c>
      <c r="E246" t="s">
        <v>273</v>
      </c>
      <c r="F246">
        <v>2.15</v>
      </c>
      <c r="G246">
        <v>6</v>
      </c>
      <c r="H246">
        <v>0.7</v>
      </c>
      <c r="I246">
        <v>2.15</v>
      </c>
      <c r="J246">
        <v>3.5</v>
      </c>
      <c r="K246" t="s">
        <v>175</v>
      </c>
    </row>
    <row r="247" spans="1:11" x14ac:dyDescent="0.35">
      <c r="A247" t="s">
        <v>65</v>
      </c>
      <c r="B247" t="s">
        <v>222</v>
      </c>
      <c r="C247" t="s">
        <v>108</v>
      </c>
      <c r="D247" t="s">
        <v>253</v>
      </c>
      <c r="E247" t="s">
        <v>272</v>
      </c>
      <c r="F247">
        <v>0.09</v>
      </c>
      <c r="G247">
        <v>9</v>
      </c>
      <c r="H247">
        <v>0.02</v>
      </c>
      <c r="I247">
        <v>0.09</v>
      </c>
      <c r="J247">
        <v>2.66</v>
      </c>
      <c r="K247" t="s">
        <v>175</v>
      </c>
    </row>
    <row r="248" spans="1:11" x14ac:dyDescent="0.35">
      <c r="A248" t="s">
        <v>65</v>
      </c>
      <c r="B248" t="s">
        <v>222</v>
      </c>
      <c r="C248" t="s">
        <v>108</v>
      </c>
      <c r="D248" t="s">
        <v>256</v>
      </c>
      <c r="E248" t="s">
        <v>273</v>
      </c>
      <c r="F248">
        <v>0.27</v>
      </c>
      <c r="G248">
        <v>4</v>
      </c>
      <c r="H248">
        <v>0.1</v>
      </c>
      <c r="I248">
        <v>0.27</v>
      </c>
      <c r="J248">
        <v>1.41</v>
      </c>
      <c r="K248" t="s">
        <v>175</v>
      </c>
    </row>
    <row r="249" spans="1:11" x14ac:dyDescent="0.35">
      <c r="A249" t="s">
        <v>65</v>
      </c>
      <c r="B249" t="s">
        <v>222</v>
      </c>
      <c r="C249" t="s">
        <v>108</v>
      </c>
      <c r="D249" t="s">
        <v>257</v>
      </c>
      <c r="E249" t="s">
        <v>273</v>
      </c>
      <c r="F249">
        <v>1.96</v>
      </c>
      <c r="G249">
        <v>7</v>
      </c>
      <c r="H249">
        <v>0.25</v>
      </c>
      <c r="I249">
        <v>1.96</v>
      </c>
      <c r="J249">
        <v>51</v>
      </c>
      <c r="K249" t="s">
        <v>175</v>
      </c>
    </row>
    <row r="250" spans="1:11" x14ac:dyDescent="0.35">
      <c r="A250" t="s">
        <v>66</v>
      </c>
      <c r="B250" t="s">
        <v>229</v>
      </c>
      <c r="C250" t="s">
        <v>116</v>
      </c>
      <c r="D250" t="s">
        <v>258</v>
      </c>
      <c r="E250" t="s">
        <v>273</v>
      </c>
      <c r="G250">
        <v>0</v>
      </c>
    </row>
    <row r="251" spans="1:11" x14ac:dyDescent="0.35">
      <c r="A251" t="s">
        <v>66</v>
      </c>
      <c r="B251" t="s">
        <v>229</v>
      </c>
      <c r="C251" t="s">
        <v>116</v>
      </c>
      <c r="D251" t="s">
        <v>267</v>
      </c>
      <c r="E251" t="s">
        <v>273</v>
      </c>
      <c r="G251">
        <v>0</v>
      </c>
    </row>
    <row r="252" spans="1:11" x14ac:dyDescent="0.35">
      <c r="A252" t="s">
        <v>66</v>
      </c>
      <c r="B252" t="s">
        <v>229</v>
      </c>
      <c r="C252" t="s">
        <v>116</v>
      </c>
      <c r="D252" t="s">
        <v>264</v>
      </c>
      <c r="E252" t="s">
        <v>273</v>
      </c>
      <c r="G252">
        <v>0</v>
      </c>
    </row>
    <row r="253" spans="1:11" x14ac:dyDescent="0.35">
      <c r="A253" t="s">
        <v>67</v>
      </c>
      <c r="B253" t="s">
        <v>224</v>
      </c>
      <c r="C253" t="s">
        <v>109</v>
      </c>
      <c r="D253" t="s">
        <v>260</v>
      </c>
      <c r="E253" t="s">
        <v>273</v>
      </c>
      <c r="G253">
        <v>0</v>
      </c>
    </row>
    <row r="254" spans="1:11" x14ac:dyDescent="0.35">
      <c r="A254" t="s">
        <v>67</v>
      </c>
      <c r="B254" t="s">
        <v>224</v>
      </c>
      <c r="C254" t="s">
        <v>109</v>
      </c>
      <c r="D254" t="s">
        <v>258</v>
      </c>
      <c r="E254" t="s">
        <v>272</v>
      </c>
      <c r="F254">
        <v>0.31</v>
      </c>
      <c r="G254">
        <v>3</v>
      </c>
      <c r="H254">
        <v>2.1999999999999999E-2</v>
      </c>
      <c r="I254">
        <v>0.31</v>
      </c>
      <c r="J254">
        <v>1.33</v>
      </c>
      <c r="K254" t="s">
        <v>175</v>
      </c>
    </row>
    <row r="255" spans="1:11" x14ac:dyDescent="0.35">
      <c r="A255" t="s">
        <v>68</v>
      </c>
      <c r="B255" t="s">
        <v>225</v>
      </c>
      <c r="C255" t="s">
        <v>111</v>
      </c>
      <c r="D255" t="s">
        <v>261</v>
      </c>
      <c r="E255" t="s">
        <v>273</v>
      </c>
      <c r="G255">
        <v>0</v>
      </c>
    </row>
    <row r="256" spans="1:11" x14ac:dyDescent="0.35">
      <c r="A256" t="s">
        <v>68</v>
      </c>
      <c r="B256" t="s">
        <v>225</v>
      </c>
      <c r="C256" t="s">
        <v>111</v>
      </c>
      <c r="D256" t="s">
        <v>262</v>
      </c>
      <c r="E256" t="s">
        <v>273</v>
      </c>
      <c r="G256">
        <v>0</v>
      </c>
    </row>
    <row r="257" spans="1:11" x14ac:dyDescent="0.35">
      <c r="A257" t="s">
        <v>69</v>
      </c>
      <c r="B257" t="s">
        <v>87</v>
      </c>
      <c r="C257" t="s">
        <v>236</v>
      </c>
      <c r="D257" t="s">
        <v>263</v>
      </c>
      <c r="E257" t="s">
        <v>273</v>
      </c>
      <c r="G257">
        <v>0</v>
      </c>
    </row>
    <row r="258" spans="1:11" x14ac:dyDescent="0.35">
      <c r="A258" t="s">
        <v>69</v>
      </c>
      <c r="B258" t="s">
        <v>87</v>
      </c>
      <c r="C258" t="s">
        <v>236</v>
      </c>
      <c r="D258" t="s">
        <v>243</v>
      </c>
      <c r="E258" t="s">
        <v>273</v>
      </c>
      <c r="G258">
        <v>0</v>
      </c>
    </row>
    <row r="259" spans="1:11" x14ac:dyDescent="0.35">
      <c r="A259" t="s">
        <v>52</v>
      </c>
      <c r="B259" t="s">
        <v>210</v>
      </c>
      <c r="C259" t="s">
        <v>98</v>
      </c>
      <c r="D259" t="s">
        <v>238</v>
      </c>
      <c r="E259" t="s">
        <v>272</v>
      </c>
      <c r="F259">
        <v>1.2E-2</v>
      </c>
      <c r="G259">
        <v>1</v>
      </c>
      <c r="H259">
        <v>1.2E-2</v>
      </c>
      <c r="I259">
        <v>1.2E-2</v>
      </c>
      <c r="J259">
        <v>1.2E-2</v>
      </c>
      <c r="K259" t="s">
        <v>171</v>
      </c>
    </row>
    <row r="260" spans="1:11" x14ac:dyDescent="0.35">
      <c r="A260" t="s">
        <v>52</v>
      </c>
      <c r="B260" t="s">
        <v>210</v>
      </c>
      <c r="C260" t="s">
        <v>98</v>
      </c>
      <c r="D260" t="s">
        <v>239</v>
      </c>
      <c r="E260" t="s">
        <v>273</v>
      </c>
      <c r="G260">
        <v>0</v>
      </c>
    </row>
    <row r="261" spans="1:11" x14ac:dyDescent="0.35">
      <c r="A261" t="s">
        <v>53</v>
      </c>
      <c r="B261" t="s">
        <v>211</v>
      </c>
      <c r="C261" t="s">
        <v>99</v>
      </c>
      <c r="D261" t="s">
        <v>240</v>
      </c>
      <c r="E261" t="s">
        <v>273</v>
      </c>
      <c r="G261">
        <v>0</v>
      </c>
    </row>
    <row r="262" spans="1:11" x14ac:dyDescent="0.35">
      <c r="A262" t="s">
        <v>53</v>
      </c>
      <c r="B262" t="s">
        <v>211</v>
      </c>
      <c r="C262" t="s">
        <v>99</v>
      </c>
      <c r="D262" t="s">
        <v>241</v>
      </c>
      <c r="E262" t="s">
        <v>273</v>
      </c>
      <c r="G262">
        <v>0</v>
      </c>
    </row>
    <row r="263" spans="1:11" x14ac:dyDescent="0.35">
      <c r="A263" t="s">
        <v>53</v>
      </c>
      <c r="B263" t="s">
        <v>211</v>
      </c>
      <c r="C263" t="s">
        <v>99</v>
      </c>
      <c r="D263" t="s">
        <v>242</v>
      </c>
      <c r="E263" t="s">
        <v>273</v>
      </c>
      <c r="G263">
        <v>0</v>
      </c>
    </row>
    <row r="264" spans="1:11" x14ac:dyDescent="0.35">
      <c r="A264" t="s">
        <v>53</v>
      </c>
      <c r="B264" t="s">
        <v>211</v>
      </c>
      <c r="C264" t="s">
        <v>99</v>
      </c>
      <c r="D264" t="s">
        <v>243</v>
      </c>
      <c r="E264" t="s">
        <v>273</v>
      </c>
      <c r="G264">
        <v>0</v>
      </c>
    </row>
    <row r="265" spans="1:11" x14ac:dyDescent="0.35">
      <c r="A265" t="s">
        <v>54</v>
      </c>
      <c r="B265" t="s">
        <v>212</v>
      </c>
      <c r="C265" t="s">
        <v>100</v>
      </c>
      <c r="D265" t="s">
        <v>244</v>
      </c>
      <c r="E265" t="s">
        <v>272</v>
      </c>
      <c r="F265">
        <v>3.05</v>
      </c>
      <c r="G265">
        <v>14</v>
      </c>
      <c r="H265">
        <v>5.4000000000000003E-3</v>
      </c>
      <c r="I265">
        <v>3.05</v>
      </c>
      <c r="J265">
        <v>25</v>
      </c>
      <c r="K265" t="s">
        <v>172</v>
      </c>
    </row>
    <row r="266" spans="1:11" x14ac:dyDescent="0.35">
      <c r="A266" t="s">
        <v>54</v>
      </c>
      <c r="B266" t="s">
        <v>212</v>
      </c>
      <c r="C266" t="s">
        <v>100</v>
      </c>
      <c r="D266" t="s">
        <v>239</v>
      </c>
      <c r="E266" t="s">
        <v>273</v>
      </c>
      <c r="G266">
        <v>0</v>
      </c>
    </row>
    <row r="267" spans="1:11" x14ac:dyDescent="0.35">
      <c r="A267" t="s">
        <v>55</v>
      </c>
      <c r="B267" t="s">
        <v>213</v>
      </c>
      <c r="C267" t="s">
        <v>101</v>
      </c>
      <c r="D267" t="s">
        <v>245</v>
      </c>
      <c r="E267" t="s">
        <v>272</v>
      </c>
      <c r="F267">
        <v>71.75</v>
      </c>
      <c r="G267">
        <v>2</v>
      </c>
      <c r="H267">
        <v>3.5</v>
      </c>
      <c r="I267">
        <v>71.75</v>
      </c>
      <c r="J267">
        <v>140</v>
      </c>
      <c r="K267" t="s">
        <v>173</v>
      </c>
    </row>
    <row r="268" spans="1:11" x14ac:dyDescent="0.35">
      <c r="A268" t="s">
        <v>55</v>
      </c>
      <c r="B268" t="s">
        <v>213</v>
      </c>
      <c r="C268" t="s">
        <v>101</v>
      </c>
      <c r="D268" t="s">
        <v>246</v>
      </c>
      <c r="E268" t="s">
        <v>273</v>
      </c>
      <c r="F268">
        <v>2.06</v>
      </c>
      <c r="G268">
        <v>1</v>
      </c>
      <c r="H268">
        <v>2.06</v>
      </c>
      <c r="I268">
        <v>2.06</v>
      </c>
      <c r="J268">
        <v>2.06</v>
      </c>
      <c r="K268" t="s">
        <v>175</v>
      </c>
    </row>
    <row r="269" spans="1:11" x14ac:dyDescent="0.35">
      <c r="A269" t="s">
        <v>55</v>
      </c>
      <c r="B269" t="s">
        <v>213</v>
      </c>
      <c r="C269" t="s">
        <v>101</v>
      </c>
      <c r="D269" t="s">
        <v>241</v>
      </c>
      <c r="E269" t="s">
        <v>273</v>
      </c>
      <c r="G269">
        <v>0</v>
      </c>
    </row>
    <row r="270" spans="1:11" x14ac:dyDescent="0.35">
      <c r="A270" t="s">
        <v>56</v>
      </c>
      <c r="B270" t="s">
        <v>214</v>
      </c>
      <c r="C270" t="s">
        <v>101</v>
      </c>
      <c r="D270" t="s">
        <v>247</v>
      </c>
      <c r="E270" t="s">
        <v>273</v>
      </c>
      <c r="G270">
        <v>0</v>
      </c>
    </row>
    <row r="271" spans="1:11" x14ac:dyDescent="0.35">
      <c r="A271" t="s">
        <v>56</v>
      </c>
      <c r="B271" t="s">
        <v>214</v>
      </c>
      <c r="C271" t="s">
        <v>101</v>
      </c>
      <c r="D271" t="s">
        <v>239</v>
      </c>
      <c r="E271" t="s">
        <v>273</v>
      </c>
      <c r="G271">
        <v>0</v>
      </c>
    </row>
    <row r="272" spans="1:11" x14ac:dyDescent="0.35">
      <c r="A272" t="s">
        <v>57</v>
      </c>
      <c r="B272" t="s">
        <v>215</v>
      </c>
      <c r="C272" t="s">
        <v>102</v>
      </c>
      <c r="D272" t="s">
        <v>241</v>
      </c>
      <c r="E272" t="s">
        <v>273</v>
      </c>
      <c r="G272">
        <v>0</v>
      </c>
    </row>
    <row r="273" spans="1:11" x14ac:dyDescent="0.35">
      <c r="A273" t="s">
        <v>57</v>
      </c>
      <c r="B273" t="s">
        <v>215</v>
      </c>
      <c r="C273" t="s">
        <v>102</v>
      </c>
      <c r="D273" t="s">
        <v>248</v>
      </c>
      <c r="E273" t="s">
        <v>273</v>
      </c>
      <c r="G273">
        <v>0</v>
      </c>
    </row>
    <row r="274" spans="1:11" x14ac:dyDescent="0.35">
      <c r="A274" t="s">
        <v>57</v>
      </c>
      <c r="B274" t="s">
        <v>215</v>
      </c>
      <c r="C274" t="s">
        <v>102</v>
      </c>
      <c r="D274" t="s">
        <v>249</v>
      </c>
      <c r="E274" t="s">
        <v>272</v>
      </c>
      <c r="F274">
        <v>0.214</v>
      </c>
      <c r="G274">
        <v>2</v>
      </c>
      <c r="H274">
        <v>0.03</v>
      </c>
      <c r="I274">
        <v>0.214</v>
      </c>
      <c r="J274">
        <v>0.39800000000000002</v>
      </c>
      <c r="K274" t="s">
        <v>175</v>
      </c>
    </row>
    <row r="275" spans="1:11" x14ac:dyDescent="0.35">
      <c r="A275" t="s">
        <v>58</v>
      </c>
      <c r="B275" t="s">
        <v>216</v>
      </c>
      <c r="C275" t="s">
        <v>101</v>
      </c>
      <c r="D275" t="s">
        <v>246</v>
      </c>
      <c r="E275" t="s">
        <v>272</v>
      </c>
      <c r="F275">
        <v>2.06</v>
      </c>
      <c r="G275">
        <v>1</v>
      </c>
      <c r="H275">
        <v>2.06</v>
      </c>
      <c r="I275">
        <v>2.06</v>
      </c>
      <c r="J275">
        <v>2.06</v>
      </c>
      <c r="K275" t="s">
        <v>175</v>
      </c>
    </row>
    <row r="276" spans="1:11" x14ac:dyDescent="0.35">
      <c r="A276" t="s">
        <v>58</v>
      </c>
      <c r="B276" t="s">
        <v>216</v>
      </c>
      <c r="C276" t="s">
        <v>101</v>
      </c>
      <c r="D276" t="s">
        <v>250</v>
      </c>
      <c r="E276" t="s">
        <v>273</v>
      </c>
      <c r="F276">
        <v>22.5</v>
      </c>
      <c r="G276">
        <v>1</v>
      </c>
      <c r="H276">
        <v>22.5</v>
      </c>
      <c r="I276">
        <v>22.5</v>
      </c>
      <c r="J276">
        <v>22.5</v>
      </c>
      <c r="K276" t="s">
        <v>175</v>
      </c>
    </row>
    <row r="277" spans="1:11" x14ac:dyDescent="0.35">
      <c r="A277" t="s">
        <v>59</v>
      </c>
      <c r="B277" t="s">
        <v>217</v>
      </c>
      <c r="C277" t="s">
        <v>156</v>
      </c>
      <c r="D277" t="s">
        <v>251</v>
      </c>
      <c r="E277" t="s">
        <v>273</v>
      </c>
      <c r="G277">
        <v>0</v>
      </c>
    </row>
    <row r="278" spans="1:11" x14ac:dyDescent="0.35">
      <c r="A278" t="s">
        <v>59</v>
      </c>
      <c r="B278" t="s">
        <v>217</v>
      </c>
      <c r="C278" t="s">
        <v>156</v>
      </c>
      <c r="D278" t="s">
        <v>252</v>
      </c>
      <c r="E278" t="s">
        <v>272</v>
      </c>
      <c r="F278">
        <v>3.5500000000000003</v>
      </c>
      <c r="G278">
        <v>6</v>
      </c>
      <c r="H278">
        <v>1.4</v>
      </c>
      <c r="I278">
        <v>3.5500000000000003</v>
      </c>
      <c r="J278">
        <v>11.1</v>
      </c>
      <c r="K278" t="s">
        <v>176</v>
      </c>
    </row>
    <row r="279" spans="1:11" x14ac:dyDescent="0.35">
      <c r="A279" t="s">
        <v>59</v>
      </c>
      <c r="B279" t="s">
        <v>217</v>
      </c>
      <c r="C279" t="s">
        <v>235</v>
      </c>
      <c r="D279" t="s">
        <v>251</v>
      </c>
      <c r="E279" t="s">
        <v>273</v>
      </c>
      <c r="G279">
        <v>0</v>
      </c>
    </row>
    <row r="280" spans="1:11" x14ac:dyDescent="0.35">
      <c r="A280" t="s">
        <v>59</v>
      </c>
      <c r="B280" t="s">
        <v>217</v>
      </c>
      <c r="C280" t="s">
        <v>235</v>
      </c>
      <c r="D280" t="s">
        <v>252</v>
      </c>
      <c r="E280" t="s">
        <v>272</v>
      </c>
      <c r="F280">
        <v>5.1400000000000006</v>
      </c>
      <c r="G280">
        <v>2</v>
      </c>
      <c r="H280">
        <v>0.28000000000000003</v>
      </c>
      <c r="I280">
        <v>5.1400000000000006</v>
      </c>
      <c r="J280">
        <v>10</v>
      </c>
      <c r="K280" t="s">
        <v>279</v>
      </c>
    </row>
    <row r="281" spans="1:11" x14ac:dyDescent="0.35">
      <c r="A281" t="s">
        <v>60</v>
      </c>
      <c r="B281" t="s">
        <v>218</v>
      </c>
      <c r="C281" t="s">
        <v>104</v>
      </c>
      <c r="D281" t="s">
        <v>253</v>
      </c>
      <c r="E281" t="s">
        <v>273</v>
      </c>
      <c r="G281">
        <v>0</v>
      </c>
    </row>
    <row r="282" spans="1:11" x14ac:dyDescent="0.35">
      <c r="A282" t="s">
        <v>60</v>
      </c>
      <c r="B282" t="s">
        <v>218</v>
      </c>
      <c r="C282" t="s">
        <v>104</v>
      </c>
      <c r="D282" t="s">
        <v>239</v>
      </c>
      <c r="E282" t="s">
        <v>273</v>
      </c>
      <c r="G282">
        <v>0</v>
      </c>
    </row>
    <row r="283" spans="1:11" x14ac:dyDescent="0.35">
      <c r="A283" t="s">
        <v>60</v>
      </c>
      <c r="B283" t="s">
        <v>218</v>
      </c>
      <c r="C283" t="s">
        <v>104</v>
      </c>
      <c r="D283" t="s">
        <v>254</v>
      </c>
      <c r="E283" t="s">
        <v>273</v>
      </c>
      <c r="G283">
        <v>0</v>
      </c>
    </row>
    <row r="284" spans="1:11" x14ac:dyDescent="0.35">
      <c r="A284" t="s">
        <v>61</v>
      </c>
      <c r="B284" t="s">
        <v>219</v>
      </c>
      <c r="C284" t="s">
        <v>105</v>
      </c>
      <c r="D284" t="s">
        <v>254</v>
      </c>
      <c r="E284" t="s">
        <v>272</v>
      </c>
      <c r="F284">
        <v>0.93</v>
      </c>
      <c r="G284">
        <v>1</v>
      </c>
      <c r="H284">
        <v>0.93</v>
      </c>
      <c r="I284">
        <v>0.93</v>
      </c>
      <c r="J284">
        <v>0.93</v>
      </c>
      <c r="K284" t="s">
        <v>178</v>
      </c>
    </row>
    <row r="285" spans="1:11" x14ac:dyDescent="0.35">
      <c r="A285" t="s">
        <v>61</v>
      </c>
      <c r="B285" t="s">
        <v>219</v>
      </c>
      <c r="C285" t="s">
        <v>105</v>
      </c>
      <c r="D285" t="s">
        <v>249</v>
      </c>
      <c r="E285" t="s">
        <v>273</v>
      </c>
      <c r="G285">
        <v>0</v>
      </c>
    </row>
    <row r="286" spans="1:11" x14ac:dyDescent="0.35">
      <c r="A286" t="s">
        <v>63</v>
      </c>
      <c r="B286" t="s">
        <v>220</v>
      </c>
      <c r="C286" t="s">
        <v>106</v>
      </c>
      <c r="D286" t="s">
        <v>246</v>
      </c>
      <c r="E286" t="s">
        <v>272</v>
      </c>
      <c r="F286">
        <v>0.06</v>
      </c>
      <c r="G286">
        <v>1</v>
      </c>
      <c r="H286">
        <v>0.06</v>
      </c>
      <c r="I286">
        <v>0.06</v>
      </c>
      <c r="J286">
        <v>0.06</v>
      </c>
      <c r="K286" t="s">
        <v>179</v>
      </c>
    </row>
    <row r="287" spans="1:11" x14ac:dyDescent="0.35">
      <c r="A287" t="s">
        <v>63</v>
      </c>
      <c r="B287" t="s">
        <v>220</v>
      </c>
      <c r="C287" t="s">
        <v>106</v>
      </c>
      <c r="D287" t="s">
        <v>255</v>
      </c>
      <c r="E287" t="s">
        <v>273</v>
      </c>
      <c r="F287">
        <v>22.2</v>
      </c>
      <c r="G287">
        <v>1</v>
      </c>
      <c r="H287">
        <v>22.2</v>
      </c>
      <c r="I287">
        <v>22.2</v>
      </c>
      <c r="J287">
        <v>22.2</v>
      </c>
      <c r="K287" t="s">
        <v>179</v>
      </c>
    </row>
    <row r="288" spans="1:11" x14ac:dyDescent="0.35">
      <c r="A288" t="s">
        <v>64</v>
      </c>
      <c r="B288" t="s">
        <v>221</v>
      </c>
      <c r="C288" t="s">
        <v>107</v>
      </c>
      <c r="D288" t="s">
        <v>253</v>
      </c>
      <c r="E288" t="s">
        <v>272</v>
      </c>
      <c r="F288">
        <v>0.5</v>
      </c>
      <c r="G288">
        <v>9</v>
      </c>
      <c r="H288">
        <v>0.26</v>
      </c>
      <c r="I288">
        <v>0.5</v>
      </c>
      <c r="J288">
        <v>4.47</v>
      </c>
      <c r="K288" t="s">
        <v>175</v>
      </c>
    </row>
    <row r="289" spans="1:11" x14ac:dyDescent="0.35">
      <c r="A289" t="s">
        <v>64</v>
      </c>
      <c r="B289" t="s">
        <v>221</v>
      </c>
      <c r="C289" t="s">
        <v>107</v>
      </c>
      <c r="D289" t="s">
        <v>255</v>
      </c>
      <c r="E289" t="s">
        <v>273</v>
      </c>
      <c r="F289">
        <v>0.315</v>
      </c>
      <c r="G289">
        <v>4</v>
      </c>
      <c r="H289">
        <v>0.1</v>
      </c>
      <c r="I289">
        <v>0.315</v>
      </c>
      <c r="J289">
        <v>0.8</v>
      </c>
      <c r="K289" t="s">
        <v>175</v>
      </c>
    </row>
    <row r="290" spans="1:11" x14ac:dyDescent="0.35">
      <c r="A290" t="s">
        <v>64</v>
      </c>
      <c r="B290" t="s">
        <v>221</v>
      </c>
      <c r="C290" t="s">
        <v>107</v>
      </c>
      <c r="D290" t="s">
        <v>252</v>
      </c>
      <c r="E290" t="s">
        <v>273</v>
      </c>
      <c r="F290">
        <v>2.15</v>
      </c>
      <c r="G290">
        <v>6</v>
      </c>
      <c r="H290">
        <v>0.7</v>
      </c>
      <c r="I290">
        <v>2.15</v>
      </c>
      <c r="J290">
        <v>3.5</v>
      </c>
      <c r="K290" t="s">
        <v>175</v>
      </c>
    </row>
    <row r="291" spans="1:11" x14ac:dyDescent="0.35">
      <c r="A291" t="s">
        <v>65</v>
      </c>
      <c r="B291" t="s">
        <v>222</v>
      </c>
      <c r="C291" t="s">
        <v>108</v>
      </c>
      <c r="D291" t="s">
        <v>253</v>
      </c>
      <c r="E291" t="s">
        <v>272</v>
      </c>
      <c r="F291">
        <v>0.09</v>
      </c>
      <c r="G291">
        <v>9</v>
      </c>
      <c r="H291">
        <v>0.02</v>
      </c>
      <c r="I291">
        <v>0.09</v>
      </c>
      <c r="J291">
        <v>2.66</v>
      </c>
      <c r="K291" t="s">
        <v>175</v>
      </c>
    </row>
    <row r="292" spans="1:11" x14ac:dyDescent="0.35">
      <c r="A292" t="s">
        <v>65</v>
      </c>
      <c r="B292" t="s">
        <v>222</v>
      </c>
      <c r="C292" t="s">
        <v>108</v>
      </c>
      <c r="D292" t="s">
        <v>256</v>
      </c>
      <c r="E292" t="s">
        <v>273</v>
      </c>
      <c r="F292">
        <v>0.27</v>
      </c>
      <c r="G292">
        <v>4</v>
      </c>
      <c r="H292">
        <v>0.1</v>
      </c>
      <c r="I292">
        <v>0.27</v>
      </c>
      <c r="J292">
        <v>1.41</v>
      </c>
      <c r="K292" t="s">
        <v>175</v>
      </c>
    </row>
    <row r="293" spans="1:11" x14ac:dyDescent="0.35">
      <c r="A293" t="s">
        <v>65</v>
      </c>
      <c r="B293" t="s">
        <v>222</v>
      </c>
      <c r="C293" t="s">
        <v>108</v>
      </c>
      <c r="D293" t="s">
        <v>257</v>
      </c>
      <c r="E293" t="s">
        <v>273</v>
      </c>
      <c r="F293">
        <v>1.96</v>
      </c>
      <c r="G293">
        <v>7</v>
      </c>
      <c r="H293">
        <v>0.25</v>
      </c>
      <c r="I293">
        <v>1.96</v>
      </c>
      <c r="J293">
        <v>51</v>
      </c>
      <c r="K293" t="s">
        <v>175</v>
      </c>
    </row>
    <row r="294" spans="1:11" x14ac:dyDescent="0.35">
      <c r="A294" t="s">
        <v>66</v>
      </c>
      <c r="B294" t="s">
        <v>230</v>
      </c>
      <c r="C294" t="s">
        <v>117</v>
      </c>
      <c r="D294" t="s">
        <v>258</v>
      </c>
      <c r="E294" t="s">
        <v>273</v>
      </c>
      <c r="F294">
        <v>4.9000000000000002E-2</v>
      </c>
      <c r="G294">
        <v>1</v>
      </c>
      <c r="H294">
        <v>4.9000000000000002E-2</v>
      </c>
      <c r="I294">
        <v>4.9000000000000002E-2</v>
      </c>
      <c r="J294">
        <v>4.9000000000000002E-2</v>
      </c>
      <c r="K294" t="s">
        <v>175</v>
      </c>
    </row>
    <row r="295" spans="1:11" x14ac:dyDescent="0.35">
      <c r="A295" t="s">
        <v>66</v>
      </c>
      <c r="B295" t="s">
        <v>230</v>
      </c>
      <c r="C295" t="s">
        <v>117</v>
      </c>
      <c r="D295" t="s">
        <v>268</v>
      </c>
      <c r="E295" t="s">
        <v>272</v>
      </c>
      <c r="F295">
        <v>0.34499999999999997</v>
      </c>
      <c r="G295">
        <v>28</v>
      </c>
      <c r="H295">
        <v>1.6E-2</v>
      </c>
      <c r="I295">
        <v>0.34499999999999997</v>
      </c>
      <c r="J295">
        <v>3.5</v>
      </c>
      <c r="K295" t="s">
        <v>183</v>
      </c>
    </row>
    <row r="296" spans="1:11" x14ac:dyDescent="0.35">
      <c r="A296" t="s">
        <v>67</v>
      </c>
      <c r="B296" t="s">
        <v>224</v>
      </c>
      <c r="C296" t="s">
        <v>109</v>
      </c>
      <c r="D296" t="s">
        <v>260</v>
      </c>
      <c r="E296" t="s">
        <v>273</v>
      </c>
      <c r="G296">
        <v>0</v>
      </c>
    </row>
    <row r="297" spans="1:11" x14ac:dyDescent="0.35">
      <c r="A297" t="s">
        <v>67</v>
      </c>
      <c r="B297" t="s">
        <v>224</v>
      </c>
      <c r="C297" t="s">
        <v>109</v>
      </c>
      <c r="D297" t="s">
        <v>258</v>
      </c>
      <c r="E297" t="s">
        <v>272</v>
      </c>
      <c r="F297">
        <v>0.31</v>
      </c>
      <c r="G297">
        <v>3</v>
      </c>
      <c r="H297">
        <v>2.1999999999999999E-2</v>
      </c>
      <c r="I297">
        <v>0.31</v>
      </c>
      <c r="J297">
        <v>1.33</v>
      </c>
      <c r="K297" t="s">
        <v>175</v>
      </c>
    </row>
    <row r="298" spans="1:11" x14ac:dyDescent="0.35">
      <c r="A298" t="s">
        <v>68</v>
      </c>
      <c r="B298" t="s">
        <v>225</v>
      </c>
      <c r="C298" t="s">
        <v>111</v>
      </c>
      <c r="D298" t="s">
        <v>261</v>
      </c>
      <c r="E298" t="s">
        <v>273</v>
      </c>
      <c r="G298">
        <v>0</v>
      </c>
    </row>
    <row r="299" spans="1:11" x14ac:dyDescent="0.35">
      <c r="A299" t="s">
        <v>68</v>
      </c>
      <c r="B299" t="s">
        <v>225</v>
      </c>
      <c r="C299" t="s">
        <v>111</v>
      </c>
      <c r="D299" t="s">
        <v>262</v>
      </c>
      <c r="E299" t="s">
        <v>273</v>
      </c>
      <c r="G299">
        <v>0</v>
      </c>
    </row>
    <row r="300" spans="1:11" x14ac:dyDescent="0.35">
      <c r="A300" t="s">
        <v>69</v>
      </c>
      <c r="B300" t="s">
        <v>87</v>
      </c>
      <c r="C300" t="s">
        <v>236</v>
      </c>
      <c r="D300" t="s">
        <v>263</v>
      </c>
      <c r="E300" t="s">
        <v>273</v>
      </c>
      <c r="G300">
        <v>0</v>
      </c>
    </row>
    <row r="301" spans="1:11" x14ac:dyDescent="0.35">
      <c r="A301" t="s">
        <v>69</v>
      </c>
      <c r="B301" t="s">
        <v>87</v>
      </c>
      <c r="C301" t="s">
        <v>236</v>
      </c>
      <c r="D301" t="s">
        <v>243</v>
      </c>
      <c r="E301" t="s">
        <v>273</v>
      </c>
      <c r="G301">
        <v>0</v>
      </c>
    </row>
    <row r="302" spans="1:11" x14ac:dyDescent="0.35">
      <c r="A302" t="s">
        <v>52</v>
      </c>
      <c r="B302" t="s">
        <v>210</v>
      </c>
      <c r="C302" t="s">
        <v>98</v>
      </c>
      <c r="D302" t="s">
        <v>238</v>
      </c>
      <c r="E302" t="s">
        <v>272</v>
      </c>
      <c r="F302">
        <v>1.2E-2</v>
      </c>
      <c r="G302">
        <v>1</v>
      </c>
      <c r="H302">
        <v>1.2E-2</v>
      </c>
      <c r="I302">
        <v>1.2E-2</v>
      </c>
      <c r="J302">
        <v>1.2E-2</v>
      </c>
      <c r="K302" t="s">
        <v>171</v>
      </c>
    </row>
    <row r="303" spans="1:11" x14ac:dyDescent="0.35">
      <c r="A303" t="s">
        <v>52</v>
      </c>
      <c r="B303" t="s">
        <v>210</v>
      </c>
      <c r="C303" t="s">
        <v>98</v>
      </c>
      <c r="D303" t="s">
        <v>239</v>
      </c>
      <c r="E303" t="s">
        <v>273</v>
      </c>
      <c r="G303">
        <v>0</v>
      </c>
    </row>
    <row r="304" spans="1:11" x14ac:dyDescent="0.35">
      <c r="A304" t="s">
        <v>53</v>
      </c>
      <c r="B304" t="s">
        <v>211</v>
      </c>
      <c r="C304" t="s">
        <v>99</v>
      </c>
      <c r="D304" t="s">
        <v>240</v>
      </c>
      <c r="E304" t="s">
        <v>273</v>
      </c>
      <c r="G304">
        <v>0</v>
      </c>
    </row>
    <row r="305" spans="1:11" x14ac:dyDescent="0.35">
      <c r="A305" t="s">
        <v>53</v>
      </c>
      <c r="B305" t="s">
        <v>211</v>
      </c>
      <c r="C305" t="s">
        <v>99</v>
      </c>
      <c r="D305" t="s">
        <v>241</v>
      </c>
      <c r="E305" t="s">
        <v>273</v>
      </c>
      <c r="G305">
        <v>0</v>
      </c>
    </row>
    <row r="306" spans="1:11" x14ac:dyDescent="0.35">
      <c r="A306" t="s">
        <v>53</v>
      </c>
      <c r="B306" t="s">
        <v>211</v>
      </c>
      <c r="C306" t="s">
        <v>99</v>
      </c>
      <c r="D306" t="s">
        <v>242</v>
      </c>
      <c r="E306" t="s">
        <v>273</v>
      </c>
      <c r="G306">
        <v>0</v>
      </c>
    </row>
    <row r="307" spans="1:11" x14ac:dyDescent="0.35">
      <c r="A307" t="s">
        <v>53</v>
      </c>
      <c r="B307" t="s">
        <v>211</v>
      </c>
      <c r="C307" t="s">
        <v>99</v>
      </c>
      <c r="D307" t="s">
        <v>243</v>
      </c>
      <c r="E307" t="s">
        <v>273</v>
      </c>
      <c r="G307">
        <v>0</v>
      </c>
    </row>
    <row r="308" spans="1:11" x14ac:dyDescent="0.35">
      <c r="A308" t="s">
        <v>54</v>
      </c>
      <c r="B308" t="s">
        <v>212</v>
      </c>
      <c r="C308" t="s">
        <v>100</v>
      </c>
      <c r="D308" t="s">
        <v>244</v>
      </c>
      <c r="E308" t="s">
        <v>272</v>
      </c>
      <c r="F308">
        <v>3.05</v>
      </c>
      <c r="G308">
        <v>14</v>
      </c>
      <c r="H308">
        <v>5.4000000000000003E-3</v>
      </c>
      <c r="I308">
        <v>3.05</v>
      </c>
      <c r="J308">
        <v>25</v>
      </c>
      <c r="K308" t="s">
        <v>172</v>
      </c>
    </row>
    <row r="309" spans="1:11" x14ac:dyDescent="0.35">
      <c r="A309" t="s">
        <v>54</v>
      </c>
      <c r="B309" t="s">
        <v>212</v>
      </c>
      <c r="C309" t="s">
        <v>100</v>
      </c>
      <c r="D309" t="s">
        <v>239</v>
      </c>
      <c r="E309" t="s">
        <v>273</v>
      </c>
      <c r="G309">
        <v>0</v>
      </c>
    </row>
    <row r="310" spans="1:11" x14ac:dyDescent="0.35">
      <c r="A310" t="s">
        <v>55</v>
      </c>
      <c r="B310" t="s">
        <v>213</v>
      </c>
      <c r="C310" t="s">
        <v>101</v>
      </c>
      <c r="D310" t="s">
        <v>245</v>
      </c>
      <c r="E310" t="s">
        <v>272</v>
      </c>
      <c r="F310">
        <v>71.75</v>
      </c>
      <c r="G310">
        <v>2</v>
      </c>
      <c r="H310">
        <v>3.5</v>
      </c>
      <c r="I310">
        <v>71.75</v>
      </c>
      <c r="J310">
        <v>140</v>
      </c>
      <c r="K310" t="s">
        <v>173</v>
      </c>
    </row>
    <row r="311" spans="1:11" x14ac:dyDescent="0.35">
      <c r="A311" t="s">
        <v>55</v>
      </c>
      <c r="B311" t="s">
        <v>213</v>
      </c>
      <c r="C311" t="s">
        <v>101</v>
      </c>
      <c r="D311" t="s">
        <v>246</v>
      </c>
      <c r="E311" t="s">
        <v>273</v>
      </c>
      <c r="F311">
        <v>2.06</v>
      </c>
      <c r="G311">
        <v>1</v>
      </c>
      <c r="H311">
        <v>2.06</v>
      </c>
      <c r="I311">
        <v>2.06</v>
      </c>
      <c r="J311">
        <v>2.06</v>
      </c>
      <c r="K311" t="s">
        <v>175</v>
      </c>
    </row>
    <row r="312" spans="1:11" x14ac:dyDescent="0.35">
      <c r="A312" t="s">
        <v>55</v>
      </c>
      <c r="B312" t="s">
        <v>213</v>
      </c>
      <c r="C312" t="s">
        <v>101</v>
      </c>
      <c r="D312" t="s">
        <v>241</v>
      </c>
      <c r="E312" t="s">
        <v>273</v>
      </c>
      <c r="G312">
        <v>0</v>
      </c>
    </row>
    <row r="313" spans="1:11" x14ac:dyDescent="0.35">
      <c r="A313" t="s">
        <v>56</v>
      </c>
      <c r="B313" t="s">
        <v>214</v>
      </c>
      <c r="C313" t="s">
        <v>101</v>
      </c>
      <c r="D313" t="s">
        <v>247</v>
      </c>
      <c r="E313" t="s">
        <v>273</v>
      </c>
      <c r="G313">
        <v>0</v>
      </c>
    </row>
    <row r="314" spans="1:11" x14ac:dyDescent="0.35">
      <c r="A314" t="s">
        <v>56</v>
      </c>
      <c r="B314" t="s">
        <v>214</v>
      </c>
      <c r="C314" t="s">
        <v>101</v>
      </c>
      <c r="D314" t="s">
        <v>239</v>
      </c>
      <c r="E314" t="s">
        <v>273</v>
      </c>
      <c r="G314">
        <v>0</v>
      </c>
    </row>
    <row r="315" spans="1:11" x14ac:dyDescent="0.35">
      <c r="A315" t="s">
        <v>57</v>
      </c>
      <c r="B315" t="s">
        <v>215</v>
      </c>
      <c r="C315" t="s">
        <v>102</v>
      </c>
      <c r="D315" t="s">
        <v>241</v>
      </c>
      <c r="E315" t="s">
        <v>273</v>
      </c>
      <c r="G315">
        <v>0</v>
      </c>
    </row>
    <row r="316" spans="1:11" x14ac:dyDescent="0.35">
      <c r="A316" t="s">
        <v>57</v>
      </c>
      <c r="B316" t="s">
        <v>215</v>
      </c>
      <c r="C316" t="s">
        <v>102</v>
      </c>
      <c r="D316" t="s">
        <v>248</v>
      </c>
      <c r="E316" t="s">
        <v>273</v>
      </c>
      <c r="G316">
        <v>0</v>
      </c>
    </row>
    <row r="317" spans="1:11" x14ac:dyDescent="0.35">
      <c r="A317" t="s">
        <v>57</v>
      </c>
      <c r="B317" t="s">
        <v>215</v>
      </c>
      <c r="C317" t="s">
        <v>102</v>
      </c>
      <c r="D317" t="s">
        <v>249</v>
      </c>
      <c r="E317" t="s">
        <v>272</v>
      </c>
      <c r="F317">
        <v>0.214</v>
      </c>
      <c r="G317">
        <v>2</v>
      </c>
      <c r="H317">
        <v>0.03</v>
      </c>
      <c r="I317">
        <v>0.214</v>
      </c>
      <c r="J317">
        <v>0.39800000000000002</v>
      </c>
      <c r="K317" t="s">
        <v>175</v>
      </c>
    </row>
    <row r="318" spans="1:11" x14ac:dyDescent="0.35">
      <c r="A318" t="s">
        <v>58</v>
      </c>
      <c r="B318" t="s">
        <v>216</v>
      </c>
      <c r="C318" t="s">
        <v>101</v>
      </c>
      <c r="D318" t="s">
        <v>246</v>
      </c>
      <c r="E318" t="s">
        <v>272</v>
      </c>
      <c r="F318">
        <v>2.06</v>
      </c>
      <c r="G318">
        <v>1</v>
      </c>
      <c r="H318">
        <v>2.06</v>
      </c>
      <c r="I318">
        <v>2.06</v>
      </c>
      <c r="J318">
        <v>2.06</v>
      </c>
      <c r="K318" t="s">
        <v>175</v>
      </c>
    </row>
    <row r="319" spans="1:11" x14ac:dyDescent="0.35">
      <c r="A319" t="s">
        <v>58</v>
      </c>
      <c r="B319" t="s">
        <v>216</v>
      </c>
      <c r="C319" t="s">
        <v>101</v>
      </c>
      <c r="D319" t="s">
        <v>250</v>
      </c>
      <c r="E319" t="s">
        <v>273</v>
      </c>
      <c r="F319">
        <v>22.5</v>
      </c>
      <c r="G319">
        <v>1</v>
      </c>
      <c r="H319">
        <v>22.5</v>
      </c>
      <c r="I319">
        <v>22.5</v>
      </c>
      <c r="J319">
        <v>22.5</v>
      </c>
      <c r="K319" t="s">
        <v>175</v>
      </c>
    </row>
    <row r="320" spans="1:11" x14ac:dyDescent="0.35">
      <c r="A320" t="s">
        <v>59</v>
      </c>
      <c r="B320" t="s">
        <v>217</v>
      </c>
      <c r="C320" t="s">
        <v>156</v>
      </c>
      <c r="D320" t="s">
        <v>251</v>
      </c>
      <c r="E320" t="s">
        <v>273</v>
      </c>
      <c r="G320">
        <v>0</v>
      </c>
    </row>
    <row r="321" spans="1:11" x14ac:dyDescent="0.35">
      <c r="A321" t="s">
        <v>59</v>
      </c>
      <c r="B321" t="s">
        <v>217</v>
      </c>
      <c r="C321" t="s">
        <v>156</v>
      </c>
      <c r="D321" t="s">
        <v>252</v>
      </c>
      <c r="E321" t="s">
        <v>272</v>
      </c>
      <c r="F321">
        <v>3.5500000000000003</v>
      </c>
      <c r="G321">
        <v>6</v>
      </c>
      <c r="H321">
        <v>1.4</v>
      </c>
      <c r="I321">
        <v>3.5500000000000003</v>
      </c>
      <c r="J321">
        <v>11.1</v>
      </c>
      <c r="K321" t="s">
        <v>176</v>
      </c>
    </row>
    <row r="322" spans="1:11" x14ac:dyDescent="0.35">
      <c r="A322" t="s">
        <v>59</v>
      </c>
      <c r="B322" t="s">
        <v>217</v>
      </c>
      <c r="C322" t="s">
        <v>235</v>
      </c>
      <c r="D322" t="s">
        <v>251</v>
      </c>
      <c r="E322" t="s">
        <v>273</v>
      </c>
      <c r="G322">
        <v>0</v>
      </c>
    </row>
    <row r="323" spans="1:11" x14ac:dyDescent="0.35">
      <c r="A323" t="s">
        <v>59</v>
      </c>
      <c r="B323" t="s">
        <v>217</v>
      </c>
      <c r="C323" t="s">
        <v>235</v>
      </c>
      <c r="D323" t="s">
        <v>252</v>
      </c>
      <c r="E323" t="s">
        <v>272</v>
      </c>
      <c r="F323">
        <v>5.1400000000000006</v>
      </c>
      <c r="G323">
        <v>2</v>
      </c>
      <c r="H323">
        <v>0.28000000000000003</v>
      </c>
      <c r="I323">
        <v>5.1400000000000006</v>
      </c>
      <c r="J323">
        <v>10</v>
      </c>
      <c r="K323" t="s">
        <v>279</v>
      </c>
    </row>
    <row r="324" spans="1:11" x14ac:dyDescent="0.35">
      <c r="A324" t="s">
        <v>60</v>
      </c>
      <c r="B324" t="s">
        <v>218</v>
      </c>
      <c r="C324" t="s">
        <v>104</v>
      </c>
      <c r="D324" t="s">
        <v>253</v>
      </c>
      <c r="E324" t="s">
        <v>273</v>
      </c>
      <c r="G324">
        <v>0</v>
      </c>
    </row>
    <row r="325" spans="1:11" x14ac:dyDescent="0.35">
      <c r="A325" t="s">
        <v>60</v>
      </c>
      <c r="B325" t="s">
        <v>218</v>
      </c>
      <c r="C325" t="s">
        <v>104</v>
      </c>
      <c r="D325" t="s">
        <v>239</v>
      </c>
      <c r="E325" t="s">
        <v>273</v>
      </c>
      <c r="G325">
        <v>0</v>
      </c>
    </row>
    <row r="326" spans="1:11" x14ac:dyDescent="0.35">
      <c r="A326" t="s">
        <v>60</v>
      </c>
      <c r="B326" t="s">
        <v>218</v>
      </c>
      <c r="C326" t="s">
        <v>104</v>
      </c>
      <c r="D326" t="s">
        <v>254</v>
      </c>
      <c r="E326" t="s">
        <v>273</v>
      </c>
      <c r="G326">
        <v>0</v>
      </c>
    </row>
    <row r="327" spans="1:11" x14ac:dyDescent="0.35">
      <c r="A327" t="s">
        <v>61</v>
      </c>
      <c r="B327" t="s">
        <v>219</v>
      </c>
      <c r="C327" t="s">
        <v>105</v>
      </c>
      <c r="D327" t="s">
        <v>254</v>
      </c>
      <c r="E327" t="s">
        <v>272</v>
      </c>
      <c r="F327">
        <v>0.93</v>
      </c>
      <c r="G327">
        <v>1</v>
      </c>
      <c r="H327">
        <v>0.93</v>
      </c>
      <c r="I327">
        <v>0.93</v>
      </c>
      <c r="J327">
        <v>0.93</v>
      </c>
      <c r="K327" t="s">
        <v>178</v>
      </c>
    </row>
    <row r="328" spans="1:11" x14ac:dyDescent="0.35">
      <c r="A328" t="s">
        <v>61</v>
      </c>
      <c r="B328" t="s">
        <v>219</v>
      </c>
      <c r="C328" t="s">
        <v>105</v>
      </c>
      <c r="D328" t="s">
        <v>249</v>
      </c>
      <c r="E328" t="s">
        <v>273</v>
      </c>
      <c r="G328">
        <v>0</v>
      </c>
    </row>
    <row r="329" spans="1:11" x14ac:dyDescent="0.35">
      <c r="A329" t="s">
        <v>63</v>
      </c>
      <c r="B329" t="s">
        <v>220</v>
      </c>
      <c r="C329" t="s">
        <v>106</v>
      </c>
      <c r="D329" t="s">
        <v>246</v>
      </c>
      <c r="E329" t="s">
        <v>272</v>
      </c>
      <c r="F329">
        <v>0.06</v>
      </c>
      <c r="G329">
        <v>1</v>
      </c>
      <c r="H329">
        <v>0.06</v>
      </c>
      <c r="I329">
        <v>0.06</v>
      </c>
      <c r="J329">
        <v>0.06</v>
      </c>
      <c r="K329" t="s">
        <v>179</v>
      </c>
    </row>
    <row r="330" spans="1:11" x14ac:dyDescent="0.35">
      <c r="A330" t="s">
        <v>63</v>
      </c>
      <c r="B330" t="s">
        <v>220</v>
      </c>
      <c r="C330" t="s">
        <v>106</v>
      </c>
      <c r="D330" t="s">
        <v>255</v>
      </c>
      <c r="E330" t="s">
        <v>273</v>
      </c>
      <c r="F330">
        <v>22.2</v>
      </c>
      <c r="G330">
        <v>1</v>
      </c>
      <c r="H330">
        <v>22.2</v>
      </c>
      <c r="I330">
        <v>22.2</v>
      </c>
      <c r="J330">
        <v>22.2</v>
      </c>
      <c r="K330" t="s">
        <v>179</v>
      </c>
    </row>
    <row r="331" spans="1:11" x14ac:dyDescent="0.35">
      <c r="A331" t="s">
        <v>64</v>
      </c>
      <c r="B331" t="s">
        <v>221</v>
      </c>
      <c r="C331" t="s">
        <v>107</v>
      </c>
      <c r="D331" t="s">
        <v>253</v>
      </c>
      <c r="E331" t="s">
        <v>272</v>
      </c>
      <c r="F331">
        <v>0.5</v>
      </c>
      <c r="G331">
        <v>9</v>
      </c>
      <c r="H331">
        <v>0.26</v>
      </c>
      <c r="I331">
        <v>0.5</v>
      </c>
      <c r="J331">
        <v>4.47</v>
      </c>
      <c r="K331" t="s">
        <v>175</v>
      </c>
    </row>
    <row r="332" spans="1:11" x14ac:dyDescent="0.35">
      <c r="A332" t="s">
        <v>64</v>
      </c>
      <c r="B332" t="s">
        <v>221</v>
      </c>
      <c r="C332" t="s">
        <v>107</v>
      </c>
      <c r="D332" t="s">
        <v>255</v>
      </c>
      <c r="E332" t="s">
        <v>273</v>
      </c>
      <c r="F332">
        <v>0.315</v>
      </c>
      <c r="G332">
        <v>4</v>
      </c>
      <c r="H332">
        <v>0.1</v>
      </c>
      <c r="I332">
        <v>0.315</v>
      </c>
      <c r="J332">
        <v>0.8</v>
      </c>
      <c r="K332" t="s">
        <v>175</v>
      </c>
    </row>
    <row r="333" spans="1:11" x14ac:dyDescent="0.35">
      <c r="A333" t="s">
        <v>64</v>
      </c>
      <c r="B333" t="s">
        <v>221</v>
      </c>
      <c r="C333" t="s">
        <v>107</v>
      </c>
      <c r="D333" t="s">
        <v>252</v>
      </c>
      <c r="E333" t="s">
        <v>273</v>
      </c>
      <c r="F333">
        <v>2.15</v>
      </c>
      <c r="G333">
        <v>6</v>
      </c>
      <c r="H333">
        <v>0.7</v>
      </c>
      <c r="I333">
        <v>2.15</v>
      </c>
      <c r="J333">
        <v>3.5</v>
      </c>
      <c r="K333" t="s">
        <v>175</v>
      </c>
    </row>
    <row r="334" spans="1:11" x14ac:dyDescent="0.35">
      <c r="A334" t="s">
        <v>65</v>
      </c>
      <c r="B334" t="s">
        <v>222</v>
      </c>
      <c r="C334" t="s">
        <v>108</v>
      </c>
      <c r="D334" t="s">
        <v>253</v>
      </c>
      <c r="E334" t="s">
        <v>272</v>
      </c>
      <c r="F334">
        <v>0.09</v>
      </c>
      <c r="G334">
        <v>9</v>
      </c>
      <c r="H334">
        <v>0.02</v>
      </c>
      <c r="I334">
        <v>0.09</v>
      </c>
      <c r="J334">
        <v>2.66</v>
      </c>
      <c r="K334" t="s">
        <v>175</v>
      </c>
    </row>
    <row r="335" spans="1:11" x14ac:dyDescent="0.35">
      <c r="A335" t="s">
        <v>65</v>
      </c>
      <c r="B335" t="s">
        <v>222</v>
      </c>
      <c r="C335" t="s">
        <v>108</v>
      </c>
      <c r="D335" t="s">
        <v>256</v>
      </c>
      <c r="E335" t="s">
        <v>273</v>
      </c>
      <c r="F335">
        <v>0.27</v>
      </c>
      <c r="G335">
        <v>4</v>
      </c>
      <c r="H335">
        <v>0.1</v>
      </c>
      <c r="I335">
        <v>0.27</v>
      </c>
      <c r="J335">
        <v>1.41</v>
      </c>
      <c r="K335" t="s">
        <v>175</v>
      </c>
    </row>
    <row r="336" spans="1:11" x14ac:dyDescent="0.35">
      <c r="A336" t="s">
        <v>65</v>
      </c>
      <c r="B336" t="s">
        <v>222</v>
      </c>
      <c r="C336" t="s">
        <v>108</v>
      </c>
      <c r="D336" t="s">
        <v>257</v>
      </c>
      <c r="E336" t="s">
        <v>273</v>
      </c>
      <c r="F336">
        <v>1.96</v>
      </c>
      <c r="G336">
        <v>7</v>
      </c>
      <c r="H336">
        <v>0.25</v>
      </c>
      <c r="I336">
        <v>1.96</v>
      </c>
      <c r="J336">
        <v>51</v>
      </c>
      <c r="K336" t="s">
        <v>175</v>
      </c>
    </row>
    <row r="337" spans="1:11" x14ac:dyDescent="0.35">
      <c r="A337" t="s">
        <v>66</v>
      </c>
      <c r="B337" t="s">
        <v>231</v>
      </c>
      <c r="C337" t="s">
        <v>118</v>
      </c>
      <c r="D337" t="s">
        <v>269</v>
      </c>
      <c r="E337" t="s">
        <v>273</v>
      </c>
      <c r="G337">
        <v>0</v>
      </c>
    </row>
    <row r="338" spans="1:11" x14ac:dyDescent="0.35">
      <c r="A338" t="s">
        <v>66</v>
      </c>
      <c r="B338" t="s">
        <v>231</v>
      </c>
      <c r="C338" t="s">
        <v>118</v>
      </c>
      <c r="D338" t="s">
        <v>258</v>
      </c>
      <c r="E338" t="s">
        <v>272</v>
      </c>
      <c r="F338">
        <v>0.125</v>
      </c>
      <c r="G338">
        <v>12</v>
      </c>
      <c r="H338">
        <v>3.0000000000000001E-3</v>
      </c>
      <c r="I338">
        <v>0.125</v>
      </c>
      <c r="J338">
        <v>52</v>
      </c>
      <c r="K338" t="s">
        <v>175</v>
      </c>
    </row>
    <row r="339" spans="1:11" x14ac:dyDescent="0.35">
      <c r="A339" t="s">
        <v>67</v>
      </c>
      <c r="B339" t="s">
        <v>224</v>
      </c>
      <c r="C339" t="s">
        <v>109</v>
      </c>
      <c r="D339" t="s">
        <v>260</v>
      </c>
      <c r="E339" t="s">
        <v>273</v>
      </c>
      <c r="G339">
        <v>0</v>
      </c>
    </row>
    <row r="340" spans="1:11" x14ac:dyDescent="0.35">
      <c r="A340" t="s">
        <v>67</v>
      </c>
      <c r="B340" t="s">
        <v>224</v>
      </c>
      <c r="C340" t="s">
        <v>109</v>
      </c>
      <c r="D340" t="s">
        <v>258</v>
      </c>
      <c r="E340" t="s">
        <v>272</v>
      </c>
      <c r="F340">
        <v>0.31</v>
      </c>
      <c r="G340">
        <v>3</v>
      </c>
      <c r="H340">
        <v>2.1999999999999999E-2</v>
      </c>
      <c r="I340">
        <v>0.31</v>
      </c>
      <c r="J340">
        <v>1.33</v>
      </c>
      <c r="K340" t="s">
        <v>175</v>
      </c>
    </row>
    <row r="341" spans="1:11" x14ac:dyDescent="0.35">
      <c r="A341" t="s">
        <v>68</v>
      </c>
      <c r="B341" t="s">
        <v>225</v>
      </c>
      <c r="C341" t="s">
        <v>111</v>
      </c>
      <c r="D341" t="s">
        <v>261</v>
      </c>
      <c r="E341" t="s">
        <v>273</v>
      </c>
      <c r="G341">
        <v>0</v>
      </c>
    </row>
    <row r="342" spans="1:11" x14ac:dyDescent="0.35">
      <c r="A342" t="s">
        <v>68</v>
      </c>
      <c r="B342" t="s">
        <v>225</v>
      </c>
      <c r="C342" t="s">
        <v>111</v>
      </c>
      <c r="D342" t="s">
        <v>262</v>
      </c>
      <c r="E342" t="s">
        <v>273</v>
      </c>
      <c r="G342">
        <v>0</v>
      </c>
    </row>
    <row r="343" spans="1:11" x14ac:dyDescent="0.35">
      <c r="A343" t="s">
        <v>69</v>
      </c>
      <c r="B343" t="s">
        <v>87</v>
      </c>
      <c r="C343" t="s">
        <v>236</v>
      </c>
      <c r="D343" t="s">
        <v>263</v>
      </c>
      <c r="E343" t="s">
        <v>273</v>
      </c>
      <c r="G343">
        <v>0</v>
      </c>
    </row>
    <row r="344" spans="1:11" x14ac:dyDescent="0.35">
      <c r="A344" t="s">
        <v>69</v>
      </c>
      <c r="B344" t="s">
        <v>87</v>
      </c>
      <c r="C344" t="s">
        <v>236</v>
      </c>
      <c r="D344" t="s">
        <v>243</v>
      </c>
      <c r="E344" t="s">
        <v>273</v>
      </c>
      <c r="G344">
        <v>0</v>
      </c>
    </row>
    <row r="345" spans="1:11" x14ac:dyDescent="0.35">
      <c r="A345" t="s">
        <v>52</v>
      </c>
      <c r="B345" t="s">
        <v>210</v>
      </c>
      <c r="C345" t="s">
        <v>98</v>
      </c>
      <c r="D345" t="s">
        <v>238</v>
      </c>
      <c r="E345" t="s">
        <v>272</v>
      </c>
      <c r="F345">
        <v>1.2E-2</v>
      </c>
      <c r="G345">
        <v>1</v>
      </c>
      <c r="H345">
        <v>1.2E-2</v>
      </c>
      <c r="I345">
        <v>1.2E-2</v>
      </c>
      <c r="J345">
        <v>1.2E-2</v>
      </c>
      <c r="K345" t="s">
        <v>171</v>
      </c>
    </row>
    <row r="346" spans="1:11" x14ac:dyDescent="0.35">
      <c r="A346" t="s">
        <v>52</v>
      </c>
      <c r="B346" t="s">
        <v>210</v>
      </c>
      <c r="C346" t="s">
        <v>98</v>
      </c>
      <c r="D346" t="s">
        <v>239</v>
      </c>
      <c r="E346" t="s">
        <v>273</v>
      </c>
      <c r="G346">
        <v>0</v>
      </c>
    </row>
    <row r="347" spans="1:11" x14ac:dyDescent="0.35">
      <c r="A347" t="s">
        <v>53</v>
      </c>
      <c r="B347" t="s">
        <v>211</v>
      </c>
      <c r="C347" t="s">
        <v>99</v>
      </c>
      <c r="D347" t="s">
        <v>240</v>
      </c>
      <c r="E347" t="s">
        <v>273</v>
      </c>
      <c r="G347">
        <v>0</v>
      </c>
    </row>
    <row r="348" spans="1:11" x14ac:dyDescent="0.35">
      <c r="A348" t="s">
        <v>53</v>
      </c>
      <c r="B348" t="s">
        <v>211</v>
      </c>
      <c r="C348" t="s">
        <v>99</v>
      </c>
      <c r="D348" t="s">
        <v>241</v>
      </c>
      <c r="E348" t="s">
        <v>273</v>
      </c>
      <c r="G348">
        <v>0</v>
      </c>
    </row>
    <row r="349" spans="1:11" x14ac:dyDescent="0.35">
      <c r="A349" t="s">
        <v>53</v>
      </c>
      <c r="B349" t="s">
        <v>211</v>
      </c>
      <c r="C349" t="s">
        <v>99</v>
      </c>
      <c r="D349" t="s">
        <v>242</v>
      </c>
      <c r="E349" t="s">
        <v>273</v>
      </c>
      <c r="G349">
        <v>0</v>
      </c>
    </row>
    <row r="350" spans="1:11" x14ac:dyDescent="0.35">
      <c r="A350" t="s">
        <v>53</v>
      </c>
      <c r="B350" t="s">
        <v>211</v>
      </c>
      <c r="C350" t="s">
        <v>99</v>
      </c>
      <c r="D350" t="s">
        <v>243</v>
      </c>
      <c r="E350" t="s">
        <v>273</v>
      </c>
      <c r="G350">
        <v>0</v>
      </c>
    </row>
    <row r="351" spans="1:11" x14ac:dyDescent="0.35">
      <c r="A351" t="s">
        <v>54</v>
      </c>
      <c r="B351" t="s">
        <v>212</v>
      </c>
      <c r="C351" t="s">
        <v>100</v>
      </c>
      <c r="D351" t="s">
        <v>244</v>
      </c>
      <c r="E351" t="s">
        <v>272</v>
      </c>
      <c r="F351">
        <v>3.05</v>
      </c>
      <c r="G351">
        <v>14</v>
      </c>
      <c r="H351">
        <v>5.4000000000000003E-3</v>
      </c>
      <c r="I351">
        <v>3.05</v>
      </c>
      <c r="J351">
        <v>25</v>
      </c>
      <c r="K351" t="s">
        <v>172</v>
      </c>
    </row>
    <row r="352" spans="1:11" x14ac:dyDescent="0.35">
      <c r="A352" t="s">
        <v>54</v>
      </c>
      <c r="B352" t="s">
        <v>212</v>
      </c>
      <c r="C352" t="s">
        <v>100</v>
      </c>
      <c r="D352" t="s">
        <v>239</v>
      </c>
      <c r="E352" t="s">
        <v>273</v>
      </c>
      <c r="G352">
        <v>0</v>
      </c>
    </row>
    <row r="353" spans="1:11" x14ac:dyDescent="0.35">
      <c r="A353" t="s">
        <v>55</v>
      </c>
      <c r="B353" t="s">
        <v>213</v>
      </c>
      <c r="C353" t="s">
        <v>101</v>
      </c>
      <c r="D353" t="s">
        <v>245</v>
      </c>
      <c r="E353" t="s">
        <v>272</v>
      </c>
      <c r="F353">
        <v>71.75</v>
      </c>
      <c r="G353">
        <v>2</v>
      </c>
      <c r="H353">
        <v>3.5</v>
      </c>
      <c r="I353">
        <v>71.75</v>
      </c>
      <c r="J353">
        <v>140</v>
      </c>
      <c r="K353" t="s">
        <v>173</v>
      </c>
    </row>
    <row r="354" spans="1:11" x14ac:dyDescent="0.35">
      <c r="A354" t="s">
        <v>55</v>
      </c>
      <c r="B354" t="s">
        <v>213</v>
      </c>
      <c r="C354" t="s">
        <v>101</v>
      </c>
      <c r="D354" t="s">
        <v>246</v>
      </c>
      <c r="E354" t="s">
        <v>273</v>
      </c>
      <c r="F354">
        <v>2.06</v>
      </c>
      <c r="G354">
        <v>1</v>
      </c>
      <c r="H354">
        <v>2.06</v>
      </c>
      <c r="I354">
        <v>2.06</v>
      </c>
      <c r="J354">
        <v>2.06</v>
      </c>
      <c r="K354" t="s">
        <v>175</v>
      </c>
    </row>
    <row r="355" spans="1:11" x14ac:dyDescent="0.35">
      <c r="A355" t="s">
        <v>55</v>
      </c>
      <c r="B355" t="s">
        <v>213</v>
      </c>
      <c r="C355" t="s">
        <v>101</v>
      </c>
      <c r="D355" t="s">
        <v>241</v>
      </c>
      <c r="E355" t="s">
        <v>273</v>
      </c>
      <c r="G355">
        <v>0</v>
      </c>
    </row>
    <row r="356" spans="1:11" x14ac:dyDescent="0.35">
      <c r="A356" t="s">
        <v>56</v>
      </c>
      <c r="B356" t="s">
        <v>214</v>
      </c>
      <c r="C356" t="s">
        <v>101</v>
      </c>
      <c r="D356" t="s">
        <v>247</v>
      </c>
      <c r="E356" t="s">
        <v>273</v>
      </c>
      <c r="G356">
        <v>0</v>
      </c>
    </row>
    <row r="357" spans="1:11" x14ac:dyDescent="0.35">
      <c r="A357" t="s">
        <v>56</v>
      </c>
      <c r="B357" t="s">
        <v>214</v>
      </c>
      <c r="C357" t="s">
        <v>101</v>
      </c>
      <c r="D357" t="s">
        <v>239</v>
      </c>
      <c r="E357" t="s">
        <v>273</v>
      </c>
      <c r="G357">
        <v>0</v>
      </c>
    </row>
    <row r="358" spans="1:11" x14ac:dyDescent="0.35">
      <c r="A358" t="s">
        <v>57</v>
      </c>
      <c r="B358" t="s">
        <v>215</v>
      </c>
      <c r="C358" t="s">
        <v>102</v>
      </c>
      <c r="D358" t="s">
        <v>241</v>
      </c>
      <c r="E358" t="s">
        <v>273</v>
      </c>
      <c r="G358">
        <v>0</v>
      </c>
    </row>
    <row r="359" spans="1:11" x14ac:dyDescent="0.35">
      <c r="A359" t="s">
        <v>57</v>
      </c>
      <c r="B359" t="s">
        <v>215</v>
      </c>
      <c r="C359" t="s">
        <v>102</v>
      </c>
      <c r="D359" t="s">
        <v>248</v>
      </c>
      <c r="E359" t="s">
        <v>273</v>
      </c>
      <c r="G359">
        <v>0</v>
      </c>
    </row>
    <row r="360" spans="1:11" x14ac:dyDescent="0.35">
      <c r="A360" t="s">
        <v>57</v>
      </c>
      <c r="B360" t="s">
        <v>215</v>
      </c>
      <c r="C360" t="s">
        <v>102</v>
      </c>
      <c r="D360" t="s">
        <v>249</v>
      </c>
      <c r="E360" t="s">
        <v>272</v>
      </c>
      <c r="F360">
        <v>0.214</v>
      </c>
      <c r="G360">
        <v>2</v>
      </c>
      <c r="H360">
        <v>0.03</v>
      </c>
      <c r="I360">
        <v>0.214</v>
      </c>
      <c r="J360">
        <v>0.39800000000000002</v>
      </c>
      <c r="K360" t="s">
        <v>175</v>
      </c>
    </row>
    <row r="361" spans="1:11" x14ac:dyDescent="0.35">
      <c r="A361" t="s">
        <v>58</v>
      </c>
      <c r="B361" t="s">
        <v>216</v>
      </c>
      <c r="C361" t="s">
        <v>101</v>
      </c>
      <c r="D361" t="s">
        <v>246</v>
      </c>
      <c r="E361" t="s">
        <v>272</v>
      </c>
      <c r="F361">
        <v>2.06</v>
      </c>
      <c r="G361">
        <v>1</v>
      </c>
      <c r="H361">
        <v>2.06</v>
      </c>
      <c r="I361">
        <v>2.06</v>
      </c>
      <c r="J361">
        <v>2.06</v>
      </c>
      <c r="K361" t="s">
        <v>175</v>
      </c>
    </row>
    <row r="362" spans="1:11" x14ac:dyDescent="0.35">
      <c r="A362" t="s">
        <v>58</v>
      </c>
      <c r="B362" t="s">
        <v>216</v>
      </c>
      <c r="C362" t="s">
        <v>101</v>
      </c>
      <c r="D362" t="s">
        <v>250</v>
      </c>
      <c r="E362" t="s">
        <v>273</v>
      </c>
      <c r="F362">
        <v>22.5</v>
      </c>
      <c r="G362">
        <v>1</v>
      </c>
      <c r="H362">
        <v>22.5</v>
      </c>
      <c r="I362">
        <v>22.5</v>
      </c>
      <c r="J362">
        <v>22.5</v>
      </c>
      <c r="K362" t="s">
        <v>175</v>
      </c>
    </row>
    <row r="363" spans="1:11" x14ac:dyDescent="0.35">
      <c r="A363" t="s">
        <v>59</v>
      </c>
      <c r="B363" t="s">
        <v>217</v>
      </c>
      <c r="C363" t="s">
        <v>156</v>
      </c>
      <c r="D363" t="s">
        <v>251</v>
      </c>
      <c r="E363" t="s">
        <v>273</v>
      </c>
      <c r="G363">
        <v>0</v>
      </c>
    </row>
    <row r="364" spans="1:11" x14ac:dyDescent="0.35">
      <c r="A364" t="s">
        <v>59</v>
      </c>
      <c r="B364" t="s">
        <v>217</v>
      </c>
      <c r="C364" t="s">
        <v>156</v>
      </c>
      <c r="D364" t="s">
        <v>252</v>
      </c>
      <c r="E364" t="s">
        <v>272</v>
      </c>
      <c r="F364">
        <v>3.5500000000000003</v>
      </c>
      <c r="G364">
        <v>6</v>
      </c>
      <c r="H364">
        <v>1.4</v>
      </c>
      <c r="I364">
        <v>3.5500000000000003</v>
      </c>
      <c r="J364">
        <v>11.1</v>
      </c>
      <c r="K364" t="s">
        <v>176</v>
      </c>
    </row>
    <row r="365" spans="1:11" x14ac:dyDescent="0.35">
      <c r="A365" t="s">
        <v>59</v>
      </c>
      <c r="B365" t="s">
        <v>217</v>
      </c>
      <c r="C365" t="s">
        <v>235</v>
      </c>
      <c r="D365" t="s">
        <v>251</v>
      </c>
      <c r="E365" t="s">
        <v>273</v>
      </c>
      <c r="G365">
        <v>0</v>
      </c>
    </row>
    <row r="366" spans="1:11" x14ac:dyDescent="0.35">
      <c r="A366" t="s">
        <v>59</v>
      </c>
      <c r="B366" t="s">
        <v>217</v>
      </c>
      <c r="C366" t="s">
        <v>235</v>
      </c>
      <c r="D366" t="s">
        <v>252</v>
      </c>
      <c r="E366" t="s">
        <v>272</v>
      </c>
      <c r="F366">
        <v>5.1400000000000006</v>
      </c>
      <c r="G366">
        <v>2</v>
      </c>
      <c r="H366">
        <v>0.28000000000000003</v>
      </c>
      <c r="I366">
        <v>5.1400000000000006</v>
      </c>
      <c r="J366">
        <v>10</v>
      </c>
      <c r="K366" t="s">
        <v>279</v>
      </c>
    </row>
    <row r="367" spans="1:11" x14ac:dyDescent="0.35">
      <c r="A367" t="s">
        <v>60</v>
      </c>
      <c r="B367" t="s">
        <v>218</v>
      </c>
      <c r="C367" t="s">
        <v>104</v>
      </c>
      <c r="D367" t="s">
        <v>253</v>
      </c>
      <c r="E367" t="s">
        <v>273</v>
      </c>
      <c r="G367">
        <v>0</v>
      </c>
    </row>
    <row r="368" spans="1:11" x14ac:dyDescent="0.35">
      <c r="A368" t="s">
        <v>60</v>
      </c>
      <c r="B368" t="s">
        <v>218</v>
      </c>
      <c r="C368" t="s">
        <v>104</v>
      </c>
      <c r="D368" t="s">
        <v>239</v>
      </c>
      <c r="E368" t="s">
        <v>273</v>
      </c>
      <c r="G368">
        <v>0</v>
      </c>
    </row>
    <row r="369" spans="1:11" x14ac:dyDescent="0.35">
      <c r="A369" t="s">
        <v>60</v>
      </c>
      <c r="B369" t="s">
        <v>218</v>
      </c>
      <c r="C369" t="s">
        <v>104</v>
      </c>
      <c r="D369" t="s">
        <v>254</v>
      </c>
      <c r="E369" t="s">
        <v>273</v>
      </c>
      <c r="G369">
        <v>0</v>
      </c>
    </row>
    <row r="370" spans="1:11" x14ac:dyDescent="0.35">
      <c r="A370" t="s">
        <v>61</v>
      </c>
      <c r="B370" t="s">
        <v>219</v>
      </c>
      <c r="C370" t="s">
        <v>105</v>
      </c>
      <c r="D370" t="s">
        <v>254</v>
      </c>
      <c r="E370" t="s">
        <v>272</v>
      </c>
      <c r="F370">
        <v>0.93</v>
      </c>
      <c r="G370">
        <v>1</v>
      </c>
      <c r="H370">
        <v>0.93</v>
      </c>
      <c r="I370">
        <v>0.93</v>
      </c>
      <c r="J370">
        <v>0.93</v>
      </c>
      <c r="K370" t="s">
        <v>178</v>
      </c>
    </row>
    <row r="371" spans="1:11" x14ac:dyDescent="0.35">
      <c r="A371" t="s">
        <v>61</v>
      </c>
      <c r="B371" t="s">
        <v>219</v>
      </c>
      <c r="C371" t="s">
        <v>105</v>
      </c>
      <c r="D371" t="s">
        <v>249</v>
      </c>
      <c r="E371" t="s">
        <v>273</v>
      </c>
      <c r="G371">
        <v>0</v>
      </c>
    </row>
    <row r="372" spans="1:11" x14ac:dyDescent="0.35">
      <c r="A372" t="s">
        <v>63</v>
      </c>
      <c r="B372" t="s">
        <v>220</v>
      </c>
      <c r="C372" t="s">
        <v>106</v>
      </c>
      <c r="D372" t="s">
        <v>246</v>
      </c>
      <c r="E372" t="s">
        <v>272</v>
      </c>
      <c r="F372">
        <v>0.06</v>
      </c>
      <c r="G372">
        <v>1</v>
      </c>
      <c r="H372">
        <v>0.06</v>
      </c>
      <c r="I372">
        <v>0.06</v>
      </c>
      <c r="J372">
        <v>0.06</v>
      </c>
      <c r="K372" t="s">
        <v>179</v>
      </c>
    </row>
    <row r="373" spans="1:11" x14ac:dyDescent="0.35">
      <c r="A373" t="s">
        <v>63</v>
      </c>
      <c r="B373" t="s">
        <v>220</v>
      </c>
      <c r="C373" t="s">
        <v>106</v>
      </c>
      <c r="D373" t="s">
        <v>255</v>
      </c>
      <c r="E373" t="s">
        <v>273</v>
      </c>
      <c r="F373">
        <v>22.2</v>
      </c>
      <c r="G373">
        <v>1</v>
      </c>
      <c r="H373">
        <v>22.2</v>
      </c>
      <c r="I373">
        <v>22.2</v>
      </c>
      <c r="J373">
        <v>22.2</v>
      </c>
      <c r="K373" t="s">
        <v>179</v>
      </c>
    </row>
    <row r="374" spans="1:11" x14ac:dyDescent="0.35">
      <c r="A374" t="s">
        <v>64</v>
      </c>
      <c r="B374" t="s">
        <v>221</v>
      </c>
      <c r="C374" t="s">
        <v>107</v>
      </c>
      <c r="D374" t="s">
        <v>253</v>
      </c>
      <c r="E374" t="s">
        <v>272</v>
      </c>
      <c r="F374">
        <v>0.5</v>
      </c>
      <c r="G374">
        <v>9</v>
      </c>
      <c r="H374">
        <v>0.26</v>
      </c>
      <c r="I374">
        <v>0.5</v>
      </c>
      <c r="J374">
        <v>4.47</v>
      </c>
      <c r="K374" t="s">
        <v>175</v>
      </c>
    </row>
    <row r="375" spans="1:11" x14ac:dyDescent="0.35">
      <c r="A375" t="s">
        <v>64</v>
      </c>
      <c r="B375" t="s">
        <v>221</v>
      </c>
      <c r="C375" t="s">
        <v>107</v>
      </c>
      <c r="D375" t="s">
        <v>255</v>
      </c>
      <c r="E375" t="s">
        <v>273</v>
      </c>
      <c r="F375">
        <v>0.315</v>
      </c>
      <c r="G375">
        <v>4</v>
      </c>
      <c r="H375">
        <v>0.1</v>
      </c>
      <c r="I375">
        <v>0.315</v>
      </c>
      <c r="J375">
        <v>0.8</v>
      </c>
      <c r="K375" t="s">
        <v>175</v>
      </c>
    </row>
    <row r="376" spans="1:11" x14ac:dyDescent="0.35">
      <c r="A376" t="s">
        <v>64</v>
      </c>
      <c r="B376" t="s">
        <v>221</v>
      </c>
      <c r="C376" t="s">
        <v>107</v>
      </c>
      <c r="D376" t="s">
        <v>252</v>
      </c>
      <c r="E376" t="s">
        <v>273</v>
      </c>
      <c r="F376">
        <v>2.15</v>
      </c>
      <c r="G376">
        <v>6</v>
      </c>
      <c r="H376">
        <v>0.7</v>
      </c>
      <c r="I376">
        <v>2.15</v>
      </c>
      <c r="J376">
        <v>3.5</v>
      </c>
      <c r="K376" t="s">
        <v>175</v>
      </c>
    </row>
    <row r="377" spans="1:11" x14ac:dyDescent="0.35">
      <c r="A377" t="s">
        <v>65</v>
      </c>
      <c r="B377" t="s">
        <v>222</v>
      </c>
      <c r="C377" t="s">
        <v>108</v>
      </c>
      <c r="D377" t="s">
        <v>253</v>
      </c>
      <c r="E377" t="s">
        <v>272</v>
      </c>
      <c r="F377">
        <v>0.09</v>
      </c>
      <c r="G377">
        <v>9</v>
      </c>
      <c r="H377">
        <v>0.02</v>
      </c>
      <c r="I377">
        <v>0.09</v>
      </c>
      <c r="J377">
        <v>2.66</v>
      </c>
      <c r="K377" t="s">
        <v>175</v>
      </c>
    </row>
    <row r="378" spans="1:11" x14ac:dyDescent="0.35">
      <c r="A378" t="s">
        <v>65</v>
      </c>
      <c r="B378" t="s">
        <v>222</v>
      </c>
      <c r="C378" t="s">
        <v>108</v>
      </c>
      <c r="D378" t="s">
        <v>256</v>
      </c>
      <c r="E378" t="s">
        <v>273</v>
      </c>
      <c r="F378">
        <v>0.27</v>
      </c>
      <c r="G378">
        <v>4</v>
      </c>
      <c r="H378">
        <v>0.1</v>
      </c>
      <c r="I378">
        <v>0.27</v>
      </c>
      <c r="J378">
        <v>1.41</v>
      </c>
      <c r="K378" t="s">
        <v>175</v>
      </c>
    </row>
    <row r="379" spans="1:11" x14ac:dyDescent="0.35">
      <c r="A379" t="s">
        <v>65</v>
      </c>
      <c r="B379" t="s">
        <v>222</v>
      </c>
      <c r="C379" t="s">
        <v>108</v>
      </c>
      <c r="D379" t="s">
        <v>257</v>
      </c>
      <c r="E379" t="s">
        <v>273</v>
      </c>
      <c r="F379">
        <v>1.96</v>
      </c>
      <c r="G379">
        <v>7</v>
      </c>
      <c r="H379">
        <v>0.25</v>
      </c>
      <c r="I379">
        <v>1.96</v>
      </c>
      <c r="J379">
        <v>51</v>
      </c>
      <c r="K379" t="s">
        <v>175</v>
      </c>
    </row>
    <row r="380" spans="1:11" x14ac:dyDescent="0.35">
      <c r="A380" t="s">
        <v>66</v>
      </c>
      <c r="B380" t="s">
        <v>232</v>
      </c>
      <c r="C380" t="s">
        <v>119</v>
      </c>
      <c r="D380" t="s">
        <v>266</v>
      </c>
      <c r="E380" t="s">
        <v>273</v>
      </c>
      <c r="G380">
        <v>0</v>
      </c>
    </row>
    <row r="381" spans="1:11" x14ac:dyDescent="0.35">
      <c r="A381" t="s">
        <v>66</v>
      </c>
      <c r="B381" t="s">
        <v>232</v>
      </c>
      <c r="C381" t="s">
        <v>119</v>
      </c>
      <c r="D381" t="s">
        <v>258</v>
      </c>
      <c r="E381" t="s">
        <v>273</v>
      </c>
      <c r="G381">
        <v>0</v>
      </c>
    </row>
    <row r="382" spans="1:11" x14ac:dyDescent="0.35">
      <c r="A382" t="s">
        <v>66</v>
      </c>
      <c r="B382" t="s">
        <v>232</v>
      </c>
      <c r="C382" t="s">
        <v>119</v>
      </c>
      <c r="D382" t="s">
        <v>264</v>
      </c>
      <c r="E382" t="s">
        <v>273</v>
      </c>
      <c r="G382">
        <v>0</v>
      </c>
    </row>
    <row r="383" spans="1:11" x14ac:dyDescent="0.35">
      <c r="A383" t="s">
        <v>67</v>
      </c>
      <c r="B383" t="s">
        <v>224</v>
      </c>
      <c r="C383" t="s">
        <v>109</v>
      </c>
      <c r="D383" t="s">
        <v>260</v>
      </c>
      <c r="E383" t="s">
        <v>273</v>
      </c>
      <c r="G383">
        <v>0</v>
      </c>
    </row>
    <row r="384" spans="1:11" x14ac:dyDescent="0.35">
      <c r="A384" t="s">
        <v>67</v>
      </c>
      <c r="B384" t="s">
        <v>224</v>
      </c>
      <c r="C384" t="s">
        <v>109</v>
      </c>
      <c r="D384" t="s">
        <v>258</v>
      </c>
      <c r="E384" t="s">
        <v>272</v>
      </c>
      <c r="F384">
        <v>0.31</v>
      </c>
      <c r="G384">
        <v>3</v>
      </c>
      <c r="H384">
        <v>2.1999999999999999E-2</v>
      </c>
      <c r="I384">
        <v>0.31</v>
      </c>
      <c r="J384">
        <v>1.33</v>
      </c>
      <c r="K384" t="s">
        <v>175</v>
      </c>
    </row>
    <row r="385" spans="1:11" x14ac:dyDescent="0.35">
      <c r="A385" t="s">
        <v>68</v>
      </c>
      <c r="B385" t="s">
        <v>225</v>
      </c>
      <c r="C385" t="s">
        <v>111</v>
      </c>
      <c r="D385" t="s">
        <v>261</v>
      </c>
      <c r="E385" t="s">
        <v>273</v>
      </c>
      <c r="G385">
        <v>0</v>
      </c>
    </row>
    <row r="386" spans="1:11" x14ac:dyDescent="0.35">
      <c r="A386" t="s">
        <v>68</v>
      </c>
      <c r="B386" t="s">
        <v>225</v>
      </c>
      <c r="C386" t="s">
        <v>111</v>
      </c>
      <c r="D386" t="s">
        <v>262</v>
      </c>
      <c r="E386" t="s">
        <v>273</v>
      </c>
      <c r="G386">
        <v>0</v>
      </c>
    </row>
    <row r="387" spans="1:11" x14ac:dyDescent="0.35">
      <c r="A387" t="s">
        <v>69</v>
      </c>
      <c r="B387" t="s">
        <v>87</v>
      </c>
      <c r="C387" t="s">
        <v>236</v>
      </c>
      <c r="D387" t="s">
        <v>263</v>
      </c>
      <c r="E387" t="s">
        <v>273</v>
      </c>
      <c r="G387">
        <v>0</v>
      </c>
    </row>
    <row r="388" spans="1:11" x14ac:dyDescent="0.35">
      <c r="A388" t="s">
        <v>69</v>
      </c>
      <c r="B388" t="s">
        <v>87</v>
      </c>
      <c r="C388" t="s">
        <v>236</v>
      </c>
      <c r="D388" t="s">
        <v>243</v>
      </c>
      <c r="E388" t="s">
        <v>273</v>
      </c>
      <c r="G388">
        <v>0</v>
      </c>
    </row>
    <row r="389" spans="1:11" x14ac:dyDescent="0.35">
      <c r="A389" t="s">
        <v>52</v>
      </c>
      <c r="B389" t="s">
        <v>210</v>
      </c>
      <c r="C389" t="s">
        <v>98</v>
      </c>
      <c r="D389" t="s">
        <v>238</v>
      </c>
      <c r="E389" t="s">
        <v>272</v>
      </c>
      <c r="F389">
        <v>1.2E-2</v>
      </c>
      <c r="G389">
        <v>1</v>
      </c>
      <c r="H389">
        <v>1.2E-2</v>
      </c>
      <c r="I389">
        <v>1.2E-2</v>
      </c>
      <c r="J389">
        <v>1.2E-2</v>
      </c>
      <c r="K389" t="s">
        <v>171</v>
      </c>
    </row>
    <row r="390" spans="1:11" x14ac:dyDescent="0.35">
      <c r="A390" t="s">
        <v>52</v>
      </c>
      <c r="B390" t="s">
        <v>210</v>
      </c>
      <c r="C390" t="s">
        <v>98</v>
      </c>
      <c r="D390" t="s">
        <v>239</v>
      </c>
      <c r="E390" t="s">
        <v>273</v>
      </c>
      <c r="G390">
        <v>0</v>
      </c>
    </row>
    <row r="391" spans="1:11" x14ac:dyDescent="0.35">
      <c r="A391" t="s">
        <v>53</v>
      </c>
      <c r="B391" t="s">
        <v>211</v>
      </c>
      <c r="C391" t="s">
        <v>99</v>
      </c>
      <c r="D391" t="s">
        <v>240</v>
      </c>
      <c r="E391" t="s">
        <v>273</v>
      </c>
      <c r="G391">
        <v>0</v>
      </c>
    </row>
    <row r="392" spans="1:11" x14ac:dyDescent="0.35">
      <c r="A392" t="s">
        <v>53</v>
      </c>
      <c r="B392" t="s">
        <v>211</v>
      </c>
      <c r="C392" t="s">
        <v>99</v>
      </c>
      <c r="D392" t="s">
        <v>241</v>
      </c>
      <c r="E392" t="s">
        <v>273</v>
      </c>
      <c r="G392">
        <v>0</v>
      </c>
    </row>
    <row r="393" spans="1:11" x14ac:dyDescent="0.35">
      <c r="A393" t="s">
        <v>53</v>
      </c>
      <c r="B393" t="s">
        <v>211</v>
      </c>
      <c r="C393" t="s">
        <v>99</v>
      </c>
      <c r="D393" t="s">
        <v>242</v>
      </c>
      <c r="E393" t="s">
        <v>273</v>
      </c>
      <c r="G393">
        <v>0</v>
      </c>
    </row>
    <row r="394" spans="1:11" x14ac:dyDescent="0.35">
      <c r="A394" t="s">
        <v>53</v>
      </c>
      <c r="B394" t="s">
        <v>211</v>
      </c>
      <c r="C394" t="s">
        <v>99</v>
      </c>
      <c r="D394" t="s">
        <v>243</v>
      </c>
      <c r="E394" t="s">
        <v>273</v>
      </c>
      <c r="G394">
        <v>0</v>
      </c>
    </row>
    <row r="395" spans="1:11" x14ac:dyDescent="0.35">
      <c r="A395" t="s">
        <v>54</v>
      </c>
      <c r="B395" t="s">
        <v>212</v>
      </c>
      <c r="C395" t="s">
        <v>100</v>
      </c>
      <c r="D395" t="s">
        <v>244</v>
      </c>
      <c r="E395" t="s">
        <v>272</v>
      </c>
      <c r="F395">
        <v>3.05</v>
      </c>
      <c r="G395">
        <v>14</v>
      </c>
      <c r="H395">
        <v>5.4000000000000003E-3</v>
      </c>
      <c r="I395">
        <v>3.05</v>
      </c>
      <c r="J395">
        <v>25</v>
      </c>
      <c r="K395" t="s">
        <v>172</v>
      </c>
    </row>
    <row r="396" spans="1:11" x14ac:dyDescent="0.35">
      <c r="A396" t="s">
        <v>54</v>
      </c>
      <c r="B396" t="s">
        <v>212</v>
      </c>
      <c r="C396" t="s">
        <v>100</v>
      </c>
      <c r="D396" t="s">
        <v>239</v>
      </c>
      <c r="E396" t="s">
        <v>273</v>
      </c>
      <c r="G396">
        <v>0</v>
      </c>
    </row>
    <row r="397" spans="1:11" x14ac:dyDescent="0.35">
      <c r="A397" t="s">
        <v>55</v>
      </c>
      <c r="B397" t="s">
        <v>213</v>
      </c>
      <c r="C397" t="s">
        <v>101</v>
      </c>
      <c r="D397" t="s">
        <v>245</v>
      </c>
      <c r="E397" t="s">
        <v>272</v>
      </c>
      <c r="F397">
        <v>71.75</v>
      </c>
      <c r="G397">
        <v>2</v>
      </c>
      <c r="H397">
        <v>3.5</v>
      </c>
      <c r="I397">
        <v>71.75</v>
      </c>
      <c r="J397">
        <v>140</v>
      </c>
      <c r="K397" t="s">
        <v>173</v>
      </c>
    </row>
    <row r="398" spans="1:11" x14ac:dyDescent="0.35">
      <c r="A398" t="s">
        <v>55</v>
      </c>
      <c r="B398" t="s">
        <v>213</v>
      </c>
      <c r="C398" t="s">
        <v>101</v>
      </c>
      <c r="D398" t="s">
        <v>246</v>
      </c>
      <c r="E398" t="s">
        <v>273</v>
      </c>
      <c r="F398">
        <v>2.06</v>
      </c>
      <c r="G398">
        <v>1</v>
      </c>
      <c r="H398">
        <v>2.06</v>
      </c>
      <c r="I398">
        <v>2.06</v>
      </c>
      <c r="J398">
        <v>2.06</v>
      </c>
      <c r="K398" t="s">
        <v>175</v>
      </c>
    </row>
    <row r="399" spans="1:11" x14ac:dyDescent="0.35">
      <c r="A399" t="s">
        <v>55</v>
      </c>
      <c r="B399" t="s">
        <v>213</v>
      </c>
      <c r="C399" t="s">
        <v>101</v>
      </c>
      <c r="D399" t="s">
        <v>241</v>
      </c>
      <c r="E399" t="s">
        <v>273</v>
      </c>
      <c r="G399">
        <v>0</v>
      </c>
    </row>
    <row r="400" spans="1:11" x14ac:dyDescent="0.35">
      <c r="A400" t="s">
        <v>56</v>
      </c>
      <c r="B400" t="s">
        <v>214</v>
      </c>
      <c r="C400" t="s">
        <v>101</v>
      </c>
      <c r="D400" t="s">
        <v>247</v>
      </c>
      <c r="E400" t="s">
        <v>273</v>
      </c>
      <c r="G400">
        <v>0</v>
      </c>
    </row>
    <row r="401" spans="1:11" x14ac:dyDescent="0.35">
      <c r="A401" t="s">
        <v>56</v>
      </c>
      <c r="B401" t="s">
        <v>214</v>
      </c>
      <c r="C401" t="s">
        <v>101</v>
      </c>
      <c r="D401" t="s">
        <v>239</v>
      </c>
      <c r="E401" t="s">
        <v>273</v>
      </c>
      <c r="G401">
        <v>0</v>
      </c>
    </row>
    <row r="402" spans="1:11" x14ac:dyDescent="0.35">
      <c r="A402" t="s">
        <v>57</v>
      </c>
      <c r="B402" t="s">
        <v>215</v>
      </c>
      <c r="C402" t="s">
        <v>102</v>
      </c>
      <c r="D402" t="s">
        <v>241</v>
      </c>
      <c r="E402" t="s">
        <v>273</v>
      </c>
      <c r="G402">
        <v>0</v>
      </c>
    </row>
    <row r="403" spans="1:11" x14ac:dyDescent="0.35">
      <c r="A403" t="s">
        <v>57</v>
      </c>
      <c r="B403" t="s">
        <v>215</v>
      </c>
      <c r="C403" t="s">
        <v>102</v>
      </c>
      <c r="D403" t="s">
        <v>248</v>
      </c>
      <c r="E403" t="s">
        <v>273</v>
      </c>
      <c r="G403">
        <v>0</v>
      </c>
    </row>
    <row r="404" spans="1:11" x14ac:dyDescent="0.35">
      <c r="A404" t="s">
        <v>57</v>
      </c>
      <c r="B404" t="s">
        <v>215</v>
      </c>
      <c r="C404" t="s">
        <v>102</v>
      </c>
      <c r="D404" t="s">
        <v>249</v>
      </c>
      <c r="E404" t="s">
        <v>272</v>
      </c>
      <c r="F404">
        <v>0.214</v>
      </c>
      <c r="G404">
        <v>2</v>
      </c>
      <c r="H404">
        <v>0.03</v>
      </c>
      <c r="I404">
        <v>0.214</v>
      </c>
      <c r="J404">
        <v>0.39800000000000002</v>
      </c>
      <c r="K404" t="s">
        <v>175</v>
      </c>
    </row>
    <row r="405" spans="1:11" x14ac:dyDescent="0.35">
      <c r="A405" t="s">
        <v>58</v>
      </c>
      <c r="B405" t="s">
        <v>216</v>
      </c>
      <c r="C405" t="s">
        <v>101</v>
      </c>
      <c r="D405" t="s">
        <v>246</v>
      </c>
      <c r="E405" t="s">
        <v>272</v>
      </c>
      <c r="F405">
        <v>2.06</v>
      </c>
      <c r="G405">
        <v>1</v>
      </c>
      <c r="H405">
        <v>2.06</v>
      </c>
      <c r="I405">
        <v>2.06</v>
      </c>
      <c r="J405">
        <v>2.06</v>
      </c>
      <c r="K405" t="s">
        <v>175</v>
      </c>
    </row>
    <row r="406" spans="1:11" x14ac:dyDescent="0.35">
      <c r="A406" t="s">
        <v>58</v>
      </c>
      <c r="B406" t="s">
        <v>216</v>
      </c>
      <c r="C406" t="s">
        <v>101</v>
      </c>
      <c r="D406" t="s">
        <v>250</v>
      </c>
      <c r="E406" t="s">
        <v>273</v>
      </c>
      <c r="F406">
        <v>22.5</v>
      </c>
      <c r="G406">
        <v>1</v>
      </c>
      <c r="H406">
        <v>22.5</v>
      </c>
      <c r="I406">
        <v>22.5</v>
      </c>
      <c r="J406">
        <v>22.5</v>
      </c>
      <c r="K406" t="s">
        <v>175</v>
      </c>
    </row>
    <row r="407" spans="1:11" x14ac:dyDescent="0.35">
      <c r="A407" t="s">
        <v>59</v>
      </c>
      <c r="B407" t="s">
        <v>217</v>
      </c>
      <c r="C407" t="s">
        <v>156</v>
      </c>
      <c r="D407" t="s">
        <v>251</v>
      </c>
      <c r="E407" t="s">
        <v>273</v>
      </c>
      <c r="G407">
        <v>0</v>
      </c>
    </row>
    <row r="408" spans="1:11" x14ac:dyDescent="0.35">
      <c r="A408" t="s">
        <v>59</v>
      </c>
      <c r="B408" t="s">
        <v>217</v>
      </c>
      <c r="C408" t="s">
        <v>156</v>
      </c>
      <c r="D408" t="s">
        <v>252</v>
      </c>
      <c r="E408" t="s">
        <v>272</v>
      </c>
      <c r="F408">
        <v>3.5500000000000003</v>
      </c>
      <c r="G408">
        <v>6</v>
      </c>
      <c r="H408">
        <v>1.4</v>
      </c>
      <c r="I408">
        <v>3.5500000000000003</v>
      </c>
      <c r="J408">
        <v>11.1</v>
      </c>
      <c r="K408" t="s">
        <v>176</v>
      </c>
    </row>
    <row r="409" spans="1:11" x14ac:dyDescent="0.35">
      <c r="A409" t="s">
        <v>59</v>
      </c>
      <c r="B409" t="s">
        <v>217</v>
      </c>
      <c r="C409" t="s">
        <v>235</v>
      </c>
      <c r="D409" t="s">
        <v>251</v>
      </c>
      <c r="E409" t="s">
        <v>273</v>
      </c>
      <c r="G409">
        <v>0</v>
      </c>
    </row>
    <row r="410" spans="1:11" x14ac:dyDescent="0.35">
      <c r="A410" t="s">
        <v>59</v>
      </c>
      <c r="B410" t="s">
        <v>217</v>
      </c>
      <c r="C410" t="s">
        <v>235</v>
      </c>
      <c r="D410" t="s">
        <v>252</v>
      </c>
      <c r="E410" t="s">
        <v>272</v>
      </c>
      <c r="F410">
        <v>5.1400000000000006</v>
      </c>
      <c r="G410">
        <v>2</v>
      </c>
      <c r="H410">
        <v>0.28000000000000003</v>
      </c>
      <c r="I410">
        <v>5.1400000000000006</v>
      </c>
      <c r="J410">
        <v>10</v>
      </c>
      <c r="K410" t="s">
        <v>279</v>
      </c>
    </row>
    <row r="411" spans="1:11" x14ac:dyDescent="0.35">
      <c r="A411" t="s">
        <v>60</v>
      </c>
      <c r="B411" t="s">
        <v>218</v>
      </c>
      <c r="C411" t="s">
        <v>104</v>
      </c>
      <c r="D411" t="s">
        <v>253</v>
      </c>
      <c r="E411" t="s">
        <v>273</v>
      </c>
      <c r="G411">
        <v>0</v>
      </c>
    </row>
    <row r="412" spans="1:11" x14ac:dyDescent="0.35">
      <c r="A412" t="s">
        <v>60</v>
      </c>
      <c r="B412" t="s">
        <v>218</v>
      </c>
      <c r="C412" t="s">
        <v>104</v>
      </c>
      <c r="D412" t="s">
        <v>239</v>
      </c>
      <c r="E412" t="s">
        <v>273</v>
      </c>
      <c r="G412">
        <v>0</v>
      </c>
    </row>
    <row r="413" spans="1:11" x14ac:dyDescent="0.35">
      <c r="A413" t="s">
        <v>60</v>
      </c>
      <c r="B413" t="s">
        <v>218</v>
      </c>
      <c r="C413" t="s">
        <v>104</v>
      </c>
      <c r="D413" t="s">
        <v>254</v>
      </c>
      <c r="E413" t="s">
        <v>273</v>
      </c>
      <c r="G413">
        <v>0</v>
      </c>
    </row>
    <row r="414" spans="1:11" x14ac:dyDescent="0.35">
      <c r="A414" t="s">
        <v>61</v>
      </c>
      <c r="B414" t="s">
        <v>219</v>
      </c>
      <c r="C414" t="s">
        <v>105</v>
      </c>
      <c r="D414" t="s">
        <v>254</v>
      </c>
      <c r="E414" t="s">
        <v>272</v>
      </c>
      <c r="F414">
        <v>0.93</v>
      </c>
      <c r="G414">
        <v>1</v>
      </c>
      <c r="H414">
        <v>0.93</v>
      </c>
      <c r="I414">
        <v>0.93</v>
      </c>
      <c r="J414">
        <v>0.93</v>
      </c>
      <c r="K414" t="s">
        <v>178</v>
      </c>
    </row>
    <row r="415" spans="1:11" x14ac:dyDescent="0.35">
      <c r="A415" t="s">
        <v>61</v>
      </c>
      <c r="B415" t="s">
        <v>219</v>
      </c>
      <c r="C415" t="s">
        <v>105</v>
      </c>
      <c r="D415" t="s">
        <v>249</v>
      </c>
      <c r="E415" t="s">
        <v>273</v>
      </c>
      <c r="G415">
        <v>0</v>
      </c>
    </row>
    <row r="416" spans="1:11" x14ac:dyDescent="0.35">
      <c r="A416" t="s">
        <v>63</v>
      </c>
      <c r="B416" t="s">
        <v>220</v>
      </c>
      <c r="C416" t="s">
        <v>106</v>
      </c>
      <c r="D416" t="s">
        <v>246</v>
      </c>
      <c r="E416" t="s">
        <v>272</v>
      </c>
      <c r="F416">
        <v>0.06</v>
      </c>
      <c r="G416">
        <v>1</v>
      </c>
      <c r="H416">
        <v>0.06</v>
      </c>
      <c r="I416">
        <v>0.06</v>
      </c>
      <c r="J416">
        <v>0.06</v>
      </c>
      <c r="K416" t="s">
        <v>179</v>
      </c>
    </row>
    <row r="417" spans="1:11" x14ac:dyDescent="0.35">
      <c r="A417" t="s">
        <v>63</v>
      </c>
      <c r="B417" t="s">
        <v>220</v>
      </c>
      <c r="C417" t="s">
        <v>106</v>
      </c>
      <c r="D417" t="s">
        <v>255</v>
      </c>
      <c r="E417" t="s">
        <v>273</v>
      </c>
      <c r="F417">
        <v>22.2</v>
      </c>
      <c r="G417">
        <v>1</v>
      </c>
      <c r="H417">
        <v>22.2</v>
      </c>
      <c r="I417">
        <v>22.2</v>
      </c>
      <c r="J417">
        <v>22.2</v>
      </c>
      <c r="K417" t="s">
        <v>179</v>
      </c>
    </row>
    <row r="418" spans="1:11" x14ac:dyDescent="0.35">
      <c r="A418" t="s">
        <v>64</v>
      </c>
      <c r="B418" t="s">
        <v>221</v>
      </c>
      <c r="C418" t="s">
        <v>107</v>
      </c>
      <c r="D418" t="s">
        <v>253</v>
      </c>
      <c r="E418" t="s">
        <v>272</v>
      </c>
      <c r="F418">
        <v>0.5</v>
      </c>
      <c r="G418">
        <v>9</v>
      </c>
      <c r="H418">
        <v>0.26</v>
      </c>
      <c r="I418">
        <v>0.5</v>
      </c>
      <c r="J418">
        <v>4.47</v>
      </c>
      <c r="K418" t="s">
        <v>175</v>
      </c>
    </row>
    <row r="419" spans="1:11" x14ac:dyDescent="0.35">
      <c r="A419" t="s">
        <v>64</v>
      </c>
      <c r="B419" t="s">
        <v>221</v>
      </c>
      <c r="C419" t="s">
        <v>107</v>
      </c>
      <c r="D419" t="s">
        <v>255</v>
      </c>
      <c r="E419" t="s">
        <v>273</v>
      </c>
      <c r="F419">
        <v>0.315</v>
      </c>
      <c r="G419">
        <v>4</v>
      </c>
      <c r="H419">
        <v>0.1</v>
      </c>
      <c r="I419">
        <v>0.315</v>
      </c>
      <c r="J419">
        <v>0.8</v>
      </c>
      <c r="K419" t="s">
        <v>175</v>
      </c>
    </row>
    <row r="420" spans="1:11" x14ac:dyDescent="0.35">
      <c r="A420" t="s">
        <v>64</v>
      </c>
      <c r="B420" t="s">
        <v>221</v>
      </c>
      <c r="C420" t="s">
        <v>107</v>
      </c>
      <c r="D420" t="s">
        <v>252</v>
      </c>
      <c r="E420" t="s">
        <v>273</v>
      </c>
      <c r="F420">
        <v>2.15</v>
      </c>
      <c r="G420">
        <v>6</v>
      </c>
      <c r="H420">
        <v>0.7</v>
      </c>
      <c r="I420">
        <v>2.15</v>
      </c>
      <c r="J420">
        <v>3.5</v>
      </c>
      <c r="K420" t="s">
        <v>175</v>
      </c>
    </row>
    <row r="421" spans="1:11" x14ac:dyDescent="0.35">
      <c r="A421" t="s">
        <v>65</v>
      </c>
      <c r="B421" t="s">
        <v>222</v>
      </c>
      <c r="C421" t="s">
        <v>108</v>
      </c>
      <c r="D421" t="s">
        <v>253</v>
      </c>
      <c r="E421" t="s">
        <v>272</v>
      </c>
      <c r="F421">
        <v>0.09</v>
      </c>
      <c r="G421">
        <v>9</v>
      </c>
      <c r="H421">
        <v>0.02</v>
      </c>
      <c r="I421">
        <v>0.09</v>
      </c>
      <c r="J421">
        <v>2.66</v>
      </c>
      <c r="K421" t="s">
        <v>175</v>
      </c>
    </row>
    <row r="422" spans="1:11" x14ac:dyDescent="0.35">
      <c r="A422" t="s">
        <v>65</v>
      </c>
      <c r="B422" t="s">
        <v>222</v>
      </c>
      <c r="C422" t="s">
        <v>108</v>
      </c>
      <c r="D422" t="s">
        <v>256</v>
      </c>
      <c r="E422" t="s">
        <v>273</v>
      </c>
      <c r="F422">
        <v>0.27</v>
      </c>
      <c r="G422">
        <v>4</v>
      </c>
      <c r="H422">
        <v>0.1</v>
      </c>
      <c r="I422">
        <v>0.27</v>
      </c>
      <c r="J422">
        <v>1.41</v>
      </c>
      <c r="K422" t="s">
        <v>175</v>
      </c>
    </row>
    <row r="423" spans="1:11" x14ac:dyDescent="0.35">
      <c r="A423" t="s">
        <v>65</v>
      </c>
      <c r="B423" t="s">
        <v>222</v>
      </c>
      <c r="C423" t="s">
        <v>108</v>
      </c>
      <c r="D423" t="s">
        <v>257</v>
      </c>
      <c r="E423" t="s">
        <v>273</v>
      </c>
      <c r="F423">
        <v>1.96</v>
      </c>
      <c r="G423">
        <v>7</v>
      </c>
      <c r="H423">
        <v>0.25</v>
      </c>
      <c r="I423">
        <v>1.96</v>
      </c>
      <c r="J423">
        <v>51</v>
      </c>
      <c r="K423" t="s">
        <v>175</v>
      </c>
    </row>
    <row r="424" spans="1:11" x14ac:dyDescent="0.35">
      <c r="A424" t="s">
        <v>66</v>
      </c>
      <c r="B424" t="s">
        <v>233</v>
      </c>
      <c r="C424" t="s">
        <v>118</v>
      </c>
      <c r="D424" t="s">
        <v>270</v>
      </c>
      <c r="E424" t="s">
        <v>273</v>
      </c>
      <c r="G424">
        <v>0</v>
      </c>
    </row>
    <row r="425" spans="1:11" x14ac:dyDescent="0.35">
      <c r="A425" t="s">
        <v>66</v>
      </c>
      <c r="B425" t="s">
        <v>233</v>
      </c>
      <c r="C425" t="s">
        <v>118</v>
      </c>
      <c r="D425" t="s">
        <v>258</v>
      </c>
      <c r="E425" t="s">
        <v>272</v>
      </c>
      <c r="F425">
        <v>0.125</v>
      </c>
      <c r="G425">
        <v>12</v>
      </c>
      <c r="H425">
        <v>3.0000000000000001E-3</v>
      </c>
      <c r="I425">
        <v>0.125</v>
      </c>
      <c r="J425">
        <v>52</v>
      </c>
      <c r="K425" t="s">
        <v>175</v>
      </c>
    </row>
    <row r="426" spans="1:11" x14ac:dyDescent="0.35">
      <c r="A426" t="s">
        <v>67</v>
      </c>
      <c r="B426" t="s">
        <v>224</v>
      </c>
      <c r="C426" t="s">
        <v>109</v>
      </c>
      <c r="D426" t="s">
        <v>260</v>
      </c>
      <c r="E426" t="s">
        <v>273</v>
      </c>
      <c r="G426">
        <v>0</v>
      </c>
    </row>
    <row r="427" spans="1:11" x14ac:dyDescent="0.35">
      <c r="A427" t="s">
        <v>67</v>
      </c>
      <c r="B427" t="s">
        <v>224</v>
      </c>
      <c r="C427" t="s">
        <v>109</v>
      </c>
      <c r="D427" t="s">
        <v>258</v>
      </c>
      <c r="E427" t="s">
        <v>272</v>
      </c>
      <c r="F427">
        <v>0.31</v>
      </c>
      <c r="G427">
        <v>3</v>
      </c>
      <c r="H427">
        <v>2.1999999999999999E-2</v>
      </c>
      <c r="I427">
        <v>0.31</v>
      </c>
      <c r="J427">
        <v>1.33</v>
      </c>
      <c r="K427" t="s">
        <v>175</v>
      </c>
    </row>
    <row r="428" spans="1:11" x14ac:dyDescent="0.35">
      <c r="A428" t="s">
        <v>68</v>
      </c>
      <c r="B428" t="s">
        <v>225</v>
      </c>
      <c r="C428" t="s">
        <v>111</v>
      </c>
      <c r="D428" t="s">
        <v>261</v>
      </c>
      <c r="E428" t="s">
        <v>273</v>
      </c>
      <c r="G428">
        <v>0</v>
      </c>
    </row>
    <row r="429" spans="1:11" x14ac:dyDescent="0.35">
      <c r="A429" t="s">
        <v>68</v>
      </c>
      <c r="B429" t="s">
        <v>225</v>
      </c>
      <c r="C429" t="s">
        <v>111</v>
      </c>
      <c r="D429" t="s">
        <v>262</v>
      </c>
      <c r="E429" t="s">
        <v>273</v>
      </c>
      <c r="G429">
        <v>0</v>
      </c>
    </row>
    <row r="430" spans="1:11" x14ac:dyDescent="0.35">
      <c r="A430" t="s">
        <v>69</v>
      </c>
      <c r="B430" t="s">
        <v>87</v>
      </c>
      <c r="C430" t="s">
        <v>236</v>
      </c>
      <c r="D430" t="s">
        <v>263</v>
      </c>
      <c r="E430" t="s">
        <v>273</v>
      </c>
      <c r="G430">
        <v>0</v>
      </c>
    </row>
    <row r="431" spans="1:11" x14ac:dyDescent="0.35">
      <c r="A431" t="s">
        <v>69</v>
      </c>
      <c r="B431" t="s">
        <v>87</v>
      </c>
      <c r="C431" t="s">
        <v>236</v>
      </c>
      <c r="D431" t="s">
        <v>243</v>
      </c>
      <c r="E431" t="s">
        <v>273</v>
      </c>
      <c r="G4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1"/>
  <sheetViews>
    <sheetView workbookViewId="0"/>
  </sheetViews>
  <sheetFormatPr defaultRowHeight="14.5" x14ac:dyDescent="0.35"/>
  <cols>
    <col min="1" max="1" width="10.1796875" customWidth="1"/>
    <col min="2" max="2" width="11.54296875" customWidth="1"/>
    <col min="3" max="3" width="14" customWidth="1"/>
    <col min="4" max="4" width="8" customWidth="1"/>
    <col min="5" max="5" width="17.7265625" customWidth="1"/>
    <col min="6" max="6" width="4.1796875" customWidth="1"/>
    <col min="7" max="7" width="7.7265625" customWidth="1"/>
    <col min="8" max="8" width="7.81640625" customWidth="1"/>
    <col min="9" max="9" width="7.7265625" customWidth="1"/>
    <col min="10" max="10" width="1061.453125" customWidth="1"/>
    <col min="11" max="11" width="8.81640625" customWidth="1"/>
    <col min="12" max="12" width="3.1796875" customWidth="1"/>
    <col min="13" max="13" width="7.1796875" customWidth="1"/>
    <col min="14" max="14" width="7.81640625" customWidth="1"/>
    <col min="15" max="15" width="7.1796875" customWidth="1"/>
    <col min="16" max="16" width="646.1796875" customWidth="1"/>
    <col min="17" max="17" width="50.7265625" customWidth="1"/>
  </cols>
  <sheetData>
    <row r="1" spans="1:17" x14ac:dyDescent="0.35">
      <c r="A1" t="s">
        <v>51</v>
      </c>
      <c r="B1" t="s">
        <v>209</v>
      </c>
      <c r="C1" t="s">
        <v>282</v>
      </c>
      <c r="D1" t="s">
        <v>234</v>
      </c>
      <c r="E1" t="s">
        <v>121</v>
      </c>
      <c r="F1" t="s">
        <v>274</v>
      </c>
      <c r="G1" t="s">
        <v>275</v>
      </c>
      <c r="H1" t="s">
        <v>276</v>
      </c>
      <c r="I1" t="s">
        <v>277</v>
      </c>
      <c r="J1" t="s">
        <v>283</v>
      </c>
      <c r="K1" t="s">
        <v>296</v>
      </c>
      <c r="L1" t="s">
        <v>274</v>
      </c>
      <c r="M1" t="s">
        <v>275</v>
      </c>
      <c r="N1" t="s">
        <v>276</v>
      </c>
      <c r="O1" t="s">
        <v>277</v>
      </c>
      <c r="P1" t="s">
        <v>297</v>
      </c>
      <c r="Q1" t="s">
        <v>304</v>
      </c>
    </row>
    <row r="2" spans="1:17" x14ac:dyDescent="0.35">
      <c r="A2" t="s">
        <v>52</v>
      </c>
      <c r="B2" t="s">
        <v>210</v>
      </c>
      <c r="C2" t="s">
        <v>98</v>
      </c>
      <c r="D2" t="s">
        <v>98</v>
      </c>
      <c r="E2">
        <v>0.22800000000000001</v>
      </c>
      <c r="F2">
        <v>6</v>
      </c>
      <c r="G2">
        <v>0.22800000000000001</v>
      </c>
      <c r="H2">
        <v>0.22800000000000001</v>
      </c>
      <c r="I2">
        <v>0.22800000000000001</v>
      </c>
      <c r="J2" t="s">
        <v>284</v>
      </c>
      <c r="K2">
        <v>76500</v>
      </c>
      <c r="L2">
        <v>18</v>
      </c>
      <c r="M2">
        <v>76500</v>
      </c>
      <c r="N2">
        <v>76500</v>
      </c>
      <c r="O2">
        <v>76500</v>
      </c>
      <c r="P2" t="s">
        <v>285</v>
      </c>
      <c r="Q2" t="s">
        <v>305</v>
      </c>
    </row>
    <row r="3" spans="1:17" x14ac:dyDescent="0.35">
      <c r="A3" t="s">
        <v>53</v>
      </c>
      <c r="B3" t="s">
        <v>211</v>
      </c>
      <c r="C3" t="s">
        <v>99</v>
      </c>
      <c r="Q3" t="s">
        <v>305</v>
      </c>
    </row>
    <row r="4" spans="1:17" x14ac:dyDescent="0.35">
      <c r="A4" t="s">
        <v>54</v>
      </c>
      <c r="B4" t="s">
        <v>212</v>
      </c>
      <c r="C4" t="s">
        <v>100</v>
      </c>
      <c r="D4" t="s">
        <v>100</v>
      </c>
      <c r="E4">
        <v>2.2000000000000002</v>
      </c>
      <c r="F4">
        <v>4</v>
      </c>
      <c r="G4">
        <v>2.2000000000000002</v>
      </c>
      <c r="H4">
        <v>2.2000000000000002</v>
      </c>
      <c r="I4">
        <v>2.2000000000000002</v>
      </c>
      <c r="J4" t="s">
        <v>285</v>
      </c>
      <c r="K4">
        <v>35000</v>
      </c>
      <c r="L4">
        <v>12</v>
      </c>
      <c r="M4">
        <v>35000</v>
      </c>
      <c r="N4">
        <v>35000</v>
      </c>
      <c r="O4">
        <v>35000</v>
      </c>
      <c r="P4" t="s">
        <v>298</v>
      </c>
      <c r="Q4" t="s">
        <v>305</v>
      </c>
    </row>
    <row r="5" spans="1:17" x14ac:dyDescent="0.35">
      <c r="A5" t="s">
        <v>55</v>
      </c>
      <c r="B5" t="s">
        <v>213</v>
      </c>
      <c r="C5" t="s">
        <v>101</v>
      </c>
      <c r="D5" t="s">
        <v>101</v>
      </c>
      <c r="E5">
        <v>110.05</v>
      </c>
      <c r="F5">
        <v>82</v>
      </c>
      <c r="G5">
        <v>110.05</v>
      </c>
      <c r="H5">
        <v>110.05</v>
      </c>
      <c r="I5">
        <v>110.05</v>
      </c>
      <c r="J5" t="s">
        <v>286</v>
      </c>
      <c r="K5">
        <v>64200</v>
      </c>
      <c r="L5">
        <v>69</v>
      </c>
      <c r="M5">
        <v>64200</v>
      </c>
      <c r="N5">
        <v>64200</v>
      </c>
      <c r="O5">
        <v>64200</v>
      </c>
      <c r="P5" t="s">
        <v>299</v>
      </c>
      <c r="Q5" t="s">
        <v>305</v>
      </c>
    </row>
    <row r="6" spans="1:17" x14ac:dyDescent="0.35">
      <c r="A6" t="s">
        <v>56</v>
      </c>
      <c r="B6" t="s">
        <v>214</v>
      </c>
      <c r="C6" t="s">
        <v>101</v>
      </c>
      <c r="E6">
        <v>110.05</v>
      </c>
      <c r="F6">
        <v>82</v>
      </c>
      <c r="G6">
        <v>110.05</v>
      </c>
      <c r="H6">
        <v>110.05</v>
      </c>
      <c r="I6">
        <v>110.05</v>
      </c>
      <c r="J6" t="s">
        <v>286</v>
      </c>
      <c r="K6">
        <v>64200</v>
      </c>
      <c r="L6">
        <v>69</v>
      </c>
      <c r="M6">
        <v>64200</v>
      </c>
      <c r="N6">
        <v>64200</v>
      </c>
      <c r="O6">
        <v>64200</v>
      </c>
      <c r="P6" t="s">
        <v>299</v>
      </c>
      <c r="Q6" t="s">
        <v>305</v>
      </c>
    </row>
    <row r="7" spans="1:17" x14ac:dyDescent="0.35">
      <c r="A7" t="s">
        <v>57</v>
      </c>
      <c r="B7" t="s">
        <v>215</v>
      </c>
      <c r="C7" t="s">
        <v>102</v>
      </c>
      <c r="D7" t="s">
        <v>102</v>
      </c>
      <c r="E7">
        <v>1.7470000000000001</v>
      </c>
      <c r="F7">
        <v>9</v>
      </c>
      <c r="G7">
        <v>1.7470000000000001</v>
      </c>
      <c r="H7">
        <v>1.7470000000000001</v>
      </c>
      <c r="I7">
        <v>1.7470000000000001</v>
      </c>
      <c r="J7" t="s">
        <v>285</v>
      </c>
      <c r="K7">
        <v>35000</v>
      </c>
      <c r="L7">
        <v>1</v>
      </c>
      <c r="M7">
        <v>35000</v>
      </c>
      <c r="N7">
        <v>35000</v>
      </c>
      <c r="O7">
        <v>35000</v>
      </c>
      <c r="P7" t="s">
        <v>285</v>
      </c>
      <c r="Q7" t="s">
        <v>305</v>
      </c>
    </row>
    <row r="8" spans="1:17" x14ac:dyDescent="0.35">
      <c r="A8" t="s">
        <v>58</v>
      </c>
      <c r="B8" t="s">
        <v>216</v>
      </c>
      <c r="C8" t="s">
        <v>101</v>
      </c>
      <c r="D8" t="s">
        <v>101</v>
      </c>
      <c r="E8">
        <v>110.05</v>
      </c>
      <c r="F8">
        <v>82</v>
      </c>
      <c r="G8">
        <v>110.05</v>
      </c>
      <c r="H8">
        <v>110.05</v>
      </c>
      <c r="I8">
        <v>110.05</v>
      </c>
      <c r="J8" t="s">
        <v>286</v>
      </c>
      <c r="K8">
        <v>64200</v>
      </c>
      <c r="L8">
        <v>69</v>
      </c>
      <c r="M8">
        <v>64200</v>
      </c>
      <c r="N8">
        <v>64200</v>
      </c>
      <c r="O8">
        <v>64200</v>
      </c>
      <c r="P8" t="s">
        <v>299</v>
      </c>
      <c r="Q8" t="s">
        <v>305</v>
      </c>
    </row>
    <row r="9" spans="1:17" x14ac:dyDescent="0.35">
      <c r="A9" t="s">
        <v>59</v>
      </c>
      <c r="B9" t="s">
        <v>217</v>
      </c>
      <c r="C9" t="s">
        <v>103</v>
      </c>
      <c r="D9" t="s">
        <v>156</v>
      </c>
      <c r="E9">
        <v>400</v>
      </c>
      <c r="F9">
        <v>9</v>
      </c>
      <c r="G9">
        <v>400</v>
      </c>
      <c r="H9">
        <v>400</v>
      </c>
      <c r="I9">
        <v>400</v>
      </c>
      <c r="J9" t="s">
        <v>287</v>
      </c>
      <c r="K9">
        <v>87500</v>
      </c>
      <c r="L9">
        <v>30</v>
      </c>
      <c r="M9">
        <v>87500</v>
      </c>
      <c r="N9">
        <v>87500</v>
      </c>
      <c r="O9">
        <v>87500</v>
      </c>
      <c r="P9" t="s">
        <v>300</v>
      </c>
      <c r="Q9" t="s">
        <v>305</v>
      </c>
    </row>
    <row r="10" spans="1:17" x14ac:dyDescent="0.35">
      <c r="A10" t="s">
        <v>60</v>
      </c>
      <c r="B10" t="s">
        <v>218</v>
      </c>
      <c r="C10" t="s">
        <v>104</v>
      </c>
      <c r="E10">
        <v>56.35</v>
      </c>
      <c r="F10">
        <v>5</v>
      </c>
      <c r="G10">
        <v>56.35</v>
      </c>
      <c r="H10">
        <v>56.35</v>
      </c>
      <c r="I10">
        <v>56.35</v>
      </c>
      <c r="J10" t="s">
        <v>285</v>
      </c>
      <c r="K10">
        <v>64500</v>
      </c>
      <c r="L10">
        <v>4</v>
      </c>
      <c r="M10">
        <v>64500</v>
      </c>
      <c r="N10">
        <v>64500</v>
      </c>
      <c r="O10">
        <v>64500</v>
      </c>
      <c r="P10" t="s">
        <v>285</v>
      </c>
      <c r="Q10" t="s">
        <v>305</v>
      </c>
    </row>
    <row r="11" spans="1:17" x14ac:dyDescent="0.35">
      <c r="A11" t="s">
        <v>61</v>
      </c>
      <c r="B11" t="s">
        <v>219</v>
      </c>
      <c r="C11" t="s">
        <v>105</v>
      </c>
      <c r="D11" t="s">
        <v>105</v>
      </c>
      <c r="E11">
        <v>0.36291999999999996</v>
      </c>
      <c r="F11">
        <v>2</v>
      </c>
      <c r="G11">
        <v>0.36291999999999996</v>
      </c>
      <c r="H11">
        <v>0.36291999999999996</v>
      </c>
      <c r="I11">
        <v>0.36291999999999996</v>
      </c>
      <c r="J11" t="s">
        <v>288</v>
      </c>
      <c r="K11">
        <v>45647</v>
      </c>
      <c r="L11">
        <v>3</v>
      </c>
      <c r="M11">
        <v>45647</v>
      </c>
      <c r="N11">
        <v>45647</v>
      </c>
      <c r="O11">
        <v>45647</v>
      </c>
      <c r="P11" t="s">
        <v>301</v>
      </c>
      <c r="Q11" t="s">
        <v>305</v>
      </c>
    </row>
    <row r="12" spans="1:17" x14ac:dyDescent="0.35">
      <c r="A12" t="s">
        <v>62</v>
      </c>
      <c r="B12" t="s">
        <v>280</v>
      </c>
      <c r="Q12" t="s">
        <v>305</v>
      </c>
    </row>
    <row r="13" spans="1:17" x14ac:dyDescent="0.35">
      <c r="A13" t="s">
        <v>63</v>
      </c>
      <c r="B13" t="s">
        <v>220</v>
      </c>
      <c r="C13" t="s">
        <v>106</v>
      </c>
      <c r="D13" t="s">
        <v>106</v>
      </c>
      <c r="E13">
        <v>2.085</v>
      </c>
      <c r="F13">
        <v>1</v>
      </c>
      <c r="G13">
        <v>2.085</v>
      </c>
      <c r="H13">
        <v>2.085</v>
      </c>
      <c r="I13">
        <v>2.085</v>
      </c>
      <c r="J13" t="s">
        <v>289</v>
      </c>
      <c r="K13">
        <v>83500</v>
      </c>
      <c r="L13">
        <v>3</v>
      </c>
      <c r="M13">
        <v>83500</v>
      </c>
      <c r="N13">
        <v>83500</v>
      </c>
      <c r="O13">
        <v>83500</v>
      </c>
      <c r="P13" t="s">
        <v>289</v>
      </c>
      <c r="Q13" t="s">
        <v>305</v>
      </c>
    </row>
    <row r="14" spans="1:17" x14ac:dyDescent="0.35">
      <c r="A14" t="s">
        <v>64</v>
      </c>
      <c r="B14" t="s">
        <v>221</v>
      </c>
      <c r="C14" t="s">
        <v>107</v>
      </c>
      <c r="D14" t="s">
        <v>107</v>
      </c>
      <c r="E14">
        <v>1.49</v>
      </c>
      <c r="F14">
        <v>22</v>
      </c>
      <c r="G14">
        <v>1.49</v>
      </c>
      <c r="H14">
        <v>1.49</v>
      </c>
      <c r="I14">
        <v>1.49</v>
      </c>
      <c r="J14" t="s">
        <v>285</v>
      </c>
      <c r="K14">
        <v>72400</v>
      </c>
      <c r="L14">
        <v>6</v>
      </c>
      <c r="M14">
        <v>72400</v>
      </c>
      <c r="N14">
        <v>72400</v>
      </c>
      <c r="O14">
        <v>72400</v>
      </c>
      <c r="P14" t="s">
        <v>285</v>
      </c>
      <c r="Q14" t="s">
        <v>305</v>
      </c>
    </row>
    <row r="15" spans="1:17" x14ac:dyDescent="0.35">
      <c r="A15" t="s">
        <v>65</v>
      </c>
      <c r="B15" t="s">
        <v>222</v>
      </c>
      <c r="C15" t="s">
        <v>108</v>
      </c>
      <c r="D15" t="s">
        <v>108</v>
      </c>
      <c r="E15">
        <v>11</v>
      </c>
      <c r="F15">
        <v>27</v>
      </c>
      <c r="G15">
        <v>11</v>
      </c>
      <c r="H15">
        <v>11</v>
      </c>
      <c r="I15">
        <v>11</v>
      </c>
      <c r="J15" t="s">
        <v>290</v>
      </c>
      <c r="K15">
        <v>76000</v>
      </c>
      <c r="L15">
        <v>26</v>
      </c>
      <c r="M15">
        <v>76000</v>
      </c>
      <c r="N15">
        <v>76000</v>
      </c>
      <c r="O15">
        <v>76000</v>
      </c>
      <c r="P15" t="s">
        <v>302</v>
      </c>
      <c r="Q15" t="s">
        <v>305</v>
      </c>
    </row>
    <row r="16" spans="1:17" x14ac:dyDescent="0.35">
      <c r="A16" t="s">
        <v>66</v>
      </c>
      <c r="B16" t="s">
        <v>223</v>
      </c>
      <c r="C16" t="s">
        <v>109</v>
      </c>
      <c r="D16" t="s">
        <v>109</v>
      </c>
      <c r="E16">
        <v>6.1</v>
      </c>
      <c r="F16">
        <v>10</v>
      </c>
      <c r="G16">
        <v>6.1</v>
      </c>
      <c r="H16">
        <v>6.1</v>
      </c>
      <c r="I16">
        <v>6.1</v>
      </c>
      <c r="J16" t="s">
        <v>285</v>
      </c>
      <c r="K16">
        <v>34000</v>
      </c>
      <c r="L16">
        <v>5</v>
      </c>
      <c r="M16">
        <v>34000</v>
      </c>
      <c r="N16">
        <v>34000</v>
      </c>
      <c r="O16">
        <v>34000</v>
      </c>
      <c r="P16" t="s">
        <v>285</v>
      </c>
      <c r="Q16" t="s">
        <v>305</v>
      </c>
    </row>
    <row r="17" spans="1:17" x14ac:dyDescent="0.35">
      <c r="A17" t="s">
        <v>67</v>
      </c>
      <c r="B17" t="s">
        <v>224</v>
      </c>
      <c r="C17" t="s">
        <v>110</v>
      </c>
      <c r="D17" t="s">
        <v>109</v>
      </c>
      <c r="E17">
        <v>6.1</v>
      </c>
      <c r="F17">
        <v>10</v>
      </c>
      <c r="G17">
        <v>6.1</v>
      </c>
      <c r="H17">
        <v>6.1</v>
      </c>
      <c r="I17">
        <v>6.1</v>
      </c>
      <c r="J17" t="s">
        <v>285</v>
      </c>
      <c r="K17">
        <v>34000</v>
      </c>
      <c r="L17">
        <v>5</v>
      </c>
      <c r="M17">
        <v>34000</v>
      </c>
      <c r="N17">
        <v>34000</v>
      </c>
      <c r="O17">
        <v>34000</v>
      </c>
      <c r="P17" t="s">
        <v>285</v>
      </c>
      <c r="Q17" t="s">
        <v>305</v>
      </c>
    </row>
    <row r="18" spans="1:17" x14ac:dyDescent="0.35">
      <c r="A18" t="s">
        <v>68</v>
      </c>
      <c r="B18" t="s">
        <v>225</v>
      </c>
      <c r="C18" t="s">
        <v>111</v>
      </c>
      <c r="E18">
        <v>161.6</v>
      </c>
      <c r="F18">
        <v>3</v>
      </c>
      <c r="G18">
        <v>161.6</v>
      </c>
      <c r="H18">
        <v>161.6</v>
      </c>
      <c r="I18">
        <v>161.6</v>
      </c>
      <c r="J18" t="s">
        <v>285</v>
      </c>
      <c r="K18">
        <v>48700</v>
      </c>
      <c r="L18">
        <v>2</v>
      </c>
      <c r="M18">
        <v>48700</v>
      </c>
      <c r="N18">
        <v>48700</v>
      </c>
      <c r="O18">
        <v>48700</v>
      </c>
      <c r="P18" t="s">
        <v>285</v>
      </c>
      <c r="Q18" t="s">
        <v>305</v>
      </c>
    </row>
    <row r="19" spans="1:17" x14ac:dyDescent="0.35">
      <c r="A19" t="s">
        <v>69</v>
      </c>
      <c r="B19" t="s">
        <v>87</v>
      </c>
      <c r="C19" t="s">
        <v>112</v>
      </c>
      <c r="E19">
        <v>2.6000000000000002E-2</v>
      </c>
      <c r="F19">
        <v>44</v>
      </c>
      <c r="G19">
        <v>2.6000000000000002E-2</v>
      </c>
      <c r="H19">
        <v>2.6000000000000002E-2</v>
      </c>
      <c r="I19">
        <v>2.6000000000000002E-2</v>
      </c>
      <c r="J19" t="s">
        <v>291</v>
      </c>
      <c r="K19">
        <v>52000</v>
      </c>
      <c r="L19">
        <v>1</v>
      </c>
      <c r="M19">
        <v>52000</v>
      </c>
      <c r="N19">
        <v>52000</v>
      </c>
      <c r="O19">
        <v>52000</v>
      </c>
      <c r="P19" t="s">
        <v>285</v>
      </c>
      <c r="Q19" t="s">
        <v>305</v>
      </c>
    </row>
    <row r="20" spans="1:17" x14ac:dyDescent="0.35">
      <c r="A20" t="s">
        <v>52</v>
      </c>
      <c r="B20" t="s">
        <v>210</v>
      </c>
      <c r="C20" t="s">
        <v>98</v>
      </c>
      <c r="D20" t="s">
        <v>98</v>
      </c>
      <c r="E20">
        <v>0.22800000000000001</v>
      </c>
      <c r="F20">
        <v>6</v>
      </c>
      <c r="G20">
        <v>0.22800000000000001</v>
      </c>
      <c r="H20">
        <v>0.22800000000000001</v>
      </c>
      <c r="I20">
        <v>0.22800000000000001</v>
      </c>
      <c r="J20" t="s">
        <v>284</v>
      </c>
      <c r="K20">
        <v>76500</v>
      </c>
      <c r="L20">
        <v>18</v>
      </c>
      <c r="M20">
        <v>76500</v>
      </c>
      <c r="N20">
        <v>76500</v>
      </c>
      <c r="O20">
        <v>76500</v>
      </c>
      <c r="P20" t="s">
        <v>285</v>
      </c>
      <c r="Q20" t="s">
        <v>305</v>
      </c>
    </row>
    <row r="21" spans="1:17" x14ac:dyDescent="0.35">
      <c r="A21" t="s">
        <v>53</v>
      </c>
      <c r="B21" t="s">
        <v>211</v>
      </c>
      <c r="C21" t="s">
        <v>99</v>
      </c>
      <c r="Q21" t="s">
        <v>305</v>
      </c>
    </row>
    <row r="22" spans="1:17" x14ac:dyDescent="0.35">
      <c r="A22" t="s">
        <v>54</v>
      </c>
      <c r="B22" t="s">
        <v>212</v>
      </c>
      <c r="C22" t="s">
        <v>100</v>
      </c>
      <c r="D22" t="s">
        <v>100</v>
      </c>
      <c r="E22">
        <v>2.2000000000000002</v>
      </c>
      <c r="F22">
        <v>4</v>
      </c>
      <c r="G22">
        <v>2.2000000000000002</v>
      </c>
      <c r="H22">
        <v>2.2000000000000002</v>
      </c>
      <c r="I22">
        <v>2.2000000000000002</v>
      </c>
      <c r="J22" t="s">
        <v>285</v>
      </c>
      <c r="K22">
        <v>35000</v>
      </c>
      <c r="L22">
        <v>12</v>
      </c>
      <c r="M22">
        <v>35000</v>
      </c>
      <c r="N22">
        <v>35000</v>
      </c>
      <c r="O22">
        <v>35000</v>
      </c>
      <c r="P22" t="s">
        <v>298</v>
      </c>
      <c r="Q22" t="s">
        <v>305</v>
      </c>
    </row>
    <row r="23" spans="1:17" x14ac:dyDescent="0.35">
      <c r="A23" t="s">
        <v>55</v>
      </c>
      <c r="B23" t="s">
        <v>213</v>
      </c>
      <c r="C23" t="s">
        <v>101</v>
      </c>
      <c r="D23" t="s">
        <v>101</v>
      </c>
      <c r="E23">
        <v>110.05</v>
      </c>
      <c r="F23">
        <v>82</v>
      </c>
      <c r="G23">
        <v>110.05</v>
      </c>
      <c r="H23">
        <v>110.05</v>
      </c>
      <c r="I23">
        <v>110.05</v>
      </c>
      <c r="J23" t="s">
        <v>286</v>
      </c>
      <c r="K23">
        <v>64200</v>
      </c>
      <c r="L23">
        <v>69</v>
      </c>
      <c r="M23">
        <v>64200</v>
      </c>
      <c r="N23">
        <v>64200</v>
      </c>
      <c r="O23">
        <v>64200</v>
      </c>
      <c r="P23" t="s">
        <v>299</v>
      </c>
      <c r="Q23" t="s">
        <v>305</v>
      </c>
    </row>
    <row r="24" spans="1:17" x14ac:dyDescent="0.35">
      <c r="A24" t="s">
        <v>56</v>
      </c>
      <c r="B24" t="s">
        <v>214</v>
      </c>
      <c r="C24" t="s">
        <v>101</v>
      </c>
      <c r="E24">
        <v>110.05</v>
      </c>
      <c r="F24">
        <v>82</v>
      </c>
      <c r="G24">
        <v>110.05</v>
      </c>
      <c r="H24">
        <v>110.05</v>
      </c>
      <c r="I24">
        <v>110.05</v>
      </c>
      <c r="J24" t="s">
        <v>286</v>
      </c>
      <c r="K24">
        <v>64200</v>
      </c>
      <c r="L24">
        <v>69</v>
      </c>
      <c r="M24">
        <v>64200</v>
      </c>
      <c r="N24">
        <v>64200</v>
      </c>
      <c r="O24">
        <v>64200</v>
      </c>
      <c r="P24" t="s">
        <v>299</v>
      </c>
      <c r="Q24" t="s">
        <v>305</v>
      </c>
    </row>
    <row r="25" spans="1:17" x14ac:dyDescent="0.35">
      <c r="A25" t="s">
        <v>57</v>
      </c>
      <c r="B25" t="s">
        <v>215</v>
      </c>
      <c r="C25" t="s">
        <v>102</v>
      </c>
      <c r="D25" t="s">
        <v>102</v>
      </c>
      <c r="E25">
        <v>1.7470000000000001</v>
      </c>
      <c r="F25">
        <v>9</v>
      </c>
      <c r="G25">
        <v>1.7470000000000001</v>
      </c>
      <c r="H25">
        <v>1.7470000000000001</v>
      </c>
      <c r="I25">
        <v>1.7470000000000001</v>
      </c>
      <c r="J25" t="s">
        <v>285</v>
      </c>
      <c r="K25">
        <v>35000</v>
      </c>
      <c r="L25">
        <v>1</v>
      </c>
      <c r="M25">
        <v>35000</v>
      </c>
      <c r="N25">
        <v>35000</v>
      </c>
      <c r="O25">
        <v>35000</v>
      </c>
      <c r="P25" t="s">
        <v>285</v>
      </c>
      <c r="Q25" t="s">
        <v>305</v>
      </c>
    </row>
    <row r="26" spans="1:17" x14ac:dyDescent="0.35">
      <c r="A26" t="s">
        <v>58</v>
      </c>
      <c r="B26" t="s">
        <v>216</v>
      </c>
      <c r="C26" t="s">
        <v>101</v>
      </c>
      <c r="D26" t="s">
        <v>101</v>
      </c>
      <c r="E26">
        <v>110.05</v>
      </c>
      <c r="F26">
        <v>82</v>
      </c>
      <c r="G26">
        <v>110.05</v>
      </c>
      <c r="H26">
        <v>110.05</v>
      </c>
      <c r="I26">
        <v>110.05</v>
      </c>
      <c r="J26" t="s">
        <v>286</v>
      </c>
      <c r="K26">
        <v>64200</v>
      </c>
      <c r="L26">
        <v>69</v>
      </c>
      <c r="M26">
        <v>64200</v>
      </c>
      <c r="N26">
        <v>64200</v>
      </c>
      <c r="O26">
        <v>64200</v>
      </c>
      <c r="P26" t="s">
        <v>299</v>
      </c>
      <c r="Q26" t="s">
        <v>305</v>
      </c>
    </row>
    <row r="27" spans="1:17" x14ac:dyDescent="0.35">
      <c r="A27" t="s">
        <v>59</v>
      </c>
      <c r="B27" t="s">
        <v>217</v>
      </c>
      <c r="C27" t="s">
        <v>103</v>
      </c>
      <c r="D27" t="s">
        <v>156</v>
      </c>
      <c r="E27">
        <v>400</v>
      </c>
      <c r="F27">
        <v>9</v>
      </c>
      <c r="G27">
        <v>400</v>
      </c>
      <c r="H27">
        <v>400</v>
      </c>
      <c r="I27">
        <v>400</v>
      </c>
      <c r="J27" t="s">
        <v>287</v>
      </c>
      <c r="K27">
        <v>87500</v>
      </c>
      <c r="L27">
        <v>30</v>
      </c>
      <c r="M27">
        <v>87500</v>
      </c>
      <c r="N27">
        <v>87500</v>
      </c>
      <c r="O27">
        <v>87500</v>
      </c>
      <c r="P27" t="s">
        <v>300</v>
      </c>
      <c r="Q27" t="s">
        <v>305</v>
      </c>
    </row>
    <row r="28" spans="1:17" x14ac:dyDescent="0.35">
      <c r="A28" t="s">
        <v>60</v>
      </c>
      <c r="B28" t="s">
        <v>218</v>
      </c>
      <c r="C28" t="s">
        <v>104</v>
      </c>
      <c r="E28">
        <v>56.35</v>
      </c>
      <c r="F28">
        <v>5</v>
      </c>
      <c r="G28">
        <v>56.35</v>
      </c>
      <c r="H28">
        <v>56.35</v>
      </c>
      <c r="I28">
        <v>56.35</v>
      </c>
      <c r="J28" t="s">
        <v>285</v>
      </c>
      <c r="K28">
        <v>64500</v>
      </c>
      <c r="L28">
        <v>4</v>
      </c>
      <c r="M28">
        <v>64500</v>
      </c>
      <c r="N28">
        <v>64500</v>
      </c>
      <c r="O28">
        <v>64500</v>
      </c>
      <c r="P28" t="s">
        <v>285</v>
      </c>
      <c r="Q28" t="s">
        <v>305</v>
      </c>
    </row>
    <row r="29" spans="1:17" x14ac:dyDescent="0.35">
      <c r="A29" t="s">
        <v>61</v>
      </c>
      <c r="B29" t="s">
        <v>219</v>
      </c>
      <c r="C29" t="s">
        <v>105</v>
      </c>
      <c r="D29" t="s">
        <v>105</v>
      </c>
      <c r="E29">
        <v>0.36291999999999996</v>
      </c>
      <c r="F29">
        <v>2</v>
      </c>
      <c r="G29">
        <v>0.36291999999999996</v>
      </c>
      <c r="H29">
        <v>0.36291999999999996</v>
      </c>
      <c r="I29">
        <v>0.36291999999999996</v>
      </c>
      <c r="J29" t="s">
        <v>288</v>
      </c>
      <c r="K29">
        <v>45647</v>
      </c>
      <c r="L29">
        <v>3</v>
      </c>
      <c r="M29">
        <v>45647</v>
      </c>
      <c r="N29">
        <v>45647</v>
      </c>
      <c r="O29">
        <v>45647</v>
      </c>
      <c r="P29" t="s">
        <v>301</v>
      </c>
      <c r="Q29" t="s">
        <v>305</v>
      </c>
    </row>
    <row r="30" spans="1:17" x14ac:dyDescent="0.35">
      <c r="A30" t="s">
        <v>62</v>
      </c>
      <c r="B30" t="s">
        <v>280</v>
      </c>
      <c r="Q30" t="s">
        <v>305</v>
      </c>
    </row>
    <row r="31" spans="1:17" x14ac:dyDescent="0.35">
      <c r="A31" t="s">
        <v>63</v>
      </c>
      <c r="B31" t="s">
        <v>220</v>
      </c>
      <c r="C31" t="s">
        <v>106</v>
      </c>
      <c r="D31" t="s">
        <v>106</v>
      </c>
      <c r="E31">
        <v>2.085</v>
      </c>
      <c r="F31">
        <v>1</v>
      </c>
      <c r="G31">
        <v>2.085</v>
      </c>
      <c r="H31">
        <v>2.085</v>
      </c>
      <c r="I31">
        <v>2.085</v>
      </c>
      <c r="J31" t="s">
        <v>289</v>
      </c>
      <c r="K31">
        <v>83500</v>
      </c>
      <c r="L31">
        <v>3</v>
      </c>
      <c r="M31">
        <v>83500</v>
      </c>
      <c r="N31">
        <v>83500</v>
      </c>
      <c r="O31">
        <v>83500</v>
      </c>
      <c r="P31" t="s">
        <v>289</v>
      </c>
      <c r="Q31" t="s">
        <v>305</v>
      </c>
    </row>
    <row r="32" spans="1:17" x14ac:dyDescent="0.35">
      <c r="A32" t="s">
        <v>64</v>
      </c>
      <c r="B32" t="s">
        <v>221</v>
      </c>
      <c r="C32" t="s">
        <v>107</v>
      </c>
      <c r="D32" t="s">
        <v>107</v>
      </c>
      <c r="E32">
        <v>1.49</v>
      </c>
      <c r="F32">
        <v>22</v>
      </c>
      <c r="G32">
        <v>1.49</v>
      </c>
      <c r="H32">
        <v>1.49</v>
      </c>
      <c r="I32">
        <v>1.49</v>
      </c>
      <c r="J32" t="s">
        <v>285</v>
      </c>
      <c r="K32">
        <v>72400</v>
      </c>
      <c r="L32">
        <v>6</v>
      </c>
      <c r="M32">
        <v>72400</v>
      </c>
      <c r="N32">
        <v>72400</v>
      </c>
      <c r="O32">
        <v>72400</v>
      </c>
      <c r="P32" t="s">
        <v>285</v>
      </c>
      <c r="Q32" t="s">
        <v>305</v>
      </c>
    </row>
    <row r="33" spans="1:17" x14ac:dyDescent="0.35">
      <c r="A33" t="s">
        <v>65</v>
      </c>
      <c r="B33" t="s">
        <v>222</v>
      </c>
      <c r="C33" t="s">
        <v>108</v>
      </c>
      <c r="D33" t="s">
        <v>108</v>
      </c>
      <c r="E33">
        <v>11</v>
      </c>
      <c r="F33">
        <v>27</v>
      </c>
      <c r="G33">
        <v>11</v>
      </c>
      <c r="H33">
        <v>11</v>
      </c>
      <c r="I33">
        <v>11</v>
      </c>
      <c r="J33" t="s">
        <v>290</v>
      </c>
      <c r="K33">
        <v>76000</v>
      </c>
      <c r="L33">
        <v>26</v>
      </c>
      <c r="M33">
        <v>76000</v>
      </c>
      <c r="N33">
        <v>76000</v>
      </c>
      <c r="O33">
        <v>76000</v>
      </c>
      <c r="P33" t="s">
        <v>302</v>
      </c>
      <c r="Q33" t="s">
        <v>305</v>
      </c>
    </row>
    <row r="34" spans="1:17" x14ac:dyDescent="0.35">
      <c r="A34" t="s">
        <v>66</v>
      </c>
      <c r="B34" t="s">
        <v>226</v>
      </c>
      <c r="C34" t="s">
        <v>113</v>
      </c>
      <c r="D34" t="s">
        <v>113</v>
      </c>
      <c r="E34">
        <v>31</v>
      </c>
      <c r="F34">
        <v>16</v>
      </c>
      <c r="G34">
        <v>31</v>
      </c>
      <c r="H34">
        <v>31</v>
      </c>
      <c r="I34">
        <v>31</v>
      </c>
      <c r="J34" t="s">
        <v>285</v>
      </c>
      <c r="K34">
        <v>52099</v>
      </c>
      <c r="L34">
        <v>4</v>
      </c>
      <c r="M34">
        <v>52099</v>
      </c>
      <c r="N34">
        <v>52099</v>
      </c>
      <c r="O34">
        <v>52099</v>
      </c>
      <c r="P34" t="s">
        <v>285</v>
      </c>
      <c r="Q34" t="s">
        <v>305</v>
      </c>
    </row>
    <row r="35" spans="1:17" x14ac:dyDescent="0.35">
      <c r="A35" t="s">
        <v>67</v>
      </c>
      <c r="B35" t="s">
        <v>224</v>
      </c>
      <c r="C35" t="s">
        <v>110</v>
      </c>
      <c r="D35" t="s">
        <v>109</v>
      </c>
      <c r="E35">
        <v>6.1</v>
      </c>
      <c r="F35">
        <v>10</v>
      </c>
      <c r="G35">
        <v>6.1</v>
      </c>
      <c r="H35">
        <v>6.1</v>
      </c>
      <c r="I35">
        <v>6.1</v>
      </c>
      <c r="J35" t="s">
        <v>285</v>
      </c>
      <c r="K35">
        <v>34000</v>
      </c>
      <c r="L35">
        <v>5</v>
      </c>
      <c r="M35">
        <v>34000</v>
      </c>
      <c r="N35">
        <v>34000</v>
      </c>
      <c r="O35">
        <v>34000</v>
      </c>
      <c r="P35" t="s">
        <v>285</v>
      </c>
      <c r="Q35" t="s">
        <v>305</v>
      </c>
    </row>
    <row r="36" spans="1:17" x14ac:dyDescent="0.35">
      <c r="A36" t="s">
        <v>68</v>
      </c>
      <c r="B36" t="s">
        <v>225</v>
      </c>
      <c r="C36" t="s">
        <v>111</v>
      </c>
      <c r="E36">
        <v>161.6</v>
      </c>
      <c r="F36">
        <v>3</v>
      </c>
      <c r="G36">
        <v>161.6</v>
      </c>
      <c r="H36">
        <v>161.6</v>
      </c>
      <c r="I36">
        <v>161.6</v>
      </c>
      <c r="J36" t="s">
        <v>285</v>
      </c>
      <c r="K36">
        <v>48700</v>
      </c>
      <c r="L36">
        <v>2</v>
      </c>
      <c r="M36">
        <v>48700</v>
      </c>
      <c r="N36">
        <v>48700</v>
      </c>
      <c r="O36">
        <v>48700</v>
      </c>
      <c r="P36" t="s">
        <v>285</v>
      </c>
      <c r="Q36" t="s">
        <v>305</v>
      </c>
    </row>
    <row r="37" spans="1:17" x14ac:dyDescent="0.35">
      <c r="A37" t="s">
        <v>69</v>
      </c>
      <c r="B37" t="s">
        <v>87</v>
      </c>
      <c r="C37" t="s">
        <v>112</v>
      </c>
      <c r="E37">
        <v>2.6000000000000002E-2</v>
      </c>
      <c r="F37">
        <v>44</v>
      </c>
      <c r="G37">
        <v>2.6000000000000002E-2</v>
      </c>
      <c r="H37">
        <v>2.6000000000000002E-2</v>
      </c>
      <c r="I37">
        <v>2.6000000000000002E-2</v>
      </c>
      <c r="J37" t="s">
        <v>291</v>
      </c>
      <c r="K37">
        <v>52000</v>
      </c>
      <c r="L37">
        <v>1</v>
      </c>
      <c r="M37">
        <v>52000</v>
      </c>
      <c r="N37">
        <v>52000</v>
      </c>
      <c r="O37">
        <v>52000</v>
      </c>
      <c r="P37" t="s">
        <v>285</v>
      </c>
      <c r="Q37" t="s">
        <v>305</v>
      </c>
    </row>
    <row r="38" spans="1:17" x14ac:dyDescent="0.35">
      <c r="A38" t="s">
        <v>52</v>
      </c>
      <c r="B38" t="s">
        <v>210</v>
      </c>
      <c r="C38" t="s">
        <v>98</v>
      </c>
      <c r="D38" t="s">
        <v>98</v>
      </c>
      <c r="E38">
        <v>0.22800000000000001</v>
      </c>
      <c r="F38">
        <v>6</v>
      </c>
      <c r="G38">
        <v>0.22800000000000001</v>
      </c>
      <c r="H38">
        <v>0.22800000000000001</v>
      </c>
      <c r="I38">
        <v>0.22800000000000001</v>
      </c>
      <c r="J38" t="s">
        <v>284</v>
      </c>
      <c r="K38">
        <v>76500</v>
      </c>
      <c r="L38">
        <v>18</v>
      </c>
      <c r="M38">
        <v>76500</v>
      </c>
      <c r="N38">
        <v>76500</v>
      </c>
      <c r="O38">
        <v>76500</v>
      </c>
      <c r="P38" t="s">
        <v>285</v>
      </c>
      <c r="Q38" t="s">
        <v>305</v>
      </c>
    </row>
    <row r="39" spans="1:17" x14ac:dyDescent="0.35">
      <c r="A39" t="s">
        <v>53</v>
      </c>
      <c r="B39" t="s">
        <v>211</v>
      </c>
      <c r="C39" t="s">
        <v>99</v>
      </c>
      <c r="Q39" t="s">
        <v>305</v>
      </c>
    </row>
    <row r="40" spans="1:17" x14ac:dyDescent="0.35">
      <c r="A40" t="s">
        <v>54</v>
      </c>
      <c r="B40" t="s">
        <v>212</v>
      </c>
      <c r="C40" t="s">
        <v>100</v>
      </c>
      <c r="D40" t="s">
        <v>100</v>
      </c>
      <c r="E40">
        <v>2.2000000000000002</v>
      </c>
      <c r="F40">
        <v>4</v>
      </c>
      <c r="G40">
        <v>2.2000000000000002</v>
      </c>
      <c r="H40">
        <v>2.2000000000000002</v>
      </c>
      <c r="I40">
        <v>2.2000000000000002</v>
      </c>
      <c r="J40" t="s">
        <v>285</v>
      </c>
      <c r="K40">
        <v>35000</v>
      </c>
      <c r="L40">
        <v>12</v>
      </c>
      <c r="M40">
        <v>35000</v>
      </c>
      <c r="N40">
        <v>35000</v>
      </c>
      <c r="O40">
        <v>35000</v>
      </c>
      <c r="P40" t="s">
        <v>298</v>
      </c>
      <c r="Q40" t="s">
        <v>305</v>
      </c>
    </row>
    <row r="41" spans="1:17" x14ac:dyDescent="0.35">
      <c r="A41" t="s">
        <v>55</v>
      </c>
      <c r="B41" t="s">
        <v>213</v>
      </c>
      <c r="C41" t="s">
        <v>101</v>
      </c>
      <c r="D41" t="s">
        <v>101</v>
      </c>
      <c r="E41">
        <v>110.05</v>
      </c>
      <c r="F41">
        <v>82</v>
      </c>
      <c r="G41">
        <v>110.05</v>
      </c>
      <c r="H41">
        <v>110.05</v>
      </c>
      <c r="I41">
        <v>110.05</v>
      </c>
      <c r="J41" t="s">
        <v>286</v>
      </c>
      <c r="K41">
        <v>64200</v>
      </c>
      <c r="L41">
        <v>69</v>
      </c>
      <c r="M41">
        <v>64200</v>
      </c>
      <c r="N41">
        <v>64200</v>
      </c>
      <c r="O41">
        <v>64200</v>
      </c>
      <c r="P41" t="s">
        <v>299</v>
      </c>
      <c r="Q41" t="s">
        <v>305</v>
      </c>
    </row>
    <row r="42" spans="1:17" x14ac:dyDescent="0.35">
      <c r="A42" t="s">
        <v>56</v>
      </c>
      <c r="B42" t="s">
        <v>214</v>
      </c>
      <c r="C42" t="s">
        <v>101</v>
      </c>
      <c r="E42">
        <v>110.05</v>
      </c>
      <c r="F42">
        <v>82</v>
      </c>
      <c r="G42">
        <v>110.05</v>
      </c>
      <c r="H42">
        <v>110.05</v>
      </c>
      <c r="I42">
        <v>110.05</v>
      </c>
      <c r="J42" t="s">
        <v>286</v>
      </c>
      <c r="K42">
        <v>64200</v>
      </c>
      <c r="L42">
        <v>69</v>
      </c>
      <c r="M42">
        <v>64200</v>
      </c>
      <c r="N42">
        <v>64200</v>
      </c>
      <c r="O42">
        <v>64200</v>
      </c>
      <c r="P42" t="s">
        <v>299</v>
      </c>
      <c r="Q42" t="s">
        <v>305</v>
      </c>
    </row>
    <row r="43" spans="1:17" x14ac:dyDescent="0.35">
      <c r="A43" t="s">
        <v>57</v>
      </c>
      <c r="B43" t="s">
        <v>215</v>
      </c>
      <c r="C43" t="s">
        <v>102</v>
      </c>
      <c r="D43" t="s">
        <v>102</v>
      </c>
      <c r="E43">
        <v>1.7470000000000001</v>
      </c>
      <c r="F43">
        <v>9</v>
      </c>
      <c r="G43">
        <v>1.7470000000000001</v>
      </c>
      <c r="H43">
        <v>1.7470000000000001</v>
      </c>
      <c r="I43">
        <v>1.7470000000000001</v>
      </c>
      <c r="J43" t="s">
        <v>285</v>
      </c>
      <c r="K43">
        <v>35000</v>
      </c>
      <c r="L43">
        <v>1</v>
      </c>
      <c r="M43">
        <v>35000</v>
      </c>
      <c r="N43">
        <v>35000</v>
      </c>
      <c r="O43">
        <v>35000</v>
      </c>
      <c r="P43" t="s">
        <v>285</v>
      </c>
      <c r="Q43" t="s">
        <v>305</v>
      </c>
    </row>
    <row r="44" spans="1:17" x14ac:dyDescent="0.35">
      <c r="A44" t="s">
        <v>58</v>
      </c>
      <c r="B44" t="s">
        <v>216</v>
      </c>
      <c r="C44" t="s">
        <v>101</v>
      </c>
      <c r="D44" t="s">
        <v>101</v>
      </c>
      <c r="E44">
        <v>110.05</v>
      </c>
      <c r="F44">
        <v>82</v>
      </c>
      <c r="G44">
        <v>110.05</v>
      </c>
      <c r="H44">
        <v>110.05</v>
      </c>
      <c r="I44">
        <v>110.05</v>
      </c>
      <c r="J44" t="s">
        <v>286</v>
      </c>
      <c r="K44">
        <v>64200</v>
      </c>
      <c r="L44">
        <v>69</v>
      </c>
      <c r="M44">
        <v>64200</v>
      </c>
      <c r="N44">
        <v>64200</v>
      </c>
      <c r="O44">
        <v>64200</v>
      </c>
      <c r="P44" t="s">
        <v>299</v>
      </c>
      <c r="Q44" t="s">
        <v>305</v>
      </c>
    </row>
    <row r="45" spans="1:17" x14ac:dyDescent="0.35">
      <c r="A45" t="s">
        <v>59</v>
      </c>
      <c r="B45" t="s">
        <v>217</v>
      </c>
      <c r="C45" t="s">
        <v>103</v>
      </c>
      <c r="D45" t="s">
        <v>156</v>
      </c>
      <c r="E45">
        <v>400</v>
      </c>
      <c r="F45">
        <v>9</v>
      </c>
      <c r="G45">
        <v>400</v>
      </c>
      <c r="H45">
        <v>400</v>
      </c>
      <c r="I45">
        <v>400</v>
      </c>
      <c r="J45" t="s">
        <v>287</v>
      </c>
      <c r="K45">
        <v>87500</v>
      </c>
      <c r="L45">
        <v>30</v>
      </c>
      <c r="M45">
        <v>87500</v>
      </c>
      <c r="N45">
        <v>87500</v>
      </c>
      <c r="O45">
        <v>87500</v>
      </c>
      <c r="P45" t="s">
        <v>300</v>
      </c>
      <c r="Q45" t="s">
        <v>305</v>
      </c>
    </row>
    <row r="46" spans="1:17" x14ac:dyDescent="0.35">
      <c r="A46" t="s">
        <v>60</v>
      </c>
      <c r="B46" t="s">
        <v>218</v>
      </c>
      <c r="C46" t="s">
        <v>104</v>
      </c>
      <c r="E46">
        <v>56.35</v>
      </c>
      <c r="F46">
        <v>5</v>
      </c>
      <c r="G46">
        <v>56.35</v>
      </c>
      <c r="H46">
        <v>56.35</v>
      </c>
      <c r="I46">
        <v>56.35</v>
      </c>
      <c r="J46" t="s">
        <v>285</v>
      </c>
      <c r="K46">
        <v>64500</v>
      </c>
      <c r="L46">
        <v>4</v>
      </c>
      <c r="M46">
        <v>64500</v>
      </c>
      <c r="N46">
        <v>64500</v>
      </c>
      <c r="O46">
        <v>64500</v>
      </c>
      <c r="P46" t="s">
        <v>285</v>
      </c>
      <c r="Q46" t="s">
        <v>305</v>
      </c>
    </row>
    <row r="47" spans="1:17" x14ac:dyDescent="0.35">
      <c r="A47" t="s">
        <v>61</v>
      </c>
      <c r="B47" t="s">
        <v>219</v>
      </c>
      <c r="C47" t="s">
        <v>105</v>
      </c>
      <c r="D47" t="s">
        <v>105</v>
      </c>
      <c r="E47">
        <v>0.36291999999999996</v>
      </c>
      <c r="F47">
        <v>2</v>
      </c>
      <c r="G47">
        <v>0.36291999999999996</v>
      </c>
      <c r="H47">
        <v>0.36291999999999996</v>
      </c>
      <c r="I47">
        <v>0.36291999999999996</v>
      </c>
      <c r="J47" t="s">
        <v>288</v>
      </c>
      <c r="K47">
        <v>45647</v>
      </c>
      <c r="L47">
        <v>3</v>
      </c>
      <c r="M47">
        <v>45647</v>
      </c>
      <c r="N47">
        <v>45647</v>
      </c>
      <c r="O47">
        <v>45647</v>
      </c>
      <c r="P47" t="s">
        <v>301</v>
      </c>
      <c r="Q47" t="s">
        <v>305</v>
      </c>
    </row>
    <row r="48" spans="1:17" x14ac:dyDescent="0.35">
      <c r="A48" t="s">
        <v>62</v>
      </c>
      <c r="B48" t="s">
        <v>280</v>
      </c>
      <c r="Q48" t="s">
        <v>305</v>
      </c>
    </row>
    <row r="49" spans="1:17" x14ac:dyDescent="0.35">
      <c r="A49" t="s">
        <v>63</v>
      </c>
      <c r="B49" t="s">
        <v>220</v>
      </c>
      <c r="C49" t="s">
        <v>106</v>
      </c>
      <c r="D49" t="s">
        <v>106</v>
      </c>
      <c r="E49">
        <v>2.085</v>
      </c>
      <c r="F49">
        <v>1</v>
      </c>
      <c r="G49">
        <v>2.085</v>
      </c>
      <c r="H49">
        <v>2.085</v>
      </c>
      <c r="I49">
        <v>2.085</v>
      </c>
      <c r="J49" t="s">
        <v>289</v>
      </c>
      <c r="K49">
        <v>83500</v>
      </c>
      <c r="L49">
        <v>3</v>
      </c>
      <c r="M49">
        <v>83500</v>
      </c>
      <c r="N49">
        <v>83500</v>
      </c>
      <c r="O49">
        <v>83500</v>
      </c>
      <c r="P49" t="s">
        <v>289</v>
      </c>
      <c r="Q49" t="s">
        <v>305</v>
      </c>
    </row>
    <row r="50" spans="1:17" x14ac:dyDescent="0.35">
      <c r="A50" t="s">
        <v>64</v>
      </c>
      <c r="B50" t="s">
        <v>221</v>
      </c>
      <c r="C50" t="s">
        <v>107</v>
      </c>
      <c r="D50" t="s">
        <v>107</v>
      </c>
      <c r="E50">
        <v>1.49</v>
      </c>
      <c r="F50">
        <v>22</v>
      </c>
      <c r="G50">
        <v>1.49</v>
      </c>
      <c r="H50">
        <v>1.49</v>
      </c>
      <c r="I50">
        <v>1.49</v>
      </c>
      <c r="J50" t="s">
        <v>285</v>
      </c>
      <c r="K50">
        <v>72400</v>
      </c>
      <c r="L50">
        <v>6</v>
      </c>
      <c r="M50">
        <v>72400</v>
      </c>
      <c r="N50">
        <v>72400</v>
      </c>
      <c r="O50">
        <v>72400</v>
      </c>
      <c r="P50" t="s">
        <v>285</v>
      </c>
      <c r="Q50" t="s">
        <v>305</v>
      </c>
    </row>
    <row r="51" spans="1:17" x14ac:dyDescent="0.35">
      <c r="A51" t="s">
        <v>65</v>
      </c>
      <c r="B51" t="s">
        <v>222</v>
      </c>
      <c r="C51" t="s">
        <v>108</v>
      </c>
      <c r="D51" t="s">
        <v>108</v>
      </c>
      <c r="E51">
        <v>11</v>
      </c>
      <c r="F51">
        <v>27</v>
      </c>
      <c r="G51">
        <v>11</v>
      </c>
      <c r="H51">
        <v>11</v>
      </c>
      <c r="I51">
        <v>11</v>
      </c>
      <c r="J51" t="s">
        <v>290</v>
      </c>
      <c r="K51">
        <v>76000</v>
      </c>
      <c r="L51">
        <v>26</v>
      </c>
      <c r="M51">
        <v>76000</v>
      </c>
      <c r="N51">
        <v>76000</v>
      </c>
      <c r="O51">
        <v>76000</v>
      </c>
      <c r="P51" t="s">
        <v>302</v>
      </c>
      <c r="Q51" t="s">
        <v>305</v>
      </c>
    </row>
    <row r="52" spans="1:17" x14ac:dyDescent="0.35">
      <c r="A52" t="s">
        <v>66</v>
      </c>
      <c r="B52" t="s">
        <v>227</v>
      </c>
      <c r="C52" t="s">
        <v>114</v>
      </c>
      <c r="D52" t="s">
        <v>114</v>
      </c>
      <c r="E52">
        <v>61.6</v>
      </c>
      <c r="F52">
        <v>1</v>
      </c>
      <c r="G52">
        <v>61.6</v>
      </c>
      <c r="H52">
        <v>61.6</v>
      </c>
      <c r="I52">
        <v>61.6</v>
      </c>
      <c r="J52" t="s">
        <v>292</v>
      </c>
      <c r="K52">
        <v>150000</v>
      </c>
      <c r="L52">
        <v>1</v>
      </c>
      <c r="M52">
        <v>150000</v>
      </c>
      <c r="N52">
        <v>150000</v>
      </c>
      <c r="O52">
        <v>150000</v>
      </c>
      <c r="P52" t="s">
        <v>292</v>
      </c>
      <c r="Q52" t="s">
        <v>305</v>
      </c>
    </row>
    <row r="53" spans="1:17" x14ac:dyDescent="0.35">
      <c r="A53" t="s">
        <v>67</v>
      </c>
      <c r="B53" t="s">
        <v>224</v>
      </c>
      <c r="C53" t="s">
        <v>110</v>
      </c>
      <c r="D53" t="s">
        <v>109</v>
      </c>
      <c r="E53">
        <v>6.1</v>
      </c>
      <c r="F53">
        <v>10</v>
      </c>
      <c r="G53">
        <v>6.1</v>
      </c>
      <c r="H53">
        <v>6.1</v>
      </c>
      <c r="I53">
        <v>6.1</v>
      </c>
      <c r="J53" t="s">
        <v>285</v>
      </c>
      <c r="K53">
        <v>34000</v>
      </c>
      <c r="L53">
        <v>5</v>
      </c>
      <c r="M53">
        <v>34000</v>
      </c>
      <c r="N53">
        <v>34000</v>
      </c>
      <c r="O53">
        <v>34000</v>
      </c>
      <c r="P53" t="s">
        <v>285</v>
      </c>
      <c r="Q53" t="s">
        <v>305</v>
      </c>
    </row>
    <row r="54" spans="1:17" x14ac:dyDescent="0.35">
      <c r="A54" t="s">
        <v>68</v>
      </c>
      <c r="B54" t="s">
        <v>225</v>
      </c>
      <c r="C54" t="s">
        <v>111</v>
      </c>
      <c r="E54">
        <v>161.6</v>
      </c>
      <c r="F54">
        <v>3</v>
      </c>
      <c r="G54">
        <v>161.6</v>
      </c>
      <c r="H54">
        <v>161.6</v>
      </c>
      <c r="I54">
        <v>161.6</v>
      </c>
      <c r="J54" t="s">
        <v>285</v>
      </c>
      <c r="K54">
        <v>48700</v>
      </c>
      <c r="L54">
        <v>2</v>
      </c>
      <c r="M54">
        <v>48700</v>
      </c>
      <c r="N54">
        <v>48700</v>
      </c>
      <c r="O54">
        <v>48700</v>
      </c>
      <c r="P54" t="s">
        <v>285</v>
      </c>
      <c r="Q54" t="s">
        <v>305</v>
      </c>
    </row>
    <row r="55" spans="1:17" x14ac:dyDescent="0.35">
      <c r="A55" t="s">
        <v>69</v>
      </c>
      <c r="B55" t="s">
        <v>87</v>
      </c>
      <c r="C55" t="s">
        <v>112</v>
      </c>
      <c r="E55">
        <v>2.6000000000000002E-2</v>
      </c>
      <c r="F55">
        <v>44</v>
      </c>
      <c r="G55">
        <v>2.6000000000000002E-2</v>
      </c>
      <c r="H55">
        <v>2.6000000000000002E-2</v>
      </c>
      <c r="I55">
        <v>2.6000000000000002E-2</v>
      </c>
      <c r="J55" t="s">
        <v>291</v>
      </c>
      <c r="K55">
        <v>52000</v>
      </c>
      <c r="L55">
        <v>1</v>
      </c>
      <c r="M55">
        <v>52000</v>
      </c>
      <c r="N55">
        <v>52000</v>
      </c>
      <c r="O55">
        <v>52000</v>
      </c>
      <c r="P55" t="s">
        <v>285</v>
      </c>
      <c r="Q55" t="s">
        <v>305</v>
      </c>
    </row>
    <row r="56" spans="1:17" x14ac:dyDescent="0.35">
      <c r="A56" t="s">
        <v>52</v>
      </c>
      <c r="B56" t="s">
        <v>210</v>
      </c>
      <c r="C56" t="s">
        <v>98</v>
      </c>
      <c r="D56" t="s">
        <v>98</v>
      </c>
      <c r="E56">
        <v>0.22800000000000001</v>
      </c>
      <c r="F56">
        <v>6</v>
      </c>
      <c r="G56">
        <v>0.22800000000000001</v>
      </c>
      <c r="H56">
        <v>0.22800000000000001</v>
      </c>
      <c r="I56">
        <v>0.22800000000000001</v>
      </c>
      <c r="J56" t="s">
        <v>284</v>
      </c>
      <c r="K56">
        <v>76500</v>
      </c>
      <c r="L56">
        <v>18</v>
      </c>
      <c r="M56">
        <v>76500</v>
      </c>
      <c r="N56">
        <v>76500</v>
      </c>
      <c r="O56">
        <v>76500</v>
      </c>
      <c r="P56" t="s">
        <v>285</v>
      </c>
      <c r="Q56" t="s">
        <v>305</v>
      </c>
    </row>
    <row r="57" spans="1:17" x14ac:dyDescent="0.35">
      <c r="A57" t="s">
        <v>53</v>
      </c>
      <c r="B57" t="s">
        <v>211</v>
      </c>
      <c r="C57" t="s">
        <v>99</v>
      </c>
      <c r="Q57" t="s">
        <v>305</v>
      </c>
    </row>
    <row r="58" spans="1:17" x14ac:dyDescent="0.35">
      <c r="A58" t="s">
        <v>54</v>
      </c>
      <c r="B58" t="s">
        <v>212</v>
      </c>
      <c r="C58" t="s">
        <v>100</v>
      </c>
      <c r="D58" t="s">
        <v>100</v>
      </c>
      <c r="E58">
        <v>2.2000000000000002</v>
      </c>
      <c r="F58">
        <v>4</v>
      </c>
      <c r="G58">
        <v>2.2000000000000002</v>
      </c>
      <c r="H58">
        <v>2.2000000000000002</v>
      </c>
      <c r="I58">
        <v>2.2000000000000002</v>
      </c>
      <c r="J58" t="s">
        <v>285</v>
      </c>
      <c r="K58">
        <v>35000</v>
      </c>
      <c r="L58">
        <v>12</v>
      </c>
      <c r="M58">
        <v>35000</v>
      </c>
      <c r="N58">
        <v>35000</v>
      </c>
      <c r="O58">
        <v>35000</v>
      </c>
      <c r="P58" t="s">
        <v>298</v>
      </c>
      <c r="Q58" t="s">
        <v>305</v>
      </c>
    </row>
    <row r="59" spans="1:17" x14ac:dyDescent="0.35">
      <c r="A59" t="s">
        <v>55</v>
      </c>
      <c r="B59" t="s">
        <v>213</v>
      </c>
      <c r="C59" t="s">
        <v>101</v>
      </c>
      <c r="D59" t="s">
        <v>101</v>
      </c>
      <c r="E59">
        <v>110.05</v>
      </c>
      <c r="F59">
        <v>82</v>
      </c>
      <c r="G59">
        <v>110.05</v>
      </c>
      <c r="H59">
        <v>110.05</v>
      </c>
      <c r="I59">
        <v>110.05</v>
      </c>
      <c r="J59" t="s">
        <v>286</v>
      </c>
      <c r="K59">
        <v>64200</v>
      </c>
      <c r="L59">
        <v>69</v>
      </c>
      <c r="M59">
        <v>64200</v>
      </c>
      <c r="N59">
        <v>64200</v>
      </c>
      <c r="O59">
        <v>64200</v>
      </c>
      <c r="P59" t="s">
        <v>299</v>
      </c>
      <c r="Q59" t="s">
        <v>305</v>
      </c>
    </row>
    <row r="60" spans="1:17" x14ac:dyDescent="0.35">
      <c r="A60" t="s">
        <v>56</v>
      </c>
      <c r="B60" t="s">
        <v>214</v>
      </c>
      <c r="C60" t="s">
        <v>101</v>
      </c>
      <c r="E60">
        <v>110.05</v>
      </c>
      <c r="F60">
        <v>82</v>
      </c>
      <c r="G60">
        <v>110.05</v>
      </c>
      <c r="H60">
        <v>110.05</v>
      </c>
      <c r="I60">
        <v>110.05</v>
      </c>
      <c r="J60" t="s">
        <v>286</v>
      </c>
      <c r="K60">
        <v>64200</v>
      </c>
      <c r="L60">
        <v>69</v>
      </c>
      <c r="M60">
        <v>64200</v>
      </c>
      <c r="N60">
        <v>64200</v>
      </c>
      <c r="O60">
        <v>64200</v>
      </c>
      <c r="P60" t="s">
        <v>299</v>
      </c>
      <c r="Q60" t="s">
        <v>305</v>
      </c>
    </row>
    <row r="61" spans="1:17" x14ac:dyDescent="0.35">
      <c r="A61" t="s">
        <v>57</v>
      </c>
      <c r="B61" t="s">
        <v>215</v>
      </c>
      <c r="C61" t="s">
        <v>102</v>
      </c>
      <c r="D61" t="s">
        <v>102</v>
      </c>
      <c r="E61">
        <v>1.7470000000000001</v>
      </c>
      <c r="F61">
        <v>9</v>
      </c>
      <c r="G61">
        <v>1.7470000000000001</v>
      </c>
      <c r="H61">
        <v>1.7470000000000001</v>
      </c>
      <c r="I61">
        <v>1.7470000000000001</v>
      </c>
      <c r="J61" t="s">
        <v>285</v>
      </c>
      <c r="K61">
        <v>35000</v>
      </c>
      <c r="L61">
        <v>1</v>
      </c>
      <c r="M61">
        <v>35000</v>
      </c>
      <c r="N61">
        <v>35000</v>
      </c>
      <c r="O61">
        <v>35000</v>
      </c>
      <c r="P61" t="s">
        <v>285</v>
      </c>
      <c r="Q61" t="s">
        <v>305</v>
      </c>
    </row>
    <row r="62" spans="1:17" x14ac:dyDescent="0.35">
      <c r="A62" t="s">
        <v>58</v>
      </c>
      <c r="B62" t="s">
        <v>216</v>
      </c>
      <c r="C62" t="s">
        <v>101</v>
      </c>
      <c r="D62" t="s">
        <v>101</v>
      </c>
      <c r="E62">
        <v>110.05</v>
      </c>
      <c r="F62">
        <v>82</v>
      </c>
      <c r="G62">
        <v>110.05</v>
      </c>
      <c r="H62">
        <v>110.05</v>
      </c>
      <c r="I62">
        <v>110.05</v>
      </c>
      <c r="J62" t="s">
        <v>286</v>
      </c>
      <c r="K62">
        <v>64200</v>
      </c>
      <c r="L62">
        <v>69</v>
      </c>
      <c r="M62">
        <v>64200</v>
      </c>
      <c r="N62">
        <v>64200</v>
      </c>
      <c r="O62">
        <v>64200</v>
      </c>
      <c r="P62" t="s">
        <v>299</v>
      </c>
      <c r="Q62" t="s">
        <v>305</v>
      </c>
    </row>
    <row r="63" spans="1:17" x14ac:dyDescent="0.35">
      <c r="A63" t="s">
        <v>59</v>
      </c>
      <c r="B63" t="s">
        <v>217</v>
      </c>
      <c r="C63" t="s">
        <v>103</v>
      </c>
      <c r="D63" t="s">
        <v>156</v>
      </c>
      <c r="E63">
        <v>400</v>
      </c>
      <c r="F63">
        <v>9</v>
      </c>
      <c r="G63">
        <v>400</v>
      </c>
      <c r="H63">
        <v>400</v>
      </c>
      <c r="I63">
        <v>400</v>
      </c>
      <c r="J63" t="s">
        <v>287</v>
      </c>
      <c r="K63">
        <v>87500</v>
      </c>
      <c r="L63">
        <v>30</v>
      </c>
      <c r="M63">
        <v>87500</v>
      </c>
      <c r="N63">
        <v>87500</v>
      </c>
      <c r="O63">
        <v>87500</v>
      </c>
      <c r="P63" t="s">
        <v>300</v>
      </c>
      <c r="Q63" t="s">
        <v>305</v>
      </c>
    </row>
    <row r="64" spans="1:17" x14ac:dyDescent="0.35">
      <c r="A64" t="s">
        <v>60</v>
      </c>
      <c r="B64" t="s">
        <v>218</v>
      </c>
      <c r="C64" t="s">
        <v>104</v>
      </c>
      <c r="E64">
        <v>56.35</v>
      </c>
      <c r="F64">
        <v>5</v>
      </c>
      <c r="G64">
        <v>56.35</v>
      </c>
      <c r="H64">
        <v>56.35</v>
      </c>
      <c r="I64">
        <v>56.35</v>
      </c>
      <c r="J64" t="s">
        <v>285</v>
      </c>
      <c r="K64">
        <v>64500</v>
      </c>
      <c r="L64">
        <v>4</v>
      </c>
      <c r="M64">
        <v>64500</v>
      </c>
      <c r="N64">
        <v>64500</v>
      </c>
      <c r="O64">
        <v>64500</v>
      </c>
      <c r="P64" t="s">
        <v>285</v>
      </c>
      <c r="Q64" t="s">
        <v>305</v>
      </c>
    </row>
    <row r="65" spans="1:17" x14ac:dyDescent="0.35">
      <c r="A65" t="s">
        <v>61</v>
      </c>
      <c r="B65" t="s">
        <v>219</v>
      </c>
      <c r="C65" t="s">
        <v>105</v>
      </c>
      <c r="D65" t="s">
        <v>105</v>
      </c>
      <c r="E65">
        <v>0.36291999999999996</v>
      </c>
      <c r="F65">
        <v>2</v>
      </c>
      <c r="G65">
        <v>0.36291999999999996</v>
      </c>
      <c r="H65">
        <v>0.36291999999999996</v>
      </c>
      <c r="I65">
        <v>0.36291999999999996</v>
      </c>
      <c r="J65" t="s">
        <v>288</v>
      </c>
      <c r="K65">
        <v>45647</v>
      </c>
      <c r="L65">
        <v>3</v>
      </c>
      <c r="M65">
        <v>45647</v>
      </c>
      <c r="N65">
        <v>45647</v>
      </c>
      <c r="O65">
        <v>45647</v>
      </c>
      <c r="P65" t="s">
        <v>301</v>
      </c>
      <c r="Q65" t="s">
        <v>305</v>
      </c>
    </row>
    <row r="66" spans="1:17" x14ac:dyDescent="0.35">
      <c r="A66" t="s">
        <v>62</v>
      </c>
      <c r="B66" t="s">
        <v>280</v>
      </c>
      <c r="Q66" t="s">
        <v>305</v>
      </c>
    </row>
    <row r="67" spans="1:17" x14ac:dyDescent="0.35">
      <c r="A67" t="s">
        <v>63</v>
      </c>
      <c r="B67" t="s">
        <v>220</v>
      </c>
      <c r="C67" t="s">
        <v>106</v>
      </c>
      <c r="D67" t="s">
        <v>106</v>
      </c>
      <c r="E67">
        <v>2.085</v>
      </c>
      <c r="F67">
        <v>1</v>
      </c>
      <c r="G67">
        <v>2.085</v>
      </c>
      <c r="H67">
        <v>2.085</v>
      </c>
      <c r="I67">
        <v>2.085</v>
      </c>
      <c r="J67" t="s">
        <v>289</v>
      </c>
      <c r="K67">
        <v>83500</v>
      </c>
      <c r="L67">
        <v>3</v>
      </c>
      <c r="M67">
        <v>83500</v>
      </c>
      <c r="N67">
        <v>83500</v>
      </c>
      <c r="O67">
        <v>83500</v>
      </c>
      <c r="P67" t="s">
        <v>289</v>
      </c>
      <c r="Q67" t="s">
        <v>305</v>
      </c>
    </row>
    <row r="68" spans="1:17" x14ac:dyDescent="0.35">
      <c r="A68" t="s">
        <v>64</v>
      </c>
      <c r="B68" t="s">
        <v>221</v>
      </c>
      <c r="C68" t="s">
        <v>107</v>
      </c>
      <c r="D68" t="s">
        <v>107</v>
      </c>
      <c r="E68">
        <v>1.49</v>
      </c>
      <c r="F68">
        <v>22</v>
      </c>
      <c r="G68">
        <v>1.49</v>
      </c>
      <c r="H68">
        <v>1.49</v>
      </c>
      <c r="I68">
        <v>1.49</v>
      </c>
      <c r="J68" t="s">
        <v>285</v>
      </c>
      <c r="K68">
        <v>72400</v>
      </c>
      <c r="L68">
        <v>6</v>
      </c>
      <c r="M68">
        <v>72400</v>
      </c>
      <c r="N68">
        <v>72400</v>
      </c>
      <c r="O68">
        <v>72400</v>
      </c>
      <c r="P68" t="s">
        <v>285</v>
      </c>
      <c r="Q68" t="s">
        <v>305</v>
      </c>
    </row>
    <row r="69" spans="1:17" x14ac:dyDescent="0.35">
      <c r="A69" t="s">
        <v>65</v>
      </c>
      <c r="B69" t="s">
        <v>222</v>
      </c>
      <c r="C69" t="s">
        <v>108</v>
      </c>
      <c r="D69" t="s">
        <v>108</v>
      </c>
      <c r="E69">
        <v>11</v>
      </c>
      <c r="F69">
        <v>27</v>
      </c>
      <c r="G69">
        <v>11</v>
      </c>
      <c r="H69">
        <v>11</v>
      </c>
      <c r="I69">
        <v>11</v>
      </c>
      <c r="J69" t="s">
        <v>290</v>
      </c>
      <c r="K69">
        <v>76000</v>
      </c>
      <c r="L69">
        <v>26</v>
      </c>
      <c r="M69">
        <v>76000</v>
      </c>
      <c r="N69">
        <v>76000</v>
      </c>
      <c r="O69">
        <v>76000</v>
      </c>
      <c r="P69" t="s">
        <v>302</v>
      </c>
      <c r="Q69" t="s">
        <v>305</v>
      </c>
    </row>
    <row r="70" spans="1:17" x14ac:dyDescent="0.35">
      <c r="A70" t="s">
        <v>66</v>
      </c>
      <c r="B70" t="s">
        <v>281</v>
      </c>
      <c r="Q70" t="s">
        <v>305</v>
      </c>
    </row>
    <row r="71" spans="1:17" x14ac:dyDescent="0.35">
      <c r="A71" t="s">
        <v>67</v>
      </c>
      <c r="B71" t="s">
        <v>224</v>
      </c>
      <c r="C71" t="s">
        <v>110</v>
      </c>
      <c r="D71" t="s">
        <v>109</v>
      </c>
      <c r="E71">
        <v>6.1</v>
      </c>
      <c r="F71">
        <v>10</v>
      </c>
      <c r="G71">
        <v>6.1</v>
      </c>
      <c r="H71">
        <v>6.1</v>
      </c>
      <c r="I71">
        <v>6.1</v>
      </c>
      <c r="J71" t="s">
        <v>285</v>
      </c>
      <c r="K71">
        <v>34000</v>
      </c>
      <c r="L71">
        <v>5</v>
      </c>
      <c r="M71">
        <v>34000</v>
      </c>
      <c r="N71">
        <v>34000</v>
      </c>
      <c r="O71">
        <v>34000</v>
      </c>
      <c r="P71" t="s">
        <v>285</v>
      </c>
      <c r="Q71" t="s">
        <v>305</v>
      </c>
    </row>
    <row r="72" spans="1:17" x14ac:dyDescent="0.35">
      <c r="A72" t="s">
        <v>68</v>
      </c>
      <c r="B72" t="s">
        <v>225</v>
      </c>
      <c r="C72" t="s">
        <v>111</v>
      </c>
      <c r="E72">
        <v>161.6</v>
      </c>
      <c r="F72">
        <v>3</v>
      </c>
      <c r="G72">
        <v>161.6</v>
      </c>
      <c r="H72">
        <v>161.6</v>
      </c>
      <c r="I72">
        <v>161.6</v>
      </c>
      <c r="J72" t="s">
        <v>285</v>
      </c>
      <c r="K72">
        <v>48700</v>
      </c>
      <c r="L72">
        <v>2</v>
      </c>
      <c r="M72">
        <v>48700</v>
      </c>
      <c r="N72">
        <v>48700</v>
      </c>
      <c r="O72">
        <v>48700</v>
      </c>
      <c r="P72" t="s">
        <v>285</v>
      </c>
      <c r="Q72" t="s">
        <v>305</v>
      </c>
    </row>
    <row r="73" spans="1:17" x14ac:dyDescent="0.35">
      <c r="A73" t="s">
        <v>69</v>
      </c>
      <c r="B73" t="s">
        <v>87</v>
      </c>
      <c r="C73" t="s">
        <v>112</v>
      </c>
      <c r="E73">
        <v>2.6000000000000002E-2</v>
      </c>
      <c r="F73">
        <v>44</v>
      </c>
      <c r="G73">
        <v>2.6000000000000002E-2</v>
      </c>
      <c r="H73">
        <v>2.6000000000000002E-2</v>
      </c>
      <c r="I73">
        <v>2.6000000000000002E-2</v>
      </c>
      <c r="J73" t="s">
        <v>291</v>
      </c>
      <c r="K73">
        <v>52000</v>
      </c>
      <c r="L73">
        <v>1</v>
      </c>
      <c r="M73">
        <v>52000</v>
      </c>
      <c r="N73">
        <v>52000</v>
      </c>
      <c r="O73">
        <v>52000</v>
      </c>
      <c r="P73" t="s">
        <v>285</v>
      </c>
      <c r="Q73" t="s">
        <v>305</v>
      </c>
    </row>
    <row r="74" spans="1:17" x14ac:dyDescent="0.35">
      <c r="A74" t="s">
        <v>52</v>
      </c>
      <c r="B74" t="s">
        <v>210</v>
      </c>
      <c r="C74" t="s">
        <v>98</v>
      </c>
      <c r="D74" t="s">
        <v>98</v>
      </c>
      <c r="E74">
        <v>0.22800000000000001</v>
      </c>
      <c r="F74">
        <v>6</v>
      </c>
      <c r="G74">
        <v>0.22800000000000001</v>
      </c>
      <c r="H74">
        <v>0.22800000000000001</v>
      </c>
      <c r="I74">
        <v>0.22800000000000001</v>
      </c>
      <c r="J74" t="s">
        <v>284</v>
      </c>
      <c r="K74">
        <v>76500</v>
      </c>
      <c r="L74">
        <v>18</v>
      </c>
      <c r="M74">
        <v>76500</v>
      </c>
      <c r="N74">
        <v>76500</v>
      </c>
      <c r="O74">
        <v>76500</v>
      </c>
      <c r="P74" t="s">
        <v>285</v>
      </c>
      <c r="Q74" t="s">
        <v>305</v>
      </c>
    </row>
    <row r="75" spans="1:17" x14ac:dyDescent="0.35">
      <c r="A75" t="s">
        <v>53</v>
      </c>
      <c r="B75" t="s">
        <v>211</v>
      </c>
      <c r="C75" t="s">
        <v>99</v>
      </c>
      <c r="Q75" t="s">
        <v>305</v>
      </c>
    </row>
    <row r="76" spans="1:17" x14ac:dyDescent="0.35">
      <c r="A76" t="s">
        <v>54</v>
      </c>
      <c r="B76" t="s">
        <v>212</v>
      </c>
      <c r="C76" t="s">
        <v>100</v>
      </c>
      <c r="D76" t="s">
        <v>100</v>
      </c>
      <c r="E76">
        <v>2.2000000000000002</v>
      </c>
      <c r="F76">
        <v>4</v>
      </c>
      <c r="G76">
        <v>2.2000000000000002</v>
      </c>
      <c r="H76">
        <v>2.2000000000000002</v>
      </c>
      <c r="I76">
        <v>2.2000000000000002</v>
      </c>
      <c r="J76" t="s">
        <v>285</v>
      </c>
      <c r="K76">
        <v>35000</v>
      </c>
      <c r="L76">
        <v>12</v>
      </c>
      <c r="M76">
        <v>35000</v>
      </c>
      <c r="N76">
        <v>35000</v>
      </c>
      <c r="O76">
        <v>35000</v>
      </c>
      <c r="P76" t="s">
        <v>298</v>
      </c>
      <c r="Q76" t="s">
        <v>305</v>
      </c>
    </row>
    <row r="77" spans="1:17" x14ac:dyDescent="0.35">
      <c r="A77" t="s">
        <v>55</v>
      </c>
      <c r="B77" t="s">
        <v>213</v>
      </c>
      <c r="C77" t="s">
        <v>101</v>
      </c>
      <c r="D77" t="s">
        <v>101</v>
      </c>
      <c r="E77">
        <v>110.05</v>
      </c>
      <c r="F77">
        <v>82</v>
      </c>
      <c r="G77">
        <v>110.05</v>
      </c>
      <c r="H77">
        <v>110.05</v>
      </c>
      <c r="I77">
        <v>110.05</v>
      </c>
      <c r="J77" t="s">
        <v>286</v>
      </c>
      <c r="K77">
        <v>64200</v>
      </c>
      <c r="L77">
        <v>69</v>
      </c>
      <c r="M77">
        <v>64200</v>
      </c>
      <c r="N77">
        <v>64200</v>
      </c>
      <c r="O77">
        <v>64200</v>
      </c>
      <c r="P77" t="s">
        <v>299</v>
      </c>
      <c r="Q77" t="s">
        <v>305</v>
      </c>
    </row>
    <row r="78" spans="1:17" x14ac:dyDescent="0.35">
      <c r="A78" t="s">
        <v>56</v>
      </c>
      <c r="B78" t="s">
        <v>214</v>
      </c>
      <c r="C78" t="s">
        <v>101</v>
      </c>
      <c r="E78">
        <v>110.05</v>
      </c>
      <c r="F78">
        <v>82</v>
      </c>
      <c r="G78">
        <v>110.05</v>
      </c>
      <c r="H78">
        <v>110.05</v>
      </c>
      <c r="I78">
        <v>110.05</v>
      </c>
      <c r="J78" t="s">
        <v>286</v>
      </c>
      <c r="K78">
        <v>64200</v>
      </c>
      <c r="L78">
        <v>69</v>
      </c>
      <c r="M78">
        <v>64200</v>
      </c>
      <c r="N78">
        <v>64200</v>
      </c>
      <c r="O78">
        <v>64200</v>
      </c>
      <c r="P78" t="s">
        <v>299</v>
      </c>
      <c r="Q78" t="s">
        <v>305</v>
      </c>
    </row>
    <row r="79" spans="1:17" x14ac:dyDescent="0.35">
      <c r="A79" t="s">
        <v>57</v>
      </c>
      <c r="B79" t="s">
        <v>215</v>
      </c>
      <c r="C79" t="s">
        <v>102</v>
      </c>
      <c r="D79" t="s">
        <v>102</v>
      </c>
      <c r="E79">
        <v>1.7470000000000001</v>
      </c>
      <c r="F79">
        <v>9</v>
      </c>
      <c r="G79">
        <v>1.7470000000000001</v>
      </c>
      <c r="H79">
        <v>1.7470000000000001</v>
      </c>
      <c r="I79">
        <v>1.7470000000000001</v>
      </c>
      <c r="J79" t="s">
        <v>285</v>
      </c>
      <c r="K79">
        <v>35000</v>
      </c>
      <c r="L79">
        <v>1</v>
      </c>
      <c r="M79">
        <v>35000</v>
      </c>
      <c r="N79">
        <v>35000</v>
      </c>
      <c r="O79">
        <v>35000</v>
      </c>
      <c r="P79" t="s">
        <v>285</v>
      </c>
      <c r="Q79" t="s">
        <v>305</v>
      </c>
    </row>
    <row r="80" spans="1:17" x14ac:dyDescent="0.35">
      <c r="A80" t="s">
        <v>58</v>
      </c>
      <c r="B80" t="s">
        <v>216</v>
      </c>
      <c r="C80" t="s">
        <v>101</v>
      </c>
      <c r="D80" t="s">
        <v>101</v>
      </c>
      <c r="E80">
        <v>110.05</v>
      </c>
      <c r="F80">
        <v>82</v>
      </c>
      <c r="G80">
        <v>110.05</v>
      </c>
      <c r="H80">
        <v>110.05</v>
      </c>
      <c r="I80">
        <v>110.05</v>
      </c>
      <c r="J80" t="s">
        <v>286</v>
      </c>
      <c r="K80">
        <v>64200</v>
      </c>
      <c r="L80">
        <v>69</v>
      </c>
      <c r="M80">
        <v>64200</v>
      </c>
      <c r="N80">
        <v>64200</v>
      </c>
      <c r="O80">
        <v>64200</v>
      </c>
      <c r="P80" t="s">
        <v>299</v>
      </c>
      <c r="Q80" t="s">
        <v>305</v>
      </c>
    </row>
    <row r="81" spans="1:17" x14ac:dyDescent="0.35">
      <c r="A81" t="s">
        <v>59</v>
      </c>
      <c r="B81" t="s">
        <v>217</v>
      </c>
      <c r="C81" t="s">
        <v>103</v>
      </c>
      <c r="D81" t="s">
        <v>156</v>
      </c>
      <c r="E81">
        <v>400</v>
      </c>
      <c r="F81">
        <v>9</v>
      </c>
      <c r="G81">
        <v>400</v>
      </c>
      <c r="H81">
        <v>400</v>
      </c>
      <c r="I81">
        <v>400</v>
      </c>
      <c r="J81" t="s">
        <v>287</v>
      </c>
      <c r="K81">
        <v>87500</v>
      </c>
      <c r="L81">
        <v>30</v>
      </c>
      <c r="M81">
        <v>87500</v>
      </c>
      <c r="N81">
        <v>87500</v>
      </c>
      <c r="O81">
        <v>87500</v>
      </c>
      <c r="P81" t="s">
        <v>300</v>
      </c>
      <c r="Q81" t="s">
        <v>305</v>
      </c>
    </row>
    <row r="82" spans="1:17" x14ac:dyDescent="0.35">
      <c r="A82" t="s">
        <v>60</v>
      </c>
      <c r="B82" t="s">
        <v>218</v>
      </c>
      <c r="C82" t="s">
        <v>104</v>
      </c>
      <c r="E82">
        <v>56.35</v>
      </c>
      <c r="F82">
        <v>5</v>
      </c>
      <c r="G82">
        <v>56.35</v>
      </c>
      <c r="H82">
        <v>56.35</v>
      </c>
      <c r="I82">
        <v>56.35</v>
      </c>
      <c r="J82" t="s">
        <v>285</v>
      </c>
      <c r="K82">
        <v>64500</v>
      </c>
      <c r="L82">
        <v>4</v>
      </c>
      <c r="M82">
        <v>64500</v>
      </c>
      <c r="N82">
        <v>64500</v>
      </c>
      <c r="O82">
        <v>64500</v>
      </c>
      <c r="P82" t="s">
        <v>285</v>
      </c>
      <c r="Q82" t="s">
        <v>305</v>
      </c>
    </row>
    <row r="83" spans="1:17" x14ac:dyDescent="0.35">
      <c r="A83" t="s">
        <v>61</v>
      </c>
      <c r="B83" t="s">
        <v>219</v>
      </c>
      <c r="C83" t="s">
        <v>105</v>
      </c>
      <c r="D83" t="s">
        <v>105</v>
      </c>
      <c r="E83">
        <v>0.36291999999999996</v>
      </c>
      <c r="F83">
        <v>2</v>
      </c>
      <c r="G83">
        <v>0.36291999999999996</v>
      </c>
      <c r="H83">
        <v>0.36291999999999996</v>
      </c>
      <c r="I83">
        <v>0.36291999999999996</v>
      </c>
      <c r="J83" t="s">
        <v>288</v>
      </c>
      <c r="K83">
        <v>45647</v>
      </c>
      <c r="L83">
        <v>3</v>
      </c>
      <c r="M83">
        <v>45647</v>
      </c>
      <c r="N83">
        <v>45647</v>
      </c>
      <c r="O83">
        <v>45647</v>
      </c>
      <c r="P83" t="s">
        <v>301</v>
      </c>
      <c r="Q83" t="s">
        <v>305</v>
      </c>
    </row>
    <row r="84" spans="1:17" x14ac:dyDescent="0.35">
      <c r="A84" t="s">
        <v>62</v>
      </c>
      <c r="B84" t="s">
        <v>280</v>
      </c>
      <c r="Q84" t="s">
        <v>305</v>
      </c>
    </row>
    <row r="85" spans="1:17" x14ac:dyDescent="0.35">
      <c r="A85" t="s">
        <v>63</v>
      </c>
      <c r="B85" t="s">
        <v>220</v>
      </c>
      <c r="C85" t="s">
        <v>106</v>
      </c>
      <c r="D85" t="s">
        <v>106</v>
      </c>
      <c r="E85">
        <v>2.085</v>
      </c>
      <c r="F85">
        <v>1</v>
      </c>
      <c r="G85">
        <v>2.085</v>
      </c>
      <c r="H85">
        <v>2.085</v>
      </c>
      <c r="I85">
        <v>2.085</v>
      </c>
      <c r="J85" t="s">
        <v>289</v>
      </c>
      <c r="K85">
        <v>83500</v>
      </c>
      <c r="L85">
        <v>3</v>
      </c>
      <c r="M85">
        <v>83500</v>
      </c>
      <c r="N85">
        <v>83500</v>
      </c>
      <c r="O85">
        <v>83500</v>
      </c>
      <c r="P85" t="s">
        <v>289</v>
      </c>
      <c r="Q85" t="s">
        <v>305</v>
      </c>
    </row>
    <row r="86" spans="1:17" x14ac:dyDescent="0.35">
      <c r="A86" t="s">
        <v>64</v>
      </c>
      <c r="B86" t="s">
        <v>221</v>
      </c>
      <c r="C86" t="s">
        <v>107</v>
      </c>
      <c r="D86" t="s">
        <v>107</v>
      </c>
      <c r="E86">
        <v>1.49</v>
      </c>
      <c r="F86">
        <v>22</v>
      </c>
      <c r="G86">
        <v>1.49</v>
      </c>
      <c r="H86">
        <v>1.49</v>
      </c>
      <c r="I86">
        <v>1.49</v>
      </c>
      <c r="J86" t="s">
        <v>285</v>
      </c>
      <c r="K86">
        <v>72400</v>
      </c>
      <c r="L86">
        <v>6</v>
      </c>
      <c r="M86">
        <v>72400</v>
      </c>
      <c r="N86">
        <v>72400</v>
      </c>
      <c r="O86">
        <v>72400</v>
      </c>
      <c r="P86" t="s">
        <v>285</v>
      </c>
      <c r="Q86" t="s">
        <v>305</v>
      </c>
    </row>
    <row r="87" spans="1:17" x14ac:dyDescent="0.35">
      <c r="A87" t="s">
        <v>65</v>
      </c>
      <c r="B87" t="s">
        <v>222</v>
      </c>
      <c r="C87" t="s">
        <v>108</v>
      </c>
      <c r="D87" t="s">
        <v>108</v>
      </c>
      <c r="E87">
        <v>11</v>
      </c>
      <c r="F87">
        <v>27</v>
      </c>
      <c r="G87">
        <v>11</v>
      </c>
      <c r="H87">
        <v>11</v>
      </c>
      <c r="I87">
        <v>11</v>
      </c>
      <c r="J87" t="s">
        <v>290</v>
      </c>
      <c r="K87">
        <v>76000</v>
      </c>
      <c r="L87">
        <v>26</v>
      </c>
      <c r="M87">
        <v>76000</v>
      </c>
      <c r="N87">
        <v>76000</v>
      </c>
      <c r="O87">
        <v>76000</v>
      </c>
      <c r="P87" t="s">
        <v>302</v>
      </c>
      <c r="Q87" t="s">
        <v>305</v>
      </c>
    </row>
    <row r="88" spans="1:17" x14ac:dyDescent="0.35">
      <c r="A88" t="s">
        <v>66</v>
      </c>
      <c r="B88" t="s">
        <v>228</v>
      </c>
      <c r="C88" t="s">
        <v>115</v>
      </c>
      <c r="E88">
        <v>350</v>
      </c>
      <c r="F88">
        <v>1</v>
      </c>
      <c r="G88">
        <v>350</v>
      </c>
      <c r="H88">
        <v>350</v>
      </c>
      <c r="I88">
        <v>350</v>
      </c>
      <c r="J88" t="s">
        <v>293</v>
      </c>
      <c r="K88">
        <v>21000</v>
      </c>
      <c r="L88">
        <v>1</v>
      </c>
      <c r="M88">
        <v>21000</v>
      </c>
      <c r="N88">
        <v>21000</v>
      </c>
      <c r="O88">
        <v>21000</v>
      </c>
      <c r="P88" t="s">
        <v>293</v>
      </c>
      <c r="Q88" t="s">
        <v>305</v>
      </c>
    </row>
    <row r="89" spans="1:17" x14ac:dyDescent="0.35">
      <c r="A89" t="s">
        <v>67</v>
      </c>
      <c r="B89" t="s">
        <v>224</v>
      </c>
      <c r="C89" t="s">
        <v>110</v>
      </c>
      <c r="D89" t="s">
        <v>109</v>
      </c>
      <c r="E89">
        <v>6.1</v>
      </c>
      <c r="F89">
        <v>10</v>
      </c>
      <c r="G89">
        <v>6.1</v>
      </c>
      <c r="H89">
        <v>6.1</v>
      </c>
      <c r="I89">
        <v>6.1</v>
      </c>
      <c r="J89" t="s">
        <v>285</v>
      </c>
      <c r="K89">
        <v>34000</v>
      </c>
      <c r="L89">
        <v>5</v>
      </c>
      <c r="M89">
        <v>34000</v>
      </c>
      <c r="N89">
        <v>34000</v>
      </c>
      <c r="O89">
        <v>34000</v>
      </c>
      <c r="P89" t="s">
        <v>285</v>
      </c>
      <c r="Q89" t="s">
        <v>305</v>
      </c>
    </row>
    <row r="90" spans="1:17" x14ac:dyDescent="0.35">
      <c r="A90" t="s">
        <v>68</v>
      </c>
      <c r="B90" t="s">
        <v>225</v>
      </c>
      <c r="C90" t="s">
        <v>111</v>
      </c>
      <c r="E90">
        <v>161.6</v>
      </c>
      <c r="F90">
        <v>3</v>
      </c>
      <c r="G90">
        <v>161.6</v>
      </c>
      <c r="H90">
        <v>161.6</v>
      </c>
      <c r="I90">
        <v>161.6</v>
      </c>
      <c r="J90" t="s">
        <v>285</v>
      </c>
      <c r="K90">
        <v>48700</v>
      </c>
      <c r="L90">
        <v>2</v>
      </c>
      <c r="M90">
        <v>48700</v>
      </c>
      <c r="N90">
        <v>48700</v>
      </c>
      <c r="O90">
        <v>48700</v>
      </c>
      <c r="P90" t="s">
        <v>285</v>
      </c>
      <c r="Q90" t="s">
        <v>305</v>
      </c>
    </row>
    <row r="91" spans="1:17" x14ac:dyDescent="0.35">
      <c r="A91" t="s">
        <v>69</v>
      </c>
      <c r="B91" t="s">
        <v>87</v>
      </c>
      <c r="C91" t="s">
        <v>112</v>
      </c>
      <c r="E91">
        <v>2.6000000000000002E-2</v>
      </c>
      <c r="F91">
        <v>44</v>
      </c>
      <c r="G91">
        <v>2.6000000000000002E-2</v>
      </c>
      <c r="H91">
        <v>2.6000000000000002E-2</v>
      </c>
      <c r="I91">
        <v>2.6000000000000002E-2</v>
      </c>
      <c r="J91" t="s">
        <v>291</v>
      </c>
      <c r="K91">
        <v>52000</v>
      </c>
      <c r="L91">
        <v>1</v>
      </c>
      <c r="M91">
        <v>52000</v>
      </c>
      <c r="N91">
        <v>52000</v>
      </c>
      <c r="O91">
        <v>52000</v>
      </c>
      <c r="P91" t="s">
        <v>285</v>
      </c>
      <c r="Q91" t="s">
        <v>305</v>
      </c>
    </row>
    <row r="92" spans="1:17" x14ac:dyDescent="0.35">
      <c r="A92" t="s">
        <v>52</v>
      </c>
      <c r="B92" t="s">
        <v>210</v>
      </c>
      <c r="C92" t="s">
        <v>98</v>
      </c>
      <c r="D92" t="s">
        <v>98</v>
      </c>
      <c r="E92">
        <v>0.22800000000000001</v>
      </c>
      <c r="F92">
        <v>6</v>
      </c>
      <c r="G92">
        <v>0.22800000000000001</v>
      </c>
      <c r="H92">
        <v>0.22800000000000001</v>
      </c>
      <c r="I92">
        <v>0.22800000000000001</v>
      </c>
      <c r="J92" t="s">
        <v>284</v>
      </c>
      <c r="K92">
        <v>76500</v>
      </c>
      <c r="L92">
        <v>18</v>
      </c>
      <c r="M92">
        <v>76500</v>
      </c>
      <c r="N92">
        <v>76500</v>
      </c>
      <c r="O92">
        <v>76500</v>
      </c>
      <c r="P92" t="s">
        <v>285</v>
      </c>
      <c r="Q92" t="s">
        <v>305</v>
      </c>
    </row>
    <row r="93" spans="1:17" x14ac:dyDescent="0.35">
      <c r="A93" t="s">
        <v>53</v>
      </c>
      <c r="B93" t="s">
        <v>211</v>
      </c>
      <c r="C93" t="s">
        <v>99</v>
      </c>
      <c r="Q93" t="s">
        <v>305</v>
      </c>
    </row>
    <row r="94" spans="1:17" x14ac:dyDescent="0.35">
      <c r="A94" t="s">
        <v>54</v>
      </c>
      <c r="B94" t="s">
        <v>212</v>
      </c>
      <c r="C94" t="s">
        <v>100</v>
      </c>
      <c r="D94" t="s">
        <v>100</v>
      </c>
      <c r="E94">
        <v>2.2000000000000002</v>
      </c>
      <c r="F94">
        <v>4</v>
      </c>
      <c r="G94">
        <v>2.2000000000000002</v>
      </c>
      <c r="H94">
        <v>2.2000000000000002</v>
      </c>
      <c r="I94">
        <v>2.2000000000000002</v>
      </c>
      <c r="J94" t="s">
        <v>285</v>
      </c>
      <c r="K94">
        <v>35000</v>
      </c>
      <c r="L94">
        <v>12</v>
      </c>
      <c r="M94">
        <v>35000</v>
      </c>
      <c r="N94">
        <v>35000</v>
      </c>
      <c r="O94">
        <v>35000</v>
      </c>
      <c r="P94" t="s">
        <v>298</v>
      </c>
      <c r="Q94" t="s">
        <v>305</v>
      </c>
    </row>
    <row r="95" spans="1:17" x14ac:dyDescent="0.35">
      <c r="A95" t="s">
        <v>55</v>
      </c>
      <c r="B95" t="s">
        <v>213</v>
      </c>
      <c r="C95" t="s">
        <v>101</v>
      </c>
      <c r="D95" t="s">
        <v>101</v>
      </c>
      <c r="E95">
        <v>110.05</v>
      </c>
      <c r="F95">
        <v>82</v>
      </c>
      <c r="G95">
        <v>110.05</v>
      </c>
      <c r="H95">
        <v>110.05</v>
      </c>
      <c r="I95">
        <v>110.05</v>
      </c>
      <c r="J95" t="s">
        <v>286</v>
      </c>
      <c r="K95">
        <v>64200</v>
      </c>
      <c r="L95">
        <v>69</v>
      </c>
      <c r="M95">
        <v>64200</v>
      </c>
      <c r="N95">
        <v>64200</v>
      </c>
      <c r="O95">
        <v>64200</v>
      </c>
      <c r="P95" t="s">
        <v>299</v>
      </c>
      <c r="Q95" t="s">
        <v>305</v>
      </c>
    </row>
    <row r="96" spans="1:17" x14ac:dyDescent="0.35">
      <c r="A96" t="s">
        <v>56</v>
      </c>
      <c r="B96" t="s">
        <v>214</v>
      </c>
      <c r="C96" t="s">
        <v>101</v>
      </c>
      <c r="E96">
        <v>110.05</v>
      </c>
      <c r="F96">
        <v>82</v>
      </c>
      <c r="G96">
        <v>110.05</v>
      </c>
      <c r="H96">
        <v>110.05</v>
      </c>
      <c r="I96">
        <v>110.05</v>
      </c>
      <c r="J96" t="s">
        <v>286</v>
      </c>
      <c r="K96">
        <v>64200</v>
      </c>
      <c r="L96">
        <v>69</v>
      </c>
      <c r="M96">
        <v>64200</v>
      </c>
      <c r="N96">
        <v>64200</v>
      </c>
      <c r="O96">
        <v>64200</v>
      </c>
      <c r="P96" t="s">
        <v>299</v>
      </c>
      <c r="Q96" t="s">
        <v>305</v>
      </c>
    </row>
    <row r="97" spans="1:17" x14ac:dyDescent="0.35">
      <c r="A97" t="s">
        <v>57</v>
      </c>
      <c r="B97" t="s">
        <v>215</v>
      </c>
      <c r="C97" t="s">
        <v>102</v>
      </c>
      <c r="D97" t="s">
        <v>102</v>
      </c>
      <c r="E97">
        <v>1.7470000000000001</v>
      </c>
      <c r="F97">
        <v>9</v>
      </c>
      <c r="G97">
        <v>1.7470000000000001</v>
      </c>
      <c r="H97">
        <v>1.7470000000000001</v>
      </c>
      <c r="I97">
        <v>1.7470000000000001</v>
      </c>
      <c r="J97" t="s">
        <v>285</v>
      </c>
      <c r="K97">
        <v>35000</v>
      </c>
      <c r="L97">
        <v>1</v>
      </c>
      <c r="M97">
        <v>35000</v>
      </c>
      <c r="N97">
        <v>35000</v>
      </c>
      <c r="O97">
        <v>35000</v>
      </c>
      <c r="P97" t="s">
        <v>285</v>
      </c>
      <c r="Q97" t="s">
        <v>305</v>
      </c>
    </row>
    <row r="98" spans="1:17" x14ac:dyDescent="0.35">
      <c r="A98" t="s">
        <v>58</v>
      </c>
      <c r="B98" t="s">
        <v>216</v>
      </c>
      <c r="C98" t="s">
        <v>101</v>
      </c>
      <c r="D98" t="s">
        <v>101</v>
      </c>
      <c r="E98">
        <v>110.05</v>
      </c>
      <c r="F98">
        <v>82</v>
      </c>
      <c r="G98">
        <v>110.05</v>
      </c>
      <c r="H98">
        <v>110.05</v>
      </c>
      <c r="I98">
        <v>110.05</v>
      </c>
      <c r="J98" t="s">
        <v>286</v>
      </c>
      <c r="K98">
        <v>64200</v>
      </c>
      <c r="L98">
        <v>69</v>
      </c>
      <c r="M98">
        <v>64200</v>
      </c>
      <c r="N98">
        <v>64200</v>
      </c>
      <c r="O98">
        <v>64200</v>
      </c>
      <c r="P98" t="s">
        <v>299</v>
      </c>
      <c r="Q98" t="s">
        <v>305</v>
      </c>
    </row>
    <row r="99" spans="1:17" x14ac:dyDescent="0.35">
      <c r="A99" t="s">
        <v>59</v>
      </c>
      <c r="B99" t="s">
        <v>217</v>
      </c>
      <c r="C99" t="s">
        <v>103</v>
      </c>
      <c r="D99" t="s">
        <v>156</v>
      </c>
      <c r="E99">
        <v>400</v>
      </c>
      <c r="F99">
        <v>9</v>
      </c>
      <c r="G99">
        <v>400</v>
      </c>
      <c r="H99">
        <v>400</v>
      </c>
      <c r="I99">
        <v>400</v>
      </c>
      <c r="J99" t="s">
        <v>287</v>
      </c>
      <c r="K99">
        <v>87500</v>
      </c>
      <c r="L99">
        <v>30</v>
      </c>
      <c r="M99">
        <v>87500</v>
      </c>
      <c r="N99">
        <v>87500</v>
      </c>
      <c r="O99">
        <v>87500</v>
      </c>
      <c r="P99" t="s">
        <v>300</v>
      </c>
      <c r="Q99" t="s">
        <v>305</v>
      </c>
    </row>
    <row r="100" spans="1:17" x14ac:dyDescent="0.35">
      <c r="A100" t="s">
        <v>60</v>
      </c>
      <c r="B100" t="s">
        <v>218</v>
      </c>
      <c r="C100" t="s">
        <v>104</v>
      </c>
      <c r="E100">
        <v>56.35</v>
      </c>
      <c r="F100">
        <v>5</v>
      </c>
      <c r="G100">
        <v>56.35</v>
      </c>
      <c r="H100">
        <v>56.35</v>
      </c>
      <c r="I100">
        <v>56.35</v>
      </c>
      <c r="J100" t="s">
        <v>285</v>
      </c>
      <c r="K100">
        <v>64500</v>
      </c>
      <c r="L100">
        <v>4</v>
      </c>
      <c r="M100">
        <v>64500</v>
      </c>
      <c r="N100">
        <v>64500</v>
      </c>
      <c r="O100">
        <v>64500</v>
      </c>
      <c r="P100" t="s">
        <v>285</v>
      </c>
      <c r="Q100" t="s">
        <v>305</v>
      </c>
    </row>
    <row r="101" spans="1:17" x14ac:dyDescent="0.35">
      <c r="A101" t="s">
        <v>61</v>
      </c>
      <c r="B101" t="s">
        <v>219</v>
      </c>
      <c r="C101" t="s">
        <v>105</v>
      </c>
      <c r="D101" t="s">
        <v>105</v>
      </c>
      <c r="E101">
        <v>0.36291999999999996</v>
      </c>
      <c r="F101">
        <v>2</v>
      </c>
      <c r="G101">
        <v>0.36291999999999996</v>
      </c>
      <c r="H101">
        <v>0.36291999999999996</v>
      </c>
      <c r="I101">
        <v>0.36291999999999996</v>
      </c>
      <c r="J101" t="s">
        <v>288</v>
      </c>
      <c r="K101">
        <v>45647</v>
      </c>
      <c r="L101">
        <v>3</v>
      </c>
      <c r="M101">
        <v>45647</v>
      </c>
      <c r="N101">
        <v>45647</v>
      </c>
      <c r="O101">
        <v>45647</v>
      </c>
      <c r="P101" t="s">
        <v>301</v>
      </c>
      <c r="Q101" t="s">
        <v>305</v>
      </c>
    </row>
    <row r="102" spans="1:17" x14ac:dyDescent="0.35">
      <c r="A102" t="s">
        <v>62</v>
      </c>
      <c r="B102" t="s">
        <v>280</v>
      </c>
      <c r="Q102" t="s">
        <v>305</v>
      </c>
    </row>
    <row r="103" spans="1:17" x14ac:dyDescent="0.35">
      <c r="A103" t="s">
        <v>63</v>
      </c>
      <c r="B103" t="s">
        <v>220</v>
      </c>
      <c r="C103" t="s">
        <v>106</v>
      </c>
      <c r="D103" t="s">
        <v>106</v>
      </c>
      <c r="E103">
        <v>2.085</v>
      </c>
      <c r="F103">
        <v>1</v>
      </c>
      <c r="G103">
        <v>2.085</v>
      </c>
      <c r="H103">
        <v>2.085</v>
      </c>
      <c r="I103">
        <v>2.085</v>
      </c>
      <c r="J103" t="s">
        <v>289</v>
      </c>
      <c r="K103">
        <v>83500</v>
      </c>
      <c r="L103">
        <v>3</v>
      </c>
      <c r="M103">
        <v>83500</v>
      </c>
      <c r="N103">
        <v>83500</v>
      </c>
      <c r="O103">
        <v>83500</v>
      </c>
      <c r="P103" t="s">
        <v>289</v>
      </c>
      <c r="Q103" t="s">
        <v>305</v>
      </c>
    </row>
    <row r="104" spans="1:17" x14ac:dyDescent="0.35">
      <c r="A104" t="s">
        <v>64</v>
      </c>
      <c r="B104" t="s">
        <v>221</v>
      </c>
      <c r="C104" t="s">
        <v>107</v>
      </c>
      <c r="D104" t="s">
        <v>107</v>
      </c>
      <c r="E104">
        <v>1.49</v>
      </c>
      <c r="F104">
        <v>22</v>
      </c>
      <c r="G104">
        <v>1.49</v>
      </c>
      <c r="H104">
        <v>1.49</v>
      </c>
      <c r="I104">
        <v>1.49</v>
      </c>
      <c r="J104" t="s">
        <v>285</v>
      </c>
      <c r="K104">
        <v>72400</v>
      </c>
      <c r="L104">
        <v>6</v>
      </c>
      <c r="M104">
        <v>72400</v>
      </c>
      <c r="N104">
        <v>72400</v>
      </c>
      <c r="O104">
        <v>72400</v>
      </c>
      <c r="P104" t="s">
        <v>285</v>
      </c>
      <c r="Q104" t="s">
        <v>305</v>
      </c>
    </row>
    <row r="105" spans="1:17" x14ac:dyDescent="0.35">
      <c r="A105" t="s">
        <v>65</v>
      </c>
      <c r="B105" t="s">
        <v>222</v>
      </c>
      <c r="C105" t="s">
        <v>108</v>
      </c>
      <c r="D105" t="s">
        <v>108</v>
      </c>
      <c r="E105">
        <v>11</v>
      </c>
      <c r="F105">
        <v>27</v>
      </c>
      <c r="G105">
        <v>11</v>
      </c>
      <c r="H105">
        <v>11</v>
      </c>
      <c r="I105">
        <v>11</v>
      </c>
      <c r="J105" t="s">
        <v>290</v>
      </c>
      <c r="K105">
        <v>76000</v>
      </c>
      <c r="L105">
        <v>26</v>
      </c>
      <c r="M105">
        <v>76000</v>
      </c>
      <c r="N105">
        <v>76000</v>
      </c>
      <c r="O105">
        <v>76000</v>
      </c>
      <c r="P105" t="s">
        <v>302</v>
      </c>
      <c r="Q105" t="s">
        <v>305</v>
      </c>
    </row>
    <row r="106" spans="1:17" x14ac:dyDescent="0.35">
      <c r="A106" t="s">
        <v>66</v>
      </c>
      <c r="B106" t="s">
        <v>229</v>
      </c>
      <c r="C106" t="s">
        <v>116</v>
      </c>
      <c r="E106">
        <v>4.1500000000000004</v>
      </c>
      <c r="F106">
        <v>102</v>
      </c>
      <c r="G106">
        <v>4.1500000000000004</v>
      </c>
      <c r="H106">
        <v>4.1500000000000004</v>
      </c>
      <c r="I106">
        <v>4.1500000000000004</v>
      </c>
      <c r="J106" t="s">
        <v>294</v>
      </c>
      <c r="K106">
        <v>39870</v>
      </c>
      <c r="L106">
        <v>5</v>
      </c>
      <c r="M106">
        <v>39870</v>
      </c>
      <c r="N106">
        <v>39870</v>
      </c>
      <c r="O106">
        <v>39870</v>
      </c>
      <c r="P106" t="s">
        <v>285</v>
      </c>
      <c r="Q106" t="s">
        <v>305</v>
      </c>
    </row>
    <row r="107" spans="1:17" x14ac:dyDescent="0.35">
      <c r="A107" t="s">
        <v>67</v>
      </c>
      <c r="B107" t="s">
        <v>224</v>
      </c>
      <c r="C107" t="s">
        <v>110</v>
      </c>
      <c r="D107" t="s">
        <v>109</v>
      </c>
      <c r="E107">
        <v>6.1</v>
      </c>
      <c r="F107">
        <v>10</v>
      </c>
      <c r="G107">
        <v>6.1</v>
      </c>
      <c r="H107">
        <v>6.1</v>
      </c>
      <c r="I107">
        <v>6.1</v>
      </c>
      <c r="J107" t="s">
        <v>285</v>
      </c>
      <c r="K107">
        <v>34000</v>
      </c>
      <c r="L107">
        <v>5</v>
      </c>
      <c r="M107">
        <v>34000</v>
      </c>
      <c r="N107">
        <v>34000</v>
      </c>
      <c r="O107">
        <v>34000</v>
      </c>
      <c r="P107" t="s">
        <v>285</v>
      </c>
      <c r="Q107" t="s">
        <v>305</v>
      </c>
    </row>
    <row r="108" spans="1:17" x14ac:dyDescent="0.35">
      <c r="A108" t="s">
        <v>68</v>
      </c>
      <c r="B108" t="s">
        <v>225</v>
      </c>
      <c r="C108" t="s">
        <v>111</v>
      </c>
      <c r="E108">
        <v>161.6</v>
      </c>
      <c r="F108">
        <v>3</v>
      </c>
      <c r="G108">
        <v>161.6</v>
      </c>
      <c r="H108">
        <v>161.6</v>
      </c>
      <c r="I108">
        <v>161.6</v>
      </c>
      <c r="J108" t="s">
        <v>285</v>
      </c>
      <c r="K108">
        <v>48700</v>
      </c>
      <c r="L108">
        <v>2</v>
      </c>
      <c r="M108">
        <v>48700</v>
      </c>
      <c r="N108">
        <v>48700</v>
      </c>
      <c r="O108">
        <v>48700</v>
      </c>
      <c r="P108" t="s">
        <v>285</v>
      </c>
      <c r="Q108" t="s">
        <v>305</v>
      </c>
    </row>
    <row r="109" spans="1:17" x14ac:dyDescent="0.35">
      <c r="A109" t="s">
        <v>69</v>
      </c>
      <c r="B109" t="s">
        <v>87</v>
      </c>
      <c r="C109" t="s">
        <v>112</v>
      </c>
      <c r="E109">
        <v>2.6000000000000002E-2</v>
      </c>
      <c r="F109">
        <v>44</v>
      </c>
      <c r="G109">
        <v>2.6000000000000002E-2</v>
      </c>
      <c r="H109">
        <v>2.6000000000000002E-2</v>
      </c>
      <c r="I109">
        <v>2.6000000000000002E-2</v>
      </c>
      <c r="J109" t="s">
        <v>291</v>
      </c>
      <c r="K109">
        <v>52000</v>
      </c>
      <c r="L109">
        <v>1</v>
      </c>
      <c r="M109">
        <v>52000</v>
      </c>
      <c r="N109">
        <v>52000</v>
      </c>
      <c r="O109">
        <v>52000</v>
      </c>
      <c r="P109" t="s">
        <v>285</v>
      </c>
      <c r="Q109" t="s">
        <v>305</v>
      </c>
    </row>
    <row r="110" spans="1:17" x14ac:dyDescent="0.35">
      <c r="A110" t="s">
        <v>52</v>
      </c>
      <c r="B110" t="s">
        <v>210</v>
      </c>
      <c r="C110" t="s">
        <v>98</v>
      </c>
      <c r="D110" t="s">
        <v>98</v>
      </c>
      <c r="E110">
        <v>0.22800000000000001</v>
      </c>
      <c r="F110">
        <v>6</v>
      </c>
      <c r="G110">
        <v>0.22800000000000001</v>
      </c>
      <c r="H110">
        <v>0.22800000000000001</v>
      </c>
      <c r="I110">
        <v>0.22800000000000001</v>
      </c>
      <c r="J110" t="s">
        <v>284</v>
      </c>
      <c r="K110">
        <v>76500</v>
      </c>
      <c r="L110">
        <v>18</v>
      </c>
      <c r="M110">
        <v>76500</v>
      </c>
      <c r="N110">
        <v>76500</v>
      </c>
      <c r="O110">
        <v>76500</v>
      </c>
      <c r="P110" t="s">
        <v>285</v>
      </c>
      <c r="Q110" t="s">
        <v>305</v>
      </c>
    </row>
    <row r="111" spans="1:17" x14ac:dyDescent="0.35">
      <c r="A111" t="s">
        <v>53</v>
      </c>
      <c r="B111" t="s">
        <v>211</v>
      </c>
      <c r="C111" t="s">
        <v>99</v>
      </c>
      <c r="Q111" t="s">
        <v>305</v>
      </c>
    </row>
    <row r="112" spans="1:17" x14ac:dyDescent="0.35">
      <c r="A112" t="s">
        <v>54</v>
      </c>
      <c r="B112" t="s">
        <v>212</v>
      </c>
      <c r="C112" t="s">
        <v>100</v>
      </c>
      <c r="D112" t="s">
        <v>100</v>
      </c>
      <c r="E112">
        <v>2.2000000000000002</v>
      </c>
      <c r="F112">
        <v>4</v>
      </c>
      <c r="G112">
        <v>2.2000000000000002</v>
      </c>
      <c r="H112">
        <v>2.2000000000000002</v>
      </c>
      <c r="I112">
        <v>2.2000000000000002</v>
      </c>
      <c r="J112" t="s">
        <v>285</v>
      </c>
      <c r="K112">
        <v>35000</v>
      </c>
      <c r="L112">
        <v>12</v>
      </c>
      <c r="M112">
        <v>35000</v>
      </c>
      <c r="N112">
        <v>35000</v>
      </c>
      <c r="O112">
        <v>35000</v>
      </c>
      <c r="P112" t="s">
        <v>298</v>
      </c>
      <c r="Q112" t="s">
        <v>305</v>
      </c>
    </row>
    <row r="113" spans="1:17" x14ac:dyDescent="0.35">
      <c r="A113" t="s">
        <v>55</v>
      </c>
      <c r="B113" t="s">
        <v>213</v>
      </c>
      <c r="C113" t="s">
        <v>101</v>
      </c>
      <c r="D113" t="s">
        <v>101</v>
      </c>
      <c r="E113">
        <v>110.05</v>
      </c>
      <c r="F113">
        <v>82</v>
      </c>
      <c r="G113">
        <v>110.05</v>
      </c>
      <c r="H113">
        <v>110.05</v>
      </c>
      <c r="I113">
        <v>110.05</v>
      </c>
      <c r="J113" t="s">
        <v>286</v>
      </c>
      <c r="K113">
        <v>64200</v>
      </c>
      <c r="L113">
        <v>69</v>
      </c>
      <c r="M113">
        <v>64200</v>
      </c>
      <c r="N113">
        <v>64200</v>
      </c>
      <c r="O113">
        <v>64200</v>
      </c>
      <c r="P113" t="s">
        <v>299</v>
      </c>
      <c r="Q113" t="s">
        <v>305</v>
      </c>
    </row>
    <row r="114" spans="1:17" x14ac:dyDescent="0.35">
      <c r="A114" t="s">
        <v>56</v>
      </c>
      <c r="B114" t="s">
        <v>214</v>
      </c>
      <c r="C114" t="s">
        <v>101</v>
      </c>
      <c r="E114">
        <v>110.05</v>
      </c>
      <c r="F114">
        <v>82</v>
      </c>
      <c r="G114">
        <v>110.05</v>
      </c>
      <c r="H114">
        <v>110.05</v>
      </c>
      <c r="I114">
        <v>110.05</v>
      </c>
      <c r="J114" t="s">
        <v>286</v>
      </c>
      <c r="K114">
        <v>64200</v>
      </c>
      <c r="L114">
        <v>69</v>
      </c>
      <c r="M114">
        <v>64200</v>
      </c>
      <c r="N114">
        <v>64200</v>
      </c>
      <c r="O114">
        <v>64200</v>
      </c>
      <c r="P114" t="s">
        <v>299</v>
      </c>
      <c r="Q114" t="s">
        <v>305</v>
      </c>
    </row>
    <row r="115" spans="1:17" x14ac:dyDescent="0.35">
      <c r="A115" t="s">
        <v>57</v>
      </c>
      <c r="B115" t="s">
        <v>215</v>
      </c>
      <c r="C115" t="s">
        <v>102</v>
      </c>
      <c r="D115" t="s">
        <v>102</v>
      </c>
      <c r="E115">
        <v>1.7470000000000001</v>
      </c>
      <c r="F115">
        <v>9</v>
      </c>
      <c r="G115">
        <v>1.7470000000000001</v>
      </c>
      <c r="H115">
        <v>1.7470000000000001</v>
      </c>
      <c r="I115">
        <v>1.7470000000000001</v>
      </c>
      <c r="J115" t="s">
        <v>285</v>
      </c>
      <c r="K115">
        <v>35000</v>
      </c>
      <c r="L115">
        <v>1</v>
      </c>
      <c r="M115">
        <v>35000</v>
      </c>
      <c r="N115">
        <v>35000</v>
      </c>
      <c r="O115">
        <v>35000</v>
      </c>
      <c r="P115" t="s">
        <v>285</v>
      </c>
      <c r="Q115" t="s">
        <v>305</v>
      </c>
    </row>
    <row r="116" spans="1:17" x14ac:dyDescent="0.35">
      <c r="A116" t="s">
        <v>58</v>
      </c>
      <c r="B116" t="s">
        <v>216</v>
      </c>
      <c r="C116" t="s">
        <v>101</v>
      </c>
      <c r="D116" t="s">
        <v>101</v>
      </c>
      <c r="E116">
        <v>110.05</v>
      </c>
      <c r="F116">
        <v>82</v>
      </c>
      <c r="G116">
        <v>110.05</v>
      </c>
      <c r="H116">
        <v>110.05</v>
      </c>
      <c r="I116">
        <v>110.05</v>
      </c>
      <c r="J116" t="s">
        <v>286</v>
      </c>
      <c r="K116">
        <v>64200</v>
      </c>
      <c r="L116">
        <v>69</v>
      </c>
      <c r="M116">
        <v>64200</v>
      </c>
      <c r="N116">
        <v>64200</v>
      </c>
      <c r="O116">
        <v>64200</v>
      </c>
      <c r="P116" t="s">
        <v>299</v>
      </c>
      <c r="Q116" t="s">
        <v>305</v>
      </c>
    </row>
    <row r="117" spans="1:17" x14ac:dyDescent="0.35">
      <c r="A117" t="s">
        <v>59</v>
      </c>
      <c r="B117" t="s">
        <v>217</v>
      </c>
      <c r="C117" t="s">
        <v>103</v>
      </c>
      <c r="D117" t="s">
        <v>156</v>
      </c>
      <c r="E117">
        <v>400</v>
      </c>
      <c r="F117">
        <v>9</v>
      </c>
      <c r="G117">
        <v>400</v>
      </c>
      <c r="H117">
        <v>400</v>
      </c>
      <c r="I117">
        <v>400</v>
      </c>
      <c r="J117" t="s">
        <v>287</v>
      </c>
      <c r="K117">
        <v>87500</v>
      </c>
      <c r="L117">
        <v>30</v>
      </c>
      <c r="M117">
        <v>87500</v>
      </c>
      <c r="N117">
        <v>87500</v>
      </c>
      <c r="O117">
        <v>87500</v>
      </c>
      <c r="P117" t="s">
        <v>300</v>
      </c>
      <c r="Q117" t="s">
        <v>305</v>
      </c>
    </row>
    <row r="118" spans="1:17" x14ac:dyDescent="0.35">
      <c r="A118" t="s">
        <v>60</v>
      </c>
      <c r="B118" t="s">
        <v>218</v>
      </c>
      <c r="C118" t="s">
        <v>104</v>
      </c>
      <c r="E118">
        <v>56.35</v>
      </c>
      <c r="F118">
        <v>5</v>
      </c>
      <c r="G118">
        <v>56.35</v>
      </c>
      <c r="H118">
        <v>56.35</v>
      </c>
      <c r="I118">
        <v>56.35</v>
      </c>
      <c r="J118" t="s">
        <v>285</v>
      </c>
      <c r="K118">
        <v>64500</v>
      </c>
      <c r="L118">
        <v>4</v>
      </c>
      <c r="M118">
        <v>64500</v>
      </c>
      <c r="N118">
        <v>64500</v>
      </c>
      <c r="O118">
        <v>64500</v>
      </c>
      <c r="P118" t="s">
        <v>285</v>
      </c>
      <c r="Q118" t="s">
        <v>305</v>
      </c>
    </row>
    <row r="119" spans="1:17" x14ac:dyDescent="0.35">
      <c r="A119" t="s">
        <v>61</v>
      </c>
      <c r="B119" t="s">
        <v>219</v>
      </c>
      <c r="C119" t="s">
        <v>105</v>
      </c>
      <c r="D119" t="s">
        <v>105</v>
      </c>
      <c r="E119">
        <v>0.36291999999999996</v>
      </c>
      <c r="F119">
        <v>2</v>
      </c>
      <c r="G119">
        <v>0.36291999999999996</v>
      </c>
      <c r="H119">
        <v>0.36291999999999996</v>
      </c>
      <c r="I119">
        <v>0.36291999999999996</v>
      </c>
      <c r="J119" t="s">
        <v>288</v>
      </c>
      <c r="K119">
        <v>45647</v>
      </c>
      <c r="L119">
        <v>3</v>
      </c>
      <c r="M119">
        <v>45647</v>
      </c>
      <c r="N119">
        <v>45647</v>
      </c>
      <c r="O119">
        <v>45647</v>
      </c>
      <c r="P119" t="s">
        <v>301</v>
      </c>
      <c r="Q119" t="s">
        <v>305</v>
      </c>
    </row>
    <row r="120" spans="1:17" x14ac:dyDescent="0.35">
      <c r="A120" t="s">
        <v>62</v>
      </c>
      <c r="B120" t="s">
        <v>280</v>
      </c>
      <c r="Q120" t="s">
        <v>305</v>
      </c>
    </row>
    <row r="121" spans="1:17" x14ac:dyDescent="0.35">
      <c r="A121" t="s">
        <v>63</v>
      </c>
      <c r="B121" t="s">
        <v>220</v>
      </c>
      <c r="C121" t="s">
        <v>106</v>
      </c>
      <c r="D121" t="s">
        <v>106</v>
      </c>
      <c r="E121">
        <v>2.085</v>
      </c>
      <c r="F121">
        <v>1</v>
      </c>
      <c r="G121">
        <v>2.085</v>
      </c>
      <c r="H121">
        <v>2.085</v>
      </c>
      <c r="I121">
        <v>2.085</v>
      </c>
      <c r="J121" t="s">
        <v>289</v>
      </c>
      <c r="K121">
        <v>83500</v>
      </c>
      <c r="L121">
        <v>3</v>
      </c>
      <c r="M121">
        <v>83500</v>
      </c>
      <c r="N121">
        <v>83500</v>
      </c>
      <c r="O121">
        <v>83500</v>
      </c>
      <c r="P121" t="s">
        <v>289</v>
      </c>
      <c r="Q121" t="s">
        <v>305</v>
      </c>
    </row>
    <row r="122" spans="1:17" x14ac:dyDescent="0.35">
      <c r="A122" t="s">
        <v>64</v>
      </c>
      <c r="B122" t="s">
        <v>221</v>
      </c>
      <c r="C122" t="s">
        <v>107</v>
      </c>
      <c r="D122" t="s">
        <v>107</v>
      </c>
      <c r="E122">
        <v>1.49</v>
      </c>
      <c r="F122">
        <v>22</v>
      </c>
      <c r="G122">
        <v>1.49</v>
      </c>
      <c r="H122">
        <v>1.49</v>
      </c>
      <c r="I122">
        <v>1.49</v>
      </c>
      <c r="J122" t="s">
        <v>285</v>
      </c>
      <c r="K122">
        <v>72400</v>
      </c>
      <c r="L122">
        <v>6</v>
      </c>
      <c r="M122">
        <v>72400</v>
      </c>
      <c r="N122">
        <v>72400</v>
      </c>
      <c r="O122">
        <v>72400</v>
      </c>
      <c r="P122" t="s">
        <v>285</v>
      </c>
      <c r="Q122" t="s">
        <v>305</v>
      </c>
    </row>
    <row r="123" spans="1:17" x14ac:dyDescent="0.35">
      <c r="A123" t="s">
        <v>65</v>
      </c>
      <c r="B123" t="s">
        <v>222</v>
      </c>
      <c r="C123" t="s">
        <v>108</v>
      </c>
      <c r="D123" t="s">
        <v>108</v>
      </c>
      <c r="E123">
        <v>11</v>
      </c>
      <c r="F123">
        <v>27</v>
      </c>
      <c r="G123">
        <v>11</v>
      </c>
      <c r="H123">
        <v>11</v>
      </c>
      <c r="I123">
        <v>11</v>
      </c>
      <c r="J123" t="s">
        <v>290</v>
      </c>
      <c r="K123">
        <v>76000</v>
      </c>
      <c r="L123">
        <v>26</v>
      </c>
      <c r="M123">
        <v>76000</v>
      </c>
      <c r="N123">
        <v>76000</v>
      </c>
      <c r="O123">
        <v>76000</v>
      </c>
      <c r="P123" t="s">
        <v>302</v>
      </c>
      <c r="Q123" t="s">
        <v>305</v>
      </c>
    </row>
    <row r="124" spans="1:17" x14ac:dyDescent="0.35">
      <c r="A124" t="s">
        <v>66</v>
      </c>
      <c r="B124" t="s">
        <v>230</v>
      </c>
      <c r="C124" t="s">
        <v>117</v>
      </c>
      <c r="D124" t="s">
        <v>117</v>
      </c>
      <c r="E124">
        <v>150</v>
      </c>
      <c r="F124">
        <v>71</v>
      </c>
      <c r="G124">
        <v>150</v>
      </c>
      <c r="H124">
        <v>150</v>
      </c>
      <c r="I124">
        <v>150</v>
      </c>
      <c r="J124" t="s">
        <v>295</v>
      </c>
      <c r="K124">
        <v>30500</v>
      </c>
      <c r="L124">
        <v>64</v>
      </c>
      <c r="M124">
        <v>30500</v>
      </c>
      <c r="N124">
        <v>30500</v>
      </c>
      <c r="O124">
        <v>30500</v>
      </c>
      <c r="P124" t="s">
        <v>303</v>
      </c>
      <c r="Q124" t="s">
        <v>305</v>
      </c>
    </row>
    <row r="125" spans="1:17" x14ac:dyDescent="0.35">
      <c r="A125" t="s">
        <v>67</v>
      </c>
      <c r="B125" t="s">
        <v>224</v>
      </c>
      <c r="C125" t="s">
        <v>110</v>
      </c>
      <c r="D125" t="s">
        <v>109</v>
      </c>
      <c r="E125">
        <v>6.1</v>
      </c>
      <c r="F125">
        <v>10</v>
      </c>
      <c r="G125">
        <v>6.1</v>
      </c>
      <c r="H125">
        <v>6.1</v>
      </c>
      <c r="I125">
        <v>6.1</v>
      </c>
      <c r="J125" t="s">
        <v>285</v>
      </c>
      <c r="K125">
        <v>34000</v>
      </c>
      <c r="L125">
        <v>5</v>
      </c>
      <c r="M125">
        <v>34000</v>
      </c>
      <c r="N125">
        <v>34000</v>
      </c>
      <c r="O125">
        <v>34000</v>
      </c>
      <c r="P125" t="s">
        <v>285</v>
      </c>
      <c r="Q125" t="s">
        <v>305</v>
      </c>
    </row>
    <row r="126" spans="1:17" x14ac:dyDescent="0.35">
      <c r="A126" t="s">
        <v>68</v>
      </c>
      <c r="B126" t="s">
        <v>225</v>
      </c>
      <c r="C126" t="s">
        <v>111</v>
      </c>
      <c r="E126">
        <v>161.6</v>
      </c>
      <c r="F126">
        <v>3</v>
      </c>
      <c r="G126">
        <v>161.6</v>
      </c>
      <c r="H126">
        <v>161.6</v>
      </c>
      <c r="I126">
        <v>161.6</v>
      </c>
      <c r="J126" t="s">
        <v>285</v>
      </c>
      <c r="K126">
        <v>48700</v>
      </c>
      <c r="L126">
        <v>2</v>
      </c>
      <c r="M126">
        <v>48700</v>
      </c>
      <c r="N126">
        <v>48700</v>
      </c>
      <c r="O126">
        <v>48700</v>
      </c>
      <c r="P126" t="s">
        <v>285</v>
      </c>
      <c r="Q126" t="s">
        <v>305</v>
      </c>
    </row>
    <row r="127" spans="1:17" x14ac:dyDescent="0.35">
      <c r="A127" t="s">
        <v>69</v>
      </c>
      <c r="B127" t="s">
        <v>87</v>
      </c>
      <c r="C127" t="s">
        <v>112</v>
      </c>
      <c r="E127">
        <v>2.6000000000000002E-2</v>
      </c>
      <c r="F127">
        <v>44</v>
      </c>
      <c r="G127">
        <v>2.6000000000000002E-2</v>
      </c>
      <c r="H127">
        <v>2.6000000000000002E-2</v>
      </c>
      <c r="I127">
        <v>2.6000000000000002E-2</v>
      </c>
      <c r="J127" t="s">
        <v>291</v>
      </c>
      <c r="K127">
        <v>52000</v>
      </c>
      <c r="L127">
        <v>1</v>
      </c>
      <c r="M127">
        <v>52000</v>
      </c>
      <c r="N127">
        <v>52000</v>
      </c>
      <c r="O127">
        <v>52000</v>
      </c>
      <c r="P127" t="s">
        <v>285</v>
      </c>
      <c r="Q127" t="s">
        <v>305</v>
      </c>
    </row>
    <row r="128" spans="1:17" x14ac:dyDescent="0.35">
      <c r="A128" t="s">
        <v>52</v>
      </c>
      <c r="B128" t="s">
        <v>210</v>
      </c>
      <c r="C128" t="s">
        <v>98</v>
      </c>
      <c r="D128" t="s">
        <v>98</v>
      </c>
      <c r="E128">
        <v>0.22800000000000001</v>
      </c>
      <c r="F128">
        <v>6</v>
      </c>
      <c r="G128">
        <v>0.22800000000000001</v>
      </c>
      <c r="H128">
        <v>0.22800000000000001</v>
      </c>
      <c r="I128">
        <v>0.22800000000000001</v>
      </c>
      <c r="J128" t="s">
        <v>284</v>
      </c>
      <c r="K128">
        <v>76500</v>
      </c>
      <c r="L128">
        <v>18</v>
      </c>
      <c r="M128">
        <v>76500</v>
      </c>
      <c r="N128">
        <v>76500</v>
      </c>
      <c r="O128">
        <v>76500</v>
      </c>
      <c r="P128" t="s">
        <v>285</v>
      </c>
      <c r="Q128" t="s">
        <v>305</v>
      </c>
    </row>
    <row r="129" spans="1:17" x14ac:dyDescent="0.35">
      <c r="A129" t="s">
        <v>53</v>
      </c>
      <c r="B129" t="s">
        <v>211</v>
      </c>
      <c r="C129" t="s">
        <v>99</v>
      </c>
      <c r="Q129" t="s">
        <v>305</v>
      </c>
    </row>
    <row r="130" spans="1:17" x14ac:dyDescent="0.35">
      <c r="A130" t="s">
        <v>54</v>
      </c>
      <c r="B130" t="s">
        <v>212</v>
      </c>
      <c r="C130" t="s">
        <v>100</v>
      </c>
      <c r="D130" t="s">
        <v>100</v>
      </c>
      <c r="E130">
        <v>2.2000000000000002</v>
      </c>
      <c r="F130">
        <v>4</v>
      </c>
      <c r="G130">
        <v>2.2000000000000002</v>
      </c>
      <c r="H130">
        <v>2.2000000000000002</v>
      </c>
      <c r="I130">
        <v>2.2000000000000002</v>
      </c>
      <c r="J130" t="s">
        <v>285</v>
      </c>
      <c r="K130">
        <v>35000</v>
      </c>
      <c r="L130">
        <v>12</v>
      </c>
      <c r="M130">
        <v>35000</v>
      </c>
      <c r="N130">
        <v>35000</v>
      </c>
      <c r="O130">
        <v>35000</v>
      </c>
      <c r="P130" t="s">
        <v>298</v>
      </c>
      <c r="Q130" t="s">
        <v>305</v>
      </c>
    </row>
    <row r="131" spans="1:17" x14ac:dyDescent="0.35">
      <c r="A131" t="s">
        <v>55</v>
      </c>
      <c r="B131" t="s">
        <v>213</v>
      </c>
      <c r="C131" t="s">
        <v>101</v>
      </c>
      <c r="D131" t="s">
        <v>101</v>
      </c>
      <c r="E131">
        <v>110.05</v>
      </c>
      <c r="F131">
        <v>82</v>
      </c>
      <c r="G131">
        <v>110.05</v>
      </c>
      <c r="H131">
        <v>110.05</v>
      </c>
      <c r="I131">
        <v>110.05</v>
      </c>
      <c r="J131" t="s">
        <v>286</v>
      </c>
      <c r="K131">
        <v>64200</v>
      </c>
      <c r="L131">
        <v>69</v>
      </c>
      <c r="M131">
        <v>64200</v>
      </c>
      <c r="N131">
        <v>64200</v>
      </c>
      <c r="O131">
        <v>64200</v>
      </c>
      <c r="P131" t="s">
        <v>299</v>
      </c>
      <c r="Q131" t="s">
        <v>305</v>
      </c>
    </row>
    <row r="132" spans="1:17" x14ac:dyDescent="0.35">
      <c r="A132" t="s">
        <v>56</v>
      </c>
      <c r="B132" t="s">
        <v>214</v>
      </c>
      <c r="C132" t="s">
        <v>101</v>
      </c>
      <c r="E132">
        <v>110.05</v>
      </c>
      <c r="F132">
        <v>82</v>
      </c>
      <c r="G132">
        <v>110.05</v>
      </c>
      <c r="H132">
        <v>110.05</v>
      </c>
      <c r="I132">
        <v>110.05</v>
      </c>
      <c r="J132" t="s">
        <v>286</v>
      </c>
      <c r="K132">
        <v>64200</v>
      </c>
      <c r="L132">
        <v>69</v>
      </c>
      <c r="M132">
        <v>64200</v>
      </c>
      <c r="N132">
        <v>64200</v>
      </c>
      <c r="O132">
        <v>64200</v>
      </c>
      <c r="P132" t="s">
        <v>299</v>
      </c>
      <c r="Q132" t="s">
        <v>305</v>
      </c>
    </row>
    <row r="133" spans="1:17" x14ac:dyDescent="0.35">
      <c r="A133" t="s">
        <v>57</v>
      </c>
      <c r="B133" t="s">
        <v>215</v>
      </c>
      <c r="C133" t="s">
        <v>102</v>
      </c>
      <c r="D133" t="s">
        <v>102</v>
      </c>
      <c r="E133">
        <v>1.7470000000000001</v>
      </c>
      <c r="F133">
        <v>9</v>
      </c>
      <c r="G133">
        <v>1.7470000000000001</v>
      </c>
      <c r="H133">
        <v>1.7470000000000001</v>
      </c>
      <c r="I133">
        <v>1.7470000000000001</v>
      </c>
      <c r="J133" t="s">
        <v>285</v>
      </c>
      <c r="K133">
        <v>35000</v>
      </c>
      <c r="L133">
        <v>1</v>
      </c>
      <c r="M133">
        <v>35000</v>
      </c>
      <c r="N133">
        <v>35000</v>
      </c>
      <c r="O133">
        <v>35000</v>
      </c>
      <c r="P133" t="s">
        <v>285</v>
      </c>
      <c r="Q133" t="s">
        <v>305</v>
      </c>
    </row>
    <row r="134" spans="1:17" x14ac:dyDescent="0.35">
      <c r="A134" t="s">
        <v>58</v>
      </c>
      <c r="B134" t="s">
        <v>216</v>
      </c>
      <c r="C134" t="s">
        <v>101</v>
      </c>
      <c r="D134" t="s">
        <v>101</v>
      </c>
      <c r="E134">
        <v>110.05</v>
      </c>
      <c r="F134">
        <v>82</v>
      </c>
      <c r="G134">
        <v>110.05</v>
      </c>
      <c r="H134">
        <v>110.05</v>
      </c>
      <c r="I134">
        <v>110.05</v>
      </c>
      <c r="J134" t="s">
        <v>286</v>
      </c>
      <c r="K134">
        <v>64200</v>
      </c>
      <c r="L134">
        <v>69</v>
      </c>
      <c r="M134">
        <v>64200</v>
      </c>
      <c r="N134">
        <v>64200</v>
      </c>
      <c r="O134">
        <v>64200</v>
      </c>
      <c r="P134" t="s">
        <v>299</v>
      </c>
      <c r="Q134" t="s">
        <v>305</v>
      </c>
    </row>
    <row r="135" spans="1:17" x14ac:dyDescent="0.35">
      <c r="A135" t="s">
        <v>59</v>
      </c>
      <c r="B135" t="s">
        <v>217</v>
      </c>
      <c r="C135" t="s">
        <v>103</v>
      </c>
      <c r="D135" t="s">
        <v>156</v>
      </c>
      <c r="E135">
        <v>400</v>
      </c>
      <c r="F135">
        <v>9</v>
      </c>
      <c r="G135">
        <v>400</v>
      </c>
      <c r="H135">
        <v>400</v>
      </c>
      <c r="I135">
        <v>400</v>
      </c>
      <c r="J135" t="s">
        <v>287</v>
      </c>
      <c r="K135">
        <v>87500</v>
      </c>
      <c r="L135">
        <v>30</v>
      </c>
      <c r="M135">
        <v>87500</v>
      </c>
      <c r="N135">
        <v>87500</v>
      </c>
      <c r="O135">
        <v>87500</v>
      </c>
      <c r="P135" t="s">
        <v>300</v>
      </c>
      <c r="Q135" t="s">
        <v>305</v>
      </c>
    </row>
    <row r="136" spans="1:17" x14ac:dyDescent="0.35">
      <c r="A136" t="s">
        <v>60</v>
      </c>
      <c r="B136" t="s">
        <v>218</v>
      </c>
      <c r="C136" t="s">
        <v>104</v>
      </c>
      <c r="E136">
        <v>56.35</v>
      </c>
      <c r="F136">
        <v>5</v>
      </c>
      <c r="G136">
        <v>56.35</v>
      </c>
      <c r="H136">
        <v>56.35</v>
      </c>
      <c r="I136">
        <v>56.35</v>
      </c>
      <c r="J136" t="s">
        <v>285</v>
      </c>
      <c r="K136">
        <v>64500</v>
      </c>
      <c r="L136">
        <v>4</v>
      </c>
      <c r="M136">
        <v>64500</v>
      </c>
      <c r="N136">
        <v>64500</v>
      </c>
      <c r="O136">
        <v>64500</v>
      </c>
      <c r="P136" t="s">
        <v>285</v>
      </c>
      <c r="Q136" t="s">
        <v>305</v>
      </c>
    </row>
    <row r="137" spans="1:17" x14ac:dyDescent="0.35">
      <c r="A137" t="s">
        <v>61</v>
      </c>
      <c r="B137" t="s">
        <v>219</v>
      </c>
      <c r="C137" t="s">
        <v>105</v>
      </c>
      <c r="D137" t="s">
        <v>105</v>
      </c>
      <c r="E137">
        <v>0.36291999999999996</v>
      </c>
      <c r="F137">
        <v>2</v>
      </c>
      <c r="G137">
        <v>0.36291999999999996</v>
      </c>
      <c r="H137">
        <v>0.36291999999999996</v>
      </c>
      <c r="I137">
        <v>0.36291999999999996</v>
      </c>
      <c r="J137" t="s">
        <v>288</v>
      </c>
      <c r="K137">
        <v>45647</v>
      </c>
      <c r="L137">
        <v>3</v>
      </c>
      <c r="M137">
        <v>45647</v>
      </c>
      <c r="N137">
        <v>45647</v>
      </c>
      <c r="O137">
        <v>45647</v>
      </c>
      <c r="P137" t="s">
        <v>301</v>
      </c>
      <c r="Q137" t="s">
        <v>305</v>
      </c>
    </row>
    <row r="138" spans="1:17" x14ac:dyDescent="0.35">
      <c r="A138" t="s">
        <v>62</v>
      </c>
      <c r="B138" t="s">
        <v>280</v>
      </c>
      <c r="Q138" t="s">
        <v>305</v>
      </c>
    </row>
    <row r="139" spans="1:17" x14ac:dyDescent="0.35">
      <c r="A139" t="s">
        <v>63</v>
      </c>
      <c r="B139" t="s">
        <v>220</v>
      </c>
      <c r="C139" t="s">
        <v>106</v>
      </c>
      <c r="D139" t="s">
        <v>106</v>
      </c>
      <c r="E139">
        <v>2.085</v>
      </c>
      <c r="F139">
        <v>1</v>
      </c>
      <c r="G139">
        <v>2.085</v>
      </c>
      <c r="H139">
        <v>2.085</v>
      </c>
      <c r="I139">
        <v>2.085</v>
      </c>
      <c r="J139" t="s">
        <v>289</v>
      </c>
      <c r="K139">
        <v>83500</v>
      </c>
      <c r="L139">
        <v>3</v>
      </c>
      <c r="M139">
        <v>83500</v>
      </c>
      <c r="N139">
        <v>83500</v>
      </c>
      <c r="O139">
        <v>83500</v>
      </c>
      <c r="P139" t="s">
        <v>289</v>
      </c>
      <c r="Q139" t="s">
        <v>305</v>
      </c>
    </row>
    <row r="140" spans="1:17" x14ac:dyDescent="0.35">
      <c r="A140" t="s">
        <v>64</v>
      </c>
      <c r="B140" t="s">
        <v>221</v>
      </c>
      <c r="C140" t="s">
        <v>107</v>
      </c>
      <c r="D140" t="s">
        <v>107</v>
      </c>
      <c r="E140">
        <v>1.49</v>
      </c>
      <c r="F140">
        <v>22</v>
      </c>
      <c r="G140">
        <v>1.49</v>
      </c>
      <c r="H140">
        <v>1.49</v>
      </c>
      <c r="I140">
        <v>1.49</v>
      </c>
      <c r="J140" t="s">
        <v>285</v>
      </c>
      <c r="K140">
        <v>72400</v>
      </c>
      <c r="L140">
        <v>6</v>
      </c>
      <c r="M140">
        <v>72400</v>
      </c>
      <c r="N140">
        <v>72400</v>
      </c>
      <c r="O140">
        <v>72400</v>
      </c>
      <c r="P140" t="s">
        <v>285</v>
      </c>
      <c r="Q140" t="s">
        <v>305</v>
      </c>
    </row>
    <row r="141" spans="1:17" x14ac:dyDescent="0.35">
      <c r="A141" t="s">
        <v>65</v>
      </c>
      <c r="B141" t="s">
        <v>222</v>
      </c>
      <c r="C141" t="s">
        <v>108</v>
      </c>
      <c r="D141" t="s">
        <v>108</v>
      </c>
      <c r="E141">
        <v>11</v>
      </c>
      <c r="F141">
        <v>27</v>
      </c>
      <c r="G141">
        <v>11</v>
      </c>
      <c r="H141">
        <v>11</v>
      </c>
      <c r="I141">
        <v>11</v>
      </c>
      <c r="J141" t="s">
        <v>290</v>
      </c>
      <c r="K141">
        <v>76000</v>
      </c>
      <c r="L141">
        <v>26</v>
      </c>
      <c r="M141">
        <v>76000</v>
      </c>
      <c r="N141">
        <v>76000</v>
      </c>
      <c r="O141">
        <v>76000</v>
      </c>
      <c r="P141" t="s">
        <v>302</v>
      </c>
      <c r="Q141" t="s">
        <v>305</v>
      </c>
    </row>
    <row r="142" spans="1:17" x14ac:dyDescent="0.35">
      <c r="A142" t="s">
        <v>66</v>
      </c>
      <c r="B142" t="s">
        <v>231</v>
      </c>
      <c r="C142" t="s">
        <v>118</v>
      </c>
      <c r="D142" t="s">
        <v>118</v>
      </c>
      <c r="E142">
        <v>7.26</v>
      </c>
      <c r="F142">
        <v>25</v>
      </c>
      <c r="G142">
        <v>7.26</v>
      </c>
      <c r="H142">
        <v>7.26</v>
      </c>
      <c r="I142">
        <v>7.26</v>
      </c>
      <c r="J142" t="s">
        <v>285</v>
      </c>
      <c r="K142">
        <v>25630</v>
      </c>
      <c r="L142">
        <v>1</v>
      </c>
      <c r="M142">
        <v>25630</v>
      </c>
      <c r="N142">
        <v>25630</v>
      </c>
      <c r="O142">
        <v>25630</v>
      </c>
      <c r="P142" t="s">
        <v>285</v>
      </c>
      <c r="Q142" t="s">
        <v>305</v>
      </c>
    </row>
    <row r="143" spans="1:17" x14ac:dyDescent="0.35">
      <c r="A143" t="s">
        <v>67</v>
      </c>
      <c r="B143" t="s">
        <v>224</v>
      </c>
      <c r="C143" t="s">
        <v>110</v>
      </c>
      <c r="D143" t="s">
        <v>109</v>
      </c>
      <c r="E143">
        <v>6.1</v>
      </c>
      <c r="F143">
        <v>10</v>
      </c>
      <c r="G143">
        <v>6.1</v>
      </c>
      <c r="H143">
        <v>6.1</v>
      </c>
      <c r="I143">
        <v>6.1</v>
      </c>
      <c r="J143" t="s">
        <v>285</v>
      </c>
      <c r="K143">
        <v>34000</v>
      </c>
      <c r="L143">
        <v>5</v>
      </c>
      <c r="M143">
        <v>34000</v>
      </c>
      <c r="N143">
        <v>34000</v>
      </c>
      <c r="O143">
        <v>34000</v>
      </c>
      <c r="P143" t="s">
        <v>285</v>
      </c>
      <c r="Q143" t="s">
        <v>305</v>
      </c>
    </row>
    <row r="144" spans="1:17" x14ac:dyDescent="0.35">
      <c r="A144" t="s">
        <v>68</v>
      </c>
      <c r="B144" t="s">
        <v>225</v>
      </c>
      <c r="C144" t="s">
        <v>111</v>
      </c>
      <c r="E144">
        <v>161.6</v>
      </c>
      <c r="F144">
        <v>3</v>
      </c>
      <c r="G144">
        <v>161.6</v>
      </c>
      <c r="H144">
        <v>161.6</v>
      </c>
      <c r="I144">
        <v>161.6</v>
      </c>
      <c r="J144" t="s">
        <v>285</v>
      </c>
      <c r="K144">
        <v>48700</v>
      </c>
      <c r="L144">
        <v>2</v>
      </c>
      <c r="M144">
        <v>48700</v>
      </c>
      <c r="N144">
        <v>48700</v>
      </c>
      <c r="O144">
        <v>48700</v>
      </c>
      <c r="P144" t="s">
        <v>285</v>
      </c>
      <c r="Q144" t="s">
        <v>305</v>
      </c>
    </row>
    <row r="145" spans="1:17" x14ac:dyDescent="0.35">
      <c r="A145" t="s">
        <v>69</v>
      </c>
      <c r="B145" t="s">
        <v>87</v>
      </c>
      <c r="C145" t="s">
        <v>112</v>
      </c>
      <c r="E145">
        <v>2.6000000000000002E-2</v>
      </c>
      <c r="F145">
        <v>44</v>
      </c>
      <c r="G145">
        <v>2.6000000000000002E-2</v>
      </c>
      <c r="H145">
        <v>2.6000000000000002E-2</v>
      </c>
      <c r="I145">
        <v>2.6000000000000002E-2</v>
      </c>
      <c r="J145" t="s">
        <v>291</v>
      </c>
      <c r="K145">
        <v>52000</v>
      </c>
      <c r="L145">
        <v>1</v>
      </c>
      <c r="M145">
        <v>52000</v>
      </c>
      <c r="N145">
        <v>52000</v>
      </c>
      <c r="O145">
        <v>52000</v>
      </c>
      <c r="P145" t="s">
        <v>285</v>
      </c>
      <c r="Q145" t="s">
        <v>305</v>
      </c>
    </row>
    <row r="146" spans="1:17" x14ac:dyDescent="0.35">
      <c r="A146" t="s">
        <v>52</v>
      </c>
      <c r="B146" t="s">
        <v>210</v>
      </c>
      <c r="C146" t="s">
        <v>98</v>
      </c>
      <c r="D146" t="s">
        <v>98</v>
      </c>
      <c r="E146">
        <v>0.22800000000000001</v>
      </c>
      <c r="F146">
        <v>6</v>
      </c>
      <c r="G146">
        <v>0.22800000000000001</v>
      </c>
      <c r="H146">
        <v>0.22800000000000001</v>
      </c>
      <c r="I146">
        <v>0.22800000000000001</v>
      </c>
      <c r="J146" t="s">
        <v>284</v>
      </c>
      <c r="K146">
        <v>76500</v>
      </c>
      <c r="L146">
        <v>18</v>
      </c>
      <c r="M146">
        <v>76500</v>
      </c>
      <c r="N146">
        <v>76500</v>
      </c>
      <c r="O146">
        <v>76500</v>
      </c>
      <c r="P146" t="s">
        <v>285</v>
      </c>
      <c r="Q146" t="s">
        <v>305</v>
      </c>
    </row>
    <row r="147" spans="1:17" x14ac:dyDescent="0.35">
      <c r="A147" t="s">
        <v>53</v>
      </c>
      <c r="B147" t="s">
        <v>211</v>
      </c>
      <c r="C147" t="s">
        <v>99</v>
      </c>
      <c r="Q147" t="s">
        <v>305</v>
      </c>
    </row>
    <row r="148" spans="1:17" x14ac:dyDescent="0.35">
      <c r="A148" t="s">
        <v>54</v>
      </c>
      <c r="B148" t="s">
        <v>212</v>
      </c>
      <c r="C148" t="s">
        <v>100</v>
      </c>
      <c r="D148" t="s">
        <v>100</v>
      </c>
      <c r="E148">
        <v>2.2000000000000002</v>
      </c>
      <c r="F148">
        <v>4</v>
      </c>
      <c r="G148">
        <v>2.2000000000000002</v>
      </c>
      <c r="H148">
        <v>2.2000000000000002</v>
      </c>
      <c r="I148">
        <v>2.2000000000000002</v>
      </c>
      <c r="J148" t="s">
        <v>285</v>
      </c>
      <c r="K148">
        <v>35000</v>
      </c>
      <c r="L148">
        <v>12</v>
      </c>
      <c r="M148">
        <v>35000</v>
      </c>
      <c r="N148">
        <v>35000</v>
      </c>
      <c r="O148">
        <v>35000</v>
      </c>
      <c r="P148" t="s">
        <v>298</v>
      </c>
      <c r="Q148" t="s">
        <v>305</v>
      </c>
    </row>
    <row r="149" spans="1:17" x14ac:dyDescent="0.35">
      <c r="A149" t="s">
        <v>55</v>
      </c>
      <c r="B149" t="s">
        <v>213</v>
      </c>
      <c r="C149" t="s">
        <v>101</v>
      </c>
      <c r="D149" t="s">
        <v>101</v>
      </c>
      <c r="E149">
        <v>110.05</v>
      </c>
      <c r="F149">
        <v>82</v>
      </c>
      <c r="G149">
        <v>110.05</v>
      </c>
      <c r="H149">
        <v>110.05</v>
      </c>
      <c r="I149">
        <v>110.05</v>
      </c>
      <c r="J149" t="s">
        <v>286</v>
      </c>
      <c r="K149">
        <v>64200</v>
      </c>
      <c r="L149">
        <v>69</v>
      </c>
      <c r="M149">
        <v>64200</v>
      </c>
      <c r="N149">
        <v>64200</v>
      </c>
      <c r="O149">
        <v>64200</v>
      </c>
      <c r="P149" t="s">
        <v>299</v>
      </c>
      <c r="Q149" t="s">
        <v>305</v>
      </c>
    </row>
    <row r="150" spans="1:17" x14ac:dyDescent="0.35">
      <c r="A150" t="s">
        <v>56</v>
      </c>
      <c r="B150" t="s">
        <v>214</v>
      </c>
      <c r="C150" t="s">
        <v>101</v>
      </c>
      <c r="E150">
        <v>110.05</v>
      </c>
      <c r="F150">
        <v>82</v>
      </c>
      <c r="G150">
        <v>110.05</v>
      </c>
      <c r="H150">
        <v>110.05</v>
      </c>
      <c r="I150">
        <v>110.05</v>
      </c>
      <c r="J150" t="s">
        <v>286</v>
      </c>
      <c r="K150">
        <v>64200</v>
      </c>
      <c r="L150">
        <v>69</v>
      </c>
      <c r="M150">
        <v>64200</v>
      </c>
      <c r="N150">
        <v>64200</v>
      </c>
      <c r="O150">
        <v>64200</v>
      </c>
      <c r="P150" t="s">
        <v>299</v>
      </c>
      <c r="Q150" t="s">
        <v>305</v>
      </c>
    </row>
    <row r="151" spans="1:17" x14ac:dyDescent="0.35">
      <c r="A151" t="s">
        <v>57</v>
      </c>
      <c r="B151" t="s">
        <v>215</v>
      </c>
      <c r="C151" t="s">
        <v>102</v>
      </c>
      <c r="D151" t="s">
        <v>102</v>
      </c>
      <c r="E151">
        <v>1.7470000000000001</v>
      </c>
      <c r="F151">
        <v>9</v>
      </c>
      <c r="G151">
        <v>1.7470000000000001</v>
      </c>
      <c r="H151">
        <v>1.7470000000000001</v>
      </c>
      <c r="I151">
        <v>1.7470000000000001</v>
      </c>
      <c r="J151" t="s">
        <v>285</v>
      </c>
      <c r="K151">
        <v>35000</v>
      </c>
      <c r="L151">
        <v>1</v>
      </c>
      <c r="M151">
        <v>35000</v>
      </c>
      <c r="N151">
        <v>35000</v>
      </c>
      <c r="O151">
        <v>35000</v>
      </c>
      <c r="P151" t="s">
        <v>285</v>
      </c>
      <c r="Q151" t="s">
        <v>305</v>
      </c>
    </row>
    <row r="152" spans="1:17" x14ac:dyDescent="0.35">
      <c r="A152" t="s">
        <v>58</v>
      </c>
      <c r="B152" t="s">
        <v>216</v>
      </c>
      <c r="C152" t="s">
        <v>101</v>
      </c>
      <c r="D152" t="s">
        <v>101</v>
      </c>
      <c r="E152">
        <v>110.05</v>
      </c>
      <c r="F152">
        <v>82</v>
      </c>
      <c r="G152">
        <v>110.05</v>
      </c>
      <c r="H152">
        <v>110.05</v>
      </c>
      <c r="I152">
        <v>110.05</v>
      </c>
      <c r="J152" t="s">
        <v>286</v>
      </c>
      <c r="K152">
        <v>64200</v>
      </c>
      <c r="L152">
        <v>69</v>
      </c>
      <c r="M152">
        <v>64200</v>
      </c>
      <c r="N152">
        <v>64200</v>
      </c>
      <c r="O152">
        <v>64200</v>
      </c>
      <c r="P152" t="s">
        <v>299</v>
      </c>
      <c r="Q152" t="s">
        <v>305</v>
      </c>
    </row>
    <row r="153" spans="1:17" x14ac:dyDescent="0.35">
      <c r="A153" t="s">
        <v>59</v>
      </c>
      <c r="B153" t="s">
        <v>217</v>
      </c>
      <c r="C153" t="s">
        <v>103</v>
      </c>
      <c r="D153" t="s">
        <v>156</v>
      </c>
      <c r="E153">
        <v>400</v>
      </c>
      <c r="F153">
        <v>9</v>
      </c>
      <c r="G153">
        <v>400</v>
      </c>
      <c r="H153">
        <v>400</v>
      </c>
      <c r="I153">
        <v>400</v>
      </c>
      <c r="J153" t="s">
        <v>287</v>
      </c>
      <c r="K153">
        <v>87500</v>
      </c>
      <c r="L153">
        <v>30</v>
      </c>
      <c r="M153">
        <v>87500</v>
      </c>
      <c r="N153">
        <v>87500</v>
      </c>
      <c r="O153">
        <v>87500</v>
      </c>
      <c r="P153" t="s">
        <v>300</v>
      </c>
      <c r="Q153" t="s">
        <v>305</v>
      </c>
    </row>
    <row r="154" spans="1:17" x14ac:dyDescent="0.35">
      <c r="A154" t="s">
        <v>60</v>
      </c>
      <c r="B154" t="s">
        <v>218</v>
      </c>
      <c r="C154" t="s">
        <v>104</v>
      </c>
      <c r="E154">
        <v>56.35</v>
      </c>
      <c r="F154">
        <v>5</v>
      </c>
      <c r="G154">
        <v>56.35</v>
      </c>
      <c r="H154">
        <v>56.35</v>
      </c>
      <c r="I154">
        <v>56.35</v>
      </c>
      <c r="J154" t="s">
        <v>285</v>
      </c>
      <c r="K154">
        <v>64500</v>
      </c>
      <c r="L154">
        <v>4</v>
      </c>
      <c r="M154">
        <v>64500</v>
      </c>
      <c r="N154">
        <v>64500</v>
      </c>
      <c r="O154">
        <v>64500</v>
      </c>
      <c r="P154" t="s">
        <v>285</v>
      </c>
      <c r="Q154" t="s">
        <v>305</v>
      </c>
    </row>
    <row r="155" spans="1:17" x14ac:dyDescent="0.35">
      <c r="A155" t="s">
        <v>61</v>
      </c>
      <c r="B155" t="s">
        <v>219</v>
      </c>
      <c r="C155" t="s">
        <v>105</v>
      </c>
      <c r="D155" t="s">
        <v>105</v>
      </c>
      <c r="E155">
        <v>0.36291999999999996</v>
      </c>
      <c r="F155">
        <v>2</v>
      </c>
      <c r="G155">
        <v>0.36291999999999996</v>
      </c>
      <c r="H155">
        <v>0.36291999999999996</v>
      </c>
      <c r="I155">
        <v>0.36291999999999996</v>
      </c>
      <c r="J155" t="s">
        <v>288</v>
      </c>
      <c r="K155">
        <v>45647</v>
      </c>
      <c r="L155">
        <v>3</v>
      </c>
      <c r="M155">
        <v>45647</v>
      </c>
      <c r="N155">
        <v>45647</v>
      </c>
      <c r="O155">
        <v>45647</v>
      </c>
      <c r="P155" t="s">
        <v>301</v>
      </c>
      <c r="Q155" t="s">
        <v>305</v>
      </c>
    </row>
    <row r="156" spans="1:17" x14ac:dyDescent="0.35">
      <c r="A156" t="s">
        <v>62</v>
      </c>
      <c r="B156" t="s">
        <v>280</v>
      </c>
      <c r="Q156" t="s">
        <v>305</v>
      </c>
    </row>
    <row r="157" spans="1:17" x14ac:dyDescent="0.35">
      <c r="A157" t="s">
        <v>63</v>
      </c>
      <c r="B157" t="s">
        <v>220</v>
      </c>
      <c r="C157" t="s">
        <v>106</v>
      </c>
      <c r="D157" t="s">
        <v>106</v>
      </c>
      <c r="E157">
        <v>2.085</v>
      </c>
      <c r="F157">
        <v>1</v>
      </c>
      <c r="G157">
        <v>2.085</v>
      </c>
      <c r="H157">
        <v>2.085</v>
      </c>
      <c r="I157">
        <v>2.085</v>
      </c>
      <c r="J157" t="s">
        <v>289</v>
      </c>
      <c r="K157">
        <v>83500</v>
      </c>
      <c r="L157">
        <v>3</v>
      </c>
      <c r="M157">
        <v>83500</v>
      </c>
      <c r="N157">
        <v>83500</v>
      </c>
      <c r="O157">
        <v>83500</v>
      </c>
      <c r="P157" t="s">
        <v>289</v>
      </c>
      <c r="Q157" t="s">
        <v>305</v>
      </c>
    </row>
    <row r="158" spans="1:17" x14ac:dyDescent="0.35">
      <c r="A158" t="s">
        <v>64</v>
      </c>
      <c r="B158" t="s">
        <v>221</v>
      </c>
      <c r="C158" t="s">
        <v>107</v>
      </c>
      <c r="D158" t="s">
        <v>107</v>
      </c>
      <c r="E158">
        <v>1.49</v>
      </c>
      <c r="F158">
        <v>22</v>
      </c>
      <c r="G158">
        <v>1.49</v>
      </c>
      <c r="H158">
        <v>1.49</v>
      </c>
      <c r="I158">
        <v>1.49</v>
      </c>
      <c r="J158" t="s">
        <v>285</v>
      </c>
      <c r="K158">
        <v>72400</v>
      </c>
      <c r="L158">
        <v>6</v>
      </c>
      <c r="M158">
        <v>72400</v>
      </c>
      <c r="N158">
        <v>72400</v>
      </c>
      <c r="O158">
        <v>72400</v>
      </c>
      <c r="P158" t="s">
        <v>285</v>
      </c>
      <c r="Q158" t="s">
        <v>305</v>
      </c>
    </row>
    <row r="159" spans="1:17" x14ac:dyDescent="0.35">
      <c r="A159" t="s">
        <v>65</v>
      </c>
      <c r="B159" t="s">
        <v>222</v>
      </c>
      <c r="C159" t="s">
        <v>108</v>
      </c>
      <c r="D159" t="s">
        <v>108</v>
      </c>
      <c r="E159">
        <v>11</v>
      </c>
      <c r="F159">
        <v>27</v>
      </c>
      <c r="G159">
        <v>11</v>
      </c>
      <c r="H159">
        <v>11</v>
      </c>
      <c r="I159">
        <v>11</v>
      </c>
      <c r="J159" t="s">
        <v>290</v>
      </c>
      <c r="K159">
        <v>76000</v>
      </c>
      <c r="L159">
        <v>26</v>
      </c>
      <c r="M159">
        <v>76000</v>
      </c>
      <c r="N159">
        <v>76000</v>
      </c>
      <c r="O159">
        <v>76000</v>
      </c>
      <c r="P159" t="s">
        <v>302</v>
      </c>
      <c r="Q159" t="s">
        <v>305</v>
      </c>
    </row>
    <row r="160" spans="1:17" x14ac:dyDescent="0.35">
      <c r="A160" t="s">
        <v>66</v>
      </c>
      <c r="B160" t="s">
        <v>232</v>
      </c>
      <c r="C160" t="s">
        <v>119</v>
      </c>
      <c r="Q160" t="s">
        <v>305</v>
      </c>
    </row>
    <row r="161" spans="1:17" x14ac:dyDescent="0.35">
      <c r="A161" t="s">
        <v>67</v>
      </c>
      <c r="B161" t="s">
        <v>224</v>
      </c>
      <c r="C161" t="s">
        <v>110</v>
      </c>
      <c r="D161" t="s">
        <v>109</v>
      </c>
      <c r="E161">
        <v>6.1</v>
      </c>
      <c r="F161">
        <v>10</v>
      </c>
      <c r="G161">
        <v>6.1</v>
      </c>
      <c r="H161">
        <v>6.1</v>
      </c>
      <c r="I161">
        <v>6.1</v>
      </c>
      <c r="J161" t="s">
        <v>285</v>
      </c>
      <c r="K161">
        <v>34000</v>
      </c>
      <c r="L161">
        <v>5</v>
      </c>
      <c r="M161">
        <v>34000</v>
      </c>
      <c r="N161">
        <v>34000</v>
      </c>
      <c r="O161">
        <v>34000</v>
      </c>
      <c r="P161" t="s">
        <v>285</v>
      </c>
      <c r="Q161" t="s">
        <v>305</v>
      </c>
    </row>
    <row r="162" spans="1:17" x14ac:dyDescent="0.35">
      <c r="A162" t="s">
        <v>68</v>
      </c>
      <c r="B162" t="s">
        <v>225</v>
      </c>
      <c r="C162" t="s">
        <v>111</v>
      </c>
      <c r="E162">
        <v>161.6</v>
      </c>
      <c r="F162">
        <v>3</v>
      </c>
      <c r="G162">
        <v>161.6</v>
      </c>
      <c r="H162">
        <v>161.6</v>
      </c>
      <c r="I162">
        <v>161.6</v>
      </c>
      <c r="J162" t="s">
        <v>285</v>
      </c>
      <c r="K162">
        <v>48700</v>
      </c>
      <c r="L162">
        <v>2</v>
      </c>
      <c r="M162">
        <v>48700</v>
      </c>
      <c r="N162">
        <v>48700</v>
      </c>
      <c r="O162">
        <v>48700</v>
      </c>
      <c r="P162" t="s">
        <v>285</v>
      </c>
      <c r="Q162" t="s">
        <v>305</v>
      </c>
    </row>
    <row r="163" spans="1:17" x14ac:dyDescent="0.35">
      <c r="A163" t="s">
        <v>69</v>
      </c>
      <c r="B163" t="s">
        <v>87</v>
      </c>
      <c r="C163" t="s">
        <v>112</v>
      </c>
      <c r="E163">
        <v>2.6000000000000002E-2</v>
      </c>
      <c r="F163">
        <v>44</v>
      </c>
      <c r="G163">
        <v>2.6000000000000002E-2</v>
      </c>
      <c r="H163">
        <v>2.6000000000000002E-2</v>
      </c>
      <c r="I163">
        <v>2.6000000000000002E-2</v>
      </c>
      <c r="J163" t="s">
        <v>291</v>
      </c>
      <c r="K163">
        <v>52000</v>
      </c>
      <c r="L163">
        <v>1</v>
      </c>
      <c r="M163">
        <v>52000</v>
      </c>
      <c r="N163">
        <v>52000</v>
      </c>
      <c r="O163">
        <v>52000</v>
      </c>
      <c r="P163" t="s">
        <v>285</v>
      </c>
      <c r="Q163" t="s">
        <v>305</v>
      </c>
    </row>
    <row r="164" spans="1:17" x14ac:dyDescent="0.35">
      <c r="A164" t="s">
        <v>52</v>
      </c>
      <c r="B164" t="s">
        <v>210</v>
      </c>
      <c r="C164" t="s">
        <v>98</v>
      </c>
      <c r="D164" t="s">
        <v>98</v>
      </c>
      <c r="E164">
        <v>0.22800000000000001</v>
      </c>
      <c r="F164">
        <v>6</v>
      </c>
      <c r="G164">
        <v>0.22800000000000001</v>
      </c>
      <c r="H164">
        <v>0.22800000000000001</v>
      </c>
      <c r="I164">
        <v>0.22800000000000001</v>
      </c>
      <c r="J164" t="s">
        <v>284</v>
      </c>
      <c r="K164">
        <v>76500</v>
      </c>
      <c r="L164">
        <v>18</v>
      </c>
      <c r="M164">
        <v>76500</v>
      </c>
      <c r="N164">
        <v>76500</v>
      </c>
      <c r="O164">
        <v>76500</v>
      </c>
      <c r="P164" t="s">
        <v>285</v>
      </c>
      <c r="Q164" t="s">
        <v>305</v>
      </c>
    </row>
    <row r="165" spans="1:17" x14ac:dyDescent="0.35">
      <c r="A165" t="s">
        <v>53</v>
      </c>
      <c r="B165" t="s">
        <v>211</v>
      </c>
      <c r="C165" t="s">
        <v>99</v>
      </c>
      <c r="Q165" t="s">
        <v>305</v>
      </c>
    </row>
    <row r="166" spans="1:17" x14ac:dyDescent="0.35">
      <c r="A166" t="s">
        <v>54</v>
      </c>
      <c r="B166" t="s">
        <v>212</v>
      </c>
      <c r="C166" t="s">
        <v>100</v>
      </c>
      <c r="D166" t="s">
        <v>100</v>
      </c>
      <c r="E166">
        <v>2.2000000000000002</v>
      </c>
      <c r="F166">
        <v>4</v>
      </c>
      <c r="G166">
        <v>2.2000000000000002</v>
      </c>
      <c r="H166">
        <v>2.2000000000000002</v>
      </c>
      <c r="I166">
        <v>2.2000000000000002</v>
      </c>
      <c r="J166" t="s">
        <v>285</v>
      </c>
      <c r="K166">
        <v>35000</v>
      </c>
      <c r="L166">
        <v>12</v>
      </c>
      <c r="M166">
        <v>35000</v>
      </c>
      <c r="N166">
        <v>35000</v>
      </c>
      <c r="O166">
        <v>35000</v>
      </c>
      <c r="P166" t="s">
        <v>298</v>
      </c>
      <c r="Q166" t="s">
        <v>305</v>
      </c>
    </row>
    <row r="167" spans="1:17" x14ac:dyDescent="0.35">
      <c r="A167" t="s">
        <v>55</v>
      </c>
      <c r="B167" t="s">
        <v>213</v>
      </c>
      <c r="C167" t="s">
        <v>101</v>
      </c>
      <c r="D167" t="s">
        <v>101</v>
      </c>
      <c r="E167">
        <v>110.05</v>
      </c>
      <c r="F167">
        <v>82</v>
      </c>
      <c r="G167">
        <v>110.05</v>
      </c>
      <c r="H167">
        <v>110.05</v>
      </c>
      <c r="I167">
        <v>110.05</v>
      </c>
      <c r="J167" t="s">
        <v>286</v>
      </c>
      <c r="K167">
        <v>64200</v>
      </c>
      <c r="L167">
        <v>69</v>
      </c>
      <c r="M167">
        <v>64200</v>
      </c>
      <c r="N167">
        <v>64200</v>
      </c>
      <c r="O167">
        <v>64200</v>
      </c>
      <c r="P167" t="s">
        <v>299</v>
      </c>
      <c r="Q167" t="s">
        <v>305</v>
      </c>
    </row>
    <row r="168" spans="1:17" x14ac:dyDescent="0.35">
      <c r="A168" t="s">
        <v>56</v>
      </c>
      <c r="B168" t="s">
        <v>214</v>
      </c>
      <c r="C168" t="s">
        <v>101</v>
      </c>
      <c r="E168">
        <v>110.05</v>
      </c>
      <c r="F168">
        <v>82</v>
      </c>
      <c r="G168">
        <v>110.05</v>
      </c>
      <c r="H168">
        <v>110.05</v>
      </c>
      <c r="I168">
        <v>110.05</v>
      </c>
      <c r="J168" t="s">
        <v>286</v>
      </c>
      <c r="K168">
        <v>64200</v>
      </c>
      <c r="L168">
        <v>69</v>
      </c>
      <c r="M168">
        <v>64200</v>
      </c>
      <c r="N168">
        <v>64200</v>
      </c>
      <c r="O168">
        <v>64200</v>
      </c>
      <c r="P168" t="s">
        <v>299</v>
      </c>
      <c r="Q168" t="s">
        <v>305</v>
      </c>
    </row>
    <row r="169" spans="1:17" x14ac:dyDescent="0.35">
      <c r="A169" t="s">
        <v>57</v>
      </c>
      <c r="B169" t="s">
        <v>215</v>
      </c>
      <c r="C169" t="s">
        <v>102</v>
      </c>
      <c r="D169" t="s">
        <v>102</v>
      </c>
      <c r="E169">
        <v>1.7470000000000001</v>
      </c>
      <c r="F169">
        <v>9</v>
      </c>
      <c r="G169">
        <v>1.7470000000000001</v>
      </c>
      <c r="H169">
        <v>1.7470000000000001</v>
      </c>
      <c r="I169">
        <v>1.7470000000000001</v>
      </c>
      <c r="J169" t="s">
        <v>285</v>
      </c>
      <c r="K169">
        <v>35000</v>
      </c>
      <c r="L169">
        <v>1</v>
      </c>
      <c r="M169">
        <v>35000</v>
      </c>
      <c r="N169">
        <v>35000</v>
      </c>
      <c r="O169">
        <v>35000</v>
      </c>
      <c r="P169" t="s">
        <v>285</v>
      </c>
      <c r="Q169" t="s">
        <v>305</v>
      </c>
    </row>
    <row r="170" spans="1:17" x14ac:dyDescent="0.35">
      <c r="A170" t="s">
        <v>58</v>
      </c>
      <c r="B170" t="s">
        <v>216</v>
      </c>
      <c r="C170" t="s">
        <v>101</v>
      </c>
      <c r="D170" t="s">
        <v>101</v>
      </c>
      <c r="E170">
        <v>110.05</v>
      </c>
      <c r="F170">
        <v>82</v>
      </c>
      <c r="G170">
        <v>110.05</v>
      </c>
      <c r="H170">
        <v>110.05</v>
      </c>
      <c r="I170">
        <v>110.05</v>
      </c>
      <c r="J170" t="s">
        <v>286</v>
      </c>
      <c r="K170">
        <v>64200</v>
      </c>
      <c r="L170">
        <v>69</v>
      </c>
      <c r="M170">
        <v>64200</v>
      </c>
      <c r="N170">
        <v>64200</v>
      </c>
      <c r="O170">
        <v>64200</v>
      </c>
      <c r="P170" t="s">
        <v>299</v>
      </c>
      <c r="Q170" t="s">
        <v>305</v>
      </c>
    </row>
    <row r="171" spans="1:17" x14ac:dyDescent="0.35">
      <c r="A171" t="s">
        <v>59</v>
      </c>
      <c r="B171" t="s">
        <v>217</v>
      </c>
      <c r="C171" t="s">
        <v>103</v>
      </c>
      <c r="D171" t="s">
        <v>156</v>
      </c>
      <c r="E171">
        <v>400</v>
      </c>
      <c r="F171">
        <v>9</v>
      </c>
      <c r="G171">
        <v>400</v>
      </c>
      <c r="H171">
        <v>400</v>
      </c>
      <c r="I171">
        <v>400</v>
      </c>
      <c r="J171" t="s">
        <v>287</v>
      </c>
      <c r="K171">
        <v>87500</v>
      </c>
      <c r="L171">
        <v>30</v>
      </c>
      <c r="M171">
        <v>87500</v>
      </c>
      <c r="N171">
        <v>87500</v>
      </c>
      <c r="O171">
        <v>87500</v>
      </c>
      <c r="P171" t="s">
        <v>300</v>
      </c>
      <c r="Q171" t="s">
        <v>305</v>
      </c>
    </row>
    <row r="172" spans="1:17" x14ac:dyDescent="0.35">
      <c r="A172" t="s">
        <v>60</v>
      </c>
      <c r="B172" t="s">
        <v>218</v>
      </c>
      <c r="C172" t="s">
        <v>104</v>
      </c>
      <c r="E172">
        <v>56.35</v>
      </c>
      <c r="F172">
        <v>5</v>
      </c>
      <c r="G172">
        <v>56.35</v>
      </c>
      <c r="H172">
        <v>56.35</v>
      </c>
      <c r="I172">
        <v>56.35</v>
      </c>
      <c r="J172" t="s">
        <v>285</v>
      </c>
      <c r="K172">
        <v>64500</v>
      </c>
      <c r="L172">
        <v>4</v>
      </c>
      <c r="M172">
        <v>64500</v>
      </c>
      <c r="N172">
        <v>64500</v>
      </c>
      <c r="O172">
        <v>64500</v>
      </c>
      <c r="P172" t="s">
        <v>285</v>
      </c>
      <c r="Q172" t="s">
        <v>305</v>
      </c>
    </row>
    <row r="173" spans="1:17" x14ac:dyDescent="0.35">
      <c r="A173" t="s">
        <v>61</v>
      </c>
      <c r="B173" t="s">
        <v>219</v>
      </c>
      <c r="C173" t="s">
        <v>105</v>
      </c>
      <c r="D173" t="s">
        <v>105</v>
      </c>
      <c r="E173">
        <v>0.36291999999999996</v>
      </c>
      <c r="F173">
        <v>2</v>
      </c>
      <c r="G173">
        <v>0.36291999999999996</v>
      </c>
      <c r="H173">
        <v>0.36291999999999996</v>
      </c>
      <c r="I173">
        <v>0.36291999999999996</v>
      </c>
      <c r="J173" t="s">
        <v>288</v>
      </c>
      <c r="K173">
        <v>45647</v>
      </c>
      <c r="L173">
        <v>3</v>
      </c>
      <c r="M173">
        <v>45647</v>
      </c>
      <c r="N173">
        <v>45647</v>
      </c>
      <c r="O173">
        <v>45647</v>
      </c>
      <c r="P173" t="s">
        <v>301</v>
      </c>
      <c r="Q173" t="s">
        <v>305</v>
      </c>
    </row>
    <row r="174" spans="1:17" x14ac:dyDescent="0.35">
      <c r="A174" t="s">
        <v>62</v>
      </c>
      <c r="B174" t="s">
        <v>280</v>
      </c>
      <c r="Q174" t="s">
        <v>305</v>
      </c>
    </row>
    <row r="175" spans="1:17" x14ac:dyDescent="0.35">
      <c r="A175" t="s">
        <v>63</v>
      </c>
      <c r="B175" t="s">
        <v>220</v>
      </c>
      <c r="C175" t="s">
        <v>106</v>
      </c>
      <c r="D175" t="s">
        <v>106</v>
      </c>
      <c r="E175">
        <v>2.085</v>
      </c>
      <c r="F175">
        <v>1</v>
      </c>
      <c r="G175">
        <v>2.085</v>
      </c>
      <c r="H175">
        <v>2.085</v>
      </c>
      <c r="I175">
        <v>2.085</v>
      </c>
      <c r="J175" t="s">
        <v>289</v>
      </c>
      <c r="K175">
        <v>83500</v>
      </c>
      <c r="L175">
        <v>3</v>
      </c>
      <c r="M175">
        <v>83500</v>
      </c>
      <c r="N175">
        <v>83500</v>
      </c>
      <c r="O175">
        <v>83500</v>
      </c>
      <c r="P175" t="s">
        <v>289</v>
      </c>
      <c r="Q175" t="s">
        <v>305</v>
      </c>
    </row>
    <row r="176" spans="1:17" x14ac:dyDescent="0.35">
      <c r="A176" t="s">
        <v>64</v>
      </c>
      <c r="B176" t="s">
        <v>221</v>
      </c>
      <c r="C176" t="s">
        <v>107</v>
      </c>
      <c r="D176" t="s">
        <v>107</v>
      </c>
      <c r="E176">
        <v>1.49</v>
      </c>
      <c r="F176">
        <v>22</v>
      </c>
      <c r="G176">
        <v>1.49</v>
      </c>
      <c r="H176">
        <v>1.49</v>
      </c>
      <c r="I176">
        <v>1.49</v>
      </c>
      <c r="J176" t="s">
        <v>285</v>
      </c>
      <c r="K176">
        <v>72400</v>
      </c>
      <c r="L176">
        <v>6</v>
      </c>
      <c r="M176">
        <v>72400</v>
      </c>
      <c r="N176">
        <v>72400</v>
      </c>
      <c r="O176">
        <v>72400</v>
      </c>
      <c r="P176" t="s">
        <v>285</v>
      </c>
      <c r="Q176" t="s">
        <v>305</v>
      </c>
    </row>
    <row r="177" spans="1:17" x14ac:dyDescent="0.35">
      <c r="A177" t="s">
        <v>65</v>
      </c>
      <c r="B177" t="s">
        <v>222</v>
      </c>
      <c r="C177" t="s">
        <v>108</v>
      </c>
      <c r="D177" t="s">
        <v>108</v>
      </c>
      <c r="E177">
        <v>11</v>
      </c>
      <c r="F177">
        <v>27</v>
      </c>
      <c r="G177">
        <v>11</v>
      </c>
      <c r="H177">
        <v>11</v>
      </c>
      <c r="I177">
        <v>11</v>
      </c>
      <c r="J177" t="s">
        <v>290</v>
      </c>
      <c r="K177">
        <v>76000</v>
      </c>
      <c r="L177">
        <v>26</v>
      </c>
      <c r="M177">
        <v>76000</v>
      </c>
      <c r="N177">
        <v>76000</v>
      </c>
      <c r="O177">
        <v>76000</v>
      </c>
      <c r="P177" t="s">
        <v>302</v>
      </c>
      <c r="Q177" t="s">
        <v>305</v>
      </c>
    </row>
    <row r="178" spans="1:17" x14ac:dyDescent="0.35">
      <c r="A178" t="s">
        <v>66</v>
      </c>
      <c r="B178" t="s">
        <v>233</v>
      </c>
      <c r="C178" t="s">
        <v>118</v>
      </c>
      <c r="D178" t="s">
        <v>118</v>
      </c>
      <c r="E178">
        <v>7.26</v>
      </c>
      <c r="F178">
        <v>25</v>
      </c>
      <c r="G178">
        <v>7.26</v>
      </c>
      <c r="H178">
        <v>7.26</v>
      </c>
      <c r="I178">
        <v>7.26</v>
      </c>
      <c r="J178" t="s">
        <v>285</v>
      </c>
      <c r="K178">
        <v>25630</v>
      </c>
      <c r="L178">
        <v>1</v>
      </c>
      <c r="M178">
        <v>25630</v>
      </c>
      <c r="N178">
        <v>25630</v>
      </c>
      <c r="O178">
        <v>25630</v>
      </c>
      <c r="P178" t="s">
        <v>285</v>
      </c>
      <c r="Q178" t="s">
        <v>305</v>
      </c>
    </row>
    <row r="179" spans="1:17" x14ac:dyDescent="0.35">
      <c r="A179" t="s">
        <v>67</v>
      </c>
      <c r="B179" t="s">
        <v>224</v>
      </c>
      <c r="C179" t="s">
        <v>110</v>
      </c>
      <c r="D179" t="s">
        <v>109</v>
      </c>
      <c r="E179">
        <v>6.1</v>
      </c>
      <c r="F179">
        <v>10</v>
      </c>
      <c r="G179">
        <v>6.1</v>
      </c>
      <c r="H179">
        <v>6.1</v>
      </c>
      <c r="I179">
        <v>6.1</v>
      </c>
      <c r="J179" t="s">
        <v>285</v>
      </c>
      <c r="K179">
        <v>34000</v>
      </c>
      <c r="L179">
        <v>5</v>
      </c>
      <c r="M179">
        <v>34000</v>
      </c>
      <c r="N179">
        <v>34000</v>
      </c>
      <c r="O179">
        <v>34000</v>
      </c>
      <c r="P179" t="s">
        <v>285</v>
      </c>
      <c r="Q179" t="s">
        <v>305</v>
      </c>
    </row>
    <row r="180" spans="1:17" x14ac:dyDescent="0.35">
      <c r="A180" t="s">
        <v>68</v>
      </c>
      <c r="B180" t="s">
        <v>225</v>
      </c>
      <c r="C180" t="s">
        <v>111</v>
      </c>
      <c r="E180">
        <v>161.6</v>
      </c>
      <c r="F180">
        <v>3</v>
      </c>
      <c r="G180">
        <v>161.6</v>
      </c>
      <c r="H180">
        <v>161.6</v>
      </c>
      <c r="I180">
        <v>161.6</v>
      </c>
      <c r="J180" t="s">
        <v>285</v>
      </c>
      <c r="K180">
        <v>48700</v>
      </c>
      <c r="L180">
        <v>2</v>
      </c>
      <c r="M180">
        <v>48700</v>
      </c>
      <c r="N180">
        <v>48700</v>
      </c>
      <c r="O180">
        <v>48700</v>
      </c>
      <c r="P180" t="s">
        <v>285</v>
      </c>
      <c r="Q180" t="s">
        <v>305</v>
      </c>
    </row>
    <row r="181" spans="1:17" x14ac:dyDescent="0.35">
      <c r="A181" t="s">
        <v>69</v>
      </c>
      <c r="B181" t="s">
        <v>87</v>
      </c>
      <c r="C181" t="s">
        <v>112</v>
      </c>
      <c r="E181">
        <v>2.6000000000000002E-2</v>
      </c>
      <c r="F181">
        <v>44</v>
      </c>
      <c r="G181">
        <v>2.6000000000000002E-2</v>
      </c>
      <c r="H181">
        <v>2.6000000000000002E-2</v>
      </c>
      <c r="I181">
        <v>2.6000000000000002E-2</v>
      </c>
      <c r="J181" t="s">
        <v>291</v>
      </c>
      <c r="K181">
        <v>52000</v>
      </c>
      <c r="L181">
        <v>1</v>
      </c>
      <c r="M181">
        <v>52000</v>
      </c>
      <c r="N181">
        <v>52000</v>
      </c>
      <c r="O181">
        <v>52000</v>
      </c>
      <c r="P181" t="s">
        <v>285</v>
      </c>
      <c r="Q181" t="s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83"/>
  <sheetViews>
    <sheetView workbookViewId="0"/>
  </sheetViews>
  <sheetFormatPr defaultRowHeight="14.5" x14ac:dyDescent="0.35"/>
  <cols>
    <col min="1" max="1" width="8.81640625" customWidth="1"/>
    <col min="2" max="2" width="51.81640625" customWidth="1"/>
    <col min="3" max="3" width="66" customWidth="1"/>
    <col min="4" max="4" width="8.7265625" customWidth="1"/>
    <col min="5" max="5" width="14.81640625" customWidth="1"/>
    <col min="6" max="6" width="9.54296875" customWidth="1"/>
    <col min="7" max="7" width="18.453125" customWidth="1"/>
    <col min="8" max="8" width="247" customWidth="1"/>
    <col min="9" max="9" width="9.54296875" customWidth="1"/>
    <col min="10" max="10" width="16.453125" customWidth="1"/>
    <col min="11" max="11" width="10.453125" customWidth="1"/>
    <col min="12" max="12" width="4.7265625" customWidth="1"/>
  </cols>
  <sheetData>
    <row r="1" spans="1:12" x14ac:dyDescent="0.35">
      <c r="A1" t="s">
        <v>306</v>
      </c>
      <c r="B1" t="s">
        <v>307</v>
      </c>
      <c r="C1" t="s">
        <v>655</v>
      </c>
      <c r="D1" t="s">
        <v>1258</v>
      </c>
      <c r="E1" t="s">
        <v>1259</v>
      </c>
      <c r="F1" t="s">
        <v>1260</v>
      </c>
      <c r="G1" t="s">
        <v>2638</v>
      </c>
      <c r="H1" t="s">
        <v>2639</v>
      </c>
      <c r="I1" t="s">
        <v>4851</v>
      </c>
      <c r="J1" t="s">
        <v>5035</v>
      </c>
      <c r="K1" t="s">
        <v>5036</v>
      </c>
      <c r="L1" t="s">
        <v>5038</v>
      </c>
    </row>
    <row r="2" spans="1:12" x14ac:dyDescent="0.35">
      <c r="A2" t="s">
        <v>98</v>
      </c>
      <c r="B2" t="s">
        <v>308</v>
      </c>
      <c r="C2" t="s">
        <v>656</v>
      </c>
      <c r="D2">
        <v>7.0000000000000001E-3</v>
      </c>
      <c r="F2" t="s">
        <v>1261</v>
      </c>
      <c r="H2" t="s">
        <v>2640</v>
      </c>
      <c r="I2" t="s">
        <v>4852</v>
      </c>
      <c r="K2" t="s">
        <v>5037</v>
      </c>
      <c r="L2" t="s">
        <v>5039</v>
      </c>
    </row>
    <row r="3" spans="1:12" x14ac:dyDescent="0.35">
      <c r="A3" t="s">
        <v>98</v>
      </c>
      <c r="B3" t="s">
        <v>309</v>
      </c>
      <c r="C3" t="s">
        <v>657</v>
      </c>
      <c r="D3">
        <v>1.2500000000000001E-2</v>
      </c>
      <c r="F3" t="s">
        <v>1262</v>
      </c>
      <c r="H3" t="s">
        <v>2641</v>
      </c>
      <c r="I3" t="s">
        <v>1608</v>
      </c>
      <c r="K3" t="s">
        <v>5037</v>
      </c>
      <c r="L3" t="s">
        <v>5039</v>
      </c>
    </row>
    <row r="4" spans="1:12" x14ac:dyDescent="0.35">
      <c r="A4" t="s">
        <v>98</v>
      </c>
      <c r="B4" t="s">
        <v>309</v>
      </c>
      <c r="C4" t="s">
        <v>658</v>
      </c>
      <c r="D4">
        <v>2.0000000000000001E-4</v>
      </c>
      <c r="F4" t="s">
        <v>1263</v>
      </c>
      <c r="H4" t="s">
        <v>2642</v>
      </c>
      <c r="I4" t="s">
        <v>1608</v>
      </c>
      <c r="K4" t="s">
        <v>5037</v>
      </c>
      <c r="L4" t="s">
        <v>5039</v>
      </c>
    </row>
    <row r="5" spans="1:12" x14ac:dyDescent="0.35">
      <c r="A5" t="s">
        <v>98</v>
      </c>
      <c r="B5" t="s">
        <v>309</v>
      </c>
      <c r="C5" t="s">
        <v>657</v>
      </c>
      <c r="D5">
        <v>5.0000000000000001E-3</v>
      </c>
      <c r="F5" t="s">
        <v>1264</v>
      </c>
      <c r="H5" t="s">
        <v>2643</v>
      </c>
      <c r="I5" t="s">
        <v>1608</v>
      </c>
      <c r="K5" t="s">
        <v>5037</v>
      </c>
      <c r="L5" t="s">
        <v>5039</v>
      </c>
    </row>
    <row r="6" spans="1:12" x14ac:dyDescent="0.35">
      <c r="A6" t="s">
        <v>98</v>
      </c>
      <c r="B6" t="s">
        <v>309</v>
      </c>
      <c r="C6" t="s">
        <v>657</v>
      </c>
      <c r="D6">
        <v>7.5000000000000002E-4</v>
      </c>
      <c r="F6" t="s">
        <v>1265</v>
      </c>
      <c r="H6" t="s">
        <v>2644</v>
      </c>
      <c r="I6" t="s">
        <v>1608</v>
      </c>
      <c r="K6" t="s">
        <v>5037</v>
      </c>
      <c r="L6" t="s">
        <v>5039</v>
      </c>
    </row>
    <row r="7" spans="1:12" x14ac:dyDescent="0.35">
      <c r="A7" t="s">
        <v>98</v>
      </c>
      <c r="B7" t="s">
        <v>310</v>
      </c>
      <c r="C7" t="s">
        <v>656</v>
      </c>
      <c r="D7">
        <v>0.03</v>
      </c>
      <c r="F7" t="s">
        <v>1266</v>
      </c>
      <c r="I7" t="s">
        <v>1477</v>
      </c>
      <c r="K7" t="s">
        <v>5037</v>
      </c>
      <c r="L7" t="s">
        <v>5039</v>
      </c>
    </row>
    <row r="8" spans="1:12" x14ac:dyDescent="0.35">
      <c r="A8" t="s">
        <v>98</v>
      </c>
      <c r="B8" t="s">
        <v>310</v>
      </c>
      <c r="C8" t="s">
        <v>659</v>
      </c>
      <c r="D8">
        <v>5.0000000000000001E-3</v>
      </c>
      <c r="F8" t="s">
        <v>1264</v>
      </c>
      <c r="I8" t="s">
        <v>1477</v>
      </c>
      <c r="K8" t="s">
        <v>5037</v>
      </c>
      <c r="L8" t="s">
        <v>5039</v>
      </c>
    </row>
    <row r="9" spans="1:12" x14ac:dyDescent="0.35">
      <c r="A9" t="s">
        <v>98</v>
      </c>
      <c r="B9" t="s">
        <v>311</v>
      </c>
      <c r="C9" t="s">
        <v>659</v>
      </c>
      <c r="D9">
        <v>1.23</v>
      </c>
      <c r="F9" t="s">
        <v>1267</v>
      </c>
      <c r="H9" t="s">
        <v>2645</v>
      </c>
      <c r="I9" t="s">
        <v>4853</v>
      </c>
      <c r="K9" t="s">
        <v>5037</v>
      </c>
      <c r="L9" t="s">
        <v>5039</v>
      </c>
    </row>
    <row r="10" spans="1:12" x14ac:dyDescent="0.35">
      <c r="A10" t="s">
        <v>98</v>
      </c>
      <c r="B10" t="s">
        <v>311</v>
      </c>
      <c r="C10" t="s">
        <v>656</v>
      </c>
      <c r="D10">
        <v>2.54</v>
      </c>
      <c r="F10" t="s">
        <v>1268</v>
      </c>
      <c r="H10" t="s">
        <v>2645</v>
      </c>
      <c r="I10" t="s">
        <v>4853</v>
      </c>
      <c r="K10" t="s">
        <v>5037</v>
      </c>
      <c r="L10" t="s">
        <v>5039</v>
      </c>
    </row>
    <row r="11" spans="1:12" x14ac:dyDescent="0.35">
      <c r="A11" t="s">
        <v>98</v>
      </c>
      <c r="B11" t="s">
        <v>312</v>
      </c>
      <c r="C11" t="s">
        <v>656</v>
      </c>
      <c r="D11">
        <v>0.15</v>
      </c>
      <c r="F11" t="s">
        <v>1269</v>
      </c>
      <c r="I11" t="s">
        <v>1626</v>
      </c>
      <c r="K11" t="s">
        <v>5037</v>
      </c>
      <c r="L11" t="s">
        <v>5039</v>
      </c>
    </row>
    <row r="12" spans="1:12" x14ac:dyDescent="0.35">
      <c r="A12" t="s">
        <v>98</v>
      </c>
      <c r="B12" t="s">
        <v>313</v>
      </c>
      <c r="C12" t="s">
        <v>656</v>
      </c>
      <c r="D12">
        <v>3.1600000000000003E-2</v>
      </c>
      <c r="F12" t="s">
        <v>1270</v>
      </c>
      <c r="I12" t="s">
        <v>2009</v>
      </c>
      <c r="K12" t="s">
        <v>5037</v>
      </c>
      <c r="L12" t="s">
        <v>5039</v>
      </c>
    </row>
    <row r="13" spans="1:12" x14ac:dyDescent="0.35">
      <c r="A13" t="s">
        <v>98</v>
      </c>
      <c r="B13" t="s">
        <v>313</v>
      </c>
      <c r="C13" t="s">
        <v>659</v>
      </c>
      <c r="D13">
        <v>7.8200000000000006E-2</v>
      </c>
      <c r="F13" t="s">
        <v>1271</v>
      </c>
      <c r="I13" t="s">
        <v>2009</v>
      </c>
      <c r="K13" t="s">
        <v>5037</v>
      </c>
      <c r="L13" t="s">
        <v>5039</v>
      </c>
    </row>
    <row r="14" spans="1:12" x14ac:dyDescent="0.35">
      <c r="A14" t="s">
        <v>98</v>
      </c>
      <c r="B14" t="s">
        <v>314</v>
      </c>
      <c r="C14" t="s">
        <v>659</v>
      </c>
      <c r="D14">
        <v>1.5299999999999999E-2</v>
      </c>
      <c r="F14" t="s">
        <v>1272</v>
      </c>
      <c r="H14" t="s">
        <v>2646</v>
      </c>
      <c r="I14" t="s">
        <v>2258</v>
      </c>
      <c r="K14" t="s">
        <v>5037</v>
      </c>
      <c r="L14" t="s">
        <v>5039</v>
      </c>
    </row>
    <row r="15" spans="1:12" x14ac:dyDescent="0.35">
      <c r="A15" t="s">
        <v>98</v>
      </c>
      <c r="B15" t="s">
        <v>314</v>
      </c>
      <c r="C15" t="s">
        <v>659</v>
      </c>
      <c r="D15">
        <v>6.0000000000000001E-3</v>
      </c>
      <c r="F15" t="s">
        <v>1273</v>
      </c>
      <c r="H15" t="s">
        <v>2647</v>
      </c>
      <c r="I15" t="s">
        <v>2258</v>
      </c>
      <c r="K15" t="s">
        <v>5037</v>
      </c>
      <c r="L15" t="s">
        <v>5039</v>
      </c>
    </row>
    <row r="16" spans="1:12" x14ac:dyDescent="0.35">
      <c r="A16" t="s">
        <v>98</v>
      </c>
      <c r="B16" t="s">
        <v>314</v>
      </c>
      <c r="C16" t="s">
        <v>656</v>
      </c>
      <c r="D16">
        <v>1.8499999999999999E-2</v>
      </c>
      <c r="F16" t="s">
        <v>1274</v>
      </c>
      <c r="H16" t="s">
        <v>2647</v>
      </c>
      <c r="I16" t="s">
        <v>2258</v>
      </c>
      <c r="K16" t="s">
        <v>5037</v>
      </c>
      <c r="L16" t="s">
        <v>5039</v>
      </c>
    </row>
    <row r="17" spans="1:12" x14ac:dyDescent="0.35">
      <c r="A17" t="s">
        <v>98</v>
      </c>
      <c r="B17" t="s">
        <v>314</v>
      </c>
      <c r="C17" t="s">
        <v>656</v>
      </c>
      <c r="D17">
        <v>2.0500000000000001E-2</v>
      </c>
      <c r="F17" t="s">
        <v>1275</v>
      </c>
      <c r="H17" t="s">
        <v>2646</v>
      </c>
      <c r="I17" t="s">
        <v>2258</v>
      </c>
      <c r="K17" t="s">
        <v>5037</v>
      </c>
      <c r="L17" t="s">
        <v>5039</v>
      </c>
    </row>
    <row r="18" spans="1:12" x14ac:dyDescent="0.35">
      <c r="A18" t="s">
        <v>98</v>
      </c>
      <c r="B18" t="s">
        <v>314</v>
      </c>
      <c r="C18" t="s">
        <v>656</v>
      </c>
      <c r="D18">
        <v>1.942E-2</v>
      </c>
      <c r="F18" t="s">
        <v>1276</v>
      </c>
      <c r="H18" t="s">
        <v>2648</v>
      </c>
      <c r="I18" t="s">
        <v>2331</v>
      </c>
      <c r="K18" t="s">
        <v>5037</v>
      </c>
      <c r="L18" t="s">
        <v>5039</v>
      </c>
    </row>
    <row r="19" spans="1:12" x14ac:dyDescent="0.35">
      <c r="A19" t="s">
        <v>98</v>
      </c>
      <c r="B19" t="s">
        <v>314</v>
      </c>
      <c r="C19" t="s">
        <v>659</v>
      </c>
      <c r="D19">
        <v>1.797E-2</v>
      </c>
      <c r="F19" t="s">
        <v>1277</v>
      </c>
      <c r="H19" t="s">
        <v>2648</v>
      </c>
      <c r="I19" t="s">
        <v>2331</v>
      </c>
      <c r="K19" t="s">
        <v>5037</v>
      </c>
      <c r="L19" t="s">
        <v>5039</v>
      </c>
    </row>
    <row r="20" spans="1:12" x14ac:dyDescent="0.35">
      <c r="A20" t="s">
        <v>98</v>
      </c>
      <c r="B20" t="s">
        <v>171</v>
      </c>
      <c r="C20" t="s">
        <v>660</v>
      </c>
      <c r="D20">
        <v>1.2500000000000001E-2</v>
      </c>
      <c r="F20" t="s">
        <v>1262</v>
      </c>
      <c r="H20" t="s">
        <v>2649</v>
      </c>
      <c r="I20" t="s">
        <v>4854</v>
      </c>
      <c r="K20" t="s">
        <v>5037</v>
      </c>
      <c r="L20" t="s">
        <v>5039</v>
      </c>
    </row>
    <row r="21" spans="1:12" x14ac:dyDescent="0.35">
      <c r="A21" t="s">
        <v>98</v>
      </c>
      <c r="B21" t="s">
        <v>171</v>
      </c>
      <c r="C21" t="s">
        <v>661</v>
      </c>
      <c r="D21">
        <v>1.4E-3</v>
      </c>
      <c r="F21" t="s">
        <v>1278</v>
      </c>
      <c r="H21" t="s">
        <v>2650</v>
      </c>
      <c r="I21" t="s">
        <v>4854</v>
      </c>
      <c r="K21" t="s">
        <v>5037</v>
      </c>
      <c r="L21" t="s">
        <v>5039</v>
      </c>
    </row>
    <row r="22" spans="1:12" x14ac:dyDescent="0.35">
      <c r="A22" t="s">
        <v>98</v>
      </c>
      <c r="B22" t="s">
        <v>171</v>
      </c>
      <c r="C22" t="s">
        <v>656</v>
      </c>
      <c r="D22">
        <v>3.0000000000000001E-3</v>
      </c>
      <c r="F22" t="s">
        <v>1279</v>
      </c>
      <c r="H22" t="s">
        <v>2651</v>
      </c>
      <c r="I22" t="s">
        <v>4852</v>
      </c>
      <c r="K22" t="s">
        <v>5037</v>
      </c>
      <c r="L22" t="s">
        <v>5039</v>
      </c>
    </row>
    <row r="23" spans="1:12" x14ac:dyDescent="0.35">
      <c r="A23" t="s">
        <v>98</v>
      </c>
      <c r="B23" t="s">
        <v>171</v>
      </c>
      <c r="C23" t="s">
        <v>159</v>
      </c>
      <c r="D23">
        <v>1.2E-2</v>
      </c>
      <c r="F23" t="s">
        <v>1280</v>
      </c>
      <c r="H23" t="s">
        <v>2652</v>
      </c>
      <c r="I23" t="s">
        <v>4855</v>
      </c>
      <c r="K23" t="s">
        <v>5037</v>
      </c>
      <c r="L23" t="s">
        <v>5039</v>
      </c>
    </row>
    <row r="24" spans="1:12" x14ac:dyDescent="0.35">
      <c r="A24" t="s">
        <v>98</v>
      </c>
      <c r="B24" t="s">
        <v>171</v>
      </c>
      <c r="C24" t="s">
        <v>656</v>
      </c>
      <c r="D24">
        <v>3.3E-3</v>
      </c>
      <c r="F24" t="s">
        <v>1281</v>
      </c>
      <c r="H24" t="s">
        <v>2653</v>
      </c>
      <c r="I24" t="s">
        <v>4854</v>
      </c>
      <c r="K24" t="s">
        <v>5037</v>
      </c>
      <c r="L24" t="s">
        <v>5039</v>
      </c>
    </row>
    <row r="25" spans="1:12" x14ac:dyDescent="0.35">
      <c r="A25" t="s">
        <v>98</v>
      </c>
      <c r="B25" t="s">
        <v>171</v>
      </c>
      <c r="C25" t="s">
        <v>660</v>
      </c>
      <c r="D25">
        <v>3.3E-3</v>
      </c>
      <c r="F25" t="s">
        <v>1281</v>
      </c>
      <c r="H25" t="s">
        <v>2650</v>
      </c>
      <c r="I25" t="s">
        <v>4854</v>
      </c>
      <c r="K25" t="s">
        <v>5037</v>
      </c>
      <c r="L25" t="s">
        <v>5039</v>
      </c>
    </row>
    <row r="26" spans="1:12" x14ac:dyDescent="0.35">
      <c r="A26" t="s">
        <v>98</v>
      </c>
      <c r="B26" t="s">
        <v>171</v>
      </c>
      <c r="C26" t="s">
        <v>656</v>
      </c>
      <c r="D26">
        <v>5.0000000000000001E-3</v>
      </c>
      <c r="F26" t="s">
        <v>1264</v>
      </c>
      <c r="H26" t="s">
        <v>2654</v>
      </c>
      <c r="I26" t="s">
        <v>4854</v>
      </c>
      <c r="K26" t="s">
        <v>5037</v>
      </c>
      <c r="L26" t="s">
        <v>5039</v>
      </c>
    </row>
    <row r="27" spans="1:12" x14ac:dyDescent="0.35">
      <c r="A27" t="s">
        <v>98</v>
      </c>
      <c r="B27" t="s">
        <v>171</v>
      </c>
      <c r="C27" t="s">
        <v>662</v>
      </c>
      <c r="D27">
        <v>2.5000000000000001E-2</v>
      </c>
      <c r="F27" t="s">
        <v>1282</v>
      </c>
      <c r="H27" t="s">
        <v>2652</v>
      </c>
      <c r="I27" t="s">
        <v>4855</v>
      </c>
      <c r="K27" t="s">
        <v>5037</v>
      </c>
      <c r="L27" t="s">
        <v>5039</v>
      </c>
    </row>
    <row r="28" spans="1:12" x14ac:dyDescent="0.35">
      <c r="A28" t="s">
        <v>98</v>
      </c>
      <c r="B28" t="s">
        <v>171</v>
      </c>
      <c r="C28" t="s">
        <v>661</v>
      </c>
      <c r="D28">
        <v>1.6000000000000001E-3</v>
      </c>
      <c r="F28" t="s">
        <v>1283</v>
      </c>
      <c r="H28" t="s">
        <v>2649</v>
      </c>
      <c r="I28" t="s">
        <v>4854</v>
      </c>
      <c r="K28" t="s">
        <v>5037</v>
      </c>
      <c r="L28" t="s">
        <v>5039</v>
      </c>
    </row>
    <row r="29" spans="1:12" x14ac:dyDescent="0.35">
      <c r="A29" t="s">
        <v>98</v>
      </c>
      <c r="B29" t="s">
        <v>171</v>
      </c>
      <c r="C29" t="s">
        <v>663</v>
      </c>
      <c r="D29">
        <v>5.1999999999999998E-3</v>
      </c>
      <c r="F29" t="s">
        <v>1284</v>
      </c>
      <c r="H29" t="s">
        <v>2655</v>
      </c>
      <c r="I29" t="s">
        <v>4854</v>
      </c>
      <c r="K29" t="s">
        <v>5037</v>
      </c>
      <c r="L29" t="s">
        <v>5039</v>
      </c>
    </row>
    <row r="30" spans="1:12" x14ac:dyDescent="0.35">
      <c r="A30" t="s">
        <v>98</v>
      </c>
      <c r="B30" t="s">
        <v>171</v>
      </c>
      <c r="C30" t="s">
        <v>663</v>
      </c>
      <c r="D30">
        <v>3.8E-3</v>
      </c>
      <c r="F30" t="s">
        <v>1285</v>
      </c>
      <c r="H30" t="s">
        <v>2653</v>
      </c>
      <c r="I30" t="s">
        <v>4854</v>
      </c>
      <c r="K30" t="s">
        <v>5037</v>
      </c>
      <c r="L30" t="s">
        <v>5039</v>
      </c>
    </row>
    <row r="31" spans="1:12" x14ac:dyDescent="0.35">
      <c r="A31" t="s">
        <v>98</v>
      </c>
      <c r="B31" t="s">
        <v>315</v>
      </c>
      <c r="C31" t="s">
        <v>656</v>
      </c>
      <c r="D31">
        <v>2.0000000000000001E-4</v>
      </c>
      <c r="F31" t="s">
        <v>1263</v>
      </c>
      <c r="I31" t="s">
        <v>1851</v>
      </c>
      <c r="K31" t="s">
        <v>5037</v>
      </c>
      <c r="L31" t="s">
        <v>5039</v>
      </c>
    </row>
    <row r="32" spans="1:12" x14ac:dyDescent="0.35">
      <c r="A32" t="s">
        <v>98</v>
      </c>
      <c r="B32" t="s">
        <v>315</v>
      </c>
      <c r="C32" t="s">
        <v>659</v>
      </c>
      <c r="D32">
        <v>2E-3</v>
      </c>
      <c r="F32" t="s">
        <v>1286</v>
      </c>
      <c r="I32" t="s">
        <v>1317</v>
      </c>
      <c r="K32" t="s">
        <v>5037</v>
      </c>
      <c r="L32" t="s">
        <v>5039</v>
      </c>
    </row>
    <row r="33" spans="1:12" x14ac:dyDescent="0.35">
      <c r="A33" t="s">
        <v>98</v>
      </c>
      <c r="B33" t="s">
        <v>315</v>
      </c>
      <c r="C33" t="s">
        <v>657</v>
      </c>
      <c r="D33">
        <v>2.3000000000000001E-4</v>
      </c>
      <c r="F33" t="s">
        <v>1287</v>
      </c>
      <c r="H33" t="s">
        <v>2656</v>
      </c>
      <c r="I33" t="s">
        <v>2050</v>
      </c>
      <c r="K33" t="s">
        <v>5037</v>
      </c>
      <c r="L33" t="s">
        <v>5039</v>
      </c>
    </row>
    <row r="34" spans="1:12" x14ac:dyDescent="0.35">
      <c r="A34" t="s">
        <v>98</v>
      </c>
      <c r="B34" t="s">
        <v>315</v>
      </c>
      <c r="C34" t="s">
        <v>656</v>
      </c>
      <c r="D34">
        <v>1.8E-3</v>
      </c>
      <c r="F34" t="s">
        <v>1288</v>
      </c>
      <c r="I34" t="s">
        <v>1317</v>
      </c>
      <c r="K34" t="s">
        <v>5037</v>
      </c>
      <c r="L34" t="s">
        <v>5039</v>
      </c>
    </row>
    <row r="35" spans="1:12" x14ac:dyDescent="0.35">
      <c r="A35" t="s">
        <v>98</v>
      </c>
      <c r="B35" t="s">
        <v>315</v>
      </c>
      <c r="C35" t="s">
        <v>656</v>
      </c>
      <c r="D35">
        <v>1E-4</v>
      </c>
      <c r="F35" t="s">
        <v>1289</v>
      </c>
      <c r="I35" t="s">
        <v>1841</v>
      </c>
      <c r="K35" t="s">
        <v>5037</v>
      </c>
      <c r="L35" t="s">
        <v>5039</v>
      </c>
    </row>
    <row r="36" spans="1:12" x14ac:dyDescent="0.35">
      <c r="A36" t="s">
        <v>98</v>
      </c>
      <c r="B36" t="s">
        <v>316</v>
      </c>
      <c r="C36" t="s">
        <v>656</v>
      </c>
      <c r="D36">
        <v>4.4999999999999998E-2</v>
      </c>
      <c r="F36" t="s">
        <v>1290</v>
      </c>
      <c r="H36" t="s">
        <v>2657</v>
      </c>
      <c r="I36" t="s">
        <v>4852</v>
      </c>
      <c r="K36" t="s">
        <v>5037</v>
      </c>
      <c r="L36" t="s">
        <v>5039</v>
      </c>
    </row>
    <row r="37" spans="1:12" x14ac:dyDescent="0.35">
      <c r="A37" t="s">
        <v>98</v>
      </c>
      <c r="B37" t="s">
        <v>175</v>
      </c>
      <c r="C37" t="s">
        <v>657</v>
      </c>
      <c r="D37">
        <v>3.3E-3</v>
      </c>
      <c r="F37" t="s">
        <v>1281</v>
      </c>
      <c r="H37" t="s">
        <v>2658</v>
      </c>
      <c r="I37" t="s">
        <v>1510</v>
      </c>
      <c r="K37" t="s">
        <v>5037</v>
      </c>
      <c r="L37" t="s">
        <v>5039</v>
      </c>
    </row>
    <row r="38" spans="1:12" x14ac:dyDescent="0.35">
      <c r="A38" t="s">
        <v>98</v>
      </c>
      <c r="B38" t="s">
        <v>175</v>
      </c>
      <c r="C38" t="s">
        <v>658</v>
      </c>
      <c r="D38">
        <v>4.1999999999999997E-3</v>
      </c>
      <c r="F38" t="s">
        <v>1291</v>
      </c>
      <c r="H38" t="s">
        <v>2658</v>
      </c>
      <c r="I38" t="s">
        <v>1510</v>
      </c>
      <c r="K38" t="s">
        <v>5037</v>
      </c>
      <c r="L38" t="s">
        <v>5039</v>
      </c>
    </row>
    <row r="39" spans="1:12" x14ac:dyDescent="0.35">
      <c r="A39" t="s">
        <v>98</v>
      </c>
      <c r="B39" t="s">
        <v>175</v>
      </c>
      <c r="C39" t="s">
        <v>658</v>
      </c>
      <c r="D39">
        <v>3.7000000000000002E-3</v>
      </c>
      <c r="F39" t="s">
        <v>1292</v>
      </c>
      <c r="H39" t="s">
        <v>2658</v>
      </c>
      <c r="I39" t="s">
        <v>1510</v>
      </c>
      <c r="K39" t="s">
        <v>5037</v>
      </c>
      <c r="L39" t="s">
        <v>5039</v>
      </c>
    </row>
    <row r="40" spans="1:12" x14ac:dyDescent="0.35">
      <c r="A40" t="s">
        <v>98</v>
      </c>
      <c r="B40" t="s">
        <v>175</v>
      </c>
      <c r="C40" t="s">
        <v>657</v>
      </c>
      <c r="D40">
        <v>5.7000000000000002E-3</v>
      </c>
      <c r="F40" t="s">
        <v>1293</v>
      </c>
      <c r="H40" t="s">
        <v>2658</v>
      </c>
      <c r="I40" t="s">
        <v>1510</v>
      </c>
      <c r="K40" t="s">
        <v>5037</v>
      </c>
      <c r="L40" t="s">
        <v>5039</v>
      </c>
    </row>
    <row r="41" spans="1:12" x14ac:dyDescent="0.35">
      <c r="A41" t="s">
        <v>98</v>
      </c>
      <c r="B41" t="s">
        <v>312</v>
      </c>
      <c r="C41" t="s">
        <v>656</v>
      </c>
      <c r="D41">
        <v>0.35</v>
      </c>
      <c r="F41" t="s">
        <v>1294</v>
      </c>
      <c r="H41" t="s">
        <v>2659</v>
      </c>
      <c r="I41" t="s">
        <v>4852</v>
      </c>
      <c r="K41" t="s">
        <v>5037</v>
      </c>
      <c r="L41" t="s">
        <v>5039</v>
      </c>
    </row>
    <row r="42" spans="1:12" x14ac:dyDescent="0.35">
      <c r="A42" t="s">
        <v>98</v>
      </c>
      <c r="B42" t="s">
        <v>317</v>
      </c>
      <c r="C42" t="s">
        <v>656</v>
      </c>
      <c r="D42">
        <v>0.11</v>
      </c>
      <c r="F42" t="s">
        <v>1295</v>
      </c>
      <c r="H42" t="s">
        <v>2660</v>
      </c>
      <c r="I42" t="s">
        <v>4856</v>
      </c>
      <c r="K42" t="s">
        <v>5037</v>
      </c>
      <c r="L42" t="s">
        <v>5039</v>
      </c>
    </row>
    <row r="43" spans="1:12" x14ac:dyDescent="0.35">
      <c r="A43" t="s">
        <v>98</v>
      </c>
      <c r="B43" t="s">
        <v>317</v>
      </c>
      <c r="C43" t="s">
        <v>656</v>
      </c>
      <c r="D43">
        <v>9.8799999999999999E-2</v>
      </c>
      <c r="F43" t="s">
        <v>1296</v>
      </c>
      <c r="H43" t="s">
        <v>2661</v>
      </c>
      <c r="I43" t="s">
        <v>4856</v>
      </c>
      <c r="K43" t="s">
        <v>5037</v>
      </c>
      <c r="L43" t="s">
        <v>5039</v>
      </c>
    </row>
    <row r="44" spans="1:12" x14ac:dyDescent="0.35">
      <c r="A44" t="s">
        <v>98</v>
      </c>
      <c r="B44" t="s">
        <v>317</v>
      </c>
      <c r="C44" t="s">
        <v>656</v>
      </c>
      <c r="D44">
        <v>7.7299999999999994E-2</v>
      </c>
      <c r="F44" t="s">
        <v>1297</v>
      </c>
      <c r="H44" t="s">
        <v>2662</v>
      </c>
      <c r="I44" t="s">
        <v>4856</v>
      </c>
      <c r="K44" t="s">
        <v>5037</v>
      </c>
      <c r="L44" t="s">
        <v>5039</v>
      </c>
    </row>
    <row r="45" spans="1:12" x14ac:dyDescent="0.35">
      <c r="A45" t="s">
        <v>98</v>
      </c>
      <c r="B45" t="s">
        <v>317</v>
      </c>
      <c r="C45" t="s">
        <v>659</v>
      </c>
      <c r="D45">
        <v>9.6799999999999997E-2</v>
      </c>
      <c r="F45" t="s">
        <v>1298</v>
      </c>
      <c r="H45" t="s">
        <v>2661</v>
      </c>
      <c r="I45" t="s">
        <v>4856</v>
      </c>
      <c r="K45" t="s">
        <v>5037</v>
      </c>
      <c r="L45" t="s">
        <v>5039</v>
      </c>
    </row>
    <row r="46" spans="1:12" x14ac:dyDescent="0.35">
      <c r="A46" t="s">
        <v>98</v>
      </c>
      <c r="B46" t="s">
        <v>317</v>
      </c>
      <c r="C46" t="s">
        <v>659</v>
      </c>
      <c r="D46">
        <v>0.1047</v>
      </c>
      <c r="F46" t="s">
        <v>1299</v>
      </c>
      <c r="H46" t="s">
        <v>2660</v>
      </c>
      <c r="I46" t="s">
        <v>4856</v>
      </c>
      <c r="K46" t="s">
        <v>5037</v>
      </c>
      <c r="L46" t="s">
        <v>5039</v>
      </c>
    </row>
    <row r="47" spans="1:12" x14ac:dyDescent="0.35">
      <c r="A47" t="s">
        <v>98</v>
      </c>
      <c r="B47" t="s">
        <v>317</v>
      </c>
      <c r="C47" t="s">
        <v>656</v>
      </c>
      <c r="D47">
        <v>0.1157</v>
      </c>
      <c r="F47" t="s">
        <v>1300</v>
      </c>
      <c r="H47" t="s">
        <v>2663</v>
      </c>
      <c r="I47" t="s">
        <v>4856</v>
      </c>
      <c r="K47" t="s">
        <v>5037</v>
      </c>
      <c r="L47" t="s">
        <v>5039</v>
      </c>
    </row>
    <row r="48" spans="1:12" x14ac:dyDescent="0.35">
      <c r="A48" t="s">
        <v>98</v>
      </c>
      <c r="B48" t="s">
        <v>317</v>
      </c>
      <c r="C48" t="s">
        <v>656</v>
      </c>
      <c r="D48">
        <v>0.11749999999999999</v>
      </c>
      <c r="F48" t="s">
        <v>1301</v>
      </c>
      <c r="H48" t="s">
        <v>2664</v>
      </c>
      <c r="I48" t="s">
        <v>4856</v>
      </c>
      <c r="K48" t="s">
        <v>5037</v>
      </c>
      <c r="L48" t="s">
        <v>5039</v>
      </c>
    </row>
    <row r="49" spans="1:12" x14ac:dyDescent="0.35">
      <c r="A49" t="s">
        <v>98</v>
      </c>
      <c r="B49" t="s">
        <v>317</v>
      </c>
      <c r="C49" t="s">
        <v>659</v>
      </c>
      <c r="D49">
        <v>0.1048</v>
      </c>
      <c r="F49" t="s">
        <v>1302</v>
      </c>
      <c r="H49" t="s">
        <v>2663</v>
      </c>
      <c r="I49" t="s">
        <v>4856</v>
      </c>
      <c r="K49" t="s">
        <v>5037</v>
      </c>
      <c r="L49" t="s">
        <v>5039</v>
      </c>
    </row>
    <row r="50" spans="1:12" x14ac:dyDescent="0.35">
      <c r="A50" t="s">
        <v>98</v>
      </c>
      <c r="B50" t="s">
        <v>317</v>
      </c>
      <c r="C50" t="s">
        <v>659</v>
      </c>
      <c r="D50">
        <v>0.1913</v>
      </c>
      <c r="F50" t="s">
        <v>1303</v>
      </c>
      <c r="H50" t="s">
        <v>2664</v>
      </c>
      <c r="I50" t="s">
        <v>4856</v>
      </c>
      <c r="K50" t="s">
        <v>5037</v>
      </c>
      <c r="L50" t="s">
        <v>5039</v>
      </c>
    </row>
    <row r="51" spans="1:12" x14ac:dyDescent="0.35">
      <c r="A51" t="s">
        <v>98</v>
      </c>
      <c r="B51" t="s">
        <v>317</v>
      </c>
      <c r="C51" t="s">
        <v>659</v>
      </c>
      <c r="D51">
        <v>0.15390000000000001</v>
      </c>
      <c r="F51" t="s">
        <v>1304</v>
      </c>
      <c r="H51" t="s">
        <v>2662</v>
      </c>
      <c r="I51" t="s">
        <v>4856</v>
      </c>
      <c r="K51" t="s">
        <v>5037</v>
      </c>
      <c r="L51" t="s">
        <v>5039</v>
      </c>
    </row>
    <row r="52" spans="1:12" x14ac:dyDescent="0.35">
      <c r="A52" t="s">
        <v>98</v>
      </c>
      <c r="B52" t="s">
        <v>318</v>
      </c>
      <c r="C52" t="s">
        <v>656</v>
      </c>
      <c r="D52">
        <v>6.82</v>
      </c>
      <c r="F52" t="s">
        <v>1305</v>
      </c>
      <c r="H52" t="s">
        <v>2665</v>
      </c>
      <c r="I52" t="s">
        <v>4857</v>
      </c>
      <c r="K52" t="s">
        <v>5037</v>
      </c>
      <c r="L52" t="s">
        <v>5039</v>
      </c>
    </row>
    <row r="53" spans="1:12" x14ac:dyDescent="0.35">
      <c r="A53" t="s">
        <v>98</v>
      </c>
      <c r="B53" t="s">
        <v>318</v>
      </c>
      <c r="C53" t="s">
        <v>659</v>
      </c>
      <c r="D53">
        <v>12.82</v>
      </c>
      <c r="F53" t="s">
        <v>1306</v>
      </c>
      <c r="H53" t="s">
        <v>2665</v>
      </c>
      <c r="I53" t="s">
        <v>4857</v>
      </c>
      <c r="K53" t="s">
        <v>5037</v>
      </c>
      <c r="L53" t="s">
        <v>5039</v>
      </c>
    </row>
    <row r="54" spans="1:12" x14ac:dyDescent="0.35">
      <c r="A54" t="s">
        <v>98</v>
      </c>
      <c r="B54" t="s">
        <v>319</v>
      </c>
      <c r="C54" t="s">
        <v>664</v>
      </c>
      <c r="D54">
        <v>0.35499999999999998</v>
      </c>
      <c r="F54" t="s">
        <v>1307</v>
      </c>
      <c r="H54" t="s">
        <v>2666</v>
      </c>
      <c r="I54" t="s">
        <v>4858</v>
      </c>
      <c r="K54" t="s">
        <v>5037</v>
      </c>
      <c r="L54" t="s">
        <v>5039</v>
      </c>
    </row>
    <row r="55" spans="1:12" x14ac:dyDescent="0.35">
      <c r="A55" t="s">
        <v>98</v>
      </c>
      <c r="B55" t="s">
        <v>319</v>
      </c>
      <c r="C55" t="s">
        <v>665</v>
      </c>
      <c r="D55">
        <v>0.20399999999999999</v>
      </c>
      <c r="F55" t="s">
        <v>1308</v>
      </c>
      <c r="H55" t="s">
        <v>2666</v>
      </c>
      <c r="I55" t="s">
        <v>4858</v>
      </c>
      <c r="K55" t="s">
        <v>5037</v>
      </c>
      <c r="L55" t="s">
        <v>5039</v>
      </c>
    </row>
    <row r="56" spans="1:12" x14ac:dyDescent="0.35">
      <c r="A56" t="s">
        <v>98</v>
      </c>
      <c r="B56" t="s">
        <v>320</v>
      </c>
      <c r="C56" t="s">
        <v>659</v>
      </c>
      <c r="D56">
        <v>0.03</v>
      </c>
      <c r="F56" t="s">
        <v>1266</v>
      </c>
      <c r="H56" t="s">
        <v>2667</v>
      </c>
      <c r="I56" t="s">
        <v>1379</v>
      </c>
      <c r="K56" t="s">
        <v>5037</v>
      </c>
      <c r="L56" t="s">
        <v>5039</v>
      </c>
    </row>
    <row r="57" spans="1:12" x14ac:dyDescent="0.35">
      <c r="A57" t="s">
        <v>98</v>
      </c>
      <c r="B57" t="s">
        <v>320</v>
      </c>
      <c r="C57" t="s">
        <v>659</v>
      </c>
      <c r="D57">
        <v>0.1</v>
      </c>
      <c r="F57" t="s">
        <v>1309</v>
      </c>
      <c r="H57" t="s">
        <v>2668</v>
      </c>
      <c r="I57" t="s">
        <v>1379</v>
      </c>
      <c r="K57" t="s">
        <v>5037</v>
      </c>
      <c r="L57" t="s">
        <v>5039</v>
      </c>
    </row>
    <row r="58" spans="1:12" x14ac:dyDescent="0.35">
      <c r="A58" t="s">
        <v>98</v>
      </c>
      <c r="B58" t="s">
        <v>320</v>
      </c>
      <c r="C58" t="s">
        <v>656</v>
      </c>
      <c r="D58">
        <v>0.09</v>
      </c>
      <c r="F58" t="s">
        <v>1310</v>
      </c>
      <c r="H58" t="s">
        <v>2668</v>
      </c>
      <c r="I58" t="s">
        <v>1379</v>
      </c>
      <c r="K58" t="s">
        <v>5037</v>
      </c>
      <c r="L58" t="s">
        <v>5039</v>
      </c>
    </row>
    <row r="59" spans="1:12" x14ac:dyDescent="0.35">
      <c r="A59" t="s">
        <v>98</v>
      </c>
      <c r="B59" t="s">
        <v>320</v>
      </c>
      <c r="C59" t="s">
        <v>656</v>
      </c>
      <c r="D59">
        <v>0.125</v>
      </c>
      <c r="F59" t="s">
        <v>1311</v>
      </c>
      <c r="H59" t="s">
        <v>2667</v>
      </c>
      <c r="I59" t="s">
        <v>1379</v>
      </c>
      <c r="K59" t="s">
        <v>5037</v>
      </c>
      <c r="L59" t="s">
        <v>5039</v>
      </c>
    </row>
    <row r="60" spans="1:12" x14ac:dyDescent="0.35">
      <c r="A60" t="s">
        <v>98</v>
      </c>
      <c r="B60" t="s">
        <v>320</v>
      </c>
      <c r="C60" t="s">
        <v>659</v>
      </c>
      <c r="D60">
        <v>8.8000000000000005E-3</v>
      </c>
      <c r="F60" t="s">
        <v>1312</v>
      </c>
      <c r="I60" t="s">
        <v>2364</v>
      </c>
      <c r="K60" t="s">
        <v>5037</v>
      </c>
      <c r="L60" t="s">
        <v>5039</v>
      </c>
    </row>
    <row r="61" spans="1:12" x14ac:dyDescent="0.35">
      <c r="A61" t="s">
        <v>98</v>
      </c>
      <c r="B61" t="s">
        <v>175</v>
      </c>
      <c r="C61" t="s">
        <v>656</v>
      </c>
      <c r="D61">
        <v>8.9999999999999998E-4</v>
      </c>
      <c r="F61" t="s">
        <v>1313</v>
      </c>
      <c r="I61" t="s">
        <v>4859</v>
      </c>
      <c r="K61" t="s">
        <v>5037</v>
      </c>
      <c r="L61" t="s">
        <v>5039</v>
      </c>
    </row>
    <row r="62" spans="1:12" x14ac:dyDescent="0.35">
      <c r="A62" t="s">
        <v>98</v>
      </c>
      <c r="B62" t="s">
        <v>175</v>
      </c>
      <c r="C62" t="s">
        <v>656</v>
      </c>
      <c r="D62">
        <v>3.2000000000000001E-2</v>
      </c>
      <c r="F62" t="s">
        <v>1314</v>
      </c>
      <c r="H62" t="s">
        <v>2669</v>
      </c>
      <c r="I62" t="s">
        <v>1889</v>
      </c>
      <c r="K62" t="s">
        <v>5037</v>
      </c>
      <c r="L62" t="s">
        <v>5039</v>
      </c>
    </row>
    <row r="63" spans="1:12" x14ac:dyDescent="0.35">
      <c r="A63" t="s">
        <v>98</v>
      </c>
      <c r="B63" t="s">
        <v>175</v>
      </c>
      <c r="C63" t="s">
        <v>658</v>
      </c>
      <c r="D63">
        <v>0.4</v>
      </c>
      <c r="F63" t="s">
        <v>1315</v>
      </c>
      <c r="H63" t="s">
        <v>2670</v>
      </c>
      <c r="I63" t="s">
        <v>4860</v>
      </c>
      <c r="K63" t="s">
        <v>5037</v>
      </c>
      <c r="L63" t="s">
        <v>5039</v>
      </c>
    </row>
    <row r="64" spans="1:12" x14ac:dyDescent="0.35">
      <c r="A64" t="s">
        <v>98</v>
      </c>
      <c r="B64" t="s">
        <v>175</v>
      </c>
      <c r="C64" t="s">
        <v>657</v>
      </c>
      <c r="D64">
        <v>0.45</v>
      </c>
      <c r="F64" t="s">
        <v>1316</v>
      </c>
      <c r="H64" t="s">
        <v>2671</v>
      </c>
      <c r="I64" t="s">
        <v>4860</v>
      </c>
      <c r="K64" t="s">
        <v>5037</v>
      </c>
      <c r="L64" t="s">
        <v>5039</v>
      </c>
    </row>
    <row r="65" spans="1:12" x14ac:dyDescent="0.35">
      <c r="A65" t="s">
        <v>98</v>
      </c>
      <c r="B65" t="s">
        <v>175</v>
      </c>
      <c r="C65" t="s">
        <v>658</v>
      </c>
      <c r="D65">
        <v>1</v>
      </c>
      <c r="F65" t="s">
        <v>1317</v>
      </c>
      <c r="H65" t="s">
        <v>2672</v>
      </c>
      <c r="I65" t="s">
        <v>4860</v>
      </c>
      <c r="K65" t="s">
        <v>5037</v>
      </c>
      <c r="L65" t="s">
        <v>5039</v>
      </c>
    </row>
    <row r="66" spans="1:12" x14ac:dyDescent="0.35">
      <c r="A66" t="s">
        <v>98</v>
      </c>
      <c r="B66" t="s">
        <v>175</v>
      </c>
      <c r="C66" t="s">
        <v>656</v>
      </c>
      <c r="D66">
        <v>8.7999999999999998E-5</v>
      </c>
      <c r="F66" t="s">
        <v>1318</v>
      </c>
      <c r="H66" t="s">
        <v>2673</v>
      </c>
      <c r="I66" t="s">
        <v>4861</v>
      </c>
      <c r="K66" t="s">
        <v>5037</v>
      </c>
      <c r="L66" t="s">
        <v>5039</v>
      </c>
    </row>
    <row r="67" spans="1:12" x14ac:dyDescent="0.35">
      <c r="A67" t="s">
        <v>98</v>
      </c>
      <c r="B67" t="s">
        <v>175</v>
      </c>
      <c r="C67" t="s">
        <v>657</v>
      </c>
      <c r="D67">
        <v>0.8</v>
      </c>
      <c r="F67" t="s">
        <v>1319</v>
      </c>
      <c r="H67" t="s">
        <v>2674</v>
      </c>
      <c r="I67" t="s">
        <v>4860</v>
      </c>
      <c r="K67" t="s">
        <v>5037</v>
      </c>
      <c r="L67" t="s">
        <v>5039</v>
      </c>
    </row>
    <row r="68" spans="1:12" x14ac:dyDescent="0.35">
      <c r="A68" t="s">
        <v>98</v>
      </c>
      <c r="B68" t="s">
        <v>175</v>
      </c>
      <c r="C68" t="s">
        <v>658</v>
      </c>
      <c r="D68">
        <v>0.8</v>
      </c>
      <c r="F68" t="s">
        <v>1319</v>
      </c>
      <c r="H68" t="s">
        <v>2674</v>
      </c>
      <c r="I68" t="s">
        <v>4860</v>
      </c>
      <c r="K68" t="s">
        <v>5037</v>
      </c>
      <c r="L68" t="s">
        <v>5039</v>
      </c>
    </row>
    <row r="69" spans="1:12" x14ac:dyDescent="0.35">
      <c r="A69" t="s">
        <v>98</v>
      </c>
      <c r="B69" t="s">
        <v>175</v>
      </c>
      <c r="C69" t="s">
        <v>659</v>
      </c>
      <c r="D69">
        <v>2.3E-3</v>
      </c>
      <c r="F69" t="s">
        <v>1320</v>
      </c>
      <c r="I69" t="s">
        <v>4859</v>
      </c>
      <c r="K69" t="s">
        <v>5037</v>
      </c>
      <c r="L69" t="s">
        <v>5039</v>
      </c>
    </row>
    <row r="70" spans="1:12" x14ac:dyDescent="0.35">
      <c r="A70" t="s">
        <v>98</v>
      </c>
      <c r="B70" t="s">
        <v>175</v>
      </c>
      <c r="C70" t="s">
        <v>657</v>
      </c>
      <c r="D70">
        <v>1.6999999999999999E-3</v>
      </c>
      <c r="F70" t="s">
        <v>1321</v>
      </c>
      <c r="H70" t="s">
        <v>2675</v>
      </c>
      <c r="I70" t="s">
        <v>2346</v>
      </c>
      <c r="K70" t="s">
        <v>5037</v>
      </c>
      <c r="L70" t="s">
        <v>5039</v>
      </c>
    </row>
    <row r="71" spans="1:12" x14ac:dyDescent="0.35">
      <c r="A71" t="s">
        <v>98</v>
      </c>
      <c r="B71" t="s">
        <v>175</v>
      </c>
      <c r="C71" t="s">
        <v>656</v>
      </c>
      <c r="D71">
        <v>1.8000000000000001E-4</v>
      </c>
      <c r="F71" t="s">
        <v>1322</v>
      </c>
      <c r="I71" t="s">
        <v>1766</v>
      </c>
      <c r="K71" t="s">
        <v>5037</v>
      </c>
      <c r="L71" t="s">
        <v>5039</v>
      </c>
    </row>
    <row r="72" spans="1:12" x14ac:dyDescent="0.35">
      <c r="A72" t="s">
        <v>98</v>
      </c>
      <c r="B72" t="s">
        <v>175</v>
      </c>
      <c r="C72" t="s">
        <v>659</v>
      </c>
      <c r="D72">
        <v>3.4000000000000002E-2</v>
      </c>
      <c r="F72" t="s">
        <v>1323</v>
      </c>
      <c r="H72" t="s">
        <v>2669</v>
      </c>
      <c r="I72" t="s">
        <v>1889</v>
      </c>
      <c r="K72" t="s">
        <v>5037</v>
      </c>
      <c r="L72" t="s">
        <v>5039</v>
      </c>
    </row>
    <row r="73" spans="1:12" x14ac:dyDescent="0.35">
      <c r="A73" t="s">
        <v>98</v>
      </c>
      <c r="B73" t="s">
        <v>175</v>
      </c>
      <c r="C73" t="s">
        <v>658</v>
      </c>
      <c r="D73">
        <v>1.2999999999999999E-3</v>
      </c>
      <c r="F73" t="s">
        <v>1324</v>
      </c>
      <c r="H73" t="s">
        <v>2675</v>
      </c>
      <c r="I73" t="s">
        <v>2346</v>
      </c>
      <c r="K73" t="s">
        <v>5037</v>
      </c>
      <c r="L73" t="s">
        <v>5039</v>
      </c>
    </row>
    <row r="74" spans="1:12" x14ac:dyDescent="0.35">
      <c r="A74" t="s">
        <v>98</v>
      </c>
      <c r="B74" t="s">
        <v>175</v>
      </c>
      <c r="C74" t="s">
        <v>659</v>
      </c>
      <c r="D74">
        <v>2.0000000000000002E-5</v>
      </c>
      <c r="F74" t="s">
        <v>1325</v>
      </c>
      <c r="I74" t="s">
        <v>1766</v>
      </c>
      <c r="K74" t="s">
        <v>5037</v>
      </c>
      <c r="L74" t="s">
        <v>5039</v>
      </c>
    </row>
    <row r="75" spans="1:12" x14ac:dyDescent="0.35">
      <c r="A75" t="s">
        <v>98</v>
      </c>
      <c r="B75" t="s">
        <v>175</v>
      </c>
      <c r="C75" t="s">
        <v>656</v>
      </c>
      <c r="D75">
        <v>2.3999999999999998E-3</v>
      </c>
      <c r="F75" t="s">
        <v>1326</v>
      </c>
      <c r="H75" t="s">
        <v>2676</v>
      </c>
      <c r="I75" t="s">
        <v>1516</v>
      </c>
      <c r="K75" t="s">
        <v>5037</v>
      </c>
      <c r="L75" t="s">
        <v>5039</v>
      </c>
    </row>
    <row r="76" spans="1:12" x14ac:dyDescent="0.35">
      <c r="A76" t="s">
        <v>98</v>
      </c>
      <c r="B76" t="s">
        <v>175</v>
      </c>
      <c r="C76" t="s">
        <v>658</v>
      </c>
      <c r="D76">
        <v>0.34</v>
      </c>
      <c r="F76" t="s">
        <v>1327</v>
      </c>
      <c r="H76" t="s">
        <v>2677</v>
      </c>
      <c r="I76" t="s">
        <v>4860</v>
      </c>
      <c r="K76" t="s">
        <v>5037</v>
      </c>
      <c r="L76" t="s">
        <v>5039</v>
      </c>
    </row>
    <row r="77" spans="1:12" x14ac:dyDescent="0.35">
      <c r="A77" t="s">
        <v>98</v>
      </c>
      <c r="B77" t="s">
        <v>175</v>
      </c>
      <c r="C77" t="s">
        <v>657</v>
      </c>
      <c r="D77">
        <v>1.6</v>
      </c>
      <c r="F77" t="s">
        <v>1328</v>
      </c>
      <c r="H77" t="s">
        <v>2672</v>
      </c>
      <c r="I77" t="s">
        <v>4860</v>
      </c>
      <c r="K77" t="s">
        <v>5037</v>
      </c>
      <c r="L77" t="s">
        <v>5039</v>
      </c>
    </row>
    <row r="78" spans="1:12" x14ac:dyDescent="0.35">
      <c r="A78" t="s">
        <v>98</v>
      </c>
      <c r="B78" t="s">
        <v>175</v>
      </c>
      <c r="C78" t="s">
        <v>659</v>
      </c>
      <c r="D78">
        <v>9.7000000000000005E-4</v>
      </c>
      <c r="F78" t="s">
        <v>1329</v>
      </c>
      <c r="H78" t="s">
        <v>2676</v>
      </c>
      <c r="I78" t="s">
        <v>1516</v>
      </c>
      <c r="K78" t="s">
        <v>5037</v>
      </c>
      <c r="L78" t="s">
        <v>5039</v>
      </c>
    </row>
    <row r="79" spans="1:12" x14ac:dyDescent="0.35">
      <c r="A79" t="s">
        <v>98</v>
      </c>
      <c r="B79" t="s">
        <v>175</v>
      </c>
      <c r="C79" t="s">
        <v>656</v>
      </c>
      <c r="D79">
        <v>9.2999999999999997E-5</v>
      </c>
      <c r="F79" t="s">
        <v>1330</v>
      </c>
      <c r="H79" t="s">
        <v>2678</v>
      </c>
      <c r="I79" t="s">
        <v>4861</v>
      </c>
      <c r="K79" t="s">
        <v>5037</v>
      </c>
      <c r="L79" t="s">
        <v>5039</v>
      </c>
    </row>
    <row r="80" spans="1:12" x14ac:dyDescent="0.35">
      <c r="A80" t="s">
        <v>98</v>
      </c>
      <c r="B80" t="s">
        <v>175</v>
      </c>
      <c r="C80" t="s">
        <v>656</v>
      </c>
      <c r="D80">
        <v>7.8999999999999996E-5</v>
      </c>
      <c r="F80" t="s">
        <v>1331</v>
      </c>
      <c r="H80" t="s">
        <v>2679</v>
      </c>
      <c r="I80" t="s">
        <v>4861</v>
      </c>
      <c r="K80" t="s">
        <v>5037</v>
      </c>
      <c r="L80" t="s">
        <v>5039</v>
      </c>
    </row>
    <row r="81" spans="1:12" x14ac:dyDescent="0.35">
      <c r="A81" t="s">
        <v>98</v>
      </c>
      <c r="B81" t="s">
        <v>179</v>
      </c>
      <c r="C81" t="s">
        <v>659</v>
      </c>
      <c r="D81">
        <v>1E-4</v>
      </c>
      <c r="F81" t="s">
        <v>1289</v>
      </c>
      <c r="I81" t="s">
        <v>1968</v>
      </c>
      <c r="K81" t="s">
        <v>5037</v>
      </c>
      <c r="L81" t="s">
        <v>5039</v>
      </c>
    </row>
    <row r="82" spans="1:12" x14ac:dyDescent="0.35">
      <c r="A82" t="s">
        <v>98</v>
      </c>
      <c r="B82" t="s">
        <v>179</v>
      </c>
      <c r="C82" t="s">
        <v>657</v>
      </c>
      <c r="D82">
        <v>2E-3</v>
      </c>
      <c r="F82" t="s">
        <v>1286</v>
      </c>
      <c r="I82" t="s">
        <v>1584</v>
      </c>
      <c r="K82" t="s">
        <v>5037</v>
      </c>
      <c r="L82" t="s">
        <v>5039</v>
      </c>
    </row>
    <row r="83" spans="1:12" x14ac:dyDescent="0.35">
      <c r="A83" t="s">
        <v>98</v>
      </c>
      <c r="B83" t="s">
        <v>179</v>
      </c>
      <c r="C83" t="s">
        <v>658</v>
      </c>
      <c r="D83">
        <v>1.2999999999999999E-3</v>
      </c>
      <c r="F83" t="s">
        <v>1324</v>
      </c>
      <c r="I83" t="s">
        <v>1584</v>
      </c>
      <c r="K83" t="s">
        <v>5037</v>
      </c>
      <c r="L83" t="s">
        <v>5039</v>
      </c>
    </row>
    <row r="84" spans="1:12" x14ac:dyDescent="0.35">
      <c r="A84" t="s">
        <v>98</v>
      </c>
      <c r="B84" t="s">
        <v>321</v>
      </c>
      <c r="C84" t="s">
        <v>656</v>
      </c>
      <c r="D84">
        <v>9.5000000000000001E-2</v>
      </c>
      <c r="F84" t="s">
        <v>1332</v>
      </c>
      <c r="H84" t="s">
        <v>2680</v>
      </c>
      <c r="I84" t="s">
        <v>1526</v>
      </c>
      <c r="K84" t="s">
        <v>5037</v>
      </c>
      <c r="L84" t="s">
        <v>5039</v>
      </c>
    </row>
    <row r="85" spans="1:12" x14ac:dyDescent="0.35">
      <c r="A85" t="s">
        <v>98</v>
      </c>
      <c r="B85" t="s">
        <v>321</v>
      </c>
      <c r="C85" t="s">
        <v>656</v>
      </c>
      <c r="D85">
        <v>2.4000000000000001E-4</v>
      </c>
      <c r="F85" t="s">
        <v>1333</v>
      </c>
      <c r="H85" t="s">
        <v>2681</v>
      </c>
      <c r="I85" t="s">
        <v>1461</v>
      </c>
      <c r="K85" t="s">
        <v>5037</v>
      </c>
      <c r="L85" t="s">
        <v>5039</v>
      </c>
    </row>
    <row r="86" spans="1:12" x14ac:dyDescent="0.35">
      <c r="A86" t="s">
        <v>98</v>
      </c>
      <c r="B86" t="s">
        <v>321</v>
      </c>
      <c r="C86" t="s">
        <v>657</v>
      </c>
      <c r="D86">
        <v>1.2E-2</v>
      </c>
      <c r="F86" t="s">
        <v>1280</v>
      </c>
      <c r="H86" t="s">
        <v>2682</v>
      </c>
      <c r="I86" t="s">
        <v>2327</v>
      </c>
      <c r="K86" t="s">
        <v>5037</v>
      </c>
      <c r="L86" t="s">
        <v>5039</v>
      </c>
    </row>
    <row r="87" spans="1:12" x14ac:dyDescent="0.35">
      <c r="A87" t="s">
        <v>98</v>
      </c>
      <c r="B87" t="s">
        <v>321</v>
      </c>
      <c r="C87" t="s">
        <v>657</v>
      </c>
      <c r="D87">
        <v>0.04</v>
      </c>
      <c r="F87" t="s">
        <v>1334</v>
      </c>
      <c r="H87" t="s">
        <v>2683</v>
      </c>
      <c r="I87" t="s">
        <v>2327</v>
      </c>
      <c r="K87" t="s">
        <v>5037</v>
      </c>
      <c r="L87" t="s">
        <v>5039</v>
      </c>
    </row>
    <row r="88" spans="1:12" x14ac:dyDescent="0.35">
      <c r="A88" t="s">
        <v>98</v>
      </c>
      <c r="B88" t="s">
        <v>321</v>
      </c>
      <c r="C88" t="s">
        <v>656</v>
      </c>
      <c r="D88">
        <v>7</v>
      </c>
      <c r="F88" t="s">
        <v>1335</v>
      </c>
      <c r="I88" t="s">
        <v>1383</v>
      </c>
      <c r="K88" t="s">
        <v>5037</v>
      </c>
      <c r="L88" t="s">
        <v>5039</v>
      </c>
    </row>
    <row r="89" spans="1:12" x14ac:dyDescent="0.35">
      <c r="A89" t="s">
        <v>98</v>
      </c>
      <c r="B89" t="s">
        <v>321</v>
      </c>
      <c r="C89" t="s">
        <v>659</v>
      </c>
      <c r="D89">
        <v>1.4999999999999999E-2</v>
      </c>
      <c r="F89" t="s">
        <v>1336</v>
      </c>
      <c r="I89" t="s">
        <v>1335</v>
      </c>
      <c r="K89" t="s">
        <v>5037</v>
      </c>
      <c r="L89" t="s">
        <v>5039</v>
      </c>
    </row>
    <row r="90" spans="1:12" x14ac:dyDescent="0.35">
      <c r="A90" t="s">
        <v>98</v>
      </c>
      <c r="B90" t="s">
        <v>321</v>
      </c>
      <c r="C90" t="s">
        <v>658</v>
      </c>
      <c r="D90">
        <v>1.1999999999999999E-3</v>
      </c>
      <c r="F90" t="s">
        <v>1337</v>
      </c>
      <c r="H90" t="s">
        <v>2682</v>
      </c>
      <c r="I90" t="s">
        <v>2327</v>
      </c>
      <c r="K90" t="s">
        <v>5037</v>
      </c>
      <c r="L90" t="s">
        <v>5039</v>
      </c>
    </row>
    <row r="91" spans="1:12" x14ac:dyDescent="0.35">
      <c r="A91" t="s">
        <v>98</v>
      </c>
      <c r="B91" t="s">
        <v>321</v>
      </c>
      <c r="C91" t="s">
        <v>657</v>
      </c>
      <c r="D91">
        <v>4.2000000000000003E-2</v>
      </c>
      <c r="F91" t="s">
        <v>1338</v>
      </c>
      <c r="H91" t="s">
        <v>2684</v>
      </c>
      <c r="I91" t="s">
        <v>2327</v>
      </c>
      <c r="K91" t="s">
        <v>5037</v>
      </c>
      <c r="L91" t="s">
        <v>5039</v>
      </c>
    </row>
    <row r="92" spans="1:12" x14ac:dyDescent="0.35">
      <c r="A92" t="s">
        <v>98</v>
      </c>
      <c r="B92" t="s">
        <v>321</v>
      </c>
      <c r="C92" t="s">
        <v>658</v>
      </c>
      <c r="D92">
        <v>3.2000000000000002E-3</v>
      </c>
      <c r="F92" t="s">
        <v>1339</v>
      </c>
      <c r="H92" t="s">
        <v>2683</v>
      </c>
      <c r="I92" t="s">
        <v>2327</v>
      </c>
      <c r="K92" t="s">
        <v>5037</v>
      </c>
      <c r="L92" t="s">
        <v>5039</v>
      </c>
    </row>
    <row r="93" spans="1:12" x14ac:dyDescent="0.35">
      <c r="A93" t="s">
        <v>98</v>
      </c>
      <c r="B93" t="s">
        <v>321</v>
      </c>
      <c r="C93" t="s">
        <v>656</v>
      </c>
      <c r="D93">
        <v>3.3000000000000002E-2</v>
      </c>
      <c r="F93" t="s">
        <v>1340</v>
      </c>
      <c r="I93" t="s">
        <v>1335</v>
      </c>
      <c r="K93" t="s">
        <v>5037</v>
      </c>
      <c r="L93" t="s">
        <v>5039</v>
      </c>
    </row>
    <row r="94" spans="1:12" x14ac:dyDescent="0.35">
      <c r="A94" t="s">
        <v>98</v>
      </c>
      <c r="B94" t="s">
        <v>321</v>
      </c>
      <c r="C94" t="s">
        <v>657</v>
      </c>
      <c r="D94">
        <v>3.5000000000000003E-2</v>
      </c>
      <c r="F94" t="s">
        <v>1341</v>
      </c>
      <c r="H94" t="s">
        <v>2685</v>
      </c>
      <c r="I94" t="s">
        <v>2327</v>
      </c>
      <c r="K94" t="s">
        <v>5037</v>
      </c>
      <c r="L94" t="s">
        <v>5039</v>
      </c>
    </row>
    <row r="95" spans="1:12" x14ac:dyDescent="0.35">
      <c r="A95" t="s">
        <v>98</v>
      </c>
      <c r="B95" t="s">
        <v>321</v>
      </c>
      <c r="C95" t="s">
        <v>658</v>
      </c>
      <c r="D95">
        <v>2.7000000000000001E-3</v>
      </c>
      <c r="F95" t="s">
        <v>1342</v>
      </c>
      <c r="H95" t="s">
        <v>2685</v>
      </c>
      <c r="I95" t="s">
        <v>2327</v>
      </c>
      <c r="K95" t="s">
        <v>5037</v>
      </c>
      <c r="L95" t="s">
        <v>5039</v>
      </c>
    </row>
    <row r="96" spans="1:12" x14ac:dyDescent="0.35">
      <c r="A96" t="s">
        <v>98</v>
      </c>
      <c r="B96" t="s">
        <v>321</v>
      </c>
      <c r="C96" t="s">
        <v>656</v>
      </c>
      <c r="D96">
        <v>7.4999999999999997E-3</v>
      </c>
      <c r="F96" t="s">
        <v>1343</v>
      </c>
      <c r="H96" t="s">
        <v>2680</v>
      </c>
      <c r="I96" t="s">
        <v>1526</v>
      </c>
      <c r="K96" t="s">
        <v>5037</v>
      </c>
      <c r="L96" t="s">
        <v>5039</v>
      </c>
    </row>
    <row r="97" spans="1:12" x14ac:dyDescent="0.35">
      <c r="A97" t="s">
        <v>98</v>
      </c>
      <c r="B97" t="s">
        <v>321</v>
      </c>
      <c r="C97" t="s">
        <v>658</v>
      </c>
      <c r="D97">
        <v>2.8E-3</v>
      </c>
      <c r="F97" t="s">
        <v>1344</v>
      </c>
      <c r="H97" t="s">
        <v>2684</v>
      </c>
      <c r="I97" t="s">
        <v>2327</v>
      </c>
      <c r="K97" t="s">
        <v>5037</v>
      </c>
      <c r="L97" t="s">
        <v>5039</v>
      </c>
    </row>
    <row r="98" spans="1:12" x14ac:dyDescent="0.35">
      <c r="A98" t="s">
        <v>98</v>
      </c>
      <c r="B98" t="s">
        <v>321</v>
      </c>
      <c r="C98" t="s">
        <v>656</v>
      </c>
      <c r="D98">
        <v>2.9E-4</v>
      </c>
      <c r="F98" t="s">
        <v>1345</v>
      </c>
      <c r="H98" t="s">
        <v>2686</v>
      </c>
      <c r="I98" t="s">
        <v>1461</v>
      </c>
      <c r="K98" t="s">
        <v>5037</v>
      </c>
      <c r="L98" t="s">
        <v>5039</v>
      </c>
    </row>
    <row r="99" spans="1:12" x14ac:dyDescent="0.35">
      <c r="A99" t="s">
        <v>98</v>
      </c>
      <c r="B99" t="s">
        <v>321</v>
      </c>
      <c r="C99" t="s">
        <v>656</v>
      </c>
      <c r="D99">
        <v>4.6999999999999999E-4</v>
      </c>
      <c r="F99" t="s">
        <v>1346</v>
      </c>
      <c r="H99" t="s">
        <v>2686</v>
      </c>
      <c r="I99" t="s">
        <v>1461</v>
      </c>
      <c r="K99" t="s">
        <v>5037</v>
      </c>
      <c r="L99" t="s">
        <v>5039</v>
      </c>
    </row>
    <row r="100" spans="1:12" x14ac:dyDescent="0.35">
      <c r="A100" t="s">
        <v>98</v>
      </c>
      <c r="B100" t="s">
        <v>321</v>
      </c>
      <c r="C100" t="s">
        <v>656</v>
      </c>
      <c r="D100">
        <v>9.3999999999999994E-5</v>
      </c>
      <c r="F100" t="s">
        <v>1347</v>
      </c>
      <c r="H100" t="s">
        <v>2681</v>
      </c>
      <c r="I100" t="s">
        <v>1461</v>
      </c>
      <c r="K100" t="s">
        <v>5037</v>
      </c>
      <c r="L100" t="s">
        <v>5039</v>
      </c>
    </row>
    <row r="101" spans="1:12" x14ac:dyDescent="0.35">
      <c r="A101" t="s">
        <v>98</v>
      </c>
      <c r="B101" t="s">
        <v>321</v>
      </c>
      <c r="C101" t="s">
        <v>656</v>
      </c>
      <c r="D101">
        <v>4.6399999999999997E-2</v>
      </c>
      <c r="F101" t="s">
        <v>1348</v>
      </c>
      <c r="H101" t="s">
        <v>2687</v>
      </c>
      <c r="I101" t="s">
        <v>1461</v>
      </c>
      <c r="K101" t="s">
        <v>5037</v>
      </c>
      <c r="L101" t="s">
        <v>5039</v>
      </c>
    </row>
    <row r="102" spans="1:12" x14ac:dyDescent="0.35">
      <c r="A102" t="s">
        <v>98</v>
      </c>
      <c r="B102" t="s">
        <v>321</v>
      </c>
      <c r="C102" t="s">
        <v>659</v>
      </c>
      <c r="D102">
        <v>4.6399999999999997E-2</v>
      </c>
      <c r="F102" t="s">
        <v>1348</v>
      </c>
      <c r="H102" t="s">
        <v>2688</v>
      </c>
      <c r="I102" t="s">
        <v>1461</v>
      </c>
      <c r="K102" t="s">
        <v>5037</v>
      </c>
      <c r="L102" t="s">
        <v>5039</v>
      </c>
    </row>
    <row r="103" spans="1:12" x14ac:dyDescent="0.35">
      <c r="A103" t="s">
        <v>100</v>
      </c>
      <c r="B103" t="s">
        <v>322</v>
      </c>
      <c r="C103" t="s">
        <v>666</v>
      </c>
      <c r="D103">
        <v>6.49</v>
      </c>
      <c r="F103" t="s">
        <v>1349</v>
      </c>
      <c r="H103" t="s">
        <v>2689</v>
      </c>
      <c r="I103" t="s">
        <v>1389</v>
      </c>
      <c r="K103" t="s">
        <v>5037</v>
      </c>
      <c r="L103" t="s">
        <v>5039</v>
      </c>
    </row>
    <row r="104" spans="1:12" x14ac:dyDescent="0.35">
      <c r="A104" t="s">
        <v>100</v>
      </c>
      <c r="B104" t="s">
        <v>178</v>
      </c>
      <c r="C104" t="s">
        <v>667</v>
      </c>
      <c r="D104">
        <v>5.58</v>
      </c>
      <c r="F104" t="s">
        <v>1350</v>
      </c>
      <c r="H104" t="s">
        <v>2690</v>
      </c>
      <c r="I104" t="s">
        <v>1526</v>
      </c>
      <c r="K104" t="s">
        <v>5037</v>
      </c>
      <c r="L104" t="s">
        <v>5039</v>
      </c>
    </row>
    <row r="105" spans="1:12" x14ac:dyDescent="0.35">
      <c r="A105" t="s">
        <v>100</v>
      </c>
      <c r="B105" t="s">
        <v>178</v>
      </c>
      <c r="C105" t="s">
        <v>668</v>
      </c>
      <c r="D105">
        <v>6.13</v>
      </c>
      <c r="F105" t="s">
        <v>1351</v>
      </c>
      <c r="H105" t="s">
        <v>2690</v>
      </c>
      <c r="I105" t="s">
        <v>1526</v>
      </c>
      <c r="K105" t="s">
        <v>5037</v>
      </c>
      <c r="L105" t="s">
        <v>5039</v>
      </c>
    </row>
    <row r="106" spans="1:12" x14ac:dyDescent="0.35">
      <c r="A106" t="s">
        <v>100</v>
      </c>
      <c r="B106" t="s">
        <v>178</v>
      </c>
      <c r="C106" t="s">
        <v>666</v>
      </c>
      <c r="D106">
        <v>4.43</v>
      </c>
      <c r="F106" t="s">
        <v>1352</v>
      </c>
      <c r="H106" t="s">
        <v>2690</v>
      </c>
      <c r="I106" t="s">
        <v>1526</v>
      </c>
      <c r="K106" t="s">
        <v>5037</v>
      </c>
      <c r="L106" t="s">
        <v>5039</v>
      </c>
    </row>
    <row r="107" spans="1:12" x14ac:dyDescent="0.35">
      <c r="A107" t="s">
        <v>100</v>
      </c>
      <c r="B107" t="s">
        <v>323</v>
      </c>
      <c r="C107" t="s">
        <v>669</v>
      </c>
      <c r="D107">
        <v>100</v>
      </c>
      <c r="F107" t="s">
        <v>1353</v>
      </c>
      <c r="H107" t="s">
        <v>2691</v>
      </c>
      <c r="I107" t="s">
        <v>1368</v>
      </c>
      <c r="K107" t="s">
        <v>5037</v>
      </c>
      <c r="L107" t="s">
        <v>5039</v>
      </c>
    </row>
    <row r="108" spans="1:12" x14ac:dyDescent="0.35">
      <c r="A108" t="s">
        <v>100</v>
      </c>
      <c r="B108" t="s">
        <v>323</v>
      </c>
      <c r="C108" t="s">
        <v>670</v>
      </c>
      <c r="D108">
        <v>30</v>
      </c>
      <c r="F108" t="s">
        <v>1354</v>
      </c>
      <c r="I108" t="s">
        <v>1368</v>
      </c>
      <c r="K108" t="s">
        <v>5037</v>
      </c>
      <c r="L108" t="s">
        <v>5039</v>
      </c>
    </row>
    <row r="109" spans="1:12" x14ac:dyDescent="0.35">
      <c r="A109" t="s">
        <v>100</v>
      </c>
      <c r="B109" t="s">
        <v>323</v>
      </c>
      <c r="C109" t="s">
        <v>671</v>
      </c>
      <c r="D109">
        <v>1.34</v>
      </c>
      <c r="F109" t="s">
        <v>1355</v>
      </c>
      <c r="I109" t="s">
        <v>1368</v>
      </c>
      <c r="K109" t="s">
        <v>5037</v>
      </c>
      <c r="L109" t="s">
        <v>5039</v>
      </c>
    </row>
    <row r="110" spans="1:12" x14ac:dyDescent="0.35">
      <c r="A110" t="s">
        <v>100</v>
      </c>
      <c r="B110" t="s">
        <v>324</v>
      </c>
      <c r="C110" t="s">
        <v>666</v>
      </c>
      <c r="D110">
        <v>6.42</v>
      </c>
      <c r="F110" t="s">
        <v>1356</v>
      </c>
      <c r="H110" t="s">
        <v>2692</v>
      </c>
      <c r="I110" t="s">
        <v>1389</v>
      </c>
      <c r="K110" t="s">
        <v>5037</v>
      </c>
      <c r="L110" t="s">
        <v>5039</v>
      </c>
    </row>
    <row r="111" spans="1:12" x14ac:dyDescent="0.35">
      <c r="A111" t="s">
        <v>100</v>
      </c>
      <c r="B111" t="s">
        <v>324</v>
      </c>
      <c r="C111" t="s">
        <v>666</v>
      </c>
      <c r="D111">
        <v>5.31</v>
      </c>
      <c r="F111" t="s">
        <v>1357</v>
      </c>
      <c r="H111" t="s">
        <v>2693</v>
      </c>
      <c r="I111" t="s">
        <v>1389</v>
      </c>
      <c r="K111" t="s">
        <v>5037</v>
      </c>
      <c r="L111" t="s">
        <v>5039</v>
      </c>
    </row>
    <row r="112" spans="1:12" x14ac:dyDescent="0.35">
      <c r="A112" t="s">
        <v>100</v>
      </c>
      <c r="B112" t="s">
        <v>325</v>
      </c>
      <c r="C112" t="s">
        <v>671</v>
      </c>
      <c r="D112">
        <v>1.3</v>
      </c>
      <c r="F112" t="s">
        <v>1358</v>
      </c>
      <c r="I112" t="s">
        <v>1368</v>
      </c>
      <c r="K112" t="s">
        <v>5037</v>
      </c>
      <c r="L112" t="s">
        <v>5039</v>
      </c>
    </row>
    <row r="113" spans="1:12" x14ac:dyDescent="0.35">
      <c r="A113" t="s">
        <v>100</v>
      </c>
      <c r="B113" t="s">
        <v>325</v>
      </c>
      <c r="C113" t="s">
        <v>669</v>
      </c>
      <c r="D113">
        <v>50</v>
      </c>
      <c r="F113" t="s">
        <v>1359</v>
      </c>
      <c r="H113" t="s">
        <v>2694</v>
      </c>
      <c r="I113" t="s">
        <v>1368</v>
      </c>
      <c r="K113" t="s">
        <v>5037</v>
      </c>
      <c r="L113" t="s">
        <v>5039</v>
      </c>
    </row>
    <row r="114" spans="1:12" x14ac:dyDescent="0.35">
      <c r="A114" t="s">
        <v>100</v>
      </c>
      <c r="B114" t="s">
        <v>325</v>
      </c>
      <c r="C114" t="s">
        <v>670</v>
      </c>
      <c r="D114">
        <v>63</v>
      </c>
      <c r="F114" t="s">
        <v>1360</v>
      </c>
      <c r="I114" t="s">
        <v>1368</v>
      </c>
      <c r="K114" t="s">
        <v>5037</v>
      </c>
      <c r="L114" t="s">
        <v>5039</v>
      </c>
    </row>
    <row r="115" spans="1:12" x14ac:dyDescent="0.35">
      <c r="A115" t="s">
        <v>100</v>
      </c>
      <c r="B115" t="s">
        <v>326</v>
      </c>
      <c r="C115" t="s">
        <v>668</v>
      </c>
      <c r="D115">
        <v>3.0000000000000001E-3</v>
      </c>
      <c r="F115" t="s">
        <v>1279</v>
      </c>
      <c r="H115" t="s">
        <v>2695</v>
      </c>
      <c r="I115" t="s">
        <v>1454</v>
      </c>
      <c r="K115" t="s">
        <v>5037</v>
      </c>
      <c r="L115" t="s">
        <v>5039</v>
      </c>
    </row>
    <row r="116" spans="1:12" x14ac:dyDescent="0.35">
      <c r="A116" t="s">
        <v>100</v>
      </c>
      <c r="B116" t="s">
        <v>326</v>
      </c>
      <c r="C116" t="s">
        <v>672</v>
      </c>
      <c r="D116">
        <v>1.2E-2</v>
      </c>
      <c r="F116" t="s">
        <v>1280</v>
      </c>
      <c r="H116" t="s">
        <v>2695</v>
      </c>
      <c r="I116" t="s">
        <v>1454</v>
      </c>
      <c r="K116" t="s">
        <v>5037</v>
      </c>
      <c r="L116" t="s">
        <v>5039</v>
      </c>
    </row>
    <row r="117" spans="1:12" x14ac:dyDescent="0.35">
      <c r="A117" t="s">
        <v>100</v>
      </c>
      <c r="B117" t="s">
        <v>326</v>
      </c>
      <c r="C117" t="s">
        <v>671</v>
      </c>
      <c r="D117">
        <v>0.14000000000000001</v>
      </c>
      <c r="F117" t="s">
        <v>1361</v>
      </c>
      <c r="H117" t="s">
        <v>2696</v>
      </c>
      <c r="I117" t="s">
        <v>1454</v>
      </c>
      <c r="K117" t="s">
        <v>5037</v>
      </c>
      <c r="L117" t="s">
        <v>5039</v>
      </c>
    </row>
    <row r="118" spans="1:12" x14ac:dyDescent="0.35">
      <c r="A118" t="s">
        <v>100</v>
      </c>
      <c r="B118" t="s">
        <v>326</v>
      </c>
      <c r="C118" t="s">
        <v>671</v>
      </c>
      <c r="D118">
        <v>0.23</v>
      </c>
      <c r="F118" t="s">
        <v>1362</v>
      </c>
      <c r="H118" t="s">
        <v>2695</v>
      </c>
      <c r="I118" t="s">
        <v>1454</v>
      </c>
      <c r="K118" t="s">
        <v>5037</v>
      </c>
      <c r="L118" t="s">
        <v>5039</v>
      </c>
    </row>
    <row r="119" spans="1:12" x14ac:dyDescent="0.35">
      <c r="A119" t="s">
        <v>100</v>
      </c>
      <c r="B119" t="s">
        <v>326</v>
      </c>
      <c r="C119" t="s">
        <v>668</v>
      </c>
      <c r="D119">
        <v>1.7000000000000001E-2</v>
      </c>
      <c r="F119" t="s">
        <v>1363</v>
      </c>
      <c r="H119" t="s">
        <v>2696</v>
      </c>
      <c r="I119" t="s">
        <v>1454</v>
      </c>
      <c r="K119" t="s">
        <v>5037</v>
      </c>
      <c r="L119" t="s">
        <v>5039</v>
      </c>
    </row>
    <row r="120" spans="1:12" x14ac:dyDescent="0.35">
      <c r="A120" t="s">
        <v>100</v>
      </c>
      <c r="B120" t="s">
        <v>326</v>
      </c>
      <c r="C120" t="s">
        <v>673</v>
      </c>
      <c r="D120">
        <v>1.27</v>
      </c>
      <c r="F120" t="s">
        <v>1364</v>
      </c>
      <c r="H120" t="s">
        <v>2696</v>
      </c>
      <c r="I120" t="s">
        <v>1454</v>
      </c>
      <c r="K120" t="s">
        <v>5037</v>
      </c>
      <c r="L120" t="s">
        <v>5039</v>
      </c>
    </row>
    <row r="121" spans="1:12" x14ac:dyDescent="0.35">
      <c r="A121" t="s">
        <v>100</v>
      </c>
      <c r="B121" t="s">
        <v>326</v>
      </c>
      <c r="C121" t="s">
        <v>673</v>
      </c>
      <c r="D121">
        <v>1.48</v>
      </c>
      <c r="F121" t="s">
        <v>1365</v>
      </c>
      <c r="H121" t="s">
        <v>2695</v>
      </c>
      <c r="I121" t="s">
        <v>1454</v>
      </c>
      <c r="K121" t="s">
        <v>5037</v>
      </c>
      <c r="L121" t="s">
        <v>5039</v>
      </c>
    </row>
    <row r="122" spans="1:12" x14ac:dyDescent="0.35">
      <c r="A122" t="s">
        <v>100</v>
      </c>
      <c r="B122" t="s">
        <v>326</v>
      </c>
      <c r="C122" t="s">
        <v>666</v>
      </c>
      <c r="D122">
        <v>0.19500000000000001</v>
      </c>
      <c r="F122" t="s">
        <v>1366</v>
      </c>
      <c r="H122" t="s">
        <v>2696</v>
      </c>
      <c r="I122" t="s">
        <v>1454</v>
      </c>
      <c r="K122" t="s">
        <v>5037</v>
      </c>
      <c r="L122" t="s">
        <v>5039</v>
      </c>
    </row>
    <row r="123" spans="1:12" x14ac:dyDescent="0.35">
      <c r="A123" t="s">
        <v>100</v>
      </c>
      <c r="B123" t="s">
        <v>327</v>
      </c>
      <c r="C123" t="s">
        <v>666</v>
      </c>
      <c r="D123">
        <v>9</v>
      </c>
      <c r="F123" t="s">
        <v>1367</v>
      </c>
      <c r="H123" t="s">
        <v>2697</v>
      </c>
      <c r="I123" t="s">
        <v>1467</v>
      </c>
      <c r="K123" t="s">
        <v>5037</v>
      </c>
      <c r="L123" t="s">
        <v>5039</v>
      </c>
    </row>
    <row r="124" spans="1:12" x14ac:dyDescent="0.35">
      <c r="A124" t="s">
        <v>100</v>
      </c>
      <c r="B124" t="s">
        <v>327</v>
      </c>
      <c r="C124" t="s">
        <v>666</v>
      </c>
      <c r="D124">
        <v>3</v>
      </c>
      <c r="F124" t="s">
        <v>1368</v>
      </c>
      <c r="H124" t="s">
        <v>2698</v>
      </c>
      <c r="I124" t="s">
        <v>1317</v>
      </c>
      <c r="K124" t="s">
        <v>5037</v>
      </c>
      <c r="L124" t="s">
        <v>5039</v>
      </c>
    </row>
    <row r="125" spans="1:12" x14ac:dyDescent="0.35">
      <c r="A125" t="s">
        <v>100</v>
      </c>
      <c r="B125" t="s">
        <v>328</v>
      </c>
      <c r="C125" t="s">
        <v>674</v>
      </c>
      <c r="D125">
        <v>55</v>
      </c>
      <c r="F125" t="s">
        <v>1369</v>
      </c>
      <c r="H125" t="s">
        <v>2699</v>
      </c>
      <c r="I125" t="s">
        <v>1477</v>
      </c>
      <c r="K125" t="s">
        <v>5037</v>
      </c>
      <c r="L125" t="s">
        <v>5039</v>
      </c>
    </row>
    <row r="126" spans="1:12" x14ac:dyDescent="0.35">
      <c r="A126" t="s">
        <v>100</v>
      </c>
      <c r="B126" t="s">
        <v>328</v>
      </c>
      <c r="C126" t="s">
        <v>675</v>
      </c>
      <c r="D126">
        <v>0.03</v>
      </c>
      <c r="F126" t="s">
        <v>1266</v>
      </c>
      <c r="H126" t="s">
        <v>2700</v>
      </c>
      <c r="I126" t="s">
        <v>1367</v>
      </c>
      <c r="K126" t="s">
        <v>5037</v>
      </c>
      <c r="L126" t="s">
        <v>5039</v>
      </c>
    </row>
    <row r="127" spans="1:12" x14ac:dyDescent="0.35">
      <c r="A127" t="s">
        <v>100</v>
      </c>
      <c r="B127" t="s">
        <v>328</v>
      </c>
      <c r="C127" t="s">
        <v>676</v>
      </c>
      <c r="D127">
        <v>0.06</v>
      </c>
      <c r="F127" t="s">
        <v>1370</v>
      </c>
      <c r="H127" t="s">
        <v>2700</v>
      </c>
      <c r="I127" t="s">
        <v>1367</v>
      </c>
      <c r="K127" t="s">
        <v>5037</v>
      </c>
      <c r="L127" t="s">
        <v>5039</v>
      </c>
    </row>
    <row r="128" spans="1:12" x14ac:dyDescent="0.35">
      <c r="A128" t="s">
        <v>100</v>
      </c>
      <c r="B128" t="s">
        <v>328</v>
      </c>
      <c r="C128" t="s">
        <v>671</v>
      </c>
      <c r="D128">
        <v>0.2</v>
      </c>
      <c r="F128" t="s">
        <v>1371</v>
      </c>
      <c r="H128" t="s">
        <v>2700</v>
      </c>
      <c r="I128" t="s">
        <v>1367</v>
      </c>
      <c r="K128" t="s">
        <v>5037</v>
      </c>
      <c r="L128" t="s">
        <v>5039</v>
      </c>
    </row>
    <row r="129" spans="1:12" x14ac:dyDescent="0.35">
      <c r="A129" t="s">
        <v>100</v>
      </c>
      <c r="B129" t="s">
        <v>328</v>
      </c>
      <c r="C129" t="s">
        <v>669</v>
      </c>
      <c r="D129">
        <v>1</v>
      </c>
      <c r="F129" t="s">
        <v>1317</v>
      </c>
      <c r="H129" t="s">
        <v>2701</v>
      </c>
      <c r="I129" t="s">
        <v>1477</v>
      </c>
      <c r="K129" t="s">
        <v>5037</v>
      </c>
      <c r="L129" t="s">
        <v>5039</v>
      </c>
    </row>
    <row r="130" spans="1:12" x14ac:dyDescent="0.35">
      <c r="A130" t="s">
        <v>100</v>
      </c>
      <c r="B130" t="s">
        <v>328</v>
      </c>
      <c r="C130" t="s">
        <v>673</v>
      </c>
      <c r="D130">
        <v>2</v>
      </c>
      <c r="F130" t="s">
        <v>1372</v>
      </c>
      <c r="H130" t="s">
        <v>2702</v>
      </c>
      <c r="I130" t="s">
        <v>1477</v>
      </c>
      <c r="K130" t="s">
        <v>5037</v>
      </c>
      <c r="L130" t="s">
        <v>5039</v>
      </c>
    </row>
    <row r="131" spans="1:12" x14ac:dyDescent="0.35">
      <c r="A131" t="s">
        <v>100</v>
      </c>
      <c r="B131" t="s">
        <v>328</v>
      </c>
      <c r="C131" t="s">
        <v>677</v>
      </c>
      <c r="D131">
        <v>2</v>
      </c>
      <c r="F131" t="s">
        <v>1372</v>
      </c>
      <c r="H131" t="s">
        <v>2702</v>
      </c>
      <c r="I131" t="s">
        <v>1477</v>
      </c>
      <c r="K131" t="s">
        <v>5037</v>
      </c>
      <c r="L131" t="s">
        <v>5039</v>
      </c>
    </row>
    <row r="132" spans="1:12" x14ac:dyDescent="0.35">
      <c r="A132" t="s">
        <v>100</v>
      </c>
      <c r="B132" t="s">
        <v>328</v>
      </c>
      <c r="C132" t="s">
        <v>678</v>
      </c>
      <c r="D132">
        <v>8</v>
      </c>
      <c r="F132" t="s">
        <v>1373</v>
      </c>
      <c r="H132" t="s">
        <v>2703</v>
      </c>
      <c r="I132" t="s">
        <v>1367</v>
      </c>
      <c r="K132" t="s">
        <v>5037</v>
      </c>
      <c r="L132" t="s">
        <v>5039</v>
      </c>
    </row>
    <row r="133" spans="1:12" x14ac:dyDescent="0.35">
      <c r="A133" t="s">
        <v>100</v>
      </c>
      <c r="B133" t="s">
        <v>328</v>
      </c>
      <c r="C133" t="s">
        <v>679</v>
      </c>
      <c r="D133">
        <v>8</v>
      </c>
      <c r="F133" t="s">
        <v>1373</v>
      </c>
      <c r="H133" t="s">
        <v>2702</v>
      </c>
      <c r="I133" t="s">
        <v>1477</v>
      </c>
      <c r="K133" t="s">
        <v>5037</v>
      </c>
      <c r="L133" t="s">
        <v>5039</v>
      </c>
    </row>
    <row r="134" spans="1:12" x14ac:dyDescent="0.35">
      <c r="A134" t="s">
        <v>100</v>
      </c>
      <c r="B134" t="s">
        <v>328</v>
      </c>
      <c r="C134" t="s">
        <v>680</v>
      </c>
      <c r="D134">
        <v>8</v>
      </c>
      <c r="F134" t="s">
        <v>1373</v>
      </c>
      <c r="H134" t="s">
        <v>2702</v>
      </c>
      <c r="I134" t="s">
        <v>1477</v>
      </c>
      <c r="K134" t="s">
        <v>5037</v>
      </c>
      <c r="L134" t="s">
        <v>5039</v>
      </c>
    </row>
    <row r="135" spans="1:12" x14ac:dyDescent="0.35">
      <c r="A135" t="s">
        <v>100</v>
      </c>
      <c r="B135" t="s">
        <v>328</v>
      </c>
      <c r="C135" t="s">
        <v>681</v>
      </c>
      <c r="D135">
        <v>0.8</v>
      </c>
      <c r="F135" t="s">
        <v>1319</v>
      </c>
      <c r="H135" t="s">
        <v>2700</v>
      </c>
      <c r="I135" t="s">
        <v>1367</v>
      </c>
      <c r="K135" t="s">
        <v>5037</v>
      </c>
      <c r="L135" t="s">
        <v>5039</v>
      </c>
    </row>
    <row r="136" spans="1:12" x14ac:dyDescent="0.35">
      <c r="A136" t="s">
        <v>100</v>
      </c>
      <c r="B136" t="s">
        <v>328</v>
      </c>
      <c r="C136" t="s">
        <v>673</v>
      </c>
      <c r="D136">
        <v>3.1</v>
      </c>
      <c r="F136" t="s">
        <v>1374</v>
      </c>
      <c r="H136" t="s">
        <v>2700</v>
      </c>
      <c r="I136" t="s">
        <v>1367</v>
      </c>
      <c r="K136" t="s">
        <v>5037</v>
      </c>
      <c r="L136" t="s">
        <v>5039</v>
      </c>
    </row>
    <row r="137" spans="1:12" x14ac:dyDescent="0.35">
      <c r="A137" t="s">
        <v>100</v>
      </c>
      <c r="B137" t="s">
        <v>328</v>
      </c>
      <c r="C137" t="s">
        <v>682</v>
      </c>
      <c r="D137">
        <v>1.8</v>
      </c>
      <c r="F137" t="s">
        <v>1375</v>
      </c>
      <c r="H137" t="s">
        <v>2700</v>
      </c>
      <c r="I137" t="s">
        <v>1367</v>
      </c>
      <c r="K137" t="s">
        <v>5037</v>
      </c>
      <c r="L137" t="s">
        <v>5039</v>
      </c>
    </row>
    <row r="138" spans="1:12" x14ac:dyDescent="0.35">
      <c r="A138" t="s">
        <v>100</v>
      </c>
      <c r="B138" t="s">
        <v>328</v>
      </c>
      <c r="C138" t="s">
        <v>666</v>
      </c>
      <c r="D138">
        <v>0.01</v>
      </c>
      <c r="F138" t="s">
        <v>1376</v>
      </c>
      <c r="H138" t="s">
        <v>2704</v>
      </c>
      <c r="I138" t="s">
        <v>4862</v>
      </c>
      <c r="K138" t="s">
        <v>5037</v>
      </c>
      <c r="L138" t="s">
        <v>5039</v>
      </c>
    </row>
    <row r="139" spans="1:12" x14ac:dyDescent="0.35">
      <c r="A139" t="s">
        <v>100</v>
      </c>
      <c r="B139" t="s">
        <v>328</v>
      </c>
      <c r="C139" t="s">
        <v>682</v>
      </c>
      <c r="D139">
        <v>3</v>
      </c>
      <c r="F139" t="s">
        <v>1368</v>
      </c>
      <c r="H139" t="s">
        <v>2702</v>
      </c>
      <c r="I139" t="s">
        <v>1477</v>
      </c>
      <c r="K139" t="s">
        <v>5037</v>
      </c>
      <c r="L139" t="s">
        <v>5039</v>
      </c>
    </row>
    <row r="140" spans="1:12" x14ac:dyDescent="0.35">
      <c r="A140" t="s">
        <v>100</v>
      </c>
      <c r="B140" t="s">
        <v>328</v>
      </c>
      <c r="C140" t="s">
        <v>163</v>
      </c>
      <c r="D140">
        <v>3.3</v>
      </c>
      <c r="F140" t="s">
        <v>1377</v>
      </c>
      <c r="H140" t="s">
        <v>2700</v>
      </c>
      <c r="I140" t="s">
        <v>1367</v>
      </c>
      <c r="K140" t="s">
        <v>5037</v>
      </c>
      <c r="L140" t="s">
        <v>5039</v>
      </c>
    </row>
    <row r="141" spans="1:12" x14ac:dyDescent="0.35">
      <c r="A141" t="s">
        <v>100</v>
      </c>
      <c r="B141" t="s">
        <v>328</v>
      </c>
      <c r="C141" t="s">
        <v>678</v>
      </c>
      <c r="D141">
        <v>0.7</v>
      </c>
      <c r="F141" t="s">
        <v>1378</v>
      </c>
      <c r="H141" t="s">
        <v>2700</v>
      </c>
      <c r="I141" t="s">
        <v>1367</v>
      </c>
      <c r="K141" t="s">
        <v>5037</v>
      </c>
      <c r="L141" t="s">
        <v>5039</v>
      </c>
    </row>
    <row r="142" spans="1:12" x14ac:dyDescent="0.35">
      <c r="A142" t="s">
        <v>100</v>
      </c>
      <c r="B142" t="s">
        <v>328</v>
      </c>
      <c r="C142" t="s">
        <v>669</v>
      </c>
      <c r="D142">
        <v>4</v>
      </c>
      <c r="F142" t="s">
        <v>1379</v>
      </c>
      <c r="H142" t="s">
        <v>2705</v>
      </c>
      <c r="I142" t="s">
        <v>1367</v>
      </c>
      <c r="K142" t="s">
        <v>5037</v>
      </c>
      <c r="L142" t="s">
        <v>5039</v>
      </c>
    </row>
    <row r="143" spans="1:12" x14ac:dyDescent="0.35">
      <c r="A143" t="s">
        <v>100</v>
      </c>
      <c r="B143" t="s">
        <v>328</v>
      </c>
      <c r="C143" t="s">
        <v>669</v>
      </c>
      <c r="D143">
        <v>3.7</v>
      </c>
      <c r="F143" t="s">
        <v>1380</v>
      </c>
      <c r="H143" t="s">
        <v>2706</v>
      </c>
      <c r="I143" t="s">
        <v>1477</v>
      </c>
      <c r="K143" t="s">
        <v>5037</v>
      </c>
      <c r="L143" t="s">
        <v>5039</v>
      </c>
    </row>
    <row r="144" spans="1:12" x14ac:dyDescent="0.35">
      <c r="A144" t="s">
        <v>100</v>
      </c>
      <c r="B144" t="s">
        <v>328</v>
      </c>
      <c r="C144" t="s">
        <v>683</v>
      </c>
      <c r="D144">
        <v>3.7</v>
      </c>
      <c r="F144" t="s">
        <v>1380</v>
      </c>
      <c r="H144" t="s">
        <v>2702</v>
      </c>
      <c r="I144" t="s">
        <v>1477</v>
      </c>
      <c r="K144" t="s">
        <v>5037</v>
      </c>
      <c r="L144" t="s">
        <v>5039</v>
      </c>
    </row>
    <row r="145" spans="1:12" x14ac:dyDescent="0.35">
      <c r="A145" t="s">
        <v>100</v>
      </c>
      <c r="B145" t="s">
        <v>328</v>
      </c>
      <c r="C145" t="s">
        <v>684</v>
      </c>
      <c r="D145">
        <v>6.8</v>
      </c>
      <c r="F145" t="s">
        <v>1381</v>
      </c>
      <c r="H145" t="s">
        <v>2700</v>
      </c>
      <c r="I145" t="s">
        <v>1367</v>
      </c>
      <c r="K145" t="s">
        <v>5037</v>
      </c>
      <c r="L145" t="s">
        <v>5039</v>
      </c>
    </row>
    <row r="146" spans="1:12" x14ac:dyDescent="0.35">
      <c r="A146" t="s">
        <v>100</v>
      </c>
      <c r="B146" t="s">
        <v>328</v>
      </c>
      <c r="C146" t="s">
        <v>685</v>
      </c>
      <c r="D146">
        <v>8.3000000000000007</v>
      </c>
      <c r="F146" t="s">
        <v>1382</v>
      </c>
      <c r="H146" t="s">
        <v>2700</v>
      </c>
      <c r="I146" t="s">
        <v>1367</v>
      </c>
      <c r="K146" t="s">
        <v>5037</v>
      </c>
      <c r="L146" t="s">
        <v>5039</v>
      </c>
    </row>
    <row r="147" spans="1:12" x14ac:dyDescent="0.35">
      <c r="A147" t="s">
        <v>100</v>
      </c>
      <c r="B147" t="s">
        <v>328</v>
      </c>
      <c r="C147" t="s">
        <v>671</v>
      </c>
      <c r="D147">
        <v>17</v>
      </c>
      <c r="F147" t="s">
        <v>1383</v>
      </c>
      <c r="H147" t="s">
        <v>2703</v>
      </c>
      <c r="I147" t="s">
        <v>1367</v>
      </c>
      <c r="K147" t="s">
        <v>5037</v>
      </c>
      <c r="L147" t="s">
        <v>5039</v>
      </c>
    </row>
    <row r="148" spans="1:12" x14ac:dyDescent="0.35">
      <c r="A148" t="s">
        <v>100</v>
      </c>
      <c r="B148" t="s">
        <v>328</v>
      </c>
      <c r="C148" t="s">
        <v>685</v>
      </c>
      <c r="D148">
        <v>17</v>
      </c>
      <c r="F148" t="s">
        <v>1383</v>
      </c>
      <c r="H148" t="s">
        <v>2703</v>
      </c>
      <c r="I148" t="s">
        <v>1367</v>
      </c>
      <c r="K148" t="s">
        <v>5037</v>
      </c>
      <c r="L148" t="s">
        <v>5039</v>
      </c>
    </row>
    <row r="149" spans="1:12" x14ac:dyDescent="0.35">
      <c r="A149" t="s">
        <v>100</v>
      </c>
      <c r="B149" t="s">
        <v>328</v>
      </c>
      <c r="C149" t="s">
        <v>669</v>
      </c>
      <c r="D149">
        <v>5.4</v>
      </c>
      <c r="F149" t="s">
        <v>1384</v>
      </c>
      <c r="H149" t="s">
        <v>2707</v>
      </c>
      <c r="I149" t="s">
        <v>1367</v>
      </c>
      <c r="K149" t="s">
        <v>5037</v>
      </c>
      <c r="L149" t="s">
        <v>5039</v>
      </c>
    </row>
    <row r="150" spans="1:12" x14ac:dyDescent="0.35">
      <c r="A150" t="s">
        <v>100</v>
      </c>
      <c r="B150" t="s">
        <v>328</v>
      </c>
      <c r="C150" t="s">
        <v>669</v>
      </c>
      <c r="D150">
        <v>4.0999999999999996</v>
      </c>
      <c r="F150" t="s">
        <v>1385</v>
      </c>
      <c r="H150" t="s">
        <v>2708</v>
      </c>
      <c r="I150" t="s">
        <v>1477</v>
      </c>
      <c r="K150" t="s">
        <v>5037</v>
      </c>
      <c r="L150" t="s">
        <v>5039</v>
      </c>
    </row>
    <row r="151" spans="1:12" x14ac:dyDescent="0.35">
      <c r="A151" t="s">
        <v>100</v>
      </c>
      <c r="B151" t="s">
        <v>328</v>
      </c>
      <c r="C151" t="s">
        <v>666</v>
      </c>
      <c r="D151">
        <v>5.4000000000000003E-3</v>
      </c>
      <c r="F151" t="s">
        <v>1386</v>
      </c>
      <c r="H151" t="s">
        <v>2709</v>
      </c>
      <c r="I151" t="s">
        <v>1467</v>
      </c>
      <c r="K151" t="s">
        <v>5037</v>
      </c>
      <c r="L151" t="s">
        <v>5039</v>
      </c>
    </row>
    <row r="152" spans="1:12" x14ac:dyDescent="0.35">
      <c r="A152" t="s">
        <v>100</v>
      </c>
      <c r="B152" t="s">
        <v>328</v>
      </c>
      <c r="C152" t="s">
        <v>673</v>
      </c>
      <c r="D152">
        <v>25</v>
      </c>
      <c r="F152" t="s">
        <v>1387</v>
      </c>
      <c r="H152" t="s">
        <v>2703</v>
      </c>
      <c r="I152" t="s">
        <v>1367</v>
      </c>
      <c r="K152" t="s">
        <v>5037</v>
      </c>
      <c r="L152" t="s">
        <v>5039</v>
      </c>
    </row>
    <row r="153" spans="1:12" x14ac:dyDescent="0.35">
      <c r="A153" t="s">
        <v>100</v>
      </c>
      <c r="B153" t="s">
        <v>328</v>
      </c>
      <c r="C153" t="s">
        <v>668</v>
      </c>
      <c r="D153">
        <v>3.8</v>
      </c>
      <c r="F153" t="s">
        <v>1388</v>
      </c>
      <c r="I153" t="s">
        <v>1317</v>
      </c>
      <c r="K153" t="s">
        <v>5037</v>
      </c>
      <c r="L153" t="s">
        <v>5039</v>
      </c>
    </row>
    <row r="154" spans="1:12" x14ac:dyDescent="0.35">
      <c r="A154" t="s">
        <v>100</v>
      </c>
      <c r="B154" t="s">
        <v>328</v>
      </c>
      <c r="C154" t="s">
        <v>684</v>
      </c>
      <c r="D154">
        <v>18</v>
      </c>
      <c r="F154" t="s">
        <v>1389</v>
      </c>
      <c r="H154" t="s">
        <v>2703</v>
      </c>
      <c r="I154" t="s">
        <v>1367</v>
      </c>
      <c r="K154" t="s">
        <v>5037</v>
      </c>
      <c r="L154" t="s">
        <v>5039</v>
      </c>
    </row>
    <row r="155" spans="1:12" x14ac:dyDescent="0.35">
      <c r="A155" t="s">
        <v>100</v>
      </c>
      <c r="B155" t="s">
        <v>328</v>
      </c>
      <c r="C155" t="s">
        <v>674</v>
      </c>
      <c r="D155">
        <v>30</v>
      </c>
      <c r="F155" t="s">
        <v>1354</v>
      </c>
      <c r="H155" t="s">
        <v>2710</v>
      </c>
      <c r="I155" t="s">
        <v>1477</v>
      </c>
      <c r="K155" t="s">
        <v>5037</v>
      </c>
      <c r="L155" t="s">
        <v>5039</v>
      </c>
    </row>
    <row r="156" spans="1:12" x14ac:dyDescent="0.35">
      <c r="A156" t="s">
        <v>100</v>
      </c>
      <c r="B156" t="s">
        <v>328</v>
      </c>
      <c r="C156" t="s">
        <v>686</v>
      </c>
      <c r="D156">
        <v>31</v>
      </c>
      <c r="F156" t="s">
        <v>1390</v>
      </c>
      <c r="H156" t="s">
        <v>2703</v>
      </c>
      <c r="I156" t="s">
        <v>1367</v>
      </c>
      <c r="K156" t="s">
        <v>5037</v>
      </c>
      <c r="L156" t="s">
        <v>5039</v>
      </c>
    </row>
    <row r="157" spans="1:12" x14ac:dyDescent="0.35">
      <c r="A157" t="s">
        <v>100</v>
      </c>
      <c r="B157" t="s">
        <v>328</v>
      </c>
      <c r="C157" t="s">
        <v>669</v>
      </c>
      <c r="D157">
        <v>3.6</v>
      </c>
      <c r="F157" t="s">
        <v>1391</v>
      </c>
      <c r="H157" t="s">
        <v>2711</v>
      </c>
      <c r="I157" t="s">
        <v>1367</v>
      </c>
      <c r="K157" t="s">
        <v>5037</v>
      </c>
      <c r="L157" t="s">
        <v>5039</v>
      </c>
    </row>
    <row r="158" spans="1:12" x14ac:dyDescent="0.35">
      <c r="A158" t="s">
        <v>100</v>
      </c>
      <c r="B158" t="s">
        <v>328</v>
      </c>
      <c r="C158" t="s">
        <v>686</v>
      </c>
      <c r="D158">
        <v>9.9</v>
      </c>
      <c r="F158" t="s">
        <v>1392</v>
      </c>
      <c r="H158" t="s">
        <v>2700</v>
      </c>
      <c r="I158" t="s">
        <v>1367</v>
      </c>
      <c r="K158" t="s">
        <v>5037</v>
      </c>
      <c r="L158" t="s">
        <v>5039</v>
      </c>
    </row>
    <row r="159" spans="1:12" x14ac:dyDescent="0.35">
      <c r="A159" t="s">
        <v>100</v>
      </c>
      <c r="B159" t="s">
        <v>328</v>
      </c>
      <c r="C159" t="s">
        <v>682</v>
      </c>
      <c r="D159">
        <v>52</v>
      </c>
      <c r="F159" t="s">
        <v>1393</v>
      </c>
      <c r="H159" t="s">
        <v>2703</v>
      </c>
      <c r="I159" t="s">
        <v>1367</v>
      </c>
      <c r="K159" t="s">
        <v>5037</v>
      </c>
      <c r="L159" t="s">
        <v>5039</v>
      </c>
    </row>
    <row r="160" spans="1:12" x14ac:dyDescent="0.35">
      <c r="A160" t="s">
        <v>100</v>
      </c>
      <c r="B160" t="s">
        <v>328</v>
      </c>
      <c r="C160" t="s">
        <v>674</v>
      </c>
      <c r="D160">
        <v>43</v>
      </c>
      <c r="F160" t="s">
        <v>1394</v>
      </c>
      <c r="H160" t="s">
        <v>2712</v>
      </c>
      <c r="I160" t="s">
        <v>1477</v>
      </c>
      <c r="K160" t="s">
        <v>5037</v>
      </c>
      <c r="L160" t="s">
        <v>5039</v>
      </c>
    </row>
    <row r="161" spans="1:12" x14ac:dyDescent="0.35">
      <c r="A161" t="s">
        <v>100</v>
      </c>
      <c r="B161" t="s">
        <v>328</v>
      </c>
      <c r="C161" t="s">
        <v>687</v>
      </c>
      <c r="D161">
        <v>5000</v>
      </c>
      <c r="F161" t="s">
        <v>1395</v>
      </c>
      <c r="H161" t="s">
        <v>2713</v>
      </c>
      <c r="I161" t="s">
        <v>1477</v>
      </c>
      <c r="K161" t="s">
        <v>5037</v>
      </c>
      <c r="L161" t="s">
        <v>5039</v>
      </c>
    </row>
    <row r="162" spans="1:12" x14ac:dyDescent="0.35">
      <c r="A162" t="s">
        <v>101</v>
      </c>
      <c r="B162" t="s">
        <v>329</v>
      </c>
      <c r="C162" t="s">
        <v>688</v>
      </c>
      <c r="D162">
        <v>0.09</v>
      </c>
      <c r="F162" t="s">
        <v>1310</v>
      </c>
      <c r="H162" t="s">
        <v>2714</v>
      </c>
      <c r="I162" t="s">
        <v>2393</v>
      </c>
      <c r="K162" t="s">
        <v>5037</v>
      </c>
      <c r="L162" t="s">
        <v>5039</v>
      </c>
    </row>
    <row r="163" spans="1:12" x14ac:dyDescent="0.35">
      <c r="A163" t="s">
        <v>101</v>
      </c>
      <c r="B163" t="s">
        <v>329</v>
      </c>
      <c r="C163" t="s">
        <v>688</v>
      </c>
      <c r="D163">
        <v>0.28999999999999998</v>
      </c>
      <c r="F163" t="s">
        <v>1396</v>
      </c>
      <c r="H163" t="s">
        <v>2715</v>
      </c>
      <c r="I163" t="s">
        <v>2393</v>
      </c>
      <c r="K163" t="s">
        <v>5037</v>
      </c>
      <c r="L163" t="s">
        <v>5039</v>
      </c>
    </row>
    <row r="164" spans="1:12" x14ac:dyDescent="0.35">
      <c r="A164" t="s">
        <v>101</v>
      </c>
      <c r="B164" t="s">
        <v>329</v>
      </c>
      <c r="C164" t="s">
        <v>163</v>
      </c>
      <c r="D164">
        <v>0.8</v>
      </c>
      <c r="F164" t="s">
        <v>1319</v>
      </c>
      <c r="H164" t="s">
        <v>2715</v>
      </c>
      <c r="I164" t="s">
        <v>2393</v>
      </c>
      <c r="K164" t="s">
        <v>5037</v>
      </c>
      <c r="L164" t="s">
        <v>5039</v>
      </c>
    </row>
    <row r="165" spans="1:12" x14ac:dyDescent="0.35">
      <c r="A165" t="s">
        <v>101</v>
      </c>
      <c r="B165" t="s">
        <v>329</v>
      </c>
      <c r="C165" t="s">
        <v>163</v>
      </c>
      <c r="D165">
        <v>7.0000000000000001E-3</v>
      </c>
      <c r="F165" t="s">
        <v>1261</v>
      </c>
      <c r="H165" t="s">
        <v>2716</v>
      </c>
      <c r="I165" t="s">
        <v>2393</v>
      </c>
      <c r="K165" t="s">
        <v>5037</v>
      </c>
      <c r="L165" t="s">
        <v>5039</v>
      </c>
    </row>
    <row r="166" spans="1:12" x14ac:dyDescent="0.35">
      <c r="A166" t="s">
        <v>101</v>
      </c>
      <c r="B166" t="s">
        <v>329</v>
      </c>
      <c r="C166" t="s">
        <v>163</v>
      </c>
      <c r="D166">
        <v>0.33</v>
      </c>
      <c r="F166" t="s">
        <v>1397</v>
      </c>
      <c r="H166" t="s">
        <v>2717</v>
      </c>
      <c r="I166" t="s">
        <v>2393</v>
      </c>
      <c r="K166" t="s">
        <v>5037</v>
      </c>
      <c r="L166" t="s">
        <v>5039</v>
      </c>
    </row>
    <row r="167" spans="1:12" x14ac:dyDescent="0.35">
      <c r="A167" t="s">
        <v>101</v>
      </c>
      <c r="B167" t="s">
        <v>329</v>
      </c>
      <c r="C167" t="s">
        <v>688</v>
      </c>
      <c r="D167">
        <v>0.33</v>
      </c>
      <c r="F167" t="s">
        <v>1397</v>
      </c>
      <c r="H167" t="s">
        <v>2718</v>
      </c>
      <c r="I167" t="s">
        <v>2393</v>
      </c>
      <c r="K167" t="s">
        <v>5037</v>
      </c>
      <c r="L167" t="s">
        <v>5039</v>
      </c>
    </row>
    <row r="168" spans="1:12" x14ac:dyDescent="0.35">
      <c r="A168" t="s">
        <v>101</v>
      </c>
      <c r="B168" t="s">
        <v>329</v>
      </c>
      <c r="C168" t="s">
        <v>688</v>
      </c>
      <c r="D168">
        <v>0.36</v>
      </c>
      <c r="F168" t="s">
        <v>1398</v>
      </c>
      <c r="H168" t="s">
        <v>2719</v>
      </c>
      <c r="I168" t="s">
        <v>2393</v>
      </c>
      <c r="K168" t="s">
        <v>5037</v>
      </c>
      <c r="L168" t="s">
        <v>5039</v>
      </c>
    </row>
    <row r="169" spans="1:12" x14ac:dyDescent="0.35">
      <c r="A169" t="s">
        <v>101</v>
      </c>
      <c r="B169" t="s">
        <v>329</v>
      </c>
      <c r="C169" t="s">
        <v>688</v>
      </c>
      <c r="D169">
        <v>2.1</v>
      </c>
      <c r="F169" t="s">
        <v>1399</v>
      </c>
      <c r="H169" t="s">
        <v>2720</v>
      </c>
      <c r="I169" t="s">
        <v>4863</v>
      </c>
      <c r="K169" t="s">
        <v>5037</v>
      </c>
      <c r="L169" t="s">
        <v>5039</v>
      </c>
    </row>
    <row r="170" spans="1:12" x14ac:dyDescent="0.35">
      <c r="A170" t="s">
        <v>101</v>
      </c>
      <c r="B170" t="s">
        <v>329</v>
      </c>
      <c r="C170" t="s">
        <v>163</v>
      </c>
      <c r="D170">
        <v>8.7999999999999995E-2</v>
      </c>
      <c r="F170" t="s">
        <v>1400</v>
      </c>
      <c r="H170" t="s">
        <v>2720</v>
      </c>
      <c r="I170" t="s">
        <v>4863</v>
      </c>
      <c r="K170" t="s">
        <v>5037</v>
      </c>
      <c r="L170" t="s">
        <v>5039</v>
      </c>
    </row>
    <row r="171" spans="1:12" x14ac:dyDescent="0.35">
      <c r="A171" t="s">
        <v>101</v>
      </c>
      <c r="B171" t="s">
        <v>329</v>
      </c>
      <c r="C171" t="s">
        <v>163</v>
      </c>
      <c r="D171">
        <v>0.3</v>
      </c>
      <c r="F171" t="s">
        <v>1401</v>
      </c>
      <c r="H171" t="s">
        <v>2721</v>
      </c>
      <c r="I171" t="s">
        <v>4864</v>
      </c>
      <c r="K171" t="s">
        <v>5037</v>
      </c>
      <c r="L171" t="s">
        <v>5039</v>
      </c>
    </row>
    <row r="172" spans="1:12" x14ac:dyDescent="0.35">
      <c r="A172" t="s">
        <v>101</v>
      </c>
      <c r="B172" t="s">
        <v>329</v>
      </c>
      <c r="C172" t="s">
        <v>163</v>
      </c>
      <c r="D172">
        <v>0.08</v>
      </c>
      <c r="F172" t="s">
        <v>1402</v>
      </c>
      <c r="H172" t="s">
        <v>2722</v>
      </c>
      <c r="I172" t="s">
        <v>2393</v>
      </c>
      <c r="K172" t="s">
        <v>5037</v>
      </c>
      <c r="L172" t="s">
        <v>5039</v>
      </c>
    </row>
    <row r="173" spans="1:12" x14ac:dyDescent="0.35">
      <c r="A173" t="s">
        <v>101</v>
      </c>
      <c r="B173" t="s">
        <v>329</v>
      </c>
      <c r="C173" t="s">
        <v>688</v>
      </c>
      <c r="D173">
        <v>0.25</v>
      </c>
      <c r="F173" t="s">
        <v>1403</v>
      </c>
      <c r="H173" t="s">
        <v>2723</v>
      </c>
      <c r="I173" t="s">
        <v>1621</v>
      </c>
      <c r="K173" t="s">
        <v>5037</v>
      </c>
      <c r="L173" t="s">
        <v>5039</v>
      </c>
    </row>
    <row r="174" spans="1:12" x14ac:dyDescent="0.35">
      <c r="A174" t="s">
        <v>101</v>
      </c>
      <c r="B174" t="s">
        <v>312</v>
      </c>
      <c r="C174" t="s">
        <v>689</v>
      </c>
      <c r="D174">
        <v>29.4</v>
      </c>
      <c r="F174" t="s">
        <v>1404</v>
      </c>
      <c r="H174" t="s">
        <v>2724</v>
      </c>
      <c r="I174" t="s">
        <v>4865</v>
      </c>
      <c r="K174" t="s">
        <v>5037</v>
      </c>
      <c r="L174" t="s">
        <v>5039</v>
      </c>
    </row>
    <row r="175" spans="1:12" x14ac:dyDescent="0.35">
      <c r="A175" t="s">
        <v>101</v>
      </c>
      <c r="B175" t="s">
        <v>312</v>
      </c>
      <c r="C175" t="s">
        <v>688</v>
      </c>
      <c r="D175">
        <v>2.34</v>
      </c>
      <c r="F175" t="s">
        <v>1405</v>
      </c>
      <c r="H175" t="s">
        <v>2724</v>
      </c>
      <c r="I175" t="s">
        <v>4865</v>
      </c>
      <c r="K175" t="s">
        <v>5037</v>
      </c>
      <c r="L175" t="s">
        <v>5039</v>
      </c>
    </row>
    <row r="176" spans="1:12" x14ac:dyDescent="0.35">
      <c r="A176" t="s">
        <v>101</v>
      </c>
      <c r="B176" t="s">
        <v>330</v>
      </c>
      <c r="C176" t="s">
        <v>163</v>
      </c>
      <c r="D176">
        <v>2.5</v>
      </c>
      <c r="F176" t="s">
        <v>1406</v>
      </c>
      <c r="H176" t="s">
        <v>2725</v>
      </c>
      <c r="I176" t="s">
        <v>4866</v>
      </c>
      <c r="K176" t="s">
        <v>5037</v>
      </c>
      <c r="L176" t="s">
        <v>5039</v>
      </c>
    </row>
    <row r="177" spans="1:12" x14ac:dyDescent="0.35">
      <c r="A177" t="s">
        <v>101</v>
      </c>
      <c r="B177" t="s">
        <v>331</v>
      </c>
      <c r="C177" t="s">
        <v>688</v>
      </c>
      <c r="D177">
        <v>3.9E-2</v>
      </c>
      <c r="F177" t="s">
        <v>1407</v>
      </c>
      <c r="H177" t="s">
        <v>2726</v>
      </c>
      <c r="I177" t="s">
        <v>4867</v>
      </c>
      <c r="K177" t="s">
        <v>5037</v>
      </c>
      <c r="L177" t="s">
        <v>5039</v>
      </c>
    </row>
    <row r="178" spans="1:12" x14ac:dyDescent="0.35">
      <c r="A178" t="s">
        <v>101</v>
      </c>
      <c r="B178" t="s">
        <v>331</v>
      </c>
      <c r="C178" t="s">
        <v>690</v>
      </c>
      <c r="D178">
        <v>8.57</v>
      </c>
      <c r="F178" t="s">
        <v>1408</v>
      </c>
      <c r="H178" t="s">
        <v>2726</v>
      </c>
      <c r="I178" t="s">
        <v>4867</v>
      </c>
      <c r="K178" t="s">
        <v>5037</v>
      </c>
      <c r="L178" t="s">
        <v>5039</v>
      </c>
    </row>
    <row r="179" spans="1:12" x14ac:dyDescent="0.35">
      <c r="A179" t="s">
        <v>101</v>
      </c>
      <c r="B179" t="s">
        <v>321</v>
      </c>
      <c r="C179" t="s">
        <v>688</v>
      </c>
      <c r="D179">
        <v>2</v>
      </c>
      <c r="F179" t="s">
        <v>1372</v>
      </c>
      <c r="H179" t="s">
        <v>2727</v>
      </c>
      <c r="I179" t="s">
        <v>1851</v>
      </c>
      <c r="K179" t="s">
        <v>5037</v>
      </c>
      <c r="L179" t="s">
        <v>5039</v>
      </c>
    </row>
    <row r="180" spans="1:12" x14ac:dyDescent="0.35">
      <c r="A180" t="s">
        <v>101</v>
      </c>
      <c r="B180" t="s">
        <v>321</v>
      </c>
      <c r="C180" t="s">
        <v>163</v>
      </c>
      <c r="D180">
        <v>0.17</v>
      </c>
      <c r="F180" t="s">
        <v>1409</v>
      </c>
      <c r="H180" t="s">
        <v>2728</v>
      </c>
      <c r="I180" t="s">
        <v>1851</v>
      </c>
      <c r="K180" t="s">
        <v>5037</v>
      </c>
      <c r="L180" t="s">
        <v>5039</v>
      </c>
    </row>
    <row r="181" spans="1:12" x14ac:dyDescent="0.35">
      <c r="A181" t="s">
        <v>101</v>
      </c>
      <c r="B181" t="s">
        <v>332</v>
      </c>
      <c r="C181" t="s">
        <v>688</v>
      </c>
      <c r="D181">
        <v>3.9</v>
      </c>
      <c r="F181" t="s">
        <v>1410</v>
      </c>
      <c r="H181" t="s">
        <v>2729</v>
      </c>
      <c r="I181" t="s">
        <v>2051</v>
      </c>
      <c r="K181" t="s">
        <v>5037</v>
      </c>
      <c r="L181" t="s">
        <v>5039</v>
      </c>
    </row>
    <row r="182" spans="1:12" x14ac:dyDescent="0.35">
      <c r="A182" t="s">
        <v>101</v>
      </c>
      <c r="B182" t="s">
        <v>332</v>
      </c>
      <c r="C182" t="s">
        <v>163</v>
      </c>
      <c r="D182">
        <v>6.9</v>
      </c>
      <c r="F182" t="s">
        <v>1411</v>
      </c>
      <c r="H182" t="s">
        <v>2730</v>
      </c>
      <c r="I182" t="s">
        <v>2051</v>
      </c>
      <c r="K182" t="s">
        <v>5037</v>
      </c>
      <c r="L182" t="s">
        <v>5039</v>
      </c>
    </row>
    <row r="183" spans="1:12" x14ac:dyDescent="0.35">
      <c r="A183" t="s">
        <v>101</v>
      </c>
      <c r="B183" t="s">
        <v>333</v>
      </c>
      <c r="C183" t="s">
        <v>688</v>
      </c>
      <c r="D183">
        <v>0.4</v>
      </c>
      <c r="F183" t="s">
        <v>1315</v>
      </c>
      <c r="H183" t="s">
        <v>2731</v>
      </c>
      <c r="I183" t="s">
        <v>1509</v>
      </c>
      <c r="K183" t="s">
        <v>5037</v>
      </c>
      <c r="L183" t="s">
        <v>5039</v>
      </c>
    </row>
    <row r="184" spans="1:12" x14ac:dyDescent="0.35">
      <c r="A184" t="s">
        <v>101</v>
      </c>
      <c r="B184" t="s">
        <v>333</v>
      </c>
      <c r="C184" t="s">
        <v>163</v>
      </c>
      <c r="D184">
        <v>9.2999999999999999E-2</v>
      </c>
      <c r="F184" t="s">
        <v>1412</v>
      </c>
      <c r="H184" t="s">
        <v>2732</v>
      </c>
      <c r="I184" t="s">
        <v>1509</v>
      </c>
      <c r="K184" t="s">
        <v>5037</v>
      </c>
      <c r="L184" t="s">
        <v>5039</v>
      </c>
    </row>
    <row r="185" spans="1:12" x14ac:dyDescent="0.35">
      <c r="A185" t="s">
        <v>101</v>
      </c>
      <c r="B185" t="s">
        <v>333</v>
      </c>
      <c r="C185" t="s">
        <v>163</v>
      </c>
      <c r="D185">
        <v>9.8000000000000004E-2</v>
      </c>
      <c r="F185" t="s">
        <v>1413</v>
      </c>
      <c r="H185" t="s">
        <v>2733</v>
      </c>
      <c r="I185" t="s">
        <v>1509</v>
      </c>
      <c r="K185" t="s">
        <v>5037</v>
      </c>
      <c r="L185" t="s">
        <v>5039</v>
      </c>
    </row>
    <row r="186" spans="1:12" x14ac:dyDescent="0.35">
      <c r="A186" t="s">
        <v>101</v>
      </c>
      <c r="B186" t="s">
        <v>333</v>
      </c>
      <c r="C186" t="s">
        <v>688</v>
      </c>
      <c r="D186">
        <v>3</v>
      </c>
      <c r="F186" t="s">
        <v>1368</v>
      </c>
      <c r="H186" t="s">
        <v>2734</v>
      </c>
      <c r="I186" t="s">
        <v>1509</v>
      </c>
      <c r="K186" t="s">
        <v>5037</v>
      </c>
      <c r="L186" t="s">
        <v>5039</v>
      </c>
    </row>
    <row r="187" spans="1:12" x14ac:dyDescent="0.35">
      <c r="A187" t="s">
        <v>101</v>
      </c>
      <c r="B187" t="s">
        <v>334</v>
      </c>
      <c r="C187" t="s">
        <v>163</v>
      </c>
      <c r="D187">
        <v>6.2E-2</v>
      </c>
      <c r="F187" t="s">
        <v>1414</v>
      </c>
      <c r="H187" t="s">
        <v>2735</v>
      </c>
      <c r="I187" t="s">
        <v>1373</v>
      </c>
      <c r="K187" t="s">
        <v>5037</v>
      </c>
      <c r="L187" t="s">
        <v>5039</v>
      </c>
    </row>
    <row r="188" spans="1:12" x14ac:dyDescent="0.35">
      <c r="A188" t="s">
        <v>101</v>
      </c>
      <c r="B188" t="s">
        <v>334</v>
      </c>
      <c r="C188" t="s">
        <v>688</v>
      </c>
      <c r="D188">
        <v>0.96</v>
      </c>
      <c r="F188" t="s">
        <v>1415</v>
      </c>
      <c r="H188" t="s">
        <v>2735</v>
      </c>
      <c r="I188" t="s">
        <v>1373</v>
      </c>
      <c r="K188" t="s">
        <v>5037</v>
      </c>
      <c r="L188" t="s">
        <v>5039</v>
      </c>
    </row>
    <row r="189" spans="1:12" x14ac:dyDescent="0.35">
      <c r="A189" t="s">
        <v>101</v>
      </c>
      <c r="B189" t="s">
        <v>335</v>
      </c>
      <c r="C189" t="s">
        <v>163</v>
      </c>
      <c r="D189">
        <v>1.7</v>
      </c>
      <c r="F189" t="s">
        <v>1416</v>
      </c>
      <c r="H189" t="s">
        <v>2736</v>
      </c>
      <c r="I189" t="s">
        <v>1390</v>
      </c>
      <c r="K189" t="s">
        <v>5037</v>
      </c>
      <c r="L189" t="s">
        <v>5039</v>
      </c>
    </row>
    <row r="190" spans="1:12" x14ac:dyDescent="0.35">
      <c r="A190" t="s">
        <v>101</v>
      </c>
      <c r="B190" t="s">
        <v>335</v>
      </c>
      <c r="C190" t="s">
        <v>163</v>
      </c>
      <c r="D190">
        <v>2.2000000000000002</v>
      </c>
      <c r="F190" t="s">
        <v>1417</v>
      </c>
      <c r="H190" t="s">
        <v>2737</v>
      </c>
      <c r="I190" t="s">
        <v>1390</v>
      </c>
      <c r="K190" t="s">
        <v>5037</v>
      </c>
      <c r="L190" t="s">
        <v>5039</v>
      </c>
    </row>
    <row r="191" spans="1:12" x14ac:dyDescent="0.35">
      <c r="A191" t="s">
        <v>101</v>
      </c>
      <c r="B191" t="s">
        <v>335</v>
      </c>
      <c r="C191" t="s">
        <v>688</v>
      </c>
      <c r="D191">
        <v>0.51</v>
      </c>
      <c r="F191" t="s">
        <v>1418</v>
      </c>
      <c r="H191" t="s">
        <v>2737</v>
      </c>
      <c r="I191" t="s">
        <v>1390</v>
      </c>
      <c r="K191" t="s">
        <v>5037</v>
      </c>
      <c r="L191" t="s">
        <v>5039</v>
      </c>
    </row>
    <row r="192" spans="1:12" x14ac:dyDescent="0.35">
      <c r="A192" t="s">
        <v>101</v>
      </c>
      <c r="B192" t="s">
        <v>335</v>
      </c>
      <c r="C192" t="s">
        <v>688</v>
      </c>
      <c r="D192">
        <v>6.5</v>
      </c>
      <c r="F192" t="s">
        <v>1419</v>
      </c>
      <c r="H192" t="s">
        <v>2736</v>
      </c>
      <c r="I192" t="s">
        <v>1390</v>
      </c>
      <c r="K192" t="s">
        <v>5037</v>
      </c>
      <c r="L192" t="s">
        <v>5039</v>
      </c>
    </row>
    <row r="193" spans="1:12" x14ac:dyDescent="0.35">
      <c r="A193" t="s">
        <v>101</v>
      </c>
      <c r="B193" t="s">
        <v>336</v>
      </c>
      <c r="C193" t="s">
        <v>691</v>
      </c>
      <c r="D193">
        <v>2.7E-2</v>
      </c>
      <c r="F193" t="s">
        <v>1420</v>
      </c>
      <c r="H193" t="s">
        <v>2738</v>
      </c>
      <c r="I193" t="s">
        <v>4868</v>
      </c>
      <c r="K193" t="s">
        <v>5037</v>
      </c>
      <c r="L193" t="s">
        <v>5039</v>
      </c>
    </row>
    <row r="194" spans="1:12" x14ac:dyDescent="0.35">
      <c r="A194" t="s">
        <v>101</v>
      </c>
      <c r="B194" t="s">
        <v>336</v>
      </c>
      <c r="C194" t="s">
        <v>688</v>
      </c>
      <c r="D194">
        <v>1.2</v>
      </c>
      <c r="F194" t="s">
        <v>1421</v>
      </c>
      <c r="H194" t="s">
        <v>2739</v>
      </c>
      <c r="I194" t="s">
        <v>4868</v>
      </c>
      <c r="K194" t="s">
        <v>5037</v>
      </c>
      <c r="L194" t="s">
        <v>5039</v>
      </c>
    </row>
    <row r="195" spans="1:12" x14ac:dyDescent="0.35">
      <c r="A195" t="s">
        <v>101</v>
      </c>
      <c r="B195" t="s">
        <v>336</v>
      </c>
      <c r="C195" t="s">
        <v>163</v>
      </c>
      <c r="D195">
        <v>0.39</v>
      </c>
      <c r="F195" t="s">
        <v>1422</v>
      </c>
      <c r="H195" t="s">
        <v>2738</v>
      </c>
      <c r="I195" t="s">
        <v>4868</v>
      </c>
      <c r="K195" t="s">
        <v>5037</v>
      </c>
      <c r="L195" t="s">
        <v>5039</v>
      </c>
    </row>
    <row r="196" spans="1:12" x14ac:dyDescent="0.35">
      <c r="A196" t="s">
        <v>101</v>
      </c>
      <c r="B196" t="s">
        <v>336</v>
      </c>
      <c r="C196" t="s">
        <v>691</v>
      </c>
      <c r="D196">
        <v>3.1E-2</v>
      </c>
      <c r="F196" t="s">
        <v>1423</v>
      </c>
      <c r="H196" t="s">
        <v>2739</v>
      </c>
      <c r="I196" t="s">
        <v>4868</v>
      </c>
      <c r="K196" t="s">
        <v>5037</v>
      </c>
      <c r="L196" t="s">
        <v>5039</v>
      </c>
    </row>
    <row r="197" spans="1:12" x14ac:dyDescent="0.35">
      <c r="A197" t="s">
        <v>101</v>
      </c>
      <c r="B197" t="s">
        <v>336</v>
      </c>
      <c r="C197" t="s">
        <v>164</v>
      </c>
      <c r="D197">
        <v>19.399999999999999</v>
      </c>
      <c r="F197" t="s">
        <v>1424</v>
      </c>
      <c r="H197" t="s">
        <v>2738</v>
      </c>
      <c r="I197" t="s">
        <v>4868</v>
      </c>
      <c r="K197" t="s">
        <v>5037</v>
      </c>
      <c r="L197" t="s">
        <v>5039</v>
      </c>
    </row>
    <row r="198" spans="1:12" x14ac:dyDescent="0.35">
      <c r="A198" t="s">
        <v>101</v>
      </c>
      <c r="B198" t="s">
        <v>336</v>
      </c>
      <c r="C198" t="s">
        <v>164</v>
      </c>
      <c r="D198">
        <v>18.5</v>
      </c>
      <c r="F198" t="s">
        <v>1425</v>
      </c>
      <c r="H198" t="s">
        <v>2739</v>
      </c>
      <c r="I198" t="s">
        <v>4868</v>
      </c>
      <c r="K198" t="s">
        <v>5037</v>
      </c>
      <c r="L198" t="s">
        <v>5039</v>
      </c>
    </row>
    <row r="199" spans="1:12" x14ac:dyDescent="0.35">
      <c r="A199" t="s">
        <v>101</v>
      </c>
      <c r="B199" t="s">
        <v>336</v>
      </c>
      <c r="C199" t="s">
        <v>688</v>
      </c>
      <c r="D199">
        <v>1.5</v>
      </c>
      <c r="F199" t="s">
        <v>1426</v>
      </c>
      <c r="H199" t="s">
        <v>2740</v>
      </c>
      <c r="I199" t="s">
        <v>4868</v>
      </c>
      <c r="K199" t="s">
        <v>5037</v>
      </c>
      <c r="L199" t="s">
        <v>5039</v>
      </c>
    </row>
    <row r="200" spans="1:12" x14ac:dyDescent="0.35">
      <c r="A200" t="s">
        <v>101</v>
      </c>
      <c r="B200" t="s">
        <v>337</v>
      </c>
      <c r="C200" t="s">
        <v>692</v>
      </c>
      <c r="D200">
        <v>4.0999999999999996</v>
      </c>
      <c r="F200" t="s">
        <v>1385</v>
      </c>
      <c r="H200" t="s">
        <v>2741</v>
      </c>
      <c r="I200" t="s">
        <v>1752</v>
      </c>
      <c r="K200" t="s">
        <v>5037</v>
      </c>
      <c r="L200" t="s">
        <v>5039</v>
      </c>
    </row>
    <row r="201" spans="1:12" x14ac:dyDescent="0.35">
      <c r="A201" t="s">
        <v>101</v>
      </c>
      <c r="B201" t="s">
        <v>337</v>
      </c>
      <c r="C201" t="s">
        <v>692</v>
      </c>
      <c r="D201">
        <v>20.3</v>
      </c>
      <c r="F201" t="s">
        <v>1427</v>
      </c>
      <c r="H201" t="s">
        <v>2742</v>
      </c>
      <c r="I201" t="s">
        <v>1752</v>
      </c>
      <c r="K201" t="s">
        <v>5037</v>
      </c>
      <c r="L201" t="s">
        <v>5039</v>
      </c>
    </row>
    <row r="202" spans="1:12" x14ac:dyDescent="0.35">
      <c r="A202" t="s">
        <v>101</v>
      </c>
      <c r="B202" t="s">
        <v>338</v>
      </c>
      <c r="C202" t="s">
        <v>163</v>
      </c>
      <c r="D202">
        <v>2.6</v>
      </c>
      <c r="F202" t="s">
        <v>1428</v>
      </c>
      <c r="H202" t="s">
        <v>2743</v>
      </c>
      <c r="I202" t="s">
        <v>2258</v>
      </c>
      <c r="K202" t="s">
        <v>5037</v>
      </c>
      <c r="L202" t="s">
        <v>5039</v>
      </c>
    </row>
    <row r="203" spans="1:12" x14ac:dyDescent="0.35">
      <c r="A203" t="s">
        <v>101</v>
      </c>
      <c r="B203" t="s">
        <v>339</v>
      </c>
      <c r="C203" t="s">
        <v>691</v>
      </c>
      <c r="D203">
        <v>4.3999999999999997E-2</v>
      </c>
      <c r="F203" t="s">
        <v>1429</v>
      </c>
      <c r="H203" t="s">
        <v>2744</v>
      </c>
      <c r="I203" t="s">
        <v>4859</v>
      </c>
      <c r="K203" t="s">
        <v>5037</v>
      </c>
      <c r="L203" t="s">
        <v>5039</v>
      </c>
    </row>
    <row r="204" spans="1:12" x14ac:dyDescent="0.35">
      <c r="A204" t="s">
        <v>101</v>
      </c>
      <c r="B204" t="s">
        <v>339</v>
      </c>
      <c r="C204" t="s">
        <v>164</v>
      </c>
      <c r="D204">
        <v>3.88</v>
      </c>
      <c r="F204" t="s">
        <v>1430</v>
      </c>
      <c r="H204" t="s">
        <v>2744</v>
      </c>
      <c r="I204" t="s">
        <v>4859</v>
      </c>
      <c r="K204" t="s">
        <v>5037</v>
      </c>
      <c r="L204" t="s">
        <v>5039</v>
      </c>
    </row>
    <row r="205" spans="1:12" x14ac:dyDescent="0.35">
      <c r="A205" t="s">
        <v>101</v>
      </c>
      <c r="B205" t="s">
        <v>339</v>
      </c>
      <c r="C205" t="s">
        <v>688</v>
      </c>
      <c r="D205">
        <v>2.5299999999999998</v>
      </c>
      <c r="F205" t="s">
        <v>1431</v>
      </c>
      <c r="H205" t="s">
        <v>2744</v>
      </c>
      <c r="I205" t="s">
        <v>4859</v>
      </c>
      <c r="K205" t="s">
        <v>5037</v>
      </c>
      <c r="L205" t="s">
        <v>5039</v>
      </c>
    </row>
    <row r="206" spans="1:12" x14ac:dyDescent="0.35">
      <c r="A206" t="s">
        <v>101</v>
      </c>
      <c r="B206" t="s">
        <v>339</v>
      </c>
      <c r="C206" t="s">
        <v>163</v>
      </c>
      <c r="D206">
        <v>0.55000000000000004</v>
      </c>
      <c r="F206" t="s">
        <v>1432</v>
      </c>
      <c r="H206" t="s">
        <v>2745</v>
      </c>
      <c r="I206" t="s">
        <v>4859</v>
      </c>
      <c r="K206" t="s">
        <v>5037</v>
      </c>
      <c r="L206" t="s">
        <v>5039</v>
      </c>
    </row>
    <row r="207" spans="1:12" x14ac:dyDescent="0.35">
      <c r="A207" t="s">
        <v>101</v>
      </c>
      <c r="B207" t="s">
        <v>340</v>
      </c>
      <c r="C207" t="s">
        <v>688</v>
      </c>
      <c r="D207">
        <v>2.4</v>
      </c>
      <c r="F207" t="s">
        <v>1433</v>
      </c>
      <c r="H207" t="s">
        <v>2746</v>
      </c>
      <c r="I207" t="s">
        <v>1450</v>
      </c>
      <c r="K207" t="s">
        <v>5037</v>
      </c>
      <c r="L207" t="s">
        <v>5039</v>
      </c>
    </row>
    <row r="208" spans="1:12" x14ac:dyDescent="0.35">
      <c r="A208" t="s">
        <v>101</v>
      </c>
      <c r="B208" t="s">
        <v>340</v>
      </c>
      <c r="C208" t="s">
        <v>691</v>
      </c>
      <c r="D208">
        <v>4.8000000000000001E-2</v>
      </c>
      <c r="F208" t="s">
        <v>1434</v>
      </c>
      <c r="H208" t="s">
        <v>2747</v>
      </c>
      <c r="I208" t="s">
        <v>1450</v>
      </c>
      <c r="K208" t="s">
        <v>5037</v>
      </c>
      <c r="L208" t="s">
        <v>5039</v>
      </c>
    </row>
    <row r="209" spans="1:12" x14ac:dyDescent="0.35">
      <c r="A209" t="s">
        <v>101</v>
      </c>
      <c r="B209" t="s">
        <v>340</v>
      </c>
      <c r="C209" t="s">
        <v>163</v>
      </c>
      <c r="D209">
        <v>0.105</v>
      </c>
      <c r="F209" t="s">
        <v>1435</v>
      </c>
      <c r="H209" t="s">
        <v>2748</v>
      </c>
      <c r="I209" t="s">
        <v>1450</v>
      </c>
      <c r="K209" t="s">
        <v>5037</v>
      </c>
      <c r="L209" t="s">
        <v>5039</v>
      </c>
    </row>
    <row r="210" spans="1:12" x14ac:dyDescent="0.35">
      <c r="A210" t="s">
        <v>101</v>
      </c>
      <c r="B210" t="s">
        <v>340</v>
      </c>
      <c r="C210" t="s">
        <v>164</v>
      </c>
      <c r="D210">
        <v>13.2</v>
      </c>
      <c r="F210" t="s">
        <v>1436</v>
      </c>
      <c r="H210" t="s">
        <v>2747</v>
      </c>
      <c r="I210" t="s">
        <v>1450</v>
      </c>
      <c r="K210" t="s">
        <v>5037</v>
      </c>
      <c r="L210" t="s">
        <v>5039</v>
      </c>
    </row>
    <row r="211" spans="1:12" x14ac:dyDescent="0.35">
      <c r="A211" t="s">
        <v>101</v>
      </c>
      <c r="B211" t="s">
        <v>340</v>
      </c>
      <c r="C211" t="s">
        <v>688</v>
      </c>
      <c r="D211">
        <v>3.7</v>
      </c>
      <c r="F211" t="s">
        <v>1380</v>
      </c>
      <c r="H211" t="s">
        <v>2749</v>
      </c>
      <c r="I211" t="s">
        <v>1368</v>
      </c>
      <c r="K211" t="s">
        <v>5037</v>
      </c>
      <c r="L211" t="s">
        <v>5039</v>
      </c>
    </row>
    <row r="212" spans="1:12" x14ac:dyDescent="0.35">
      <c r="A212" t="s">
        <v>101</v>
      </c>
      <c r="B212" t="s">
        <v>340</v>
      </c>
      <c r="C212" t="s">
        <v>163</v>
      </c>
      <c r="D212">
        <v>0.11</v>
      </c>
      <c r="F212" t="s">
        <v>1295</v>
      </c>
      <c r="H212" t="s">
        <v>2750</v>
      </c>
      <c r="I212" t="s">
        <v>1961</v>
      </c>
      <c r="K212" t="s">
        <v>5037</v>
      </c>
      <c r="L212" t="s">
        <v>5039</v>
      </c>
    </row>
    <row r="213" spans="1:12" x14ac:dyDescent="0.35">
      <c r="A213" t="s">
        <v>101</v>
      </c>
      <c r="B213" t="s">
        <v>340</v>
      </c>
      <c r="C213" t="s">
        <v>691</v>
      </c>
      <c r="D213">
        <v>4.2999999999999997E-2</v>
      </c>
      <c r="F213" t="s">
        <v>1437</v>
      </c>
      <c r="H213" t="s">
        <v>2751</v>
      </c>
      <c r="I213" t="s">
        <v>1450</v>
      </c>
      <c r="K213" t="s">
        <v>5037</v>
      </c>
      <c r="L213" t="s">
        <v>5039</v>
      </c>
    </row>
    <row r="214" spans="1:12" x14ac:dyDescent="0.35">
      <c r="A214" t="s">
        <v>101</v>
      </c>
      <c r="B214" t="s">
        <v>341</v>
      </c>
      <c r="C214" t="s">
        <v>163</v>
      </c>
      <c r="D214">
        <v>0.22</v>
      </c>
      <c r="F214" t="s">
        <v>1438</v>
      </c>
      <c r="H214" t="s">
        <v>2752</v>
      </c>
      <c r="I214" t="s">
        <v>1893</v>
      </c>
      <c r="K214" t="s">
        <v>5037</v>
      </c>
      <c r="L214" t="s">
        <v>5039</v>
      </c>
    </row>
    <row r="215" spans="1:12" x14ac:dyDescent="0.35">
      <c r="A215" t="s">
        <v>101</v>
      </c>
      <c r="B215" t="s">
        <v>341</v>
      </c>
      <c r="C215" t="s">
        <v>693</v>
      </c>
      <c r="D215">
        <v>2.0499999999999998</v>
      </c>
      <c r="F215" t="s">
        <v>1439</v>
      </c>
      <c r="H215" t="s">
        <v>2753</v>
      </c>
      <c r="I215" t="s">
        <v>1893</v>
      </c>
      <c r="K215" t="s">
        <v>5037</v>
      </c>
      <c r="L215" t="s">
        <v>5039</v>
      </c>
    </row>
    <row r="216" spans="1:12" x14ac:dyDescent="0.35">
      <c r="A216" t="s">
        <v>101</v>
      </c>
      <c r="B216" t="s">
        <v>342</v>
      </c>
      <c r="C216" t="s">
        <v>164</v>
      </c>
      <c r="D216">
        <v>0.5</v>
      </c>
      <c r="F216" t="s">
        <v>1440</v>
      </c>
      <c r="H216" t="s">
        <v>2754</v>
      </c>
      <c r="I216" t="s">
        <v>4869</v>
      </c>
      <c r="K216" t="s">
        <v>5037</v>
      </c>
      <c r="L216" t="s">
        <v>5039</v>
      </c>
    </row>
    <row r="217" spans="1:12" x14ac:dyDescent="0.35">
      <c r="A217" t="s">
        <v>101</v>
      </c>
      <c r="B217" t="s">
        <v>342</v>
      </c>
      <c r="C217" t="s">
        <v>688</v>
      </c>
      <c r="D217">
        <v>0.43</v>
      </c>
      <c r="F217" t="s">
        <v>1441</v>
      </c>
      <c r="H217" t="s">
        <v>2754</v>
      </c>
      <c r="I217" t="s">
        <v>4869</v>
      </c>
      <c r="K217" t="s">
        <v>5037</v>
      </c>
      <c r="L217" t="s">
        <v>5039</v>
      </c>
    </row>
    <row r="218" spans="1:12" x14ac:dyDescent="0.35">
      <c r="A218" t="s">
        <v>101</v>
      </c>
      <c r="B218" t="s">
        <v>342</v>
      </c>
      <c r="C218" t="s">
        <v>688</v>
      </c>
      <c r="D218">
        <v>0.78</v>
      </c>
      <c r="F218" t="s">
        <v>1442</v>
      </c>
      <c r="H218" t="s">
        <v>2755</v>
      </c>
      <c r="I218" t="s">
        <v>4869</v>
      </c>
      <c r="K218" t="s">
        <v>5037</v>
      </c>
      <c r="L218" t="s">
        <v>5039</v>
      </c>
    </row>
    <row r="219" spans="1:12" x14ac:dyDescent="0.35">
      <c r="A219" t="s">
        <v>101</v>
      </c>
      <c r="B219" t="s">
        <v>342</v>
      </c>
      <c r="C219" t="s">
        <v>163</v>
      </c>
      <c r="D219">
        <v>1.33</v>
      </c>
      <c r="F219" t="s">
        <v>1443</v>
      </c>
      <c r="H219" t="s">
        <v>2756</v>
      </c>
      <c r="I219" t="s">
        <v>4869</v>
      </c>
      <c r="K219" t="s">
        <v>5037</v>
      </c>
      <c r="L219" t="s">
        <v>5039</v>
      </c>
    </row>
    <row r="220" spans="1:12" x14ac:dyDescent="0.35">
      <c r="A220" t="s">
        <v>101</v>
      </c>
      <c r="B220" t="s">
        <v>342</v>
      </c>
      <c r="C220" t="s">
        <v>164</v>
      </c>
      <c r="D220">
        <v>0.57999999999999996</v>
      </c>
      <c r="F220" t="s">
        <v>1444</v>
      </c>
      <c r="H220" t="s">
        <v>2755</v>
      </c>
      <c r="I220" t="s">
        <v>4869</v>
      </c>
      <c r="K220" t="s">
        <v>5037</v>
      </c>
      <c r="L220" t="s">
        <v>5039</v>
      </c>
    </row>
    <row r="221" spans="1:12" x14ac:dyDescent="0.35">
      <c r="A221" t="s">
        <v>101</v>
      </c>
      <c r="B221" t="s">
        <v>342</v>
      </c>
      <c r="C221" t="s">
        <v>691</v>
      </c>
      <c r="D221">
        <v>2.04</v>
      </c>
      <c r="F221" t="s">
        <v>1445</v>
      </c>
      <c r="H221" t="s">
        <v>2755</v>
      </c>
      <c r="I221" t="s">
        <v>4869</v>
      </c>
      <c r="K221" t="s">
        <v>5037</v>
      </c>
      <c r="L221" t="s">
        <v>5039</v>
      </c>
    </row>
    <row r="222" spans="1:12" x14ac:dyDescent="0.35">
      <c r="A222" t="s">
        <v>101</v>
      </c>
      <c r="B222" t="s">
        <v>342</v>
      </c>
      <c r="C222" t="s">
        <v>691</v>
      </c>
      <c r="D222">
        <v>2.4500000000000002</v>
      </c>
      <c r="F222" t="s">
        <v>1446</v>
      </c>
      <c r="H222" t="s">
        <v>2754</v>
      </c>
      <c r="I222" t="s">
        <v>4869</v>
      </c>
      <c r="K222" t="s">
        <v>5037</v>
      </c>
      <c r="L222" t="s">
        <v>5039</v>
      </c>
    </row>
    <row r="223" spans="1:12" x14ac:dyDescent="0.35">
      <c r="A223" t="s">
        <v>101</v>
      </c>
      <c r="B223" t="s">
        <v>343</v>
      </c>
      <c r="C223" t="s">
        <v>163</v>
      </c>
      <c r="D223">
        <v>0.26</v>
      </c>
      <c r="F223" t="s">
        <v>1447</v>
      </c>
      <c r="H223" t="s">
        <v>2757</v>
      </c>
      <c r="I223" t="s">
        <v>1393</v>
      </c>
      <c r="K223" t="s">
        <v>5037</v>
      </c>
      <c r="L223" t="s">
        <v>5039</v>
      </c>
    </row>
    <row r="224" spans="1:12" x14ac:dyDescent="0.35">
      <c r="A224" t="s">
        <v>101</v>
      </c>
      <c r="B224" t="s">
        <v>343</v>
      </c>
      <c r="C224" t="s">
        <v>691</v>
      </c>
      <c r="D224">
        <v>0.02</v>
      </c>
      <c r="F224" t="s">
        <v>1448</v>
      </c>
      <c r="H224" t="s">
        <v>2758</v>
      </c>
      <c r="I224" t="s">
        <v>1393</v>
      </c>
      <c r="K224" t="s">
        <v>5037</v>
      </c>
      <c r="L224" t="s">
        <v>5039</v>
      </c>
    </row>
    <row r="225" spans="1:12" x14ac:dyDescent="0.35">
      <c r="A225" t="s">
        <v>101</v>
      </c>
      <c r="B225" t="s">
        <v>343</v>
      </c>
      <c r="C225" t="s">
        <v>164</v>
      </c>
      <c r="D225">
        <v>22</v>
      </c>
      <c r="F225" t="s">
        <v>1449</v>
      </c>
      <c r="H225" t="s">
        <v>2757</v>
      </c>
      <c r="I225" t="s">
        <v>1393</v>
      </c>
      <c r="K225" t="s">
        <v>5037</v>
      </c>
      <c r="L225" t="s">
        <v>5039</v>
      </c>
    </row>
    <row r="226" spans="1:12" x14ac:dyDescent="0.35">
      <c r="A226" t="s">
        <v>101</v>
      </c>
      <c r="B226" t="s">
        <v>343</v>
      </c>
      <c r="C226" t="s">
        <v>163</v>
      </c>
      <c r="D226">
        <v>0.2</v>
      </c>
      <c r="F226" t="s">
        <v>1371</v>
      </c>
      <c r="H226" t="s">
        <v>2759</v>
      </c>
      <c r="I226" t="s">
        <v>1368</v>
      </c>
      <c r="K226" t="s">
        <v>5037</v>
      </c>
      <c r="L226" t="s">
        <v>5039</v>
      </c>
    </row>
    <row r="227" spans="1:12" x14ac:dyDescent="0.35">
      <c r="A227" t="s">
        <v>101</v>
      </c>
      <c r="B227" t="s">
        <v>343</v>
      </c>
      <c r="C227" t="s">
        <v>688</v>
      </c>
      <c r="D227">
        <v>2.2000000000000002</v>
      </c>
      <c r="F227" t="s">
        <v>1417</v>
      </c>
      <c r="H227" t="s">
        <v>2760</v>
      </c>
      <c r="I227" t="s">
        <v>1393</v>
      </c>
      <c r="K227" t="s">
        <v>5037</v>
      </c>
      <c r="L227" t="s">
        <v>5039</v>
      </c>
    </row>
    <row r="228" spans="1:12" x14ac:dyDescent="0.35">
      <c r="A228" t="s">
        <v>101</v>
      </c>
      <c r="B228" t="s">
        <v>343</v>
      </c>
      <c r="C228" t="s">
        <v>688</v>
      </c>
      <c r="D228">
        <v>2.6</v>
      </c>
      <c r="F228" t="s">
        <v>1428</v>
      </c>
      <c r="H228" t="s">
        <v>2761</v>
      </c>
      <c r="I228" t="s">
        <v>1393</v>
      </c>
      <c r="K228" t="s">
        <v>5037</v>
      </c>
      <c r="L228" t="s">
        <v>5039</v>
      </c>
    </row>
    <row r="229" spans="1:12" x14ac:dyDescent="0.35">
      <c r="A229" t="s">
        <v>101</v>
      </c>
      <c r="B229" t="s">
        <v>343</v>
      </c>
      <c r="C229" t="s">
        <v>691</v>
      </c>
      <c r="D229">
        <v>0.1</v>
      </c>
      <c r="F229" t="s">
        <v>1309</v>
      </c>
      <c r="H229" t="s">
        <v>2762</v>
      </c>
      <c r="I229" t="s">
        <v>1766</v>
      </c>
      <c r="K229" t="s">
        <v>5037</v>
      </c>
      <c r="L229" t="s">
        <v>5039</v>
      </c>
    </row>
    <row r="230" spans="1:12" x14ac:dyDescent="0.35">
      <c r="A230" t="s">
        <v>101</v>
      </c>
      <c r="B230" t="s">
        <v>343</v>
      </c>
      <c r="C230" t="s">
        <v>164</v>
      </c>
      <c r="D230">
        <v>12</v>
      </c>
      <c r="F230" t="s">
        <v>1450</v>
      </c>
      <c r="H230" t="s">
        <v>2763</v>
      </c>
      <c r="I230" t="s">
        <v>1393</v>
      </c>
      <c r="K230" t="s">
        <v>5037</v>
      </c>
      <c r="L230" t="s">
        <v>5039</v>
      </c>
    </row>
    <row r="231" spans="1:12" x14ac:dyDescent="0.35">
      <c r="A231" t="s">
        <v>101</v>
      </c>
      <c r="B231" t="s">
        <v>344</v>
      </c>
      <c r="C231" t="s">
        <v>163</v>
      </c>
      <c r="D231">
        <v>0.5</v>
      </c>
      <c r="F231" t="s">
        <v>1440</v>
      </c>
      <c r="H231" t="s">
        <v>2764</v>
      </c>
      <c r="I231" t="s">
        <v>1368</v>
      </c>
      <c r="K231" t="s">
        <v>5037</v>
      </c>
      <c r="L231" t="s">
        <v>5039</v>
      </c>
    </row>
    <row r="232" spans="1:12" x14ac:dyDescent="0.35">
      <c r="A232" t="s">
        <v>101</v>
      </c>
      <c r="B232" t="s">
        <v>344</v>
      </c>
      <c r="C232" t="s">
        <v>161</v>
      </c>
      <c r="D232">
        <v>3.5</v>
      </c>
      <c r="F232" t="s">
        <v>1451</v>
      </c>
      <c r="H232" t="s">
        <v>2764</v>
      </c>
      <c r="I232" t="s">
        <v>1368</v>
      </c>
      <c r="K232" t="s">
        <v>5037</v>
      </c>
      <c r="L232" t="s">
        <v>5039</v>
      </c>
    </row>
    <row r="233" spans="1:12" x14ac:dyDescent="0.35">
      <c r="A233" t="s">
        <v>101</v>
      </c>
      <c r="B233" t="s">
        <v>345</v>
      </c>
      <c r="C233" t="s">
        <v>691</v>
      </c>
      <c r="D233">
        <v>4.9000000000000002E-2</v>
      </c>
      <c r="F233" t="s">
        <v>1452</v>
      </c>
      <c r="H233" t="s">
        <v>2765</v>
      </c>
      <c r="I233" t="s">
        <v>1961</v>
      </c>
      <c r="K233" t="s">
        <v>5037</v>
      </c>
      <c r="L233" t="s">
        <v>5039</v>
      </c>
    </row>
    <row r="234" spans="1:12" x14ac:dyDescent="0.35">
      <c r="A234" t="s">
        <v>101</v>
      </c>
      <c r="B234" t="s">
        <v>345</v>
      </c>
      <c r="C234" t="s">
        <v>688</v>
      </c>
      <c r="D234">
        <v>2.2999999999999998</v>
      </c>
      <c r="F234" t="s">
        <v>1453</v>
      </c>
      <c r="H234" t="s">
        <v>2766</v>
      </c>
      <c r="I234" t="s">
        <v>1961</v>
      </c>
      <c r="K234" t="s">
        <v>5037</v>
      </c>
      <c r="L234" t="s">
        <v>5039</v>
      </c>
    </row>
    <row r="235" spans="1:12" x14ac:dyDescent="0.35">
      <c r="A235" t="s">
        <v>101</v>
      </c>
      <c r="B235" t="s">
        <v>345</v>
      </c>
      <c r="C235" t="s">
        <v>164</v>
      </c>
      <c r="D235">
        <v>13</v>
      </c>
      <c r="F235" t="s">
        <v>1454</v>
      </c>
      <c r="H235" t="s">
        <v>2767</v>
      </c>
      <c r="I235" t="s">
        <v>1961</v>
      </c>
      <c r="K235" t="s">
        <v>5037</v>
      </c>
      <c r="L235" t="s">
        <v>5039</v>
      </c>
    </row>
    <row r="236" spans="1:12" x14ac:dyDescent="0.35">
      <c r="A236" t="s">
        <v>101</v>
      </c>
      <c r="B236" t="s">
        <v>346</v>
      </c>
      <c r="C236" t="s">
        <v>691</v>
      </c>
      <c r="D236">
        <v>0.03</v>
      </c>
      <c r="F236" t="s">
        <v>1266</v>
      </c>
      <c r="H236" t="s">
        <v>2768</v>
      </c>
      <c r="I236" t="s">
        <v>1516</v>
      </c>
      <c r="K236" t="s">
        <v>5037</v>
      </c>
      <c r="L236" t="s">
        <v>5039</v>
      </c>
    </row>
    <row r="237" spans="1:12" x14ac:dyDescent="0.35">
      <c r="A237" t="s">
        <v>101</v>
      </c>
      <c r="B237" t="s">
        <v>346</v>
      </c>
      <c r="C237" t="s">
        <v>691</v>
      </c>
      <c r="D237">
        <v>6.5000000000000002E-2</v>
      </c>
      <c r="F237" t="s">
        <v>1455</v>
      </c>
      <c r="H237" t="s">
        <v>2769</v>
      </c>
      <c r="I237" t="s">
        <v>1516</v>
      </c>
      <c r="K237" t="s">
        <v>5037</v>
      </c>
      <c r="L237" t="s">
        <v>5039</v>
      </c>
    </row>
    <row r="238" spans="1:12" x14ac:dyDescent="0.35">
      <c r="A238" t="s">
        <v>101</v>
      </c>
      <c r="B238" t="s">
        <v>346</v>
      </c>
      <c r="C238" t="s">
        <v>163</v>
      </c>
      <c r="D238">
        <v>7.0000000000000007E-2</v>
      </c>
      <c r="F238" t="s">
        <v>1456</v>
      </c>
      <c r="H238" t="s">
        <v>2770</v>
      </c>
      <c r="I238" t="s">
        <v>1516</v>
      </c>
      <c r="K238" t="s">
        <v>5037</v>
      </c>
      <c r="L238" t="s">
        <v>5039</v>
      </c>
    </row>
    <row r="239" spans="1:12" x14ac:dyDescent="0.35">
      <c r="A239" t="s">
        <v>101</v>
      </c>
      <c r="B239" t="s">
        <v>346</v>
      </c>
      <c r="C239" t="s">
        <v>691</v>
      </c>
      <c r="D239">
        <v>2.3E-2</v>
      </c>
      <c r="F239" t="s">
        <v>1457</v>
      </c>
      <c r="H239" t="s">
        <v>2770</v>
      </c>
      <c r="I239" t="s">
        <v>1516</v>
      </c>
      <c r="K239" t="s">
        <v>5037</v>
      </c>
      <c r="L239" t="s">
        <v>5039</v>
      </c>
    </row>
    <row r="240" spans="1:12" x14ac:dyDescent="0.35">
      <c r="A240" t="s">
        <v>101</v>
      </c>
      <c r="B240" t="s">
        <v>346</v>
      </c>
      <c r="C240" t="s">
        <v>163</v>
      </c>
      <c r="D240">
        <v>0.14000000000000001</v>
      </c>
      <c r="F240" t="s">
        <v>1361</v>
      </c>
      <c r="H240" t="s">
        <v>2771</v>
      </c>
      <c r="I240" t="s">
        <v>1516</v>
      </c>
      <c r="K240" t="s">
        <v>5037</v>
      </c>
      <c r="L240" t="s">
        <v>5039</v>
      </c>
    </row>
    <row r="241" spans="1:12" x14ac:dyDescent="0.35">
      <c r="A241" t="s">
        <v>101</v>
      </c>
      <c r="B241" t="s">
        <v>346</v>
      </c>
      <c r="C241" t="s">
        <v>164</v>
      </c>
      <c r="D241">
        <v>20</v>
      </c>
      <c r="F241" t="s">
        <v>1458</v>
      </c>
      <c r="H241" t="s">
        <v>2772</v>
      </c>
      <c r="I241" t="s">
        <v>1516</v>
      </c>
      <c r="K241" t="s">
        <v>5037</v>
      </c>
      <c r="L241" t="s">
        <v>5039</v>
      </c>
    </row>
    <row r="242" spans="1:12" x14ac:dyDescent="0.35">
      <c r="A242" t="s">
        <v>101</v>
      </c>
      <c r="B242" t="s">
        <v>346</v>
      </c>
      <c r="C242" t="s">
        <v>691</v>
      </c>
      <c r="D242">
        <v>3.3000000000000002E-2</v>
      </c>
      <c r="F242" t="s">
        <v>1340</v>
      </c>
      <c r="H242" t="s">
        <v>2773</v>
      </c>
      <c r="I242" t="s">
        <v>1516</v>
      </c>
      <c r="K242" t="s">
        <v>5037</v>
      </c>
      <c r="L242" t="s">
        <v>5039</v>
      </c>
    </row>
    <row r="243" spans="1:12" x14ac:dyDescent="0.35">
      <c r="A243" t="s">
        <v>101</v>
      </c>
      <c r="B243" t="s">
        <v>346</v>
      </c>
      <c r="C243" t="s">
        <v>691</v>
      </c>
      <c r="D243">
        <v>0.08</v>
      </c>
      <c r="F243" t="s">
        <v>1402</v>
      </c>
      <c r="H243" t="s">
        <v>2774</v>
      </c>
      <c r="I243" t="s">
        <v>1516</v>
      </c>
      <c r="K243" t="s">
        <v>5037</v>
      </c>
      <c r="L243" t="s">
        <v>5039</v>
      </c>
    </row>
    <row r="244" spans="1:12" x14ac:dyDescent="0.35">
      <c r="A244" t="s">
        <v>101</v>
      </c>
      <c r="B244" t="s">
        <v>346</v>
      </c>
      <c r="C244" t="s">
        <v>691</v>
      </c>
      <c r="D244">
        <v>8.5000000000000006E-2</v>
      </c>
      <c r="F244" t="s">
        <v>1459</v>
      </c>
      <c r="H244" t="s">
        <v>2771</v>
      </c>
      <c r="I244" t="s">
        <v>1516</v>
      </c>
      <c r="K244" t="s">
        <v>5037</v>
      </c>
      <c r="L244" t="s">
        <v>5039</v>
      </c>
    </row>
    <row r="245" spans="1:12" x14ac:dyDescent="0.35">
      <c r="A245" t="s">
        <v>101</v>
      </c>
      <c r="B245" t="s">
        <v>346</v>
      </c>
      <c r="C245" t="s">
        <v>163</v>
      </c>
      <c r="D245">
        <v>7.4999999999999997E-2</v>
      </c>
      <c r="F245" t="s">
        <v>1460</v>
      </c>
      <c r="H245" t="s">
        <v>2773</v>
      </c>
      <c r="I245" t="s">
        <v>1516</v>
      </c>
      <c r="K245" t="s">
        <v>5037</v>
      </c>
      <c r="L245" t="s">
        <v>5039</v>
      </c>
    </row>
    <row r="246" spans="1:12" x14ac:dyDescent="0.35">
      <c r="A246" t="s">
        <v>101</v>
      </c>
      <c r="B246" t="s">
        <v>346</v>
      </c>
      <c r="C246" t="s">
        <v>164</v>
      </c>
      <c r="D246">
        <v>32</v>
      </c>
      <c r="F246" t="s">
        <v>1461</v>
      </c>
      <c r="H246" t="s">
        <v>2775</v>
      </c>
      <c r="I246" t="s">
        <v>1516</v>
      </c>
      <c r="K246" t="s">
        <v>5037</v>
      </c>
      <c r="L246" t="s">
        <v>5039</v>
      </c>
    </row>
    <row r="247" spans="1:12" x14ac:dyDescent="0.35">
      <c r="A247" t="s">
        <v>101</v>
      </c>
      <c r="B247" t="s">
        <v>346</v>
      </c>
      <c r="C247" t="s">
        <v>691</v>
      </c>
      <c r="D247">
        <v>5.6000000000000001E-2</v>
      </c>
      <c r="F247" t="s">
        <v>1462</v>
      </c>
      <c r="H247" t="s">
        <v>2776</v>
      </c>
      <c r="I247" t="s">
        <v>1516</v>
      </c>
      <c r="K247" t="s">
        <v>5037</v>
      </c>
      <c r="L247" t="s">
        <v>5039</v>
      </c>
    </row>
    <row r="248" spans="1:12" x14ac:dyDescent="0.35">
      <c r="A248" t="s">
        <v>101</v>
      </c>
      <c r="B248" t="s">
        <v>346</v>
      </c>
      <c r="C248" t="s">
        <v>163</v>
      </c>
      <c r="D248">
        <v>8.6999999999999994E-2</v>
      </c>
      <c r="F248" t="s">
        <v>1463</v>
      </c>
      <c r="H248" t="s">
        <v>2768</v>
      </c>
      <c r="I248" t="s">
        <v>1516</v>
      </c>
      <c r="K248" t="s">
        <v>5037</v>
      </c>
      <c r="L248" t="s">
        <v>5039</v>
      </c>
    </row>
    <row r="249" spans="1:12" x14ac:dyDescent="0.35">
      <c r="A249" t="s">
        <v>101</v>
      </c>
      <c r="B249" t="s">
        <v>346</v>
      </c>
      <c r="C249" t="s">
        <v>164</v>
      </c>
      <c r="D249">
        <v>7.5</v>
      </c>
      <c r="F249" t="s">
        <v>1464</v>
      </c>
      <c r="H249" t="s">
        <v>2776</v>
      </c>
      <c r="I249" t="s">
        <v>1516</v>
      </c>
      <c r="K249" t="s">
        <v>5037</v>
      </c>
      <c r="L249" t="s">
        <v>5039</v>
      </c>
    </row>
    <row r="250" spans="1:12" x14ac:dyDescent="0.35">
      <c r="A250" t="s">
        <v>101</v>
      </c>
      <c r="B250" t="s">
        <v>346</v>
      </c>
      <c r="C250" t="s">
        <v>164</v>
      </c>
      <c r="D250">
        <v>18</v>
      </c>
      <c r="F250" t="s">
        <v>1389</v>
      </c>
      <c r="H250" t="s">
        <v>2777</v>
      </c>
      <c r="I250" t="s">
        <v>1516</v>
      </c>
      <c r="K250" t="s">
        <v>5037</v>
      </c>
      <c r="L250" t="s">
        <v>5039</v>
      </c>
    </row>
    <row r="251" spans="1:12" x14ac:dyDescent="0.35">
      <c r="A251" t="s">
        <v>101</v>
      </c>
      <c r="B251" t="s">
        <v>346</v>
      </c>
      <c r="C251" t="s">
        <v>688</v>
      </c>
      <c r="D251">
        <v>3.2</v>
      </c>
      <c r="F251" t="s">
        <v>1465</v>
      </c>
      <c r="H251" t="s">
        <v>2778</v>
      </c>
      <c r="I251" t="s">
        <v>1516</v>
      </c>
      <c r="K251" t="s">
        <v>5037</v>
      </c>
      <c r="L251" t="s">
        <v>5039</v>
      </c>
    </row>
    <row r="252" spans="1:12" x14ac:dyDescent="0.35">
      <c r="A252" t="s">
        <v>101</v>
      </c>
      <c r="B252" t="s">
        <v>346</v>
      </c>
      <c r="C252" t="s">
        <v>163</v>
      </c>
      <c r="D252">
        <v>0.13</v>
      </c>
      <c r="F252" t="s">
        <v>1466</v>
      </c>
      <c r="H252" t="s">
        <v>2779</v>
      </c>
      <c r="I252" t="s">
        <v>1516</v>
      </c>
      <c r="K252" t="s">
        <v>5037</v>
      </c>
      <c r="L252" t="s">
        <v>5039</v>
      </c>
    </row>
    <row r="253" spans="1:12" x14ac:dyDescent="0.35">
      <c r="A253" t="s">
        <v>101</v>
      </c>
      <c r="B253" t="s">
        <v>346</v>
      </c>
      <c r="C253" t="s">
        <v>164</v>
      </c>
      <c r="D253">
        <v>17</v>
      </c>
      <c r="F253" t="s">
        <v>1383</v>
      </c>
      <c r="H253" t="s">
        <v>2780</v>
      </c>
      <c r="I253" t="s">
        <v>1516</v>
      </c>
      <c r="K253" t="s">
        <v>5037</v>
      </c>
      <c r="L253" t="s">
        <v>5039</v>
      </c>
    </row>
    <row r="254" spans="1:12" x14ac:dyDescent="0.35">
      <c r="A254" t="s">
        <v>101</v>
      </c>
      <c r="B254" t="s">
        <v>346</v>
      </c>
      <c r="C254" t="s">
        <v>164</v>
      </c>
      <c r="D254">
        <v>14</v>
      </c>
      <c r="F254" t="s">
        <v>1467</v>
      </c>
      <c r="H254" t="s">
        <v>2781</v>
      </c>
      <c r="I254" t="s">
        <v>1516</v>
      </c>
      <c r="K254" t="s">
        <v>5037</v>
      </c>
      <c r="L254" t="s">
        <v>5039</v>
      </c>
    </row>
    <row r="255" spans="1:12" x14ac:dyDescent="0.35">
      <c r="A255" t="s">
        <v>101</v>
      </c>
      <c r="B255" t="s">
        <v>347</v>
      </c>
      <c r="C255" t="s">
        <v>688</v>
      </c>
      <c r="D255">
        <v>4.5999999999999996</v>
      </c>
      <c r="F255" t="s">
        <v>1468</v>
      </c>
      <c r="H255" t="s">
        <v>2782</v>
      </c>
      <c r="I255" t="s">
        <v>4870</v>
      </c>
      <c r="K255" t="s">
        <v>5037</v>
      </c>
      <c r="L255" t="s">
        <v>5039</v>
      </c>
    </row>
    <row r="256" spans="1:12" x14ac:dyDescent="0.35">
      <c r="A256" t="s">
        <v>101</v>
      </c>
      <c r="B256" t="s">
        <v>347</v>
      </c>
      <c r="C256" t="s">
        <v>163</v>
      </c>
      <c r="D256">
        <v>1.4</v>
      </c>
      <c r="F256" t="s">
        <v>1469</v>
      </c>
      <c r="H256" t="s">
        <v>2782</v>
      </c>
      <c r="I256" t="s">
        <v>4870</v>
      </c>
      <c r="K256" t="s">
        <v>5037</v>
      </c>
      <c r="L256" t="s">
        <v>5039</v>
      </c>
    </row>
    <row r="257" spans="1:12" x14ac:dyDescent="0.35">
      <c r="A257" t="s">
        <v>101</v>
      </c>
      <c r="B257" t="s">
        <v>348</v>
      </c>
      <c r="C257" t="s">
        <v>691</v>
      </c>
      <c r="D257">
        <v>0.2</v>
      </c>
      <c r="F257" t="s">
        <v>1371</v>
      </c>
      <c r="H257" t="s">
        <v>2783</v>
      </c>
      <c r="I257" t="s">
        <v>2345</v>
      </c>
      <c r="K257" t="s">
        <v>5037</v>
      </c>
      <c r="L257" t="s">
        <v>5039</v>
      </c>
    </row>
    <row r="258" spans="1:12" x14ac:dyDescent="0.35">
      <c r="A258" t="s">
        <v>101</v>
      </c>
      <c r="B258" t="s">
        <v>348</v>
      </c>
      <c r="C258" t="s">
        <v>163</v>
      </c>
      <c r="D258">
        <v>0.23</v>
      </c>
      <c r="F258" t="s">
        <v>1362</v>
      </c>
      <c r="H258" t="s">
        <v>2783</v>
      </c>
      <c r="I258" t="s">
        <v>2345</v>
      </c>
      <c r="K258" t="s">
        <v>5037</v>
      </c>
      <c r="L258" t="s">
        <v>5039</v>
      </c>
    </row>
    <row r="259" spans="1:12" x14ac:dyDescent="0.35">
      <c r="A259" t="s">
        <v>101</v>
      </c>
      <c r="B259" t="s">
        <v>348</v>
      </c>
      <c r="C259" t="s">
        <v>691</v>
      </c>
      <c r="D259">
        <v>0.32</v>
      </c>
      <c r="F259" t="s">
        <v>1470</v>
      </c>
      <c r="H259" t="s">
        <v>2784</v>
      </c>
      <c r="I259" t="s">
        <v>2345</v>
      </c>
      <c r="K259" t="s">
        <v>5037</v>
      </c>
      <c r="L259" t="s">
        <v>5039</v>
      </c>
    </row>
    <row r="260" spans="1:12" x14ac:dyDescent="0.35">
      <c r="A260" t="s">
        <v>101</v>
      </c>
      <c r="B260" t="s">
        <v>348</v>
      </c>
      <c r="C260" t="s">
        <v>688</v>
      </c>
      <c r="D260">
        <v>7.5</v>
      </c>
      <c r="F260" t="s">
        <v>1464</v>
      </c>
      <c r="H260" t="s">
        <v>2783</v>
      </c>
      <c r="I260" t="s">
        <v>2345</v>
      </c>
      <c r="K260" t="s">
        <v>5037</v>
      </c>
      <c r="L260" t="s">
        <v>5039</v>
      </c>
    </row>
    <row r="261" spans="1:12" x14ac:dyDescent="0.35">
      <c r="A261" t="s">
        <v>101</v>
      </c>
      <c r="B261" t="s">
        <v>348</v>
      </c>
      <c r="C261" t="s">
        <v>164</v>
      </c>
      <c r="D261">
        <v>12.2</v>
      </c>
      <c r="F261" t="s">
        <v>1471</v>
      </c>
      <c r="H261" t="s">
        <v>2784</v>
      </c>
      <c r="I261" t="s">
        <v>2345</v>
      </c>
      <c r="K261" t="s">
        <v>5037</v>
      </c>
      <c r="L261" t="s">
        <v>5039</v>
      </c>
    </row>
    <row r="262" spans="1:12" x14ac:dyDescent="0.35">
      <c r="A262" t="s">
        <v>101</v>
      </c>
      <c r="B262" t="s">
        <v>348</v>
      </c>
      <c r="C262" t="s">
        <v>164</v>
      </c>
      <c r="D262">
        <v>17.399999999999999</v>
      </c>
      <c r="F262" t="s">
        <v>1472</v>
      </c>
      <c r="H262" t="s">
        <v>2783</v>
      </c>
      <c r="I262" t="s">
        <v>2345</v>
      </c>
      <c r="K262" t="s">
        <v>5037</v>
      </c>
      <c r="L262" t="s">
        <v>5039</v>
      </c>
    </row>
    <row r="263" spans="1:12" x14ac:dyDescent="0.35">
      <c r="A263" t="s">
        <v>101</v>
      </c>
      <c r="B263" t="s">
        <v>348</v>
      </c>
      <c r="C263" t="s">
        <v>688</v>
      </c>
      <c r="D263">
        <v>1.7</v>
      </c>
      <c r="F263" t="s">
        <v>1416</v>
      </c>
      <c r="H263" t="s">
        <v>2785</v>
      </c>
      <c r="I263" t="s">
        <v>2345</v>
      </c>
      <c r="K263" t="s">
        <v>5037</v>
      </c>
      <c r="L263" t="s">
        <v>5039</v>
      </c>
    </row>
    <row r="264" spans="1:12" x14ac:dyDescent="0.35">
      <c r="A264" t="s">
        <v>101</v>
      </c>
      <c r="B264" t="s">
        <v>349</v>
      </c>
      <c r="C264" t="s">
        <v>691</v>
      </c>
      <c r="D264">
        <v>4.4999999999999998E-2</v>
      </c>
      <c r="F264" t="s">
        <v>1290</v>
      </c>
      <c r="H264" t="s">
        <v>2786</v>
      </c>
      <c r="I264" t="s">
        <v>1766</v>
      </c>
      <c r="K264" t="s">
        <v>5037</v>
      </c>
      <c r="L264" t="s">
        <v>5039</v>
      </c>
    </row>
    <row r="265" spans="1:12" x14ac:dyDescent="0.35">
      <c r="A265" t="s">
        <v>101</v>
      </c>
      <c r="B265" t="s">
        <v>349</v>
      </c>
      <c r="C265" t="s">
        <v>688</v>
      </c>
      <c r="D265">
        <v>0.5</v>
      </c>
      <c r="F265" t="s">
        <v>1440</v>
      </c>
      <c r="H265" t="s">
        <v>2786</v>
      </c>
      <c r="I265" t="s">
        <v>1766</v>
      </c>
      <c r="K265" t="s">
        <v>5037</v>
      </c>
      <c r="L265" t="s">
        <v>5039</v>
      </c>
    </row>
    <row r="266" spans="1:12" x14ac:dyDescent="0.35">
      <c r="A266" t="s">
        <v>101</v>
      </c>
      <c r="B266" t="s">
        <v>349</v>
      </c>
      <c r="C266" t="s">
        <v>163</v>
      </c>
      <c r="D266">
        <v>0.12</v>
      </c>
      <c r="F266" t="s">
        <v>1473</v>
      </c>
      <c r="H266" t="s">
        <v>2786</v>
      </c>
      <c r="I266" t="s">
        <v>1766</v>
      </c>
      <c r="K266" t="s">
        <v>5037</v>
      </c>
      <c r="L266" t="s">
        <v>5039</v>
      </c>
    </row>
    <row r="267" spans="1:12" x14ac:dyDescent="0.35">
      <c r="A267" t="s">
        <v>101</v>
      </c>
      <c r="B267" t="s">
        <v>349</v>
      </c>
      <c r="C267" t="s">
        <v>688</v>
      </c>
      <c r="D267">
        <v>0.85</v>
      </c>
      <c r="F267" t="s">
        <v>1474</v>
      </c>
      <c r="H267" t="s">
        <v>2787</v>
      </c>
      <c r="I267" t="s">
        <v>1766</v>
      </c>
      <c r="K267" t="s">
        <v>5037</v>
      </c>
      <c r="L267" t="s">
        <v>5039</v>
      </c>
    </row>
    <row r="268" spans="1:12" x14ac:dyDescent="0.35">
      <c r="A268" t="s">
        <v>101</v>
      </c>
      <c r="B268" t="s">
        <v>349</v>
      </c>
      <c r="C268" t="s">
        <v>164</v>
      </c>
      <c r="D268">
        <v>1.6</v>
      </c>
      <c r="F268" t="s">
        <v>1328</v>
      </c>
      <c r="H268" t="s">
        <v>2787</v>
      </c>
      <c r="I268" t="s">
        <v>1766</v>
      </c>
      <c r="K268" t="s">
        <v>5037</v>
      </c>
      <c r="L268" t="s">
        <v>5039</v>
      </c>
    </row>
    <row r="269" spans="1:12" x14ac:dyDescent="0.35">
      <c r="A269" t="s">
        <v>101</v>
      </c>
      <c r="B269" t="s">
        <v>349</v>
      </c>
      <c r="C269" t="s">
        <v>164</v>
      </c>
      <c r="D269">
        <v>0.75</v>
      </c>
      <c r="F269" t="s">
        <v>1475</v>
      </c>
      <c r="H269" t="s">
        <v>2786</v>
      </c>
      <c r="I269" t="s">
        <v>1766</v>
      </c>
      <c r="K269" t="s">
        <v>5037</v>
      </c>
      <c r="L269" t="s">
        <v>5039</v>
      </c>
    </row>
    <row r="270" spans="1:12" x14ac:dyDescent="0.35">
      <c r="A270" t="s">
        <v>101</v>
      </c>
      <c r="B270" t="s">
        <v>350</v>
      </c>
      <c r="C270" t="s">
        <v>691</v>
      </c>
      <c r="D270">
        <v>3.2000000000000001E-2</v>
      </c>
      <c r="F270" t="s">
        <v>1314</v>
      </c>
      <c r="H270" t="s">
        <v>2788</v>
      </c>
      <c r="I270" t="s">
        <v>1360</v>
      </c>
      <c r="K270" t="s">
        <v>5037</v>
      </c>
      <c r="L270" t="s">
        <v>5039</v>
      </c>
    </row>
    <row r="271" spans="1:12" x14ac:dyDescent="0.35">
      <c r="A271" t="s">
        <v>101</v>
      </c>
      <c r="B271" t="s">
        <v>350</v>
      </c>
      <c r="C271" t="s">
        <v>164</v>
      </c>
      <c r="D271">
        <v>5.7</v>
      </c>
      <c r="F271" t="s">
        <v>1476</v>
      </c>
      <c r="H271" t="s">
        <v>2788</v>
      </c>
      <c r="I271" t="s">
        <v>1360</v>
      </c>
      <c r="K271" t="s">
        <v>5037</v>
      </c>
      <c r="L271" t="s">
        <v>5039</v>
      </c>
    </row>
    <row r="272" spans="1:12" x14ac:dyDescent="0.35">
      <c r="A272" t="s">
        <v>101</v>
      </c>
      <c r="B272" t="s">
        <v>350</v>
      </c>
      <c r="C272" t="s">
        <v>688</v>
      </c>
      <c r="D272">
        <v>5</v>
      </c>
      <c r="F272" t="s">
        <v>1477</v>
      </c>
      <c r="H272" t="s">
        <v>2788</v>
      </c>
      <c r="I272" t="s">
        <v>1360</v>
      </c>
      <c r="K272" t="s">
        <v>5037</v>
      </c>
      <c r="L272" t="s">
        <v>5039</v>
      </c>
    </row>
    <row r="273" spans="1:12" x14ac:dyDescent="0.35">
      <c r="A273" t="s">
        <v>101</v>
      </c>
      <c r="B273" t="s">
        <v>351</v>
      </c>
      <c r="C273" t="s">
        <v>163</v>
      </c>
      <c r="D273">
        <v>0.67</v>
      </c>
      <c r="F273" t="s">
        <v>1478</v>
      </c>
      <c r="H273" t="s">
        <v>2789</v>
      </c>
      <c r="I273" t="s">
        <v>4871</v>
      </c>
      <c r="K273" t="s">
        <v>5037</v>
      </c>
      <c r="L273" t="s">
        <v>5039</v>
      </c>
    </row>
    <row r="274" spans="1:12" x14ac:dyDescent="0.35">
      <c r="A274" t="s">
        <v>101</v>
      </c>
      <c r="B274" t="s">
        <v>351</v>
      </c>
      <c r="C274" t="s">
        <v>688</v>
      </c>
      <c r="D274">
        <v>15.1</v>
      </c>
      <c r="F274" t="s">
        <v>1479</v>
      </c>
      <c r="H274" t="s">
        <v>2789</v>
      </c>
      <c r="I274" t="s">
        <v>4871</v>
      </c>
      <c r="K274" t="s">
        <v>5037</v>
      </c>
      <c r="L274" t="s">
        <v>5039</v>
      </c>
    </row>
    <row r="275" spans="1:12" x14ac:dyDescent="0.35">
      <c r="A275" t="s">
        <v>101</v>
      </c>
      <c r="B275" t="s">
        <v>352</v>
      </c>
      <c r="C275" t="s">
        <v>694</v>
      </c>
      <c r="D275">
        <v>2.5000000000000001E-4</v>
      </c>
      <c r="F275" t="s">
        <v>1480</v>
      </c>
      <c r="H275" t="s">
        <v>2790</v>
      </c>
      <c r="I275" t="s">
        <v>1372</v>
      </c>
      <c r="K275" t="s">
        <v>5037</v>
      </c>
      <c r="L275" t="s">
        <v>5039</v>
      </c>
    </row>
    <row r="276" spans="1:12" x14ac:dyDescent="0.35">
      <c r="A276" t="s">
        <v>101</v>
      </c>
      <c r="B276" t="s">
        <v>352</v>
      </c>
      <c r="C276" t="s">
        <v>691</v>
      </c>
      <c r="D276">
        <v>0.37</v>
      </c>
      <c r="F276" t="s">
        <v>1481</v>
      </c>
      <c r="H276" t="s">
        <v>2790</v>
      </c>
      <c r="I276" t="s">
        <v>1372</v>
      </c>
      <c r="K276" t="s">
        <v>5037</v>
      </c>
      <c r="L276" t="s">
        <v>5039</v>
      </c>
    </row>
    <row r="277" spans="1:12" x14ac:dyDescent="0.35">
      <c r="A277" t="s">
        <v>101</v>
      </c>
      <c r="B277" t="s">
        <v>352</v>
      </c>
      <c r="C277" t="s">
        <v>695</v>
      </c>
      <c r="D277">
        <v>1.43</v>
      </c>
      <c r="F277" t="s">
        <v>1482</v>
      </c>
      <c r="H277" t="s">
        <v>2790</v>
      </c>
      <c r="I277" t="s">
        <v>1372</v>
      </c>
      <c r="K277" t="s">
        <v>5037</v>
      </c>
      <c r="L277" t="s">
        <v>5039</v>
      </c>
    </row>
    <row r="278" spans="1:12" x14ac:dyDescent="0.35">
      <c r="A278" t="s">
        <v>101</v>
      </c>
      <c r="B278" t="s">
        <v>352</v>
      </c>
      <c r="C278" t="s">
        <v>691</v>
      </c>
      <c r="D278">
        <v>0.01</v>
      </c>
      <c r="F278" t="s">
        <v>1376</v>
      </c>
      <c r="H278" t="s">
        <v>2791</v>
      </c>
      <c r="I278" t="s">
        <v>1367</v>
      </c>
      <c r="K278" t="s">
        <v>5037</v>
      </c>
      <c r="L278" t="s">
        <v>5039</v>
      </c>
    </row>
    <row r="279" spans="1:12" x14ac:dyDescent="0.35">
      <c r="A279" t="s">
        <v>101</v>
      </c>
      <c r="B279" t="s">
        <v>352</v>
      </c>
      <c r="C279" t="s">
        <v>163</v>
      </c>
      <c r="D279">
        <v>0.59</v>
      </c>
      <c r="F279" t="s">
        <v>1483</v>
      </c>
      <c r="H279" t="s">
        <v>2792</v>
      </c>
      <c r="I279" t="s">
        <v>4872</v>
      </c>
      <c r="K279" t="s">
        <v>5037</v>
      </c>
      <c r="L279" t="s">
        <v>5039</v>
      </c>
    </row>
    <row r="280" spans="1:12" x14ac:dyDescent="0.35">
      <c r="A280" t="s">
        <v>101</v>
      </c>
      <c r="B280" t="s">
        <v>352</v>
      </c>
      <c r="C280" t="s">
        <v>696</v>
      </c>
      <c r="D280">
        <v>0.77</v>
      </c>
      <c r="F280" t="s">
        <v>1484</v>
      </c>
      <c r="H280" t="s">
        <v>2793</v>
      </c>
      <c r="I280" t="s">
        <v>4873</v>
      </c>
      <c r="K280" t="s">
        <v>5037</v>
      </c>
      <c r="L280" t="s">
        <v>5039</v>
      </c>
    </row>
    <row r="281" spans="1:12" x14ac:dyDescent="0.35">
      <c r="A281" t="s">
        <v>101</v>
      </c>
      <c r="B281" t="s">
        <v>352</v>
      </c>
      <c r="C281" t="s">
        <v>163</v>
      </c>
      <c r="D281">
        <v>7.0999999999999994E-2</v>
      </c>
      <c r="F281" t="s">
        <v>1485</v>
      </c>
      <c r="H281" t="s">
        <v>2790</v>
      </c>
      <c r="I281" t="s">
        <v>1372</v>
      </c>
      <c r="K281" t="s">
        <v>5037</v>
      </c>
      <c r="L281" t="s">
        <v>5039</v>
      </c>
    </row>
    <row r="282" spans="1:12" x14ac:dyDescent="0.35">
      <c r="A282" t="s">
        <v>101</v>
      </c>
      <c r="B282" t="s">
        <v>352</v>
      </c>
      <c r="C282" t="s">
        <v>696</v>
      </c>
      <c r="D282">
        <v>0.86</v>
      </c>
      <c r="F282" t="s">
        <v>1486</v>
      </c>
      <c r="H282" t="s">
        <v>2794</v>
      </c>
      <c r="I282" t="s">
        <v>4873</v>
      </c>
      <c r="K282" t="s">
        <v>5037</v>
      </c>
      <c r="L282" t="s">
        <v>5039</v>
      </c>
    </row>
    <row r="283" spans="1:12" x14ac:dyDescent="0.35">
      <c r="A283" t="s">
        <v>101</v>
      </c>
      <c r="B283" t="s">
        <v>352</v>
      </c>
      <c r="C283" t="s">
        <v>697</v>
      </c>
      <c r="D283">
        <v>1.01</v>
      </c>
      <c r="F283" t="s">
        <v>1487</v>
      </c>
      <c r="H283" t="s">
        <v>2795</v>
      </c>
      <c r="I283" t="s">
        <v>1892</v>
      </c>
      <c r="K283" t="s">
        <v>5037</v>
      </c>
      <c r="L283" t="s">
        <v>5039</v>
      </c>
    </row>
    <row r="284" spans="1:12" x14ac:dyDescent="0.35">
      <c r="A284" t="s">
        <v>101</v>
      </c>
      <c r="B284" t="s">
        <v>352</v>
      </c>
      <c r="C284" t="s">
        <v>163</v>
      </c>
      <c r="D284">
        <v>0.24</v>
      </c>
      <c r="F284" t="s">
        <v>1488</v>
      </c>
      <c r="H284" t="s">
        <v>2791</v>
      </c>
      <c r="I284" t="s">
        <v>1367</v>
      </c>
      <c r="K284" t="s">
        <v>5037</v>
      </c>
      <c r="L284" t="s">
        <v>5039</v>
      </c>
    </row>
    <row r="285" spans="1:12" x14ac:dyDescent="0.35">
      <c r="A285" t="s">
        <v>101</v>
      </c>
      <c r="B285" t="s">
        <v>352</v>
      </c>
      <c r="C285" t="s">
        <v>164</v>
      </c>
      <c r="D285">
        <v>15</v>
      </c>
      <c r="F285" t="s">
        <v>1489</v>
      </c>
      <c r="H285" t="s">
        <v>2791</v>
      </c>
      <c r="I285" t="s">
        <v>1367</v>
      </c>
      <c r="K285" t="s">
        <v>5037</v>
      </c>
      <c r="L285" t="s">
        <v>5039</v>
      </c>
    </row>
    <row r="286" spans="1:12" x14ac:dyDescent="0.35">
      <c r="A286" t="s">
        <v>101</v>
      </c>
      <c r="B286" t="s">
        <v>352</v>
      </c>
      <c r="C286" t="s">
        <v>698</v>
      </c>
      <c r="D286">
        <v>2.17</v>
      </c>
      <c r="F286" t="s">
        <v>1490</v>
      </c>
      <c r="I286" t="s">
        <v>1372</v>
      </c>
      <c r="K286" t="s">
        <v>5037</v>
      </c>
      <c r="L286" t="s">
        <v>5039</v>
      </c>
    </row>
    <row r="287" spans="1:12" x14ac:dyDescent="0.35">
      <c r="A287" t="s">
        <v>101</v>
      </c>
      <c r="B287" t="s">
        <v>352</v>
      </c>
      <c r="C287" t="s">
        <v>699</v>
      </c>
      <c r="D287">
        <v>0.92</v>
      </c>
      <c r="F287" t="s">
        <v>1491</v>
      </c>
      <c r="H287" t="s">
        <v>2796</v>
      </c>
      <c r="I287" t="s">
        <v>1892</v>
      </c>
      <c r="K287" t="s">
        <v>5037</v>
      </c>
      <c r="L287" t="s">
        <v>5039</v>
      </c>
    </row>
    <row r="288" spans="1:12" x14ac:dyDescent="0.35">
      <c r="A288" t="s">
        <v>101</v>
      </c>
      <c r="B288" t="s">
        <v>352</v>
      </c>
      <c r="C288" t="s">
        <v>688</v>
      </c>
      <c r="D288">
        <v>4.4000000000000004</v>
      </c>
      <c r="F288" t="s">
        <v>1492</v>
      </c>
      <c r="I288" t="s">
        <v>1372</v>
      </c>
      <c r="K288" t="s">
        <v>5037</v>
      </c>
      <c r="L288" t="s">
        <v>5039</v>
      </c>
    </row>
    <row r="289" spans="1:12" x14ac:dyDescent="0.35">
      <c r="A289" t="s">
        <v>101</v>
      </c>
      <c r="B289" t="s">
        <v>352</v>
      </c>
      <c r="C289" t="s">
        <v>700</v>
      </c>
      <c r="D289">
        <v>4.12</v>
      </c>
      <c r="F289" t="s">
        <v>1493</v>
      </c>
      <c r="H289" t="s">
        <v>2795</v>
      </c>
      <c r="I289" t="s">
        <v>1892</v>
      </c>
      <c r="K289" t="s">
        <v>5037</v>
      </c>
      <c r="L289" t="s">
        <v>5039</v>
      </c>
    </row>
    <row r="290" spans="1:12" x14ac:dyDescent="0.35">
      <c r="A290" t="s">
        <v>101</v>
      </c>
      <c r="B290" t="s">
        <v>352</v>
      </c>
      <c r="C290" t="s">
        <v>701</v>
      </c>
      <c r="D290">
        <v>105</v>
      </c>
      <c r="F290" t="s">
        <v>1494</v>
      </c>
      <c r="H290" t="s">
        <v>2797</v>
      </c>
      <c r="I290" t="s">
        <v>4873</v>
      </c>
      <c r="K290" t="s">
        <v>5037</v>
      </c>
      <c r="L290" t="s">
        <v>5039</v>
      </c>
    </row>
    <row r="291" spans="1:12" x14ac:dyDescent="0.35">
      <c r="A291" t="s">
        <v>101</v>
      </c>
      <c r="B291" t="s">
        <v>352</v>
      </c>
      <c r="C291" t="s">
        <v>699</v>
      </c>
      <c r="D291">
        <v>4.24</v>
      </c>
      <c r="F291" t="s">
        <v>1495</v>
      </c>
      <c r="H291" t="s">
        <v>2798</v>
      </c>
      <c r="I291" t="s">
        <v>1892</v>
      </c>
      <c r="K291" t="s">
        <v>5037</v>
      </c>
      <c r="L291" t="s">
        <v>5039</v>
      </c>
    </row>
    <row r="292" spans="1:12" x14ac:dyDescent="0.35">
      <c r="A292" t="s">
        <v>101</v>
      </c>
      <c r="B292" t="s">
        <v>352</v>
      </c>
      <c r="C292" t="s">
        <v>701</v>
      </c>
      <c r="D292">
        <v>189</v>
      </c>
      <c r="F292" t="s">
        <v>1496</v>
      </c>
      <c r="H292" t="s">
        <v>2793</v>
      </c>
      <c r="I292" t="s">
        <v>4873</v>
      </c>
      <c r="K292" t="s">
        <v>5037</v>
      </c>
      <c r="L292" t="s">
        <v>5039</v>
      </c>
    </row>
    <row r="293" spans="1:12" x14ac:dyDescent="0.35">
      <c r="A293" t="s">
        <v>101</v>
      </c>
      <c r="B293" t="s">
        <v>352</v>
      </c>
      <c r="C293" t="s">
        <v>697</v>
      </c>
      <c r="D293">
        <v>10.32</v>
      </c>
      <c r="F293" t="s">
        <v>1497</v>
      </c>
      <c r="H293" t="s">
        <v>2799</v>
      </c>
      <c r="I293" t="s">
        <v>1892</v>
      </c>
      <c r="K293" t="s">
        <v>5037</v>
      </c>
      <c r="L293" t="s">
        <v>5039</v>
      </c>
    </row>
    <row r="294" spans="1:12" x14ac:dyDescent="0.35">
      <c r="A294" t="s">
        <v>101</v>
      </c>
      <c r="B294" t="s">
        <v>352</v>
      </c>
      <c r="C294" t="s">
        <v>702</v>
      </c>
      <c r="D294">
        <v>5.84</v>
      </c>
      <c r="F294" t="s">
        <v>1498</v>
      </c>
      <c r="H294" t="s">
        <v>2795</v>
      </c>
      <c r="I294" t="s">
        <v>1892</v>
      </c>
      <c r="K294" t="s">
        <v>5037</v>
      </c>
      <c r="L294" t="s">
        <v>5039</v>
      </c>
    </row>
    <row r="295" spans="1:12" x14ac:dyDescent="0.35">
      <c r="A295" t="s">
        <v>101</v>
      </c>
      <c r="B295" t="s">
        <v>352</v>
      </c>
      <c r="C295" t="s">
        <v>703</v>
      </c>
      <c r="D295">
        <v>4.92</v>
      </c>
      <c r="F295" t="s">
        <v>1499</v>
      </c>
      <c r="H295" t="s">
        <v>2795</v>
      </c>
      <c r="I295" t="s">
        <v>1892</v>
      </c>
      <c r="K295" t="s">
        <v>5037</v>
      </c>
      <c r="L295" t="s">
        <v>5039</v>
      </c>
    </row>
    <row r="296" spans="1:12" x14ac:dyDescent="0.35">
      <c r="A296" t="s">
        <v>101</v>
      </c>
      <c r="B296" t="s">
        <v>352</v>
      </c>
      <c r="C296" t="s">
        <v>700</v>
      </c>
      <c r="D296">
        <v>10.14</v>
      </c>
      <c r="F296" t="s">
        <v>1500</v>
      </c>
      <c r="H296" t="s">
        <v>2800</v>
      </c>
      <c r="I296" t="s">
        <v>1892</v>
      </c>
      <c r="K296" t="s">
        <v>5037</v>
      </c>
      <c r="L296" t="s">
        <v>5039</v>
      </c>
    </row>
    <row r="297" spans="1:12" x14ac:dyDescent="0.35">
      <c r="A297" t="s">
        <v>101</v>
      </c>
      <c r="B297" t="s">
        <v>352</v>
      </c>
      <c r="C297" t="s">
        <v>702</v>
      </c>
      <c r="D297">
        <v>12.07</v>
      </c>
      <c r="F297" t="s">
        <v>1501</v>
      </c>
      <c r="H297" t="s">
        <v>2800</v>
      </c>
      <c r="I297" t="s">
        <v>1892</v>
      </c>
      <c r="K297" t="s">
        <v>5037</v>
      </c>
      <c r="L297" t="s">
        <v>5039</v>
      </c>
    </row>
    <row r="298" spans="1:12" x14ac:dyDescent="0.35">
      <c r="A298" t="s">
        <v>101</v>
      </c>
      <c r="B298" t="s">
        <v>352</v>
      </c>
      <c r="C298" t="s">
        <v>703</v>
      </c>
      <c r="D298">
        <v>11.56</v>
      </c>
      <c r="F298" t="s">
        <v>1502</v>
      </c>
      <c r="H298" t="s">
        <v>2800</v>
      </c>
      <c r="I298" t="s">
        <v>1892</v>
      </c>
      <c r="K298" t="s">
        <v>5037</v>
      </c>
      <c r="L298" t="s">
        <v>5039</v>
      </c>
    </row>
    <row r="299" spans="1:12" x14ac:dyDescent="0.35">
      <c r="A299" t="s">
        <v>101</v>
      </c>
      <c r="B299" t="s">
        <v>352</v>
      </c>
      <c r="C299" t="s">
        <v>688</v>
      </c>
      <c r="D299">
        <v>1.9</v>
      </c>
      <c r="F299" t="s">
        <v>1503</v>
      </c>
      <c r="H299" t="s">
        <v>2801</v>
      </c>
      <c r="I299" t="s">
        <v>4872</v>
      </c>
      <c r="K299" t="s">
        <v>5037</v>
      </c>
      <c r="L299" t="s">
        <v>5039</v>
      </c>
    </row>
    <row r="300" spans="1:12" x14ac:dyDescent="0.35">
      <c r="A300" t="s">
        <v>101</v>
      </c>
      <c r="B300" t="s">
        <v>352</v>
      </c>
      <c r="C300" t="s">
        <v>704</v>
      </c>
      <c r="D300">
        <v>5</v>
      </c>
      <c r="F300" t="s">
        <v>1477</v>
      </c>
      <c r="H300" t="s">
        <v>2802</v>
      </c>
      <c r="I300" t="s">
        <v>1372</v>
      </c>
      <c r="K300" t="s">
        <v>5037</v>
      </c>
      <c r="L300" t="s">
        <v>5039</v>
      </c>
    </row>
    <row r="301" spans="1:12" x14ac:dyDescent="0.35">
      <c r="A301" t="s">
        <v>101</v>
      </c>
      <c r="B301" t="s">
        <v>352</v>
      </c>
      <c r="C301" t="s">
        <v>688</v>
      </c>
      <c r="D301">
        <v>1.3</v>
      </c>
      <c r="F301" t="s">
        <v>1358</v>
      </c>
      <c r="H301" t="s">
        <v>2803</v>
      </c>
      <c r="I301" t="s">
        <v>1516</v>
      </c>
      <c r="K301" t="s">
        <v>5037</v>
      </c>
      <c r="L301" t="s">
        <v>5039</v>
      </c>
    </row>
    <row r="302" spans="1:12" x14ac:dyDescent="0.35">
      <c r="A302" t="s">
        <v>101</v>
      </c>
      <c r="B302" t="s">
        <v>178</v>
      </c>
      <c r="C302" t="s">
        <v>163</v>
      </c>
      <c r="D302">
        <v>1</v>
      </c>
      <c r="F302" t="s">
        <v>1317</v>
      </c>
      <c r="H302" t="s">
        <v>2804</v>
      </c>
      <c r="I302" t="s">
        <v>4874</v>
      </c>
      <c r="K302" t="s">
        <v>5037</v>
      </c>
      <c r="L302" t="s">
        <v>5039</v>
      </c>
    </row>
    <row r="303" spans="1:12" x14ac:dyDescent="0.35">
      <c r="A303" t="s">
        <v>101</v>
      </c>
      <c r="B303" t="s">
        <v>178</v>
      </c>
      <c r="C303" t="s">
        <v>163</v>
      </c>
      <c r="D303">
        <v>1.2</v>
      </c>
      <c r="F303" t="s">
        <v>1421</v>
      </c>
      <c r="H303" t="s">
        <v>2805</v>
      </c>
      <c r="I303" t="s">
        <v>4874</v>
      </c>
      <c r="K303" t="s">
        <v>5037</v>
      </c>
      <c r="L303" t="s">
        <v>5039</v>
      </c>
    </row>
    <row r="304" spans="1:12" x14ac:dyDescent="0.35">
      <c r="A304" t="s">
        <v>101</v>
      </c>
      <c r="B304" t="s">
        <v>178</v>
      </c>
      <c r="C304" t="s">
        <v>688</v>
      </c>
      <c r="D304">
        <v>2.8</v>
      </c>
      <c r="F304" t="s">
        <v>1504</v>
      </c>
      <c r="H304" t="s">
        <v>2804</v>
      </c>
      <c r="I304" t="s">
        <v>4874</v>
      </c>
      <c r="K304" t="s">
        <v>5037</v>
      </c>
      <c r="L304" t="s">
        <v>5039</v>
      </c>
    </row>
    <row r="305" spans="1:12" x14ac:dyDescent="0.35">
      <c r="A305" t="s">
        <v>101</v>
      </c>
      <c r="B305" t="s">
        <v>178</v>
      </c>
      <c r="C305" t="s">
        <v>163</v>
      </c>
      <c r="D305">
        <v>1.1000000000000001</v>
      </c>
      <c r="F305" t="s">
        <v>1505</v>
      </c>
      <c r="H305" t="s">
        <v>2806</v>
      </c>
      <c r="I305" t="s">
        <v>4874</v>
      </c>
      <c r="K305" t="s">
        <v>5037</v>
      </c>
      <c r="L305" t="s">
        <v>5039</v>
      </c>
    </row>
    <row r="306" spans="1:12" x14ac:dyDescent="0.35">
      <c r="A306" t="s">
        <v>101</v>
      </c>
      <c r="B306" t="s">
        <v>178</v>
      </c>
      <c r="C306" t="s">
        <v>688</v>
      </c>
      <c r="D306">
        <v>1.6</v>
      </c>
      <c r="F306" t="s">
        <v>1328</v>
      </c>
      <c r="H306" t="s">
        <v>2807</v>
      </c>
      <c r="I306" t="s">
        <v>4874</v>
      </c>
      <c r="K306" t="s">
        <v>5037</v>
      </c>
      <c r="L306" t="s">
        <v>5039</v>
      </c>
    </row>
    <row r="307" spans="1:12" x14ac:dyDescent="0.35">
      <c r="A307" t="s">
        <v>101</v>
      </c>
      <c r="B307" t="s">
        <v>178</v>
      </c>
      <c r="C307" t="s">
        <v>688</v>
      </c>
      <c r="D307">
        <v>3.8</v>
      </c>
      <c r="F307" t="s">
        <v>1388</v>
      </c>
      <c r="H307" t="s">
        <v>2805</v>
      </c>
      <c r="I307" t="s">
        <v>4874</v>
      </c>
      <c r="K307" t="s">
        <v>5037</v>
      </c>
      <c r="L307" t="s">
        <v>5039</v>
      </c>
    </row>
    <row r="308" spans="1:12" x14ac:dyDescent="0.35">
      <c r="A308" t="s">
        <v>101</v>
      </c>
      <c r="B308" t="s">
        <v>178</v>
      </c>
      <c r="C308" t="s">
        <v>163</v>
      </c>
      <c r="D308">
        <v>0.46</v>
      </c>
      <c r="F308" t="s">
        <v>1506</v>
      </c>
      <c r="H308" t="s">
        <v>2807</v>
      </c>
      <c r="I308" t="s">
        <v>4874</v>
      </c>
      <c r="K308" t="s">
        <v>5037</v>
      </c>
      <c r="L308" t="s">
        <v>5039</v>
      </c>
    </row>
    <row r="309" spans="1:12" x14ac:dyDescent="0.35">
      <c r="A309" t="s">
        <v>101</v>
      </c>
      <c r="B309" t="s">
        <v>353</v>
      </c>
      <c r="C309" t="s">
        <v>705</v>
      </c>
      <c r="D309">
        <v>0.3</v>
      </c>
      <c r="F309" t="s">
        <v>1401</v>
      </c>
      <c r="H309" t="s">
        <v>2808</v>
      </c>
      <c r="I309" t="s">
        <v>2346</v>
      </c>
      <c r="K309" t="s">
        <v>5037</v>
      </c>
      <c r="L309" t="s">
        <v>5039</v>
      </c>
    </row>
    <row r="310" spans="1:12" x14ac:dyDescent="0.35">
      <c r="A310" t="s">
        <v>101</v>
      </c>
      <c r="B310" t="s">
        <v>353</v>
      </c>
      <c r="C310" t="s">
        <v>688</v>
      </c>
      <c r="D310">
        <v>3.1</v>
      </c>
      <c r="F310" t="s">
        <v>1374</v>
      </c>
      <c r="H310" t="s">
        <v>2809</v>
      </c>
      <c r="I310" t="s">
        <v>4875</v>
      </c>
      <c r="K310" t="s">
        <v>5037</v>
      </c>
      <c r="L310" t="s">
        <v>5039</v>
      </c>
    </row>
    <row r="311" spans="1:12" x14ac:dyDescent="0.35">
      <c r="A311" t="s">
        <v>101</v>
      </c>
      <c r="B311" t="s">
        <v>353</v>
      </c>
      <c r="C311" t="s">
        <v>688</v>
      </c>
      <c r="D311">
        <v>4</v>
      </c>
      <c r="F311" t="s">
        <v>1379</v>
      </c>
      <c r="H311" t="s">
        <v>2810</v>
      </c>
      <c r="I311" t="s">
        <v>4875</v>
      </c>
      <c r="K311" t="s">
        <v>5037</v>
      </c>
      <c r="L311" t="s">
        <v>5039</v>
      </c>
    </row>
    <row r="312" spans="1:12" x14ac:dyDescent="0.35">
      <c r="A312" t="s">
        <v>101</v>
      </c>
      <c r="B312" t="s">
        <v>353</v>
      </c>
      <c r="C312" t="s">
        <v>688</v>
      </c>
      <c r="D312">
        <v>0.108</v>
      </c>
      <c r="F312" t="s">
        <v>1507</v>
      </c>
      <c r="H312" t="s">
        <v>2811</v>
      </c>
      <c r="I312" t="s">
        <v>4867</v>
      </c>
      <c r="K312" t="s">
        <v>5037</v>
      </c>
      <c r="L312" t="s">
        <v>5039</v>
      </c>
    </row>
    <row r="313" spans="1:12" x14ac:dyDescent="0.35">
      <c r="A313" t="s">
        <v>101</v>
      </c>
      <c r="B313" t="s">
        <v>353</v>
      </c>
      <c r="C313" t="s">
        <v>163</v>
      </c>
      <c r="D313">
        <v>0.48</v>
      </c>
      <c r="F313" t="s">
        <v>1508</v>
      </c>
      <c r="H313" t="s">
        <v>2812</v>
      </c>
      <c r="I313" t="s">
        <v>2346</v>
      </c>
      <c r="K313" t="s">
        <v>5037</v>
      </c>
      <c r="L313" t="s">
        <v>5039</v>
      </c>
    </row>
    <row r="314" spans="1:12" x14ac:dyDescent="0.35">
      <c r="A314" t="s">
        <v>101</v>
      </c>
      <c r="B314" t="s">
        <v>353</v>
      </c>
      <c r="C314" t="s">
        <v>706</v>
      </c>
      <c r="D314">
        <v>29</v>
      </c>
      <c r="F314" t="s">
        <v>1509</v>
      </c>
      <c r="H314" t="s">
        <v>2808</v>
      </c>
      <c r="I314" t="s">
        <v>2346</v>
      </c>
      <c r="K314" t="s">
        <v>5037</v>
      </c>
      <c r="L314" t="s">
        <v>5039</v>
      </c>
    </row>
    <row r="315" spans="1:12" x14ac:dyDescent="0.35">
      <c r="A315" t="s">
        <v>101</v>
      </c>
      <c r="B315" t="s">
        <v>353</v>
      </c>
      <c r="C315" t="s">
        <v>164</v>
      </c>
      <c r="D315">
        <v>37</v>
      </c>
      <c r="F315" t="s">
        <v>1510</v>
      </c>
      <c r="H315" t="s">
        <v>2810</v>
      </c>
      <c r="I315" t="s">
        <v>4875</v>
      </c>
      <c r="K315" t="s">
        <v>5037</v>
      </c>
      <c r="L315" t="s">
        <v>5039</v>
      </c>
    </row>
    <row r="316" spans="1:12" x14ac:dyDescent="0.35">
      <c r="A316" t="s">
        <v>101</v>
      </c>
      <c r="B316" t="s">
        <v>353</v>
      </c>
      <c r="C316" t="s">
        <v>164</v>
      </c>
      <c r="D316">
        <v>5.2</v>
      </c>
      <c r="F316" t="s">
        <v>1511</v>
      </c>
      <c r="H316" t="s">
        <v>2809</v>
      </c>
      <c r="I316" t="s">
        <v>4875</v>
      </c>
      <c r="K316" t="s">
        <v>5037</v>
      </c>
      <c r="L316" t="s">
        <v>5039</v>
      </c>
    </row>
    <row r="317" spans="1:12" x14ac:dyDescent="0.35">
      <c r="A317" t="s">
        <v>101</v>
      </c>
      <c r="B317" t="s">
        <v>353</v>
      </c>
      <c r="C317" t="s">
        <v>690</v>
      </c>
      <c r="D317">
        <v>20.62</v>
      </c>
      <c r="F317" t="s">
        <v>1512</v>
      </c>
      <c r="H317" t="s">
        <v>2811</v>
      </c>
      <c r="I317" t="s">
        <v>4867</v>
      </c>
      <c r="K317" t="s">
        <v>5037</v>
      </c>
      <c r="L317" t="s">
        <v>5039</v>
      </c>
    </row>
    <row r="318" spans="1:12" x14ac:dyDescent="0.35">
      <c r="A318" t="s">
        <v>101</v>
      </c>
      <c r="B318" t="s">
        <v>175</v>
      </c>
      <c r="C318" t="s">
        <v>163</v>
      </c>
      <c r="D318">
        <v>2.06</v>
      </c>
      <c r="F318" t="s">
        <v>1513</v>
      </c>
      <c r="H318" t="s">
        <v>2813</v>
      </c>
      <c r="I318" t="s">
        <v>4861</v>
      </c>
      <c r="K318" t="s">
        <v>5037</v>
      </c>
      <c r="L318" t="s">
        <v>5039</v>
      </c>
    </row>
    <row r="319" spans="1:12" x14ac:dyDescent="0.35">
      <c r="A319" t="s">
        <v>101</v>
      </c>
      <c r="B319" t="s">
        <v>175</v>
      </c>
      <c r="C319" t="s">
        <v>688</v>
      </c>
      <c r="D319">
        <v>22.5</v>
      </c>
      <c r="F319" t="s">
        <v>1514</v>
      </c>
      <c r="H319" t="s">
        <v>2813</v>
      </c>
      <c r="I319" t="s">
        <v>4861</v>
      </c>
      <c r="K319" t="s">
        <v>5037</v>
      </c>
      <c r="L319" t="s">
        <v>5039</v>
      </c>
    </row>
    <row r="320" spans="1:12" x14ac:dyDescent="0.35">
      <c r="A320" t="s">
        <v>101</v>
      </c>
      <c r="B320" t="s">
        <v>341</v>
      </c>
      <c r="C320" t="s">
        <v>161</v>
      </c>
      <c r="D320">
        <v>140</v>
      </c>
      <c r="F320" t="s">
        <v>1515</v>
      </c>
      <c r="H320" t="s">
        <v>2814</v>
      </c>
      <c r="I320" t="s">
        <v>1621</v>
      </c>
      <c r="K320" t="s">
        <v>5037</v>
      </c>
      <c r="L320" t="s">
        <v>5039</v>
      </c>
    </row>
    <row r="321" spans="1:12" x14ac:dyDescent="0.35">
      <c r="A321" t="s">
        <v>101</v>
      </c>
      <c r="B321" t="s">
        <v>313</v>
      </c>
      <c r="C321" t="s">
        <v>695</v>
      </c>
      <c r="D321">
        <v>1.5</v>
      </c>
      <c r="F321" t="s">
        <v>1426</v>
      </c>
      <c r="H321" t="s">
        <v>2815</v>
      </c>
      <c r="I321" t="s">
        <v>4876</v>
      </c>
      <c r="K321" t="s">
        <v>5037</v>
      </c>
      <c r="L321" t="s">
        <v>5039</v>
      </c>
    </row>
    <row r="322" spans="1:12" x14ac:dyDescent="0.35">
      <c r="A322" t="s">
        <v>101</v>
      </c>
      <c r="B322" t="s">
        <v>313</v>
      </c>
      <c r="C322" t="s">
        <v>688</v>
      </c>
      <c r="D322">
        <v>2.1</v>
      </c>
      <c r="F322" t="s">
        <v>1399</v>
      </c>
      <c r="H322" t="s">
        <v>2815</v>
      </c>
      <c r="I322" t="s">
        <v>4876</v>
      </c>
      <c r="K322" t="s">
        <v>5037</v>
      </c>
      <c r="L322" t="s">
        <v>5039</v>
      </c>
    </row>
    <row r="323" spans="1:12" x14ac:dyDescent="0.35">
      <c r="A323" t="s">
        <v>101</v>
      </c>
      <c r="B323" t="s">
        <v>313</v>
      </c>
      <c r="C323" t="s">
        <v>704</v>
      </c>
      <c r="D323">
        <v>2.2999999999999998</v>
      </c>
      <c r="F323" t="s">
        <v>1453</v>
      </c>
      <c r="H323" t="s">
        <v>2815</v>
      </c>
      <c r="I323" t="s">
        <v>4876</v>
      </c>
      <c r="K323" t="s">
        <v>5037</v>
      </c>
      <c r="L323" t="s">
        <v>5039</v>
      </c>
    </row>
    <row r="324" spans="1:12" x14ac:dyDescent="0.35">
      <c r="A324" t="s">
        <v>101</v>
      </c>
      <c r="B324" t="s">
        <v>313</v>
      </c>
      <c r="C324" t="s">
        <v>698</v>
      </c>
      <c r="D324">
        <v>1.1000000000000001</v>
      </c>
      <c r="F324" t="s">
        <v>1505</v>
      </c>
      <c r="H324" t="s">
        <v>2815</v>
      </c>
      <c r="I324" t="s">
        <v>4876</v>
      </c>
      <c r="K324" t="s">
        <v>5037</v>
      </c>
      <c r="L324" t="s">
        <v>5039</v>
      </c>
    </row>
    <row r="325" spans="1:12" x14ac:dyDescent="0.35">
      <c r="A325" t="s">
        <v>101</v>
      </c>
      <c r="B325" t="s">
        <v>313</v>
      </c>
      <c r="C325" t="s">
        <v>165</v>
      </c>
      <c r="D325">
        <v>6.9</v>
      </c>
      <c r="F325" t="s">
        <v>1411</v>
      </c>
      <c r="H325" t="s">
        <v>2815</v>
      </c>
      <c r="I325" t="s">
        <v>4876</v>
      </c>
      <c r="K325" t="s">
        <v>5037</v>
      </c>
      <c r="L325" t="s">
        <v>5039</v>
      </c>
    </row>
    <row r="326" spans="1:12" x14ac:dyDescent="0.35">
      <c r="A326" t="s">
        <v>101</v>
      </c>
      <c r="B326" t="s">
        <v>354</v>
      </c>
      <c r="C326" t="s">
        <v>688</v>
      </c>
      <c r="D326">
        <v>6.8</v>
      </c>
      <c r="F326" t="s">
        <v>1381</v>
      </c>
      <c r="H326" t="s">
        <v>2816</v>
      </c>
      <c r="I326" t="s">
        <v>4876</v>
      </c>
      <c r="K326" t="s">
        <v>5037</v>
      </c>
      <c r="L326" t="s">
        <v>5039</v>
      </c>
    </row>
    <row r="327" spans="1:12" x14ac:dyDescent="0.35">
      <c r="A327" t="s">
        <v>101</v>
      </c>
      <c r="B327" t="s">
        <v>354</v>
      </c>
      <c r="C327" t="s">
        <v>695</v>
      </c>
      <c r="D327">
        <v>1.6</v>
      </c>
      <c r="F327" t="s">
        <v>1328</v>
      </c>
      <c r="H327" t="s">
        <v>2816</v>
      </c>
      <c r="I327" t="s">
        <v>4876</v>
      </c>
      <c r="K327" t="s">
        <v>5037</v>
      </c>
      <c r="L327" t="s">
        <v>5039</v>
      </c>
    </row>
    <row r="328" spans="1:12" x14ac:dyDescent="0.35">
      <c r="A328" t="s">
        <v>101</v>
      </c>
      <c r="B328" t="s">
        <v>354</v>
      </c>
      <c r="C328" t="s">
        <v>165</v>
      </c>
      <c r="D328">
        <v>56</v>
      </c>
      <c r="F328" t="s">
        <v>1516</v>
      </c>
      <c r="H328" t="s">
        <v>2816</v>
      </c>
      <c r="I328" t="s">
        <v>4876</v>
      </c>
      <c r="K328" t="s">
        <v>5037</v>
      </c>
      <c r="L328" t="s">
        <v>5039</v>
      </c>
    </row>
    <row r="329" spans="1:12" x14ac:dyDescent="0.35">
      <c r="A329" t="s">
        <v>101</v>
      </c>
      <c r="B329" t="s">
        <v>354</v>
      </c>
      <c r="C329" t="s">
        <v>698</v>
      </c>
      <c r="D329">
        <v>6.6</v>
      </c>
      <c r="F329" t="s">
        <v>1517</v>
      </c>
      <c r="H329" t="s">
        <v>2816</v>
      </c>
      <c r="I329" t="s">
        <v>4876</v>
      </c>
      <c r="K329" t="s">
        <v>5037</v>
      </c>
      <c r="L329" t="s">
        <v>5039</v>
      </c>
    </row>
    <row r="330" spans="1:12" x14ac:dyDescent="0.35">
      <c r="A330" t="s">
        <v>101</v>
      </c>
      <c r="B330" t="s">
        <v>354</v>
      </c>
      <c r="C330" t="s">
        <v>163</v>
      </c>
      <c r="D330">
        <v>1.5</v>
      </c>
      <c r="F330" t="s">
        <v>1426</v>
      </c>
      <c r="H330" t="s">
        <v>2817</v>
      </c>
      <c r="I330" t="s">
        <v>4876</v>
      </c>
      <c r="K330" t="s">
        <v>5037</v>
      </c>
      <c r="L330" t="s">
        <v>5039</v>
      </c>
    </row>
    <row r="331" spans="1:12" x14ac:dyDescent="0.35">
      <c r="A331" t="s">
        <v>101</v>
      </c>
      <c r="B331" t="s">
        <v>354</v>
      </c>
      <c r="C331" t="s">
        <v>688</v>
      </c>
      <c r="D331">
        <v>26</v>
      </c>
      <c r="F331" t="s">
        <v>1518</v>
      </c>
      <c r="H331" t="s">
        <v>2817</v>
      </c>
      <c r="I331" t="s">
        <v>4876</v>
      </c>
      <c r="K331" t="s">
        <v>5037</v>
      </c>
      <c r="L331" t="s">
        <v>5039</v>
      </c>
    </row>
    <row r="332" spans="1:12" x14ac:dyDescent="0.35">
      <c r="A332" t="s">
        <v>101</v>
      </c>
      <c r="B332" t="s">
        <v>313</v>
      </c>
      <c r="C332" t="s">
        <v>688</v>
      </c>
      <c r="D332">
        <v>37</v>
      </c>
      <c r="F332" t="s">
        <v>1510</v>
      </c>
      <c r="H332" t="s">
        <v>2818</v>
      </c>
      <c r="I332" t="s">
        <v>4876</v>
      </c>
      <c r="K332" t="s">
        <v>5037</v>
      </c>
      <c r="L332" t="s">
        <v>5039</v>
      </c>
    </row>
    <row r="333" spans="1:12" x14ac:dyDescent="0.35">
      <c r="A333" t="s">
        <v>101</v>
      </c>
      <c r="B333" t="s">
        <v>313</v>
      </c>
      <c r="C333" t="s">
        <v>163</v>
      </c>
      <c r="D333">
        <v>3.2</v>
      </c>
      <c r="F333" t="s">
        <v>1465</v>
      </c>
      <c r="H333" t="s">
        <v>2818</v>
      </c>
      <c r="I333" t="s">
        <v>4876</v>
      </c>
      <c r="K333" t="s">
        <v>5037</v>
      </c>
      <c r="L333" t="s">
        <v>5039</v>
      </c>
    </row>
    <row r="334" spans="1:12" x14ac:dyDescent="0.35">
      <c r="A334" t="s">
        <v>101</v>
      </c>
      <c r="B334" t="s">
        <v>355</v>
      </c>
      <c r="C334" t="s">
        <v>163</v>
      </c>
      <c r="D334">
        <v>2.4</v>
      </c>
      <c r="F334" t="s">
        <v>1433</v>
      </c>
      <c r="H334" t="s">
        <v>2819</v>
      </c>
      <c r="I334" t="s">
        <v>4877</v>
      </c>
      <c r="K334" t="s">
        <v>5037</v>
      </c>
      <c r="L334" t="s">
        <v>5039</v>
      </c>
    </row>
    <row r="335" spans="1:12" x14ac:dyDescent="0.35">
      <c r="A335" t="s">
        <v>101</v>
      </c>
      <c r="B335" t="s">
        <v>356</v>
      </c>
      <c r="C335" t="s">
        <v>691</v>
      </c>
      <c r="D335">
        <v>0.6</v>
      </c>
      <c r="F335" t="s">
        <v>1519</v>
      </c>
      <c r="H335" t="s">
        <v>2820</v>
      </c>
      <c r="I335" t="s">
        <v>4864</v>
      </c>
      <c r="K335" t="s">
        <v>5037</v>
      </c>
      <c r="L335" t="s">
        <v>5039</v>
      </c>
    </row>
    <row r="336" spans="1:12" x14ac:dyDescent="0.35">
      <c r="A336" t="s">
        <v>101</v>
      </c>
      <c r="B336" t="s">
        <v>356</v>
      </c>
      <c r="C336" t="s">
        <v>164</v>
      </c>
      <c r="D336">
        <v>8</v>
      </c>
      <c r="F336" t="s">
        <v>1373</v>
      </c>
      <c r="H336" t="s">
        <v>2820</v>
      </c>
      <c r="I336" t="s">
        <v>4864</v>
      </c>
      <c r="K336" t="s">
        <v>5037</v>
      </c>
      <c r="L336" t="s">
        <v>5039</v>
      </c>
    </row>
    <row r="337" spans="1:12" x14ac:dyDescent="0.35">
      <c r="A337" t="s">
        <v>101</v>
      </c>
      <c r="B337" t="s">
        <v>356</v>
      </c>
      <c r="C337" t="s">
        <v>688</v>
      </c>
      <c r="D337">
        <v>6.7</v>
      </c>
      <c r="F337" t="s">
        <v>1520</v>
      </c>
      <c r="H337" t="s">
        <v>2820</v>
      </c>
      <c r="I337" t="s">
        <v>4864</v>
      </c>
      <c r="K337" t="s">
        <v>5037</v>
      </c>
      <c r="L337" t="s">
        <v>5039</v>
      </c>
    </row>
    <row r="338" spans="1:12" x14ac:dyDescent="0.35">
      <c r="A338" t="s">
        <v>101</v>
      </c>
      <c r="B338" t="s">
        <v>179</v>
      </c>
      <c r="C338" t="s">
        <v>688</v>
      </c>
      <c r="D338">
        <v>0.35</v>
      </c>
      <c r="F338" t="s">
        <v>1294</v>
      </c>
      <c r="H338" t="s">
        <v>2821</v>
      </c>
      <c r="I338" t="s">
        <v>4854</v>
      </c>
      <c r="K338" t="s">
        <v>5037</v>
      </c>
      <c r="L338" t="s">
        <v>5039</v>
      </c>
    </row>
    <row r="339" spans="1:12" x14ac:dyDescent="0.35">
      <c r="A339" t="s">
        <v>101</v>
      </c>
      <c r="B339" t="s">
        <v>179</v>
      </c>
      <c r="C339" t="s">
        <v>688</v>
      </c>
      <c r="D339">
        <v>0.75</v>
      </c>
      <c r="F339" t="s">
        <v>1475</v>
      </c>
      <c r="H339" t="s">
        <v>2822</v>
      </c>
      <c r="I339" t="s">
        <v>4854</v>
      </c>
      <c r="K339" t="s">
        <v>5037</v>
      </c>
      <c r="L339" t="s">
        <v>5039</v>
      </c>
    </row>
    <row r="340" spans="1:12" x14ac:dyDescent="0.35">
      <c r="A340" t="s">
        <v>101</v>
      </c>
      <c r="B340" t="s">
        <v>179</v>
      </c>
      <c r="C340" t="s">
        <v>163</v>
      </c>
      <c r="D340">
        <v>1.47</v>
      </c>
      <c r="F340" t="s">
        <v>1521</v>
      </c>
      <c r="H340" t="s">
        <v>2823</v>
      </c>
      <c r="I340" t="s">
        <v>4856</v>
      </c>
      <c r="K340" t="s">
        <v>5037</v>
      </c>
      <c r="L340" t="s">
        <v>5039</v>
      </c>
    </row>
    <row r="341" spans="1:12" x14ac:dyDescent="0.35">
      <c r="A341" t="s">
        <v>101</v>
      </c>
      <c r="B341" t="s">
        <v>179</v>
      </c>
      <c r="C341" t="s">
        <v>163</v>
      </c>
      <c r="D341">
        <v>1.25</v>
      </c>
      <c r="F341" t="s">
        <v>1522</v>
      </c>
      <c r="H341" t="s">
        <v>2821</v>
      </c>
      <c r="I341" t="s">
        <v>4854</v>
      </c>
      <c r="K341" t="s">
        <v>5037</v>
      </c>
      <c r="L341" t="s">
        <v>5039</v>
      </c>
    </row>
    <row r="342" spans="1:12" x14ac:dyDescent="0.35">
      <c r="A342" t="s">
        <v>101</v>
      </c>
      <c r="B342" t="s">
        <v>179</v>
      </c>
      <c r="C342" t="s">
        <v>163</v>
      </c>
      <c r="D342">
        <v>1.75</v>
      </c>
      <c r="F342" t="s">
        <v>1523</v>
      </c>
      <c r="H342" t="s">
        <v>2822</v>
      </c>
      <c r="I342" t="s">
        <v>4854</v>
      </c>
      <c r="K342" t="s">
        <v>5037</v>
      </c>
      <c r="L342" t="s">
        <v>5039</v>
      </c>
    </row>
    <row r="343" spans="1:12" x14ac:dyDescent="0.35">
      <c r="A343" t="s">
        <v>101</v>
      </c>
      <c r="B343" t="s">
        <v>179</v>
      </c>
      <c r="C343" t="s">
        <v>707</v>
      </c>
      <c r="D343">
        <v>0.72399999999999998</v>
      </c>
      <c r="F343" t="s">
        <v>1524</v>
      </c>
      <c r="H343" t="s">
        <v>2824</v>
      </c>
      <c r="I343" t="s">
        <v>4857</v>
      </c>
      <c r="K343" t="s">
        <v>5037</v>
      </c>
      <c r="L343" t="s">
        <v>5039</v>
      </c>
    </row>
    <row r="344" spans="1:12" x14ac:dyDescent="0.35">
      <c r="A344" t="s">
        <v>101</v>
      </c>
      <c r="B344" t="s">
        <v>179</v>
      </c>
      <c r="C344" t="s">
        <v>163</v>
      </c>
      <c r="D344">
        <v>1.95</v>
      </c>
      <c r="F344" t="s">
        <v>1525</v>
      </c>
      <c r="H344" t="s">
        <v>2825</v>
      </c>
      <c r="I344" t="s">
        <v>4856</v>
      </c>
      <c r="K344" t="s">
        <v>5037</v>
      </c>
      <c r="L344" t="s">
        <v>5039</v>
      </c>
    </row>
    <row r="345" spans="1:12" x14ac:dyDescent="0.35">
      <c r="A345" t="s">
        <v>101</v>
      </c>
      <c r="B345" t="s">
        <v>357</v>
      </c>
      <c r="C345" t="s">
        <v>691</v>
      </c>
      <c r="D345">
        <v>1.7000000000000001E-2</v>
      </c>
      <c r="F345" t="s">
        <v>1363</v>
      </c>
      <c r="H345" t="s">
        <v>2826</v>
      </c>
      <c r="I345" t="s">
        <v>4878</v>
      </c>
      <c r="K345" t="s">
        <v>5037</v>
      </c>
      <c r="L345" t="s">
        <v>5039</v>
      </c>
    </row>
    <row r="346" spans="1:12" x14ac:dyDescent="0.35">
      <c r="A346" t="s">
        <v>101</v>
      </c>
      <c r="B346" t="s">
        <v>358</v>
      </c>
      <c r="C346" t="s">
        <v>688</v>
      </c>
      <c r="D346">
        <v>8.3000000000000007</v>
      </c>
      <c r="F346" t="s">
        <v>1382</v>
      </c>
      <c r="H346" t="s">
        <v>2827</v>
      </c>
      <c r="I346" t="s">
        <v>4879</v>
      </c>
      <c r="K346" t="s">
        <v>5037</v>
      </c>
      <c r="L346" t="s">
        <v>5039</v>
      </c>
    </row>
    <row r="347" spans="1:12" x14ac:dyDescent="0.35">
      <c r="A347" t="s">
        <v>101</v>
      </c>
      <c r="B347" t="s">
        <v>358</v>
      </c>
      <c r="C347" t="s">
        <v>164</v>
      </c>
      <c r="D347">
        <v>16</v>
      </c>
      <c r="F347" t="s">
        <v>1526</v>
      </c>
      <c r="H347" t="s">
        <v>2828</v>
      </c>
      <c r="I347" t="s">
        <v>4879</v>
      </c>
      <c r="K347" t="s">
        <v>5037</v>
      </c>
      <c r="L347" t="s">
        <v>5039</v>
      </c>
    </row>
    <row r="348" spans="1:12" x14ac:dyDescent="0.35">
      <c r="A348" t="s">
        <v>101</v>
      </c>
      <c r="B348" t="s">
        <v>358</v>
      </c>
      <c r="C348" t="s">
        <v>691</v>
      </c>
      <c r="D348">
        <v>3.9E-2</v>
      </c>
      <c r="F348" t="s">
        <v>1407</v>
      </c>
      <c r="H348" t="s">
        <v>2829</v>
      </c>
      <c r="I348" t="s">
        <v>4879</v>
      </c>
      <c r="K348" t="s">
        <v>5037</v>
      </c>
      <c r="L348" t="s">
        <v>5039</v>
      </c>
    </row>
    <row r="349" spans="1:12" x14ac:dyDescent="0.35">
      <c r="A349" t="s">
        <v>101</v>
      </c>
      <c r="B349" t="s">
        <v>358</v>
      </c>
      <c r="C349" t="s">
        <v>164</v>
      </c>
      <c r="D349">
        <v>8.1999999999999993</v>
      </c>
      <c r="F349" t="s">
        <v>1527</v>
      </c>
      <c r="H349" t="s">
        <v>2829</v>
      </c>
      <c r="I349" t="s">
        <v>4879</v>
      </c>
      <c r="K349" t="s">
        <v>5037</v>
      </c>
      <c r="L349" t="s">
        <v>5039</v>
      </c>
    </row>
    <row r="350" spans="1:12" x14ac:dyDescent="0.35">
      <c r="A350" t="s">
        <v>101</v>
      </c>
      <c r="B350" t="s">
        <v>358</v>
      </c>
      <c r="C350" t="s">
        <v>688</v>
      </c>
      <c r="D350">
        <v>8.5</v>
      </c>
      <c r="F350" t="s">
        <v>1528</v>
      </c>
      <c r="H350" t="s">
        <v>2828</v>
      </c>
      <c r="I350" t="s">
        <v>4879</v>
      </c>
      <c r="K350" t="s">
        <v>5037</v>
      </c>
      <c r="L350" t="s">
        <v>5039</v>
      </c>
    </row>
    <row r="351" spans="1:12" x14ac:dyDescent="0.35">
      <c r="A351" t="s">
        <v>101</v>
      </c>
      <c r="B351" t="s">
        <v>358</v>
      </c>
      <c r="C351" t="s">
        <v>691</v>
      </c>
      <c r="D351">
        <v>5.1999999999999998E-2</v>
      </c>
      <c r="F351" t="s">
        <v>1529</v>
      </c>
      <c r="H351" t="s">
        <v>2827</v>
      </c>
      <c r="I351" t="s">
        <v>4879</v>
      </c>
      <c r="K351" t="s">
        <v>5037</v>
      </c>
      <c r="L351" t="s">
        <v>5039</v>
      </c>
    </row>
    <row r="352" spans="1:12" x14ac:dyDescent="0.35">
      <c r="A352" t="s">
        <v>101</v>
      </c>
      <c r="B352" t="s">
        <v>358</v>
      </c>
      <c r="C352" t="s">
        <v>688</v>
      </c>
      <c r="D352">
        <v>9.9</v>
      </c>
      <c r="F352" t="s">
        <v>1392</v>
      </c>
      <c r="H352" t="s">
        <v>2829</v>
      </c>
      <c r="I352" t="s">
        <v>4879</v>
      </c>
      <c r="K352" t="s">
        <v>5037</v>
      </c>
      <c r="L352" t="s">
        <v>5039</v>
      </c>
    </row>
    <row r="353" spans="1:12" x14ac:dyDescent="0.35">
      <c r="A353" t="s">
        <v>101</v>
      </c>
      <c r="B353" t="s">
        <v>358</v>
      </c>
      <c r="C353" t="s">
        <v>691</v>
      </c>
      <c r="D353">
        <v>5.7000000000000002E-2</v>
      </c>
      <c r="F353" t="s">
        <v>1530</v>
      </c>
      <c r="H353" t="s">
        <v>2830</v>
      </c>
      <c r="I353" t="s">
        <v>4879</v>
      </c>
      <c r="K353" t="s">
        <v>5037</v>
      </c>
      <c r="L353" t="s">
        <v>5039</v>
      </c>
    </row>
    <row r="354" spans="1:12" x14ac:dyDescent="0.35">
      <c r="A354" t="s">
        <v>101</v>
      </c>
      <c r="B354" t="s">
        <v>358</v>
      </c>
      <c r="C354" t="s">
        <v>163</v>
      </c>
      <c r="D354">
        <v>0.18</v>
      </c>
      <c r="F354" t="s">
        <v>1531</v>
      </c>
      <c r="H354" t="s">
        <v>2831</v>
      </c>
      <c r="I354" t="s">
        <v>4879</v>
      </c>
      <c r="K354" t="s">
        <v>5037</v>
      </c>
      <c r="L354" t="s">
        <v>5039</v>
      </c>
    </row>
    <row r="355" spans="1:12" x14ac:dyDescent="0.35">
      <c r="A355" t="s">
        <v>101</v>
      </c>
      <c r="B355" t="s">
        <v>358</v>
      </c>
      <c r="C355" t="s">
        <v>163</v>
      </c>
      <c r="D355">
        <v>0.25</v>
      </c>
      <c r="F355" t="s">
        <v>1403</v>
      </c>
      <c r="H355" t="s">
        <v>2832</v>
      </c>
      <c r="I355" t="s">
        <v>4879</v>
      </c>
      <c r="K355" t="s">
        <v>5037</v>
      </c>
      <c r="L355" t="s">
        <v>5039</v>
      </c>
    </row>
    <row r="356" spans="1:12" x14ac:dyDescent="0.35">
      <c r="A356" t="s">
        <v>101</v>
      </c>
      <c r="B356" t="s">
        <v>358</v>
      </c>
      <c r="C356" t="s">
        <v>688</v>
      </c>
      <c r="D356">
        <v>7.1</v>
      </c>
      <c r="F356" t="s">
        <v>1532</v>
      </c>
      <c r="H356" t="s">
        <v>2831</v>
      </c>
      <c r="I356" t="s">
        <v>4879</v>
      </c>
      <c r="K356" t="s">
        <v>5037</v>
      </c>
      <c r="L356" t="s">
        <v>5039</v>
      </c>
    </row>
    <row r="357" spans="1:12" x14ac:dyDescent="0.35">
      <c r="A357" t="s">
        <v>101</v>
      </c>
      <c r="B357" t="s">
        <v>358</v>
      </c>
      <c r="C357" t="s">
        <v>688</v>
      </c>
      <c r="D357">
        <v>10</v>
      </c>
      <c r="F357" t="s">
        <v>1533</v>
      </c>
      <c r="H357" t="s">
        <v>2832</v>
      </c>
      <c r="I357" t="s">
        <v>4879</v>
      </c>
      <c r="K357" t="s">
        <v>5037</v>
      </c>
      <c r="L357" t="s">
        <v>5039</v>
      </c>
    </row>
    <row r="358" spans="1:12" x14ac:dyDescent="0.35">
      <c r="A358" t="s">
        <v>101</v>
      </c>
      <c r="B358" t="s">
        <v>358</v>
      </c>
      <c r="C358" t="s">
        <v>691</v>
      </c>
      <c r="D358">
        <v>3.6999999999999998E-2</v>
      </c>
      <c r="F358" t="s">
        <v>1534</v>
      </c>
      <c r="H358" t="s">
        <v>2833</v>
      </c>
      <c r="I358" t="s">
        <v>4879</v>
      </c>
      <c r="K358" t="s">
        <v>5037</v>
      </c>
      <c r="L358" t="s">
        <v>5039</v>
      </c>
    </row>
    <row r="359" spans="1:12" x14ac:dyDescent="0.35">
      <c r="A359" t="s">
        <v>101</v>
      </c>
      <c r="B359" t="s">
        <v>358</v>
      </c>
      <c r="C359" t="s">
        <v>164</v>
      </c>
      <c r="D359">
        <v>8.3000000000000007</v>
      </c>
      <c r="F359" t="s">
        <v>1382</v>
      </c>
      <c r="H359" t="s">
        <v>2833</v>
      </c>
      <c r="I359" t="s">
        <v>4879</v>
      </c>
      <c r="K359" t="s">
        <v>5037</v>
      </c>
      <c r="L359" t="s">
        <v>5039</v>
      </c>
    </row>
    <row r="360" spans="1:12" x14ac:dyDescent="0.35">
      <c r="A360" t="s">
        <v>101</v>
      </c>
      <c r="B360" t="s">
        <v>358</v>
      </c>
      <c r="C360" t="s">
        <v>688</v>
      </c>
      <c r="D360">
        <v>9.3000000000000007</v>
      </c>
      <c r="F360" t="s">
        <v>1535</v>
      </c>
      <c r="H360" t="s">
        <v>2833</v>
      </c>
      <c r="I360" t="s">
        <v>4879</v>
      </c>
      <c r="K360" t="s">
        <v>5037</v>
      </c>
      <c r="L360" t="s">
        <v>5039</v>
      </c>
    </row>
    <row r="361" spans="1:12" x14ac:dyDescent="0.35">
      <c r="A361" t="s">
        <v>102</v>
      </c>
      <c r="B361" t="s">
        <v>359</v>
      </c>
      <c r="C361" t="s">
        <v>708</v>
      </c>
      <c r="D361">
        <v>1.4200000000000001E-2</v>
      </c>
      <c r="F361" t="s">
        <v>1536</v>
      </c>
      <c r="I361" t="s">
        <v>1584</v>
      </c>
      <c r="K361" t="s">
        <v>5037</v>
      </c>
      <c r="L361" t="s">
        <v>5039</v>
      </c>
    </row>
    <row r="362" spans="1:12" x14ac:dyDescent="0.35">
      <c r="A362" t="s">
        <v>102</v>
      </c>
      <c r="B362" t="s">
        <v>359</v>
      </c>
      <c r="C362" t="s">
        <v>162</v>
      </c>
      <c r="D362">
        <v>0.22</v>
      </c>
      <c r="F362" t="s">
        <v>1438</v>
      </c>
      <c r="H362" t="s">
        <v>2834</v>
      </c>
      <c r="I362" t="s">
        <v>4859</v>
      </c>
      <c r="K362" t="s">
        <v>5037</v>
      </c>
      <c r="L362" t="s">
        <v>5039</v>
      </c>
    </row>
    <row r="363" spans="1:12" x14ac:dyDescent="0.35">
      <c r="A363" t="s">
        <v>102</v>
      </c>
      <c r="B363" t="s">
        <v>360</v>
      </c>
      <c r="C363" t="s">
        <v>708</v>
      </c>
      <c r="D363">
        <v>1.43E-2</v>
      </c>
      <c r="F363" t="s">
        <v>1537</v>
      </c>
      <c r="I363" t="s">
        <v>1584</v>
      </c>
      <c r="K363" t="s">
        <v>5037</v>
      </c>
      <c r="L363" t="s">
        <v>5039</v>
      </c>
    </row>
    <row r="364" spans="1:12" x14ac:dyDescent="0.35">
      <c r="A364" t="s">
        <v>102</v>
      </c>
      <c r="B364" t="s">
        <v>360</v>
      </c>
      <c r="C364" t="s">
        <v>162</v>
      </c>
      <c r="D364">
        <v>0.19</v>
      </c>
      <c r="F364" t="s">
        <v>1538</v>
      </c>
      <c r="H364" t="s">
        <v>2835</v>
      </c>
      <c r="I364" t="s">
        <v>4870</v>
      </c>
      <c r="K364" t="s">
        <v>5037</v>
      </c>
      <c r="L364" t="s">
        <v>5039</v>
      </c>
    </row>
    <row r="365" spans="1:12" x14ac:dyDescent="0.35">
      <c r="A365" t="s">
        <v>102</v>
      </c>
      <c r="B365" t="s">
        <v>361</v>
      </c>
      <c r="C365" t="s">
        <v>162</v>
      </c>
      <c r="D365">
        <v>7.0000000000000007E-2</v>
      </c>
      <c r="F365" t="s">
        <v>1456</v>
      </c>
      <c r="H365" t="s">
        <v>2836</v>
      </c>
      <c r="I365" t="s">
        <v>4859</v>
      </c>
      <c r="K365" t="s">
        <v>5037</v>
      </c>
      <c r="L365" t="s">
        <v>5039</v>
      </c>
    </row>
    <row r="366" spans="1:12" x14ac:dyDescent="0.35">
      <c r="A366" t="s">
        <v>102</v>
      </c>
      <c r="B366" t="s">
        <v>361</v>
      </c>
      <c r="C366" t="s">
        <v>162</v>
      </c>
      <c r="D366">
        <v>0.09</v>
      </c>
      <c r="F366" t="s">
        <v>1310</v>
      </c>
      <c r="H366" t="s">
        <v>2837</v>
      </c>
      <c r="I366" t="s">
        <v>4880</v>
      </c>
      <c r="K366" t="s">
        <v>5037</v>
      </c>
      <c r="L366" t="s">
        <v>5039</v>
      </c>
    </row>
    <row r="367" spans="1:12" x14ac:dyDescent="0.35">
      <c r="A367" t="s">
        <v>102</v>
      </c>
      <c r="B367" t="s">
        <v>332</v>
      </c>
      <c r="C367" t="s">
        <v>162</v>
      </c>
      <c r="D367">
        <v>0.13300000000000001</v>
      </c>
      <c r="F367" t="s">
        <v>1539</v>
      </c>
      <c r="H367" t="s">
        <v>2838</v>
      </c>
      <c r="I367" t="s">
        <v>4881</v>
      </c>
      <c r="K367" t="s">
        <v>5037</v>
      </c>
      <c r="L367" t="s">
        <v>5039</v>
      </c>
    </row>
    <row r="368" spans="1:12" x14ac:dyDescent="0.35">
      <c r="A368" t="s">
        <v>102</v>
      </c>
      <c r="B368" t="s">
        <v>332</v>
      </c>
      <c r="C368" t="s">
        <v>162</v>
      </c>
      <c r="D368">
        <v>0.67</v>
      </c>
      <c r="F368" t="s">
        <v>1478</v>
      </c>
      <c r="H368" t="s">
        <v>2839</v>
      </c>
      <c r="I368" t="s">
        <v>1359</v>
      </c>
      <c r="K368" t="s">
        <v>5037</v>
      </c>
      <c r="L368" t="s">
        <v>5039</v>
      </c>
    </row>
    <row r="369" spans="1:12" x14ac:dyDescent="0.35">
      <c r="A369" t="s">
        <v>102</v>
      </c>
      <c r="B369" t="s">
        <v>332</v>
      </c>
      <c r="C369" t="s">
        <v>162</v>
      </c>
      <c r="D369">
        <v>0.13</v>
      </c>
      <c r="F369" t="s">
        <v>1466</v>
      </c>
      <c r="H369" t="s">
        <v>2840</v>
      </c>
      <c r="I369" t="s">
        <v>4880</v>
      </c>
      <c r="K369" t="s">
        <v>5037</v>
      </c>
      <c r="L369" t="s">
        <v>5039</v>
      </c>
    </row>
    <row r="370" spans="1:12" x14ac:dyDescent="0.35">
      <c r="A370" t="s">
        <v>102</v>
      </c>
      <c r="B370" t="s">
        <v>362</v>
      </c>
      <c r="C370" t="s">
        <v>709</v>
      </c>
      <c r="D370">
        <v>0.02</v>
      </c>
      <c r="F370" t="s">
        <v>1448</v>
      </c>
      <c r="H370" t="s">
        <v>2841</v>
      </c>
      <c r="I370" t="s">
        <v>1889</v>
      </c>
      <c r="K370" t="s">
        <v>5037</v>
      </c>
      <c r="L370" t="s">
        <v>5039</v>
      </c>
    </row>
    <row r="371" spans="1:12" x14ac:dyDescent="0.35">
      <c r="A371" t="s">
        <v>102</v>
      </c>
      <c r="B371" t="s">
        <v>362</v>
      </c>
      <c r="C371" t="s">
        <v>710</v>
      </c>
      <c r="D371">
        <v>8.1</v>
      </c>
      <c r="F371" t="s">
        <v>1540</v>
      </c>
      <c r="H371" t="s">
        <v>2842</v>
      </c>
      <c r="I371" t="s">
        <v>1889</v>
      </c>
      <c r="K371" t="s">
        <v>5037</v>
      </c>
      <c r="L371" t="s">
        <v>5039</v>
      </c>
    </row>
    <row r="372" spans="1:12" x14ac:dyDescent="0.35">
      <c r="A372" t="s">
        <v>102</v>
      </c>
      <c r="B372" t="s">
        <v>362</v>
      </c>
      <c r="C372" t="s">
        <v>162</v>
      </c>
      <c r="D372">
        <v>0.02</v>
      </c>
      <c r="F372" t="s">
        <v>1448</v>
      </c>
      <c r="H372" t="s">
        <v>2843</v>
      </c>
      <c r="I372" t="s">
        <v>1889</v>
      </c>
      <c r="K372" t="s">
        <v>5037</v>
      </c>
      <c r="L372" t="s">
        <v>5039</v>
      </c>
    </row>
    <row r="373" spans="1:12" x14ac:dyDescent="0.35">
      <c r="A373" t="s">
        <v>102</v>
      </c>
      <c r="B373" t="s">
        <v>363</v>
      </c>
      <c r="C373" t="s">
        <v>708</v>
      </c>
      <c r="D373">
        <v>0.5</v>
      </c>
      <c r="F373" t="s">
        <v>1440</v>
      </c>
      <c r="H373" t="s">
        <v>2844</v>
      </c>
      <c r="I373" t="s">
        <v>2254</v>
      </c>
      <c r="K373" t="s">
        <v>5037</v>
      </c>
      <c r="L373" t="s">
        <v>5039</v>
      </c>
    </row>
    <row r="374" spans="1:12" x14ac:dyDescent="0.35">
      <c r="A374" t="s">
        <v>102</v>
      </c>
      <c r="B374" t="s">
        <v>363</v>
      </c>
      <c r="C374" t="s">
        <v>710</v>
      </c>
      <c r="D374">
        <v>1.8E-3</v>
      </c>
      <c r="F374" t="s">
        <v>1288</v>
      </c>
      <c r="H374" t="s">
        <v>2842</v>
      </c>
      <c r="I374" t="s">
        <v>1893</v>
      </c>
      <c r="K374" t="s">
        <v>5037</v>
      </c>
      <c r="L374" t="s">
        <v>5039</v>
      </c>
    </row>
    <row r="375" spans="1:12" x14ac:dyDescent="0.35">
      <c r="A375" t="s">
        <v>102</v>
      </c>
      <c r="B375" t="s">
        <v>363</v>
      </c>
      <c r="C375" t="s">
        <v>711</v>
      </c>
      <c r="D375">
        <v>8.5000000000000006E-3</v>
      </c>
      <c r="F375" t="s">
        <v>1541</v>
      </c>
      <c r="H375" t="s">
        <v>2845</v>
      </c>
      <c r="I375" t="s">
        <v>1893</v>
      </c>
      <c r="K375" t="s">
        <v>5037</v>
      </c>
      <c r="L375" t="s">
        <v>5039</v>
      </c>
    </row>
    <row r="376" spans="1:12" x14ac:dyDescent="0.35">
      <c r="A376" t="s">
        <v>102</v>
      </c>
      <c r="B376" t="s">
        <v>363</v>
      </c>
      <c r="C376" t="s">
        <v>712</v>
      </c>
      <c r="D376">
        <v>1.66E-2</v>
      </c>
      <c r="F376" t="s">
        <v>1542</v>
      </c>
      <c r="H376" t="s">
        <v>2845</v>
      </c>
      <c r="I376" t="s">
        <v>1893</v>
      </c>
      <c r="K376" t="s">
        <v>5037</v>
      </c>
      <c r="L376" t="s">
        <v>5039</v>
      </c>
    </row>
    <row r="377" spans="1:12" x14ac:dyDescent="0.35">
      <c r="A377" t="s">
        <v>102</v>
      </c>
      <c r="B377" t="s">
        <v>363</v>
      </c>
      <c r="C377" t="s">
        <v>708</v>
      </c>
      <c r="D377">
        <v>1.6899999999999998E-2</v>
      </c>
      <c r="F377" t="s">
        <v>1543</v>
      </c>
      <c r="H377" t="s">
        <v>2845</v>
      </c>
      <c r="I377" t="s">
        <v>1893</v>
      </c>
      <c r="K377" t="s">
        <v>5037</v>
      </c>
      <c r="L377" t="s">
        <v>5039</v>
      </c>
    </row>
    <row r="378" spans="1:12" x14ac:dyDescent="0.35">
      <c r="A378" t="s">
        <v>102</v>
      </c>
      <c r="B378" t="s">
        <v>363</v>
      </c>
      <c r="C378" t="s">
        <v>709</v>
      </c>
      <c r="D378">
        <v>3.0300000000000001E-2</v>
      </c>
      <c r="F378" t="s">
        <v>1544</v>
      </c>
      <c r="H378" t="s">
        <v>2845</v>
      </c>
      <c r="I378" t="s">
        <v>1893</v>
      </c>
      <c r="K378" t="s">
        <v>5037</v>
      </c>
      <c r="L378" t="s">
        <v>5039</v>
      </c>
    </row>
    <row r="379" spans="1:12" x14ac:dyDescent="0.35">
      <c r="A379" t="s">
        <v>102</v>
      </c>
      <c r="B379" t="s">
        <v>363</v>
      </c>
      <c r="C379" t="s">
        <v>162</v>
      </c>
      <c r="D379">
        <v>0.1973</v>
      </c>
      <c r="F379" t="s">
        <v>1545</v>
      </c>
      <c r="H379" t="s">
        <v>2845</v>
      </c>
      <c r="I379" t="s">
        <v>1893</v>
      </c>
      <c r="K379" t="s">
        <v>5037</v>
      </c>
      <c r="L379" t="s">
        <v>5039</v>
      </c>
    </row>
    <row r="380" spans="1:12" x14ac:dyDescent="0.35">
      <c r="A380" t="s">
        <v>102</v>
      </c>
      <c r="B380" t="s">
        <v>364</v>
      </c>
      <c r="C380" t="s">
        <v>708</v>
      </c>
      <c r="D380">
        <v>8.9999999999999993E-3</v>
      </c>
      <c r="F380" t="s">
        <v>1546</v>
      </c>
      <c r="H380" t="s">
        <v>2846</v>
      </c>
      <c r="I380" t="s">
        <v>1394</v>
      </c>
      <c r="K380" t="s">
        <v>5037</v>
      </c>
      <c r="L380" t="s">
        <v>5039</v>
      </c>
    </row>
    <row r="381" spans="1:12" x14ac:dyDescent="0.35">
      <c r="A381" t="s">
        <v>102</v>
      </c>
      <c r="B381" t="s">
        <v>364</v>
      </c>
      <c r="C381" t="s">
        <v>713</v>
      </c>
      <c r="D381">
        <v>0.16800000000000001</v>
      </c>
      <c r="F381" t="s">
        <v>1547</v>
      </c>
      <c r="H381" t="s">
        <v>2847</v>
      </c>
      <c r="I381" t="s">
        <v>1394</v>
      </c>
      <c r="K381" t="s">
        <v>5037</v>
      </c>
      <c r="L381" t="s">
        <v>5039</v>
      </c>
    </row>
    <row r="382" spans="1:12" x14ac:dyDescent="0.35">
      <c r="A382" t="s">
        <v>102</v>
      </c>
      <c r="B382" t="s">
        <v>364</v>
      </c>
      <c r="C382" t="s">
        <v>709</v>
      </c>
      <c r="D382">
        <v>0.14299999999999999</v>
      </c>
      <c r="F382" t="s">
        <v>1548</v>
      </c>
      <c r="H382" t="s">
        <v>2848</v>
      </c>
      <c r="I382" t="s">
        <v>1394</v>
      </c>
      <c r="K382" t="s">
        <v>5037</v>
      </c>
      <c r="L382" t="s">
        <v>5039</v>
      </c>
    </row>
    <row r="383" spans="1:12" x14ac:dyDescent="0.35">
      <c r="A383" t="s">
        <v>102</v>
      </c>
      <c r="B383" t="s">
        <v>364</v>
      </c>
      <c r="C383" t="s">
        <v>710</v>
      </c>
      <c r="D383">
        <v>11.3</v>
      </c>
      <c r="F383" t="s">
        <v>1549</v>
      </c>
      <c r="H383" t="s">
        <v>2842</v>
      </c>
      <c r="I383" t="s">
        <v>1394</v>
      </c>
      <c r="K383" t="s">
        <v>5037</v>
      </c>
      <c r="L383" t="s">
        <v>5039</v>
      </c>
    </row>
    <row r="384" spans="1:12" x14ac:dyDescent="0.35">
      <c r="A384" t="s">
        <v>102</v>
      </c>
      <c r="B384" t="s">
        <v>365</v>
      </c>
      <c r="C384" t="s">
        <v>708</v>
      </c>
      <c r="D384">
        <v>1.4E-2</v>
      </c>
      <c r="F384" t="s">
        <v>1550</v>
      </c>
      <c r="H384" t="s">
        <v>2849</v>
      </c>
      <c r="I384" t="s">
        <v>1394</v>
      </c>
      <c r="K384" t="s">
        <v>5037</v>
      </c>
      <c r="L384" t="s">
        <v>5039</v>
      </c>
    </row>
    <row r="385" spans="1:12" x14ac:dyDescent="0.35">
      <c r="A385" t="s">
        <v>102</v>
      </c>
      <c r="B385" t="s">
        <v>365</v>
      </c>
      <c r="C385" t="s">
        <v>162</v>
      </c>
      <c r="D385">
        <v>7.0999999999999994E-2</v>
      </c>
      <c r="F385" t="s">
        <v>1485</v>
      </c>
      <c r="H385" t="s">
        <v>2849</v>
      </c>
      <c r="I385" t="s">
        <v>1394</v>
      </c>
      <c r="K385" t="s">
        <v>5037</v>
      </c>
      <c r="L385" t="s">
        <v>5039</v>
      </c>
    </row>
    <row r="386" spans="1:12" x14ac:dyDescent="0.35">
      <c r="A386" t="s">
        <v>102</v>
      </c>
      <c r="B386" t="s">
        <v>365</v>
      </c>
      <c r="C386" t="s">
        <v>710</v>
      </c>
      <c r="D386">
        <v>93</v>
      </c>
      <c r="F386" t="s">
        <v>1551</v>
      </c>
      <c r="H386" t="s">
        <v>2842</v>
      </c>
      <c r="I386" t="s">
        <v>1394</v>
      </c>
      <c r="K386" t="s">
        <v>5037</v>
      </c>
      <c r="L386" t="s">
        <v>5039</v>
      </c>
    </row>
    <row r="387" spans="1:12" x14ac:dyDescent="0.35">
      <c r="A387" t="s">
        <v>102</v>
      </c>
      <c r="B387" t="s">
        <v>365</v>
      </c>
      <c r="C387" t="s">
        <v>713</v>
      </c>
      <c r="D387">
        <v>0.40799999999999997</v>
      </c>
      <c r="F387" t="s">
        <v>1552</v>
      </c>
      <c r="H387" t="s">
        <v>2850</v>
      </c>
      <c r="I387" t="s">
        <v>1394</v>
      </c>
      <c r="K387" t="s">
        <v>5037</v>
      </c>
      <c r="L387" t="s">
        <v>5039</v>
      </c>
    </row>
    <row r="388" spans="1:12" x14ac:dyDescent="0.35">
      <c r="A388" t="s">
        <v>102</v>
      </c>
      <c r="B388" t="s">
        <v>365</v>
      </c>
      <c r="C388" t="s">
        <v>709</v>
      </c>
      <c r="D388">
        <v>0.311</v>
      </c>
      <c r="F388" t="s">
        <v>1553</v>
      </c>
      <c r="H388" t="s">
        <v>2851</v>
      </c>
      <c r="I388" t="s">
        <v>1394</v>
      </c>
      <c r="K388" t="s">
        <v>5037</v>
      </c>
      <c r="L388" t="s">
        <v>5039</v>
      </c>
    </row>
    <row r="389" spans="1:12" x14ac:dyDescent="0.35">
      <c r="A389" t="s">
        <v>102</v>
      </c>
      <c r="B389" t="s">
        <v>366</v>
      </c>
      <c r="C389" t="s">
        <v>708</v>
      </c>
      <c r="D389">
        <v>8.0999999999999996E-3</v>
      </c>
      <c r="F389" t="s">
        <v>1554</v>
      </c>
      <c r="I389" t="s">
        <v>1393</v>
      </c>
      <c r="K389" t="s">
        <v>5037</v>
      </c>
      <c r="L389" t="s">
        <v>5039</v>
      </c>
    </row>
    <row r="390" spans="1:12" x14ac:dyDescent="0.35">
      <c r="A390" t="s">
        <v>102</v>
      </c>
      <c r="B390" t="s">
        <v>367</v>
      </c>
      <c r="C390" t="s">
        <v>708</v>
      </c>
      <c r="D390">
        <v>0.26</v>
      </c>
      <c r="F390" t="s">
        <v>1447</v>
      </c>
      <c r="H390" t="s">
        <v>2852</v>
      </c>
      <c r="I390" t="s">
        <v>4882</v>
      </c>
      <c r="K390" t="s">
        <v>5037</v>
      </c>
      <c r="L390" t="s">
        <v>5039</v>
      </c>
    </row>
    <row r="391" spans="1:12" x14ac:dyDescent="0.35">
      <c r="A391" t="s">
        <v>102</v>
      </c>
      <c r="B391" t="s">
        <v>367</v>
      </c>
      <c r="C391" t="s">
        <v>708</v>
      </c>
      <c r="D391">
        <v>0.41</v>
      </c>
      <c r="F391" t="s">
        <v>1555</v>
      </c>
      <c r="H391" t="s">
        <v>2853</v>
      </c>
      <c r="I391" t="s">
        <v>4882</v>
      </c>
      <c r="K391" t="s">
        <v>5037</v>
      </c>
      <c r="L391" t="s">
        <v>5039</v>
      </c>
    </row>
    <row r="392" spans="1:12" x14ac:dyDescent="0.35">
      <c r="A392" t="s">
        <v>102</v>
      </c>
      <c r="B392" t="s">
        <v>367</v>
      </c>
      <c r="C392" t="s">
        <v>708</v>
      </c>
      <c r="D392">
        <v>0.2</v>
      </c>
      <c r="F392" t="s">
        <v>1371</v>
      </c>
      <c r="H392" t="s">
        <v>2854</v>
      </c>
      <c r="I392" t="s">
        <v>4882</v>
      </c>
      <c r="K392" t="s">
        <v>5037</v>
      </c>
      <c r="L392" t="s">
        <v>5039</v>
      </c>
    </row>
    <row r="393" spans="1:12" x14ac:dyDescent="0.35">
      <c r="A393" t="s">
        <v>102</v>
      </c>
      <c r="B393" t="s">
        <v>367</v>
      </c>
      <c r="C393" t="s">
        <v>708</v>
      </c>
      <c r="D393">
        <v>0.9</v>
      </c>
      <c r="F393" t="s">
        <v>1556</v>
      </c>
      <c r="H393" t="s">
        <v>2855</v>
      </c>
      <c r="I393" t="s">
        <v>4882</v>
      </c>
      <c r="K393" t="s">
        <v>5037</v>
      </c>
      <c r="L393" t="s">
        <v>5039</v>
      </c>
    </row>
    <row r="394" spans="1:12" x14ac:dyDescent="0.35">
      <c r="A394" t="s">
        <v>102</v>
      </c>
      <c r="B394" t="s">
        <v>367</v>
      </c>
      <c r="C394" t="s">
        <v>162</v>
      </c>
      <c r="D394">
        <v>2.2999999999999998</v>
      </c>
      <c r="F394" t="s">
        <v>1453</v>
      </c>
      <c r="H394" t="s">
        <v>2854</v>
      </c>
      <c r="I394" t="s">
        <v>4882</v>
      </c>
      <c r="K394" t="s">
        <v>5037</v>
      </c>
      <c r="L394" t="s">
        <v>5039</v>
      </c>
    </row>
    <row r="395" spans="1:12" x14ac:dyDescent="0.35">
      <c r="A395" t="s">
        <v>102</v>
      </c>
      <c r="B395" t="s">
        <v>367</v>
      </c>
      <c r="C395" t="s">
        <v>162</v>
      </c>
      <c r="D395">
        <v>2.7</v>
      </c>
      <c r="F395" t="s">
        <v>1557</v>
      </c>
      <c r="H395" t="s">
        <v>2856</v>
      </c>
      <c r="I395" t="s">
        <v>4882</v>
      </c>
      <c r="K395" t="s">
        <v>5037</v>
      </c>
      <c r="L395" t="s">
        <v>5039</v>
      </c>
    </row>
    <row r="396" spans="1:12" x14ac:dyDescent="0.35">
      <c r="A396" t="s">
        <v>102</v>
      </c>
      <c r="B396" t="s">
        <v>367</v>
      </c>
      <c r="C396" t="s">
        <v>708</v>
      </c>
      <c r="D396">
        <v>0.93</v>
      </c>
      <c r="F396" t="s">
        <v>1558</v>
      </c>
      <c r="H396" t="s">
        <v>2856</v>
      </c>
      <c r="I396" t="s">
        <v>4882</v>
      </c>
      <c r="K396" t="s">
        <v>5037</v>
      </c>
      <c r="L396" t="s">
        <v>5039</v>
      </c>
    </row>
    <row r="397" spans="1:12" x14ac:dyDescent="0.35">
      <c r="A397" t="s">
        <v>102</v>
      </c>
      <c r="B397" t="s">
        <v>368</v>
      </c>
      <c r="C397" t="s">
        <v>708</v>
      </c>
      <c r="D397">
        <v>0.05</v>
      </c>
      <c r="F397" t="s">
        <v>1559</v>
      </c>
      <c r="H397" t="s">
        <v>2857</v>
      </c>
      <c r="I397" t="s">
        <v>1752</v>
      </c>
      <c r="K397" t="s">
        <v>5037</v>
      </c>
      <c r="L397" t="s">
        <v>5039</v>
      </c>
    </row>
    <row r="398" spans="1:12" x14ac:dyDescent="0.35">
      <c r="A398" t="s">
        <v>102</v>
      </c>
      <c r="B398" t="s">
        <v>368</v>
      </c>
      <c r="C398" t="s">
        <v>162</v>
      </c>
      <c r="D398">
        <v>3.7</v>
      </c>
      <c r="F398" t="s">
        <v>1380</v>
      </c>
      <c r="H398" t="s">
        <v>2858</v>
      </c>
      <c r="I398" t="s">
        <v>2323</v>
      </c>
      <c r="K398" t="s">
        <v>5037</v>
      </c>
      <c r="L398" t="s">
        <v>5039</v>
      </c>
    </row>
    <row r="399" spans="1:12" x14ac:dyDescent="0.35">
      <c r="A399" t="s">
        <v>102</v>
      </c>
      <c r="B399" t="s">
        <v>368</v>
      </c>
      <c r="C399" t="s">
        <v>162</v>
      </c>
      <c r="D399">
        <v>32</v>
      </c>
      <c r="F399" t="s">
        <v>1461</v>
      </c>
      <c r="H399" t="s">
        <v>2859</v>
      </c>
      <c r="I399" t="s">
        <v>2323</v>
      </c>
      <c r="K399" t="s">
        <v>5037</v>
      </c>
      <c r="L399" t="s">
        <v>5039</v>
      </c>
    </row>
    <row r="400" spans="1:12" x14ac:dyDescent="0.35">
      <c r="A400" t="s">
        <v>102</v>
      </c>
      <c r="B400" t="s">
        <v>368</v>
      </c>
      <c r="C400" t="s">
        <v>162</v>
      </c>
      <c r="D400">
        <v>13</v>
      </c>
      <c r="F400" t="s">
        <v>1454</v>
      </c>
      <c r="H400" t="s">
        <v>2857</v>
      </c>
      <c r="I400" t="s">
        <v>1752</v>
      </c>
      <c r="K400" t="s">
        <v>5037</v>
      </c>
      <c r="L400" t="s">
        <v>5039</v>
      </c>
    </row>
    <row r="401" spans="1:12" x14ac:dyDescent="0.35">
      <c r="A401" t="s">
        <v>102</v>
      </c>
      <c r="B401" t="s">
        <v>368</v>
      </c>
      <c r="C401" t="s">
        <v>162</v>
      </c>
      <c r="D401">
        <v>2.76</v>
      </c>
      <c r="F401" t="s">
        <v>1560</v>
      </c>
      <c r="H401" t="s">
        <v>2860</v>
      </c>
      <c r="I401" t="s">
        <v>2323</v>
      </c>
      <c r="K401" t="s">
        <v>5037</v>
      </c>
      <c r="L401" t="s">
        <v>5039</v>
      </c>
    </row>
    <row r="402" spans="1:12" x14ac:dyDescent="0.35">
      <c r="A402" t="s">
        <v>102</v>
      </c>
      <c r="B402" t="s">
        <v>368</v>
      </c>
      <c r="C402" t="s">
        <v>162</v>
      </c>
      <c r="D402">
        <v>19.3</v>
      </c>
      <c r="F402" t="s">
        <v>1561</v>
      </c>
      <c r="H402" t="s">
        <v>2861</v>
      </c>
      <c r="I402" t="s">
        <v>2323</v>
      </c>
      <c r="K402" t="s">
        <v>5037</v>
      </c>
      <c r="L402" t="s">
        <v>5039</v>
      </c>
    </row>
    <row r="403" spans="1:12" x14ac:dyDescent="0.35">
      <c r="A403" t="s">
        <v>102</v>
      </c>
      <c r="B403" t="s">
        <v>368</v>
      </c>
      <c r="C403" t="s">
        <v>162</v>
      </c>
      <c r="D403">
        <v>0.2</v>
      </c>
      <c r="F403" t="s">
        <v>1371</v>
      </c>
      <c r="H403" t="s">
        <v>2862</v>
      </c>
      <c r="I403" t="s">
        <v>1752</v>
      </c>
      <c r="K403" t="s">
        <v>5037</v>
      </c>
      <c r="L403" t="s">
        <v>5039</v>
      </c>
    </row>
    <row r="404" spans="1:12" x14ac:dyDescent="0.35">
      <c r="A404" t="s">
        <v>102</v>
      </c>
      <c r="B404" t="s">
        <v>368</v>
      </c>
      <c r="C404" t="s">
        <v>162</v>
      </c>
      <c r="D404">
        <v>7</v>
      </c>
      <c r="F404" t="s">
        <v>1335</v>
      </c>
      <c r="H404" t="s">
        <v>2863</v>
      </c>
      <c r="I404" t="s">
        <v>1752</v>
      </c>
      <c r="K404" t="s">
        <v>5037</v>
      </c>
      <c r="L404" t="s">
        <v>5039</v>
      </c>
    </row>
    <row r="405" spans="1:12" x14ac:dyDescent="0.35">
      <c r="A405" t="s">
        <v>102</v>
      </c>
      <c r="B405" t="s">
        <v>368</v>
      </c>
      <c r="C405" t="s">
        <v>708</v>
      </c>
      <c r="D405">
        <v>0.19</v>
      </c>
      <c r="F405" t="s">
        <v>1538</v>
      </c>
      <c r="H405" t="s">
        <v>2864</v>
      </c>
      <c r="I405" t="s">
        <v>1752</v>
      </c>
      <c r="K405" t="s">
        <v>5037</v>
      </c>
      <c r="L405" t="s">
        <v>5039</v>
      </c>
    </row>
    <row r="406" spans="1:12" x14ac:dyDescent="0.35">
      <c r="A406" t="s">
        <v>102</v>
      </c>
      <c r="B406" t="s">
        <v>368</v>
      </c>
      <c r="C406" t="s">
        <v>162</v>
      </c>
      <c r="D406">
        <v>6.8</v>
      </c>
      <c r="F406" t="s">
        <v>1381</v>
      </c>
      <c r="H406" t="s">
        <v>2865</v>
      </c>
      <c r="I406" t="s">
        <v>1752</v>
      </c>
      <c r="K406" t="s">
        <v>5037</v>
      </c>
      <c r="L406" t="s">
        <v>5039</v>
      </c>
    </row>
    <row r="407" spans="1:12" x14ac:dyDescent="0.35">
      <c r="A407" t="s">
        <v>102</v>
      </c>
      <c r="B407" t="s">
        <v>368</v>
      </c>
      <c r="C407" t="s">
        <v>708</v>
      </c>
      <c r="D407">
        <v>0.08</v>
      </c>
      <c r="F407" t="s">
        <v>1402</v>
      </c>
      <c r="H407" t="s">
        <v>2866</v>
      </c>
      <c r="I407" t="s">
        <v>1387</v>
      </c>
      <c r="K407" t="s">
        <v>5037</v>
      </c>
      <c r="L407" t="s">
        <v>5039</v>
      </c>
    </row>
    <row r="408" spans="1:12" x14ac:dyDescent="0.35">
      <c r="A408" t="s">
        <v>102</v>
      </c>
      <c r="B408" t="s">
        <v>369</v>
      </c>
      <c r="C408" t="s">
        <v>708</v>
      </c>
      <c r="D408">
        <v>0.32</v>
      </c>
      <c r="F408" t="s">
        <v>1470</v>
      </c>
      <c r="I408" t="s">
        <v>1494</v>
      </c>
      <c r="K408" t="s">
        <v>5037</v>
      </c>
      <c r="L408" t="s">
        <v>5039</v>
      </c>
    </row>
    <row r="409" spans="1:12" x14ac:dyDescent="0.35">
      <c r="A409" t="s">
        <v>102</v>
      </c>
      <c r="B409" t="s">
        <v>369</v>
      </c>
      <c r="C409" t="s">
        <v>709</v>
      </c>
      <c r="D409">
        <v>7.3999999999999996E-2</v>
      </c>
      <c r="F409" t="s">
        <v>1562</v>
      </c>
      <c r="I409" t="s">
        <v>1494</v>
      </c>
      <c r="K409" t="s">
        <v>5037</v>
      </c>
      <c r="L409" t="s">
        <v>5039</v>
      </c>
    </row>
    <row r="410" spans="1:12" x14ac:dyDescent="0.35">
      <c r="A410" t="s">
        <v>102</v>
      </c>
      <c r="B410" t="s">
        <v>369</v>
      </c>
      <c r="C410" t="s">
        <v>162</v>
      </c>
      <c r="D410">
        <v>1.88</v>
      </c>
      <c r="F410" t="s">
        <v>1563</v>
      </c>
      <c r="I410" t="s">
        <v>1494</v>
      </c>
      <c r="K410" t="s">
        <v>5037</v>
      </c>
      <c r="L410" t="s">
        <v>5039</v>
      </c>
    </row>
    <row r="411" spans="1:12" x14ac:dyDescent="0.35">
      <c r="A411" t="s">
        <v>102</v>
      </c>
      <c r="B411" t="s">
        <v>369</v>
      </c>
      <c r="C411" t="s">
        <v>714</v>
      </c>
      <c r="D411">
        <v>10.26</v>
      </c>
      <c r="F411" t="s">
        <v>1564</v>
      </c>
      <c r="I411" t="s">
        <v>1494</v>
      </c>
      <c r="K411" t="s">
        <v>5037</v>
      </c>
      <c r="L411" t="s">
        <v>5039</v>
      </c>
    </row>
    <row r="412" spans="1:12" x14ac:dyDescent="0.35">
      <c r="A412" t="s">
        <v>102</v>
      </c>
      <c r="B412" t="s">
        <v>370</v>
      </c>
      <c r="C412" t="s">
        <v>162</v>
      </c>
      <c r="D412">
        <v>5</v>
      </c>
      <c r="F412" t="s">
        <v>1477</v>
      </c>
      <c r="H412" t="s">
        <v>2867</v>
      </c>
      <c r="I412" t="s">
        <v>4855</v>
      </c>
      <c r="K412" t="s">
        <v>5037</v>
      </c>
      <c r="L412" t="s">
        <v>5039</v>
      </c>
    </row>
    <row r="413" spans="1:12" x14ac:dyDescent="0.35">
      <c r="A413" t="s">
        <v>102</v>
      </c>
      <c r="B413" t="s">
        <v>370</v>
      </c>
      <c r="C413" t="s">
        <v>162</v>
      </c>
      <c r="D413">
        <v>8.4</v>
      </c>
      <c r="F413" t="s">
        <v>1565</v>
      </c>
      <c r="H413" t="s">
        <v>2868</v>
      </c>
      <c r="I413" t="s">
        <v>4855</v>
      </c>
      <c r="K413" t="s">
        <v>5037</v>
      </c>
      <c r="L413" t="s">
        <v>5039</v>
      </c>
    </row>
    <row r="414" spans="1:12" x14ac:dyDescent="0.35">
      <c r="A414" t="s">
        <v>102</v>
      </c>
      <c r="B414" t="s">
        <v>370</v>
      </c>
      <c r="C414" t="s">
        <v>714</v>
      </c>
      <c r="D414">
        <v>105.1</v>
      </c>
      <c r="F414" t="s">
        <v>1566</v>
      </c>
      <c r="H414" t="s">
        <v>2869</v>
      </c>
      <c r="I414" t="s">
        <v>4855</v>
      </c>
      <c r="K414" t="s">
        <v>5037</v>
      </c>
      <c r="L414" t="s">
        <v>5039</v>
      </c>
    </row>
    <row r="415" spans="1:12" x14ac:dyDescent="0.35">
      <c r="A415" t="s">
        <v>102</v>
      </c>
      <c r="B415" t="s">
        <v>371</v>
      </c>
      <c r="C415" t="s">
        <v>162</v>
      </c>
      <c r="D415">
        <v>1.9</v>
      </c>
      <c r="F415" t="s">
        <v>1503</v>
      </c>
      <c r="H415" t="s">
        <v>2870</v>
      </c>
      <c r="I415" t="s">
        <v>4855</v>
      </c>
      <c r="K415" t="s">
        <v>5037</v>
      </c>
      <c r="L415" t="s">
        <v>5039</v>
      </c>
    </row>
    <row r="416" spans="1:12" x14ac:dyDescent="0.35">
      <c r="A416" t="s">
        <v>102</v>
      </c>
      <c r="B416" t="s">
        <v>371</v>
      </c>
      <c r="C416" t="s">
        <v>162</v>
      </c>
      <c r="D416">
        <v>2.8</v>
      </c>
      <c r="F416" t="s">
        <v>1504</v>
      </c>
      <c r="H416" t="s">
        <v>2871</v>
      </c>
      <c r="I416" t="s">
        <v>4855</v>
      </c>
      <c r="K416" t="s">
        <v>5037</v>
      </c>
      <c r="L416" t="s">
        <v>5039</v>
      </c>
    </row>
    <row r="417" spans="1:12" x14ac:dyDescent="0.35">
      <c r="A417" t="s">
        <v>102</v>
      </c>
      <c r="B417" t="s">
        <v>371</v>
      </c>
      <c r="C417" t="s">
        <v>162</v>
      </c>
      <c r="D417">
        <v>4.8</v>
      </c>
      <c r="F417" t="s">
        <v>1567</v>
      </c>
      <c r="H417" t="s">
        <v>2872</v>
      </c>
      <c r="I417" t="s">
        <v>4855</v>
      </c>
      <c r="K417" t="s">
        <v>5037</v>
      </c>
      <c r="L417" t="s">
        <v>5039</v>
      </c>
    </row>
    <row r="418" spans="1:12" x14ac:dyDescent="0.35">
      <c r="A418" t="s">
        <v>102</v>
      </c>
      <c r="B418" t="s">
        <v>371</v>
      </c>
      <c r="C418" t="s">
        <v>714</v>
      </c>
      <c r="D418">
        <v>47.4</v>
      </c>
      <c r="F418" t="s">
        <v>1568</v>
      </c>
      <c r="H418" t="s">
        <v>2873</v>
      </c>
      <c r="I418" t="s">
        <v>4855</v>
      </c>
      <c r="K418" t="s">
        <v>5037</v>
      </c>
      <c r="L418" t="s">
        <v>5039</v>
      </c>
    </row>
    <row r="419" spans="1:12" x14ac:dyDescent="0.35">
      <c r="A419" t="s">
        <v>102</v>
      </c>
      <c r="B419" t="s">
        <v>371</v>
      </c>
      <c r="C419" t="s">
        <v>162</v>
      </c>
      <c r="D419">
        <v>1.3</v>
      </c>
      <c r="F419" t="s">
        <v>1358</v>
      </c>
      <c r="H419" t="s">
        <v>2874</v>
      </c>
      <c r="I419" t="s">
        <v>4883</v>
      </c>
      <c r="K419" t="s">
        <v>5037</v>
      </c>
      <c r="L419" t="s">
        <v>5039</v>
      </c>
    </row>
    <row r="420" spans="1:12" x14ac:dyDescent="0.35">
      <c r="A420" t="s">
        <v>102</v>
      </c>
      <c r="B420" t="s">
        <v>372</v>
      </c>
      <c r="C420" t="s">
        <v>715</v>
      </c>
      <c r="D420">
        <v>60</v>
      </c>
      <c r="F420" t="s">
        <v>1569</v>
      </c>
      <c r="H420" t="s">
        <v>2875</v>
      </c>
      <c r="I420" t="s">
        <v>4884</v>
      </c>
      <c r="K420" t="s">
        <v>5037</v>
      </c>
      <c r="L420" t="s">
        <v>5039</v>
      </c>
    </row>
    <row r="421" spans="1:12" x14ac:dyDescent="0.35">
      <c r="A421" t="s">
        <v>102</v>
      </c>
      <c r="B421" t="s">
        <v>368</v>
      </c>
      <c r="C421" t="s">
        <v>162</v>
      </c>
      <c r="D421">
        <v>0.06</v>
      </c>
      <c r="F421" t="s">
        <v>1370</v>
      </c>
      <c r="H421" t="s">
        <v>2876</v>
      </c>
      <c r="I421" t="s">
        <v>4885</v>
      </c>
      <c r="K421" t="s">
        <v>5037</v>
      </c>
      <c r="L421" t="s">
        <v>5039</v>
      </c>
    </row>
    <row r="422" spans="1:12" x14ac:dyDescent="0.35">
      <c r="A422" t="s">
        <v>102</v>
      </c>
      <c r="B422" t="s">
        <v>368</v>
      </c>
      <c r="C422" t="s">
        <v>716</v>
      </c>
      <c r="D422">
        <v>4.7</v>
      </c>
      <c r="F422" t="s">
        <v>1570</v>
      </c>
      <c r="H422" t="s">
        <v>2877</v>
      </c>
      <c r="I422" t="s">
        <v>2226</v>
      </c>
      <c r="K422" t="s">
        <v>5037</v>
      </c>
      <c r="L422" t="s">
        <v>5039</v>
      </c>
    </row>
    <row r="423" spans="1:12" x14ac:dyDescent="0.35">
      <c r="A423" t="s">
        <v>102</v>
      </c>
      <c r="B423" t="s">
        <v>368</v>
      </c>
      <c r="C423" t="s">
        <v>709</v>
      </c>
      <c r="D423">
        <v>0.105</v>
      </c>
      <c r="F423" t="s">
        <v>1435</v>
      </c>
      <c r="H423" t="s">
        <v>2878</v>
      </c>
      <c r="I423" t="s">
        <v>2226</v>
      </c>
      <c r="K423" t="s">
        <v>5037</v>
      </c>
      <c r="L423" t="s">
        <v>5039</v>
      </c>
    </row>
    <row r="424" spans="1:12" x14ac:dyDescent="0.35">
      <c r="A424" t="s">
        <v>102</v>
      </c>
      <c r="B424" t="s">
        <v>368</v>
      </c>
      <c r="C424" t="s">
        <v>709</v>
      </c>
      <c r="D424">
        <v>8.0999999999999996E-3</v>
      </c>
      <c r="F424" t="s">
        <v>1554</v>
      </c>
      <c r="H424" t="s">
        <v>2879</v>
      </c>
      <c r="I424" t="s">
        <v>2226</v>
      </c>
      <c r="K424" t="s">
        <v>5037</v>
      </c>
      <c r="L424" t="s">
        <v>5039</v>
      </c>
    </row>
    <row r="425" spans="1:12" x14ac:dyDescent="0.35">
      <c r="A425" t="s">
        <v>102</v>
      </c>
      <c r="B425" t="s">
        <v>373</v>
      </c>
      <c r="C425" t="s">
        <v>717</v>
      </c>
      <c r="D425">
        <v>8</v>
      </c>
      <c r="F425" t="s">
        <v>1373</v>
      </c>
      <c r="I425" t="s">
        <v>1450</v>
      </c>
      <c r="K425" t="s">
        <v>5037</v>
      </c>
      <c r="L425" t="s">
        <v>5039</v>
      </c>
    </row>
    <row r="426" spans="1:12" x14ac:dyDescent="0.35">
      <c r="A426" t="s">
        <v>102</v>
      </c>
      <c r="B426" t="s">
        <v>373</v>
      </c>
      <c r="C426" t="s">
        <v>718</v>
      </c>
      <c r="D426">
        <v>25</v>
      </c>
      <c r="F426" t="s">
        <v>1387</v>
      </c>
      <c r="I426" t="s">
        <v>1450</v>
      </c>
      <c r="K426" t="s">
        <v>5037</v>
      </c>
      <c r="L426" t="s">
        <v>5039</v>
      </c>
    </row>
    <row r="427" spans="1:12" x14ac:dyDescent="0.35">
      <c r="A427" t="s">
        <v>102</v>
      </c>
      <c r="B427" t="s">
        <v>373</v>
      </c>
      <c r="C427" t="s">
        <v>719</v>
      </c>
      <c r="D427">
        <v>77</v>
      </c>
      <c r="F427" t="s">
        <v>1571</v>
      </c>
      <c r="I427" t="s">
        <v>1450</v>
      </c>
      <c r="K427" t="s">
        <v>5037</v>
      </c>
      <c r="L427" t="s">
        <v>5039</v>
      </c>
    </row>
    <row r="428" spans="1:12" x14ac:dyDescent="0.35">
      <c r="A428" t="s">
        <v>102</v>
      </c>
      <c r="B428" t="s">
        <v>374</v>
      </c>
      <c r="C428" t="s">
        <v>162</v>
      </c>
      <c r="D428">
        <v>0.21</v>
      </c>
      <c r="F428" t="s">
        <v>1572</v>
      </c>
      <c r="H428" t="s">
        <v>2880</v>
      </c>
      <c r="I428" t="s">
        <v>2330</v>
      </c>
      <c r="K428" t="s">
        <v>5037</v>
      </c>
      <c r="L428" t="s">
        <v>5039</v>
      </c>
    </row>
    <row r="429" spans="1:12" x14ac:dyDescent="0.35">
      <c r="A429" t="s">
        <v>102</v>
      </c>
      <c r="B429" t="s">
        <v>355</v>
      </c>
      <c r="C429" t="s">
        <v>162</v>
      </c>
      <c r="D429">
        <v>0.16</v>
      </c>
      <c r="F429" t="s">
        <v>1573</v>
      </c>
      <c r="H429" t="s">
        <v>2881</v>
      </c>
      <c r="I429" t="s">
        <v>2330</v>
      </c>
      <c r="K429" t="s">
        <v>5037</v>
      </c>
      <c r="L429" t="s">
        <v>5039</v>
      </c>
    </row>
    <row r="430" spans="1:12" x14ac:dyDescent="0.35">
      <c r="A430" t="s">
        <v>102</v>
      </c>
      <c r="B430" t="s">
        <v>375</v>
      </c>
      <c r="C430" t="s">
        <v>162</v>
      </c>
      <c r="D430">
        <v>1.7</v>
      </c>
      <c r="F430" t="s">
        <v>1416</v>
      </c>
      <c r="H430" t="s">
        <v>2882</v>
      </c>
      <c r="I430" t="s">
        <v>4883</v>
      </c>
      <c r="K430" t="s">
        <v>5037</v>
      </c>
      <c r="L430" t="s">
        <v>5039</v>
      </c>
    </row>
    <row r="431" spans="1:12" x14ac:dyDescent="0.35">
      <c r="A431" t="s">
        <v>102</v>
      </c>
      <c r="B431" t="s">
        <v>375</v>
      </c>
      <c r="C431" t="s">
        <v>708</v>
      </c>
      <c r="D431">
        <v>0.36399999999999999</v>
      </c>
      <c r="F431" t="s">
        <v>1574</v>
      </c>
      <c r="H431" t="s">
        <v>2883</v>
      </c>
      <c r="I431" t="s">
        <v>4883</v>
      </c>
      <c r="K431" t="s">
        <v>5037</v>
      </c>
      <c r="L431" t="s">
        <v>5039</v>
      </c>
    </row>
    <row r="432" spans="1:12" x14ac:dyDescent="0.35">
      <c r="A432" t="s">
        <v>102</v>
      </c>
      <c r="B432" t="s">
        <v>375</v>
      </c>
      <c r="C432" t="s">
        <v>708</v>
      </c>
      <c r="D432">
        <v>5.3999999999999999E-2</v>
      </c>
      <c r="F432" t="s">
        <v>1575</v>
      </c>
      <c r="H432" t="s">
        <v>2884</v>
      </c>
      <c r="I432" t="s">
        <v>4883</v>
      </c>
      <c r="K432" t="s">
        <v>5037</v>
      </c>
      <c r="L432" t="s">
        <v>5039</v>
      </c>
    </row>
    <row r="433" spans="1:12" x14ac:dyDescent="0.35">
      <c r="A433" t="s">
        <v>102</v>
      </c>
      <c r="B433" t="s">
        <v>375</v>
      </c>
      <c r="C433" t="s">
        <v>162</v>
      </c>
      <c r="D433">
        <v>2.9</v>
      </c>
      <c r="F433" t="s">
        <v>1576</v>
      </c>
      <c r="H433" t="s">
        <v>2883</v>
      </c>
      <c r="I433" t="s">
        <v>4883</v>
      </c>
      <c r="K433" t="s">
        <v>5037</v>
      </c>
      <c r="L433" t="s">
        <v>5039</v>
      </c>
    </row>
    <row r="434" spans="1:12" x14ac:dyDescent="0.35">
      <c r="A434" t="s">
        <v>102</v>
      </c>
      <c r="B434" t="s">
        <v>375</v>
      </c>
      <c r="C434" t="s">
        <v>708</v>
      </c>
      <c r="D434">
        <v>5.8000000000000003E-2</v>
      </c>
      <c r="F434" t="s">
        <v>1577</v>
      </c>
      <c r="H434" t="s">
        <v>2882</v>
      </c>
      <c r="I434" t="s">
        <v>4883</v>
      </c>
      <c r="K434" t="s">
        <v>5037</v>
      </c>
      <c r="L434" t="s">
        <v>5039</v>
      </c>
    </row>
    <row r="435" spans="1:12" x14ac:dyDescent="0.35">
      <c r="A435" t="s">
        <v>102</v>
      </c>
      <c r="B435" t="s">
        <v>375</v>
      </c>
      <c r="C435" t="s">
        <v>708</v>
      </c>
      <c r="D435">
        <v>7.6999999999999999E-2</v>
      </c>
      <c r="F435" t="s">
        <v>1578</v>
      </c>
      <c r="H435" t="s">
        <v>2885</v>
      </c>
      <c r="I435" t="s">
        <v>4883</v>
      </c>
      <c r="K435" t="s">
        <v>5037</v>
      </c>
      <c r="L435" t="s">
        <v>5039</v>
      </c>
    </row>
    <row r="436" spans="1:12" x14ac:dyDescent="0.35">
      <c r="A436" t="s">
        <v>102</v>
      </c>
      <c r="B436" t="s">
        <v>376</v>
      </c>
      <c r="C436" t="s">
        <v>713</v>
      </c>
      <c r="D436">
        <v>0.182</v>
      </c>
      <c r="F436" t="s">
        <v>1579</v>
      </c>
      <c r="H436" t="s">
        <v>2886</v>
      </c>
      <c r="I436" t="s">
        <v>1394</v>
      </c>
      <c r="K436" t="s">
        <v>5037</v>
      </c>
      <c r="L436" t="s">
        <v>5039</v>
      </c>
    </row>
    <row r="437" spans="1:12" x14ac:dyDescent="0.35">
      <c r="A437" t="s">
        <v>102</v>
      </c>
      <c r="B437" t="s">
        <v>376</v>
      </c>
      <c r="C437" t="s">
        <v>162</v>
      </c>
      <c r="D437">
        <v>1.7000000000000001E-2</v>
      </c>
      <c r="F437" t="s">
        <v>1363</v>
      </c>
      <c r="H437" t="s">
        <v>2887</v>
      </c>
      <c r="I437" t="s">
        <v>1394</v>
      </c>
      <c r="K437" t="s">
        <v>5037</v>
      </c>
      <c r="L437" t="s">
        <v>5039</v>
      </c>
    </row>
    <row r="438" spans="1:12" x14ac:dyDescent="0.35">
      <c r="A438" t="s">
        <v>102</v>
      </c>
      <c r="B438" t="s">
        <v>376</v>
      </c>
      <c r="C438" t="s">
        <v>709</v>
      </c>
      <c r="D438">
        <v>0.155</v>
      </c>
      <c r="F438" t="s">
        <v>1580</v>
      </c>
      <c r="H438" t="s">
        <v>2888</v>
      </c>
      <c r="I438" t="s">
        <v>1394</v>
      </c>
      <c r="K438" t="s">
        <v>5037</v>
      </c>
      <c r="L438" t="s">
        <v>5039</v>
      </c>
    </row>
    <row r="439" spans="1:12" x14ac:dyDescent="0.35">
      <c r="A439" t="s">
        <v>102</v>
      </c>
      <c r="B439" t="s">
        <v>376</v>
      </c>
      <c r="C439" t="s">
        <v>710</v>
      </c>
      <c r="D439">
        <v>10.199999999999999</v>
      </c>
      <c r="F439" t="s">
        <v>1581</v>
      </c>
      <c r="H439" t="s">
        <v>2842</v>
      </c>
      <c r="I439" t="s">
        <v>1394</v>
      </c>
      <c r="K439" t="s">
        <v>5037</v>
      </c>
      <c r="L439" t="s">
        <v>5039</v>
      </c>
    </row>
    <row r="440" spans="1:12" x14ac:dyDescent="0.35">
      <c r="A440" t="s">
        <v>102</v>
      </c>
      <c r="B440" t="s">
        <v>376</v>
      </c>
      <c r="C440" t="s">
        <v>708</v>
      </c>
      <c r="D440">
        <v>7.0000000000000001E-3</v>
      </c>
      <c r="F440" t="s">
        <v>1261</v>
      </c>
      <c r="H440" t="s">
        <v>2889</v>
      </c>
      <c r="I440" t="s">
        <v>1394</v>
      </c>
      <c r="K440" t="s">
        <v>5037</v>
      </c>
      <c r="L440" t="s">
        <v>5039</v>
      </c>
    </row>
    <row r="441" spans="1:12" x14ac:dyDescent="0.35">
      <c r="A441" t="s">
        <v>102</v>
      </c>
      <c r="B441" t="s">
        <v>377</v>
      </c>
      <c r="C441" t="s">
        <v>709</v>
      </c>
      <c r="D441">
        <v>8.5999999999999993E-2</v>
      </c>
      <c r="F441" t="s">
        <v>1582</v>
      </c>
      <c r="H441" t="s">
        <v>2890</v>
      </c>
      <c r="I441" t="s">
        <v>1394</v>
      </c>
      <c r="K441" t="s">
        <v>5037</v>
      </c>
      <c r="L441" t="s">
        <v>5039</v>
      </c>
    </row>
    <row r="442" spans="1:12" x14ac:dyDescent="0.35">
      <c r="A442" t="s">
        <v>102</v>
      </c>
      <c r="B442" t="s">
        <v>377</v>
      </c>
      <c r="C442" t="s">
        <v>710</v>
      </c>
      <c r="D442">
        <v>12</v>
      </c>
      <c r="F442" t="s">
        <v>1450</v>
      </c>
      <c r="H442" t="s">
        <v>2842</v>
      </c>
      <c r="I442" t="s">
        <v>1394</v>
      </c>
      <c r="K442" t="s">
        <v>5037</v>
      </c>
      <c r="L442" t="s">
        <v>5039</v>
      </c>
    </row>
    <row r="443" spans="1:12" x14ac:dyDescent="0.35">
      <c r="A443" t="s">
        <v>102</v>
      </c>
      <c r="B443" t="s">
        <v>377</v>
      </c>
      <c r="C443" t="s">
        <v>713</v>
      </c>
      <c r="D443">
        <v>0.123</v>
      </c>
      <c r="F443" t="s">
        <v>1583</v>
      </c>
      <c r="H443" t="s">
        <v>2891</v>
      </c>
      <c r="I443" t="s">
        <v>1394</v>
      </c>
      <c r="K443" t="s">
        <v>5037</v>
      </c>
      <c r="L443" t="s">
        <v>5039</v>
      </c>
    </row>
    <row r="444" spans="1:12" x14ac:dyDescent="0.35">
      <c r="A444" t="s">
        <v>102</v>
      </c>
      <c r="B444" t="s">
        <v>378</v>
      </c>
      <c r="C444" t="s">
        <v>162</v>
      </c>
      <c r="D444">
        <v>0.8</v>
      </c>
      <c r="F444" t="s">
        <v>1319</v>
      </c>
      <c r="H444" t="s">
        <v>2892</v>
      </c>
      <c r="I444" t="s">
        <v>1752</v>
      </c>
      <c r="K444" t="s">
        <v>5037</v>
      </c>
      <c r="L444" t="s">
        <v>5039</v>
      </c>
    </row>
    <row r="445" spans="1:12" x14ac:dyDescent="0.35">
      <c r="A445" t="s">
        <v>102</v>
      </c>
      <c r="B445" t="s">
        <v>378</v>
      </c>
      <c r="C445" t="s">
        <v>708</v>
      </c>
      <c r="D445">
        <v>0.15</v>
      </c>
      <c r="F445" t="s">
        <v>1269</v>
      </c>
      <c r="H445" t="s">
        <v>2893</v>
      </c>
      <c r="I445" t="s">
        <v>1752</v>
      </c>
      <c r="K445" t="s">
        <v>5037</v>
      </c>
      <c r="L445" t="s">
        <v>5039</v>
      </c>
    </row>
    <row r="446" spans="1:12" x14ac:dyDescent="0.35">
      <c r="A446" t="s">
        <v>102</v>
      </c>
      <c r="B446" t="s">
        <v>378</v>
      </c>
      <c r="C446" t="s">
        <v>162</v>
      </c>
      <c r="D446">
        <v>34</v>
      </c>
      <c r="F446" t="s">
        <v>1584</v>
      </c>
      <c r="H446" t="s">
        <v>2893</v>
      </c>
      <c r="I446" t="s">
        <v>1752</v>
      </c>
      <c r="K446" t="s">
        <v>5037</v>
      </c>
      <c r="L446" t="s">
        <v>5039</v>
      </c>
    </row>
    <row r="447" spans="1:12" x14ac:dyDescent="0.35">
      <c r="A447" t="s">
        <v>102</v>
      </c>
      <c r="B447" t="s">
        <v>378</v>
      </c>
      <c r="C447" t="s">
        <v>708</v>
      </c>
      <c r="D447">
        <v>0.18</v>
      </c>
      <c r="F447" t="s">
        <v>1531</v>
      </c>
      <c r="H447" t="s">
        <v>2894</v>
      </c>
      <c r="I447" t="s">
        <v>1752</v>
      </c>
      <c r="K447" t="s">
        <v>5037</v>
      </c>
      <c r="L447" t="s">
        <v>5039</v>
      </c>
    </row>
    <row r="448" spans="1:12" x14ac:dyDescent="0.35">
      <c r="A448" t="s">
        <v>102</v>
      </c>
      <c r="B448" t="s">
        <v>367</v>
      </c>
      <c r="C448" t="s">
        <v>708</v>
      </c>
      <c r="D448">
        <v>0.11</v>
      </c>
      <c r="F448" t="s">
        <v>1295</v>
      </c>
      <c r="H448" t="s">
        <v>2895</v>
      </c>
      <c r="I448" t="s">
        <v>4882</v>
      </c>
      <c r="K448" t="s">
        <v>5037</v>
      </c>
      <c r="L448" t="s">
        <v>5039</v>
      </c>
    </row>
    <row r="449" spans="1:12" x14ac:dyDescent="0.35">
      <c r="A449" t="s">
        <v>102</v>
      </c>
      <c r="B449" t="s">
        <v>367</v>
      </c>
      <c r="C449" t="s">
        <v>162</v>
      </c>
      <c r="D449">
        <v>3.8</v>
      </c>
      <c r="F449" t="s">
        <v>1388</v>
      </c>
      <c r="H449" t="s">
        <v>2895</v>
      </c>
      <c r="I449" t="s">
        <v>4882</v>
      </c>
      <c r="K449" t="s">
        <v>5037</v>
      </c>
      <c r="L449" t="s">
        <v>5039</v>
      </c>
    </row>
    <row r="450" spans="1:12" x14ac:dyDescent="0.35">
      <c r="A450" t="s">
        <v>102</v>
      </c>
      <c r="B450" t="s">
        <v>367</v>
      </c>
      <c r="C450" t="s">
        <v>162</v>
      </c>
      <c r="D450">
        <v>0.93</v>
      </c>
      <c r="F450" t="s">
        <v>1558</v>
      </c>
      <c r="H450" t="s">
        <v>2896</v>
      </c>
      <c r="I450" t="s">
        <v>4882</v>
      </c>
      <c r="K450" t="s">
        <v>5037</v>
      </c>
      <c r="L450" t="s">
        <v>5039</v>
      </c>
    </row>
    <row r="451" spans="1:12" x14ac:dyDescent="0.35">
      <c r="A451" t="s">
        <v>102</v>
      </c>
      <c r="B451" t="s">
        <v>379</v>
      </c>
      <c r="C451" t="s">
        <v>162</v>
      </c>
      <c r="D451">
        <v>1.91</v>
      </c>
      <c r="F451" t="s">
        <v>1585</v>
      </c>
      <c r="H451" t="s">
        <v>2897</v>
      </c>
      <c r="I451" t="s">
        <v>4886</v>
      </c>
      <c r="K451" t="s">
        <v>5037</v>
      </c>
      <c r="L451" t="s">
        <v>5039</v>
      </c>
    </row>
    <row r="452" spans="1:12" x14ac:dyDescent="0.35">
      <c r="A452" t="s">
        <v>102</v>
      </c>
      <c r="B452" t="s">
        <v>175</v>
      </c>
      <c r="C452" t="s">
        <v>709</v>
      </c>
      <c r="D452">
        <v>0.5</v>
      </c>
      <c r="F452" t="s">
        <v>1440</v>
      </c>
      <c r="H452" t="s">
        <v>2898</v>
      </c>
      <c r="I452" t="s">
        <v>4887</v>
      </c>
      <c r="K452" t="s">
        <v>5037</v>
      </c>
      <c r="L452" t="s">
        <v>5039</v>
      </c>
    </row>
    <row r="453" spans="1:12" x14ac:dyDescent="0.35">
      <c r="A453" t="s">
        <v>102</v>
      </c>
      <c r="B453" t="s">
        <v>175</v>
      </c>
      <c r="C453" t="s">
        <v>709</v>
      </c>
      <c r="D453">
        <v>0.99</v>
      </c>
      <c r="F453" t="s">
        <v>1586</v>
      </c>
      <c r="H453" t="s">
        <v>2899</v>
      </c>
      <c r="I453" t="s">
        <v>4887</v>
      </c>
      <c r="K453" t="s">
        <v>5037</v>
      </c>
      <c r="L453" t="s">
        <v>5039</v>
      </c>
    </row>
    <row r="454" spans="1:12" x14ac:dyDescent="0.35">
      <c r="A454" t="s">
        <v>102</v>
      </c>
      <c r="B454" t="s">
        <v>175</v>
      </c>
      <c r="C454" t="s">
        <v>710</v>
      </c>
      <c r="D454">
        <v>21.78</v>
      </c>
      <c r="F454" t="s">
        <v>1587</v>
      </c>
      <c r="H454" t="s">
        <v>2842</v>
      </c>
      <c r="I454" t="s">
        <v>4887</v>
      </c>
      <c r="K454" t="s">
        <v>5037</v>
      </c>
      <c r="L454" t="s">
        <v>5039</v>
      </c>
    </row>
    <row r="455" spans="1:12" x14ac:dyDescent="0.35">
      <c r="A455" t="s">
        <v>102</v>
      </c>
      <c r="B455" t="s">
        <v>175</v>
      </c>
      <c r="C455" t="s">
        <v>710</v>
      </c>
      <c r="D455">
        <v>10.73</v>
      </c>
      <c r="F455" t="s">
        <v>1588</v>
      </c>
      <c r="H455" t="s">
        <v>2842</v>
      </c>
      <c r="I455" t="s">
        <v>4887</v>
      </c>
      <c r="K455" t="s">
        <v>5037</v>
      </c>
      <c r="L455" t="s">
        <v>5039</v>
      </c>
    </row>
    <row r="456" spans="1:12" x14ac:dyDescent="0.35">
      <c r="A456" t="s">
        <v>102</v>
      </c>
      <c r="B456" t="s">
        <v>375</v>
      </c>
      <c r="C456" t="s">
        <v>710</v>
      </c>
      <c r="D456">
        <v>100</v>
      </c>
      <c r="F456" t="s">
        <v>1353</v>
      </c>
      <c r="H456" t="s">
        <v>2842</v>
      </c>
      <c r="I456" t="s">
        <v>1387</v>
      </c>
      <c r="K456" t="s">
        <v>5037</v>
      </c>
      <c r="L456" t="s">
        <v>5039</v>
      </c>
    </row>
    <row r="457" spans="1:12" x14ac:dyDescent="0.35">
      <c r="A457" t="s">
        <v>102</v>
      </c>
      <c r="B457" t="s">
        <v>375</v>
      </c>
      <c r="C457" t="s">
        <v>708</v>
      </c>
      <c r="D457">
        <v>8</v>
      </c>
      <c r="F457" t="s">
        <v>1373</v>
      </c>
      <c r="H457" t="s">
        <v>2900</v>
      </c>
      <c r="I457" t="s">
        <v>4888</v>
      </c>
      <c r="K457" t="s">
        <v>5037</v>
      </c>
      <c r="L457" t="s">
        <v>5039</v>
      </c>
    </row>
    <row r="458" spans="1:12" x14ac:dyDescent="0.35">
      <c r="A458" t="s">
        <v>102</v>
      </c>
      <c r="B458" t="s">
        <v>375</v>
      </c>
      <c r="C458" t="s">
        <v>709</v>
      </c>
      <c r="D458">
        <v>2.4</v>
      </c>
      <c r="F458" t="s">
        <v>1433</v>
      </c>
      <c r="H458" t="s">
        <v>2901</v>
      </c>
      <c r="I458" t="s">
        <v>1387</v>
      </c>
      <c r="K458" t="s">
        <v>5037</v>
      </c>
      <c r="L458" t="s">
        <v>5039</v>
      </c>
    </row>
    <row r="459" spans="1:12" x14ac:dyDescent="0.35">
      <c r="A459" t="s">
        <v>102</v>
      </c>
      <c r="B459" t="s">
        <v>375</v>
      </c>
      <c r="C459" t="s">
        <v>162</v>
      </c>
      <c r="D459">
        <v>15</v>
      </c>
      <c r="F459" t="s">
        <v>1489</v>
      </c>
      <c r="H459" t="s">
        <v>2902</v>
      </c>
      <c r="I459" t="s">
        <v>4855</v>
      </c>
      <c r="K459" t="s">
        <v>5037</v>
      </c>
      <c r="L459" t="s">
        <v>5039</v>
      </c>
    </row>
    <row r="460" spans="1:12" x14ac:dyDescent="0.35">
      <c r="A460" t="s">
        <v>102</v>
      </c>
      <c r="B460" t="s">
        <v>375</v>
      </c>
      <c r="C460" t="s">
        <v>162</v>
      </c>
      <c r="D460">
        <v>1.5</v>
      </c>
      <c r="F460" t="s">
        <v>1426</v>
      </c>
      <c r="H460" t="s">
        <v>2903</v>
      </c>
      <c r="I460" t="s">
        <v>1387</v>
      </c>
      <c r="K460" t="s">
        <v>5037</v>
      </c>
      <c r="L460" t="s">
        <v>5039</v>
      </c>
    </row>
    <row r="461" spans="1:12" x14ac:dyDescent="0.35">
      <c r="A461" t="s">
        <v>102</v>
      </c>
      <c r="B461" t="s">
        <v>380</v>
      </c>
      <c r="C461" t="s">
        <v>708</v>
      </c>
      <c r="D461">
        <v>1.5599999999999999E-2</v>
      </c>
      <c r="F461" t="s">
        <v>1589</v>
      </c>
      <c r="H461" t="s">
        <v>2904</v>
      </c>
      <c r="I461" t="s">
        <v>2325</v>
      </c>
      <c r="K461" t="s">
        <v>5037</v>
      </c>
      <c r="L461" t="s">
        <v>5039</v>
      </c>
    </row>
    <row r="462" spans="1:12" x14ac:dyDescent="0.35">
      <c r="A462" t="s">
        <v>102</v>
      </c>
      <c r="B462" t="s">
        <v>380</v>
      </c>
      <c r="C462" t="s">
        <v>710</v>
      </c>
      <c r="D462">
        <v>1.4200000000000001E-2</v>
      </c>
      <c r="F462" t="s">
        <v>1536</v>
      </c>
      <c r="H462" t="s">
        <v>2842</v>
      </c>
      <c r="I462" t="s">
        <v>2325</v>
      </c>
      <c r="K462" t="s">
        <v>5037</v>
      </c>
      <c r="L462" t="s">
        <v>5039</v>
      </c>
    </row>
    <row r="463" spans="1:12" x14ac:dyDescent="0.35">
      <c r="A463" t="s">
        <v>102</v>
      </c>
      <c r="B463" t="s">
        <v>380</v>
      </c>
      <c r="C463" t="s">
        <v>710</v>
      </c>
      <c r="D463">
        <v>5.7000000000000002E-3</v>
      </c>
      <c r="F463" t="s">
        <v>1293</v>
      </c>
      <c r="H463" t="s">
        <v>2842</v>
      </c>
      <c r="I463" t="s">
        <v>2325</v>
      </c>
      <c r="K463" t="s">
        <v>5037</v>
      </c>
      <c r="L463" t="s">
        <v>5039</v>
      </c>
    </row>
    <row r="464" spans="1:12" x14ac:dyDescent="0.35">
      <c r="A464" t="s">
        <v>102</v>
      </c>
      <c r="B464" t="s">
        <v>380</v>
      </c>
      <c r="C464" t="s">
        <v>708</v>
      </c>
      <c r="D464">
        <v>1.2699999999999999E-2</v>
      </c>
      <c r="F464" t="s">
        <v>1590</v>
      </c>
      <c r="H464" t="s">
        <v>2905</v>
      </c>
      <c r="I464" t="s">
        <v>2325</v>
      </c>
      <c r="K464" t="s">
        <v>5037</v>
      </c>
      <c r="L464" t="s">
        <v>5039</v>
      </c>
    </row>
    <row r="465" spans="1:12" x14ac:dyDescent="0.35">
      <c r="A465" t="s">
        <v>102</v>
      </c>
      <c r="B465" t="s">
        <v>380</v>
      </c>
      <c r="C465" t="s">
        <v>162</v>
      </c>
      <c r="D465">
        <v>6.5299999999999997E-2</v>
      </c>
      <c r="F465" t="s">
        <v>1591</v>
      </c>
      <c r="H465" t="s">
        <v>2906</v>
      </c>
      <c r="I465" t="s">
        <v>2325</v>
      </c>
      <c r="K465" t="s">
        <v>5037</v>
      </c>
      <c r="L465" t="s">
        <v>5039</v>
      </c>
    </row>
    <row r="466" spans="1:12" x14ac:dyDescent="0.35">
      <c r="A466" t="s">
        <v>102</v>
      </c>
      <c r="B466" t="s">
        <v>380</v>
      </c>
      <c r="C466" t="s">
        <v>710</v>
      </c>
      <c r="D466">
        <v>2.5999999999999999E-3</v>
      </c>
      <c r="F466" t="s">
        <v>1592</v>
      </c>
      <c r="H466" t="s">
        <v>2842</v>
      </c>
      <c r="I466" t="s">
        <v>2325</v>
      </c>
      <c r="K466" t="s">
        <v>5037</v>
      </c>
      <c r="L466" t="s">
        <v>5039</v>
      </c>
    </row>
    <row r="467" spans="1:12" x14ac:dyDescent="0.35">
      <c r="A467" t="s">
        <v>102</v>
      </c>
      <c r="B467" t="s">
        <v>380</v>
      </c>
      <c r="C467" t="s">
        <v>708</v>
      </c>
      <c r="D467">
        <v>1.37E-2</v>
      </c>
      <c r="F467" t="s">
        <v>1593</v>
      </c>
      <c r="H467" t="s">
        <v>2907</v>
      </c>
      <c r="I467" t="s">
        <v>2325</v>
      </c>
      <c r="K467" t="s">
        <v>5037</v>
      </c>
      <c r="L467" t="s">
        <v>5039</v>
      </c>
    </row>
    <row r="468" spans="1:12" x14ac:dyDescent="0.35">
      <c r="A468" t="s">
        <v>102</v>
      </c>
      <c r="B468" t="s">
        <v>380</v>
      </c>
      <c r="C468" t="s">
        <v>162</v>
      </c>
      <c r="D468">
        <v>4.6800000000000001E-2</v>
      </c>
      <c r="F468" t="s">
        <v>1594</v>
      </c>
      <c r="H468" t="s">
        <v>2907</v>
      </c>
      <c r="I468" t="s">
        <v>2325</v>
      </c>
      <c r="K468" t="s">
        <v>5037</v>
      </c>
      <c r="L468" t="s">
        <v>5039</v>
      </c>
    </row>
    <row r="469" spans="1:12" x14ac:dyDescent="0.35">
      <c r="A469" t="s">
        <v>102</v>
      </c>
      <c r="B469" t="s">
        <v>381</v>
      </c>
      <c r="C469" t="s">
        <v>162</v>
      </c>
      <c r="D469">
        <v>0.36</v>
      </c>
      <c r="F469" t="s">
        <v>1398</v>
      </c>
      <c r="H469" t="s">
        <v>2908</v>
      </c>
      <c r="I469" t="s">
        <v>4870</v>
      </c>
      <c r="K469" t="s">
        <v>5037</v>
      </c>
      <c r="L469" t="s">
        <v>5039</v>
      </c>
    </row>
    <row r="470" spans="1:12" x14ac:dyDescent="0.35">
      <c r="A470" t="s">
        <v>102</v>
      </c>
      <c r="B470" t="s">
        <v>381</v>
      </c>
      <c r="C470" t="s">
        <v>162</v>
      </c>
      <c r="D470">
        <v>0.123</v>
      </c>
      <c r="F470" t="s">
        <v>1583</v>
      </c>
      <c r="H470" t="s">
        <v>2909</v>
      </c>
      <c r="I470" t="s">
        <v>4870</v>
      </c>
      <c r="K470" t="s">
        <v>5037</v>
      </c>
      <c r="L470" t="s">
        <v>5039</v>
      </c>
    </row>
    <row r="471" spans="1:12" x14ac:dyDescent="0.35">
      <c r="A471" t="s">
        <v>102</v>
      </c>
      <c r="B471" t="s">
        <v>381</v>
      </c>
      <c r="C471" t="s">
        <v>709</v>
      </c>
      <c r="D471">
        <v>1.96</v>
      </c>
      <c r="F471" t="s">
        <v>1595</v>
      </c>
      <c r="H471" t="s">
        <v>2910</v>
      </c>
      <c r="I471" t="s">
        <v>4870</v>
      </c>
      <c r="K471" t="s">
        <v>5037</v>
      </c>
      <c r="L471" t="s">
        <v>5039</v>
      </c>
    </row>
    <row r="472" spans="1:12" x14ac:dyDescent="0.35">
      <c r="A472" t="s">
        <v>102</v>
      </c>
      <c r="B472" t="s">
        <v>381</v>
      </c>
      <c r="C472" t="s">
        <v>709</v>
      </c>
      <c r="D472">
        <v>2.1800000000000002</v>
      </c>
      <c r="F472" t="s">
        <v>1596</v>
      </c>
      <c r="H472" t="s">
        <v>2911</v>
      </c>
      <c r="I472" t="s">
        <v>4870</v>
      </c>
      <c r="K472" t="s">
        <v>5037</v>
      </c>
      <c r="L472" t="s">
        <v>5039</v>
      </c>
    </row>
    <row r="473" spans="1:12" x14ac:dyDescent="0.35">
      <c r="A473" t="s">
        <v>102</v>
      </c>
      <c r="B473" t="s">
        <v>381</v>
      </c>
      <c r="C473" t="s">
        <v>162</v>
      </c>
      <c r="D473">
        <v>0.35299999999999998</v>
      </c>
      <c r="F473" t="s">
        <v>1597</v>
      </c>
      <c r="H473" t="s">
        <v>2912</v>
      </c>
      <c r="I473" t="s">
        <v>4870</v>
      </c>
      <c r="K473" t="s">
        <v>5037</v>
      </c>
      <c r="L473" t="s">
        <v>5039</v>
      </c>
    </row>
    <row r="474" spans="1:12" x14ac:dyDescent="0.35">
      <c r="A474" t="s">
        <v>102</v>
      </c>
      <c r="B474" t="s">
        <v>381</v>
      </c>
      <c r="C474" t="s">
        <v>710</v>
      </c>
      <c r="D474">
        <v>34.200000000000003</v>
      </c>
      <c r="F474" t="s">
        <v>1598</v>
      </c>
      <c r="H474" t="s">
        <v>2842</v>
      </c>
      <c r="I474" t="s">
        <v>4870</v>
      </c>
      <c r="K474" t="s">
        <v>5037</v>
      </c>
      <c r="L474" t="s">
        <v>5039</v>
      </c>
    </row>
    <row r="475" spans="1:12" x14ac:dyDescent="0.35">
      <c r="A475" t="s">
        <v>102</v>
      </c>
      <c r="B475" t="s">
        <v>381</v>
      </c>
      <c r="C475" t="s">
        <v>710</v>
      </c>
      <c r="D475">
        <v>32.9</v>
      </c>
      <c r="F475" t="s">
        <v>1599</v>
      </c>
      <c r="H475" t="s">
        <v>2842</v>
      </c>
      <c r="I475" t="s">
        <v>4870</v>
      </c>
      <c r="K475" t="s">
        <v>5037</v>
      </c>
      <c r="L475" t="s">
        <v>5039</v>
      </c>
    </row>
    <row r="476" spans="1:12" x14ac:dyDescent="0.35">
      <c r="A476" t="s">
        <v>102</v>
      </c>
      <c r="B476" t="s">
        <v>382</v>
      </c>
      <c r="C476" t="s">
        <v>720</v>
      </c>
      <c r="D476">
        <v>0.19700000000000001</v>
      </c>
      <c r="F476" t="s">
        <v>1600</v>
      </c>
      <c r="H476" t="s">
        <v>2913</v>
      </c>
      <c r="I476" t="s">
        <v>4889</v>
      </c>
      <c r="K476" t="s">
        <v>5037</v>
      </c>
      <c r="L476" t="s">
        <v>5039</v>
      </c>
    </row>
    <row r="477" spans="1:12" x14ac:dyDescent="0.35">
      <c r="A477" t="s">
        <v>102</v>
      </c>
      <c r="B477" t="s">
        <v>382</v>
      </c>
      <c r="C477" t="s">
        <v>708</v>
      </c>
      <c r="D477">
        <v>0.123</v>
      </c>
      <c r="F477" t="s">
        <v>1583</v>
      </c>
      <c r="H477" t="s">
        <v>2913</v>
      </c>
      <c r="I477" t="s">
        <v>4889</v>
      </c>
      <c r="K477" t="s">
        <v>5037</v>
      </c>
      <c r="L477" t="s">
        <v>5039</v>
      </c>
    </row>
    <row r="478" spans="1:12" x14ac:dyDescent="0.35">
      <c r="A478" t="s">
        <v>102</v>
      </c>
      <c r="B478" t="s">
        <v>382</v>
      </c>
      <c r="C478" t="s">
        <v>162</v>
      </c>
      <c r="D478">
        <v>2.4700000000000002</v>
      </c>
      <c r="F478" t="s">
        <v>1601</v>
      </c>
      <c r="H478" t="s">
        <v>2913</v>
      </c>
      <c r="I478" t="s">
        <v>4889</v>
      </c>
      <c r="K478" t="s">
        <v>5037</v>
      </c>
      <c r="L478" t="s">
        <v>5039</v>
      </c>
    </row>
    <row r="479" spans="1:12" x14ac:dyDescent="0.35">
      <c r="A479" t="s">
        <v>102</v>
      </c>
      <c r="B479" t="s">
        <v>382</v>
      </c>
      <c r="C479" t="s">
        <v>721</v>
      </c>
      <c r="D479">
        <v>11.37</v>
      </c>
      <c r="F479" t="s">
        <v>1602</v>
      </c>
      <c r="H479" t="s">
        <v>2913</v>
      </c>
      <c r="I479" t="s">
        <v>4889</v>
      </c>
      <c r="K479" t="s">
        <v>5037</v>
      </c>
      <c r="L479" t="s">
        <v>5039</v>
      </c>
    </row>
    <row r="480" spans="1:12" x14ac:dyDescent="0.35">
      <c r="A480" t="s">
        <v>102</v>
      </c>
      <c r="B480" t="s">
        <v>383</v>
      </c>
      <c r="C480" t="s">
        <v>710</v>
      </c>
      <c r="D480">
        <v>8.3000000000000004E-2</v>
      </c>
      <c r="F480" t="s">
        <v>1603</v>
      </c>
      <c r="H480" t="s">
        <v>2842</v>
      </c>
      <c r="I480" t="s">
        <v>2051</v>
      </c>
      <c r="K480" t="s">
        <v>5037</v>
      </c>
      <c r="L480" t="s">
        <v>5039</v>
      </c>
    </row>
    <row r="481" spans="1:12" x14ac:dyDescent="0.35">
      <c r="A481" t="s">
        <v>102</v>
      </c>
      <c r="B481" t="s">
        <v>384</v>
      </c>
      <c r="C481" t="s">
        <v>699</v>
      </c>
      <c r="D481">
        <v>3.5</v>
      </c>
      <c r="F481" t="s">
        <v>1451</v>
      </c>
      <c r="H481" t="s">
        <v>2914</v>
      </c>
      <c r="I481" t="s">
        <v>4890</v>
      </c>
      <c r="K481" t="s">
        <v>5037</v>
      </c>
      <c r="L481" t="s">
        <v>5039</v>
      </c>
    </row>
    <row r="482" spans="1:12" x14ac:dyDescent="0.35">
      <c r="A482" t="s">
        <v>102</v>
      </c>
      <c r="B482" t="s">
        <v>384</v>
      </c>
      <c r="C482" t="s">
        <v>699</v>
      </c>
      <c r="D482">
        <v>1.86</v>
      </c>
      <c r="F482" t="s">
        <v>1604</v>
      </c>
      <c r="H482" t="s">
        <v>2915</v>
      </c>
      <c r="I482" t="s">
        <v>4890</v>
      </c>
      <c r="K482" t="s">
        <v>5037</v>
      </c>
      <c r="L482" t="s">
        <v>5039</v>
      </c>
    </row>
    <row r="483" spans="1:12" x14ac:dyDescent="0.35">
      <c r="A483" t="s">
        <v>102</v>
      </c>
      <c r="B483" t="s">
        <v>384</v>
      </c>
      <c r="C483" t="s">
        <v>699</v>
      </c>
      <c r="D483">
        <v>2.5</v>
      </c>
      <c r="F483" t="s">
        <v>1406</v>
      </c>
      <c r="H483" t="s">
        <v>2916</v>
      </c>
      <c r="I483" t="s">
        <v>4890</v>
      </c>
      <c r="K483" t="s">
        <v>5037</v>
      </c>
      <c r="L483" t="s">
        <v>5039</v>
      </c>
    </row>
    <row r="484" spans="1:12" x14ac:dyDescent="0.35">
      <c r="A484" t="s">
        <v>102</v>
      </c>
      <c r="B484" t="s">
        <v>384</v>
      </c>
      <c r="C484" t="s">
        <v>699</v>
      </c>
      <c r="D484">
        <v>8.23</v>
      </c>
      <c r="F484" t="s">
        <v>1605</v>
      </c>
      <c r="H484" t="s">
        <v>2917</v>
      </c>
      <c r="I484" t="s">
        <v>4890</v>
      </c>
      <c r="K484" t="s">
        <v>5037</v>
      </c>
      <c r="L484" t="s">
        <v>5039</v>
      </c>
    </row>
    <row r="485" spans="1:12" x14ac:dyDescent="0.35">
      <c r="A485" t="s">
        <v>102</v>
      </c>
      <c r="B485" t="s">
        <v>384</v>
      </c>
      <c r="C485" t="s">
        <v>699</v>
      </c>
      <c r="D485">
        <v>6.82</v>
      </c>
      <c r="F485" t="s">
        <v>1305</v>
      </c>
      <c r="H485" t="s">
        <v>2918</v>
      </c>
      <c r="I485" t="s">
        <v>4890</v>
      </c>
      <c r="K485" t="s">
        <v>5037</v>
      </c>
      <c r="L485" t="s">
        <v>5039</v>
      </c>
    </row>
    <row r="486" spans="1:12" x14ac:dyDescent="0.35">
      <c r="A486" t="s">
        <v>102</v>
      </c>
      <c r="B486" t="s">
        <v>384</v>
      </c>
      <c r="C486" t="s">
        <v>699</v>
      </c>
      <c r="D486">
        <v>5.75</v>
      </c>
      <c r="F486" t="s">
        <v>1606</v>
      </c>
      <c r="H486" t="s">
        <v>2919</v>
      </c>
      <c r="I486" t="s">
        <v>4890</v>
      </c>
      <c r="K486" t="s">
        <v>5037</v>
      </c>
      <c r="L486" t="s">
        <v>5039</v>
      </c>
    </row>
    <row r="487" spans="1:12" x14ac:dyDescent="0.35">
      <c r="A487" t="s">
        <v>102</v>
      </c>
      <c r="B487" t="s">
        <v>385</v>
      </c>
      <c r="C487" t="s">
        <v>162</v>
      </c>
      <c r="D487">
        <v>4.0999999999999996</v>
      </c>
      <c r="F487" t="s">
        <v>1385</v>
      </c>
      <c r="H487" t="s">
        <v>2920</v>
      </c>
      <c r="I487" t="s">
        <v>1892</v>
      </c>
      <c r="K487" t="s">
        <v>5037</v>
      </c>
      <c r="L487" t="s">
        <v>5039</v>
      </c>
    </row>
    <row r="488" spans="1:12" x14ac:dyDescent="0.35">
      <c r="A488" t="s">
        <v>102</v>
      </c>
      <c r="B488" t="s">
        <v>386</v>
      </c>
      <c r="C488" t="s">
        <v>710</v>
      </c>
      <c r="D488">
        <v>55</v>
      </c>
      <c r="F488" t="s">
        <v>1369</v>
      </c>
      <c r="H488" t="s">
        <v>2842</v>
      </c>
      <c r="I488" t="s">
        <v>1317</v>
      </c>
      <c r="K488" t="s">
        <v>5037</v>
      </c>
      <c r="L488" t="s">
        <v>5039</v>
      </c>
    </row>
    <row r="489" spans="1:12" x14ac:dyDescent="0.35">
      <c r="A489" t="s">
        <v>102</v>
      </c>
      <c r="B489" t="s">
        <v>386</v>
      </c>
      <c r="C489" t="s">
        <v>708</v>
      </c>
      <c r="D489">
        <v>0.02</v>
      </c>
      <c r="F489" t="s">
        <v>1448</v>
      </c>
      <c r="H489" t="s">
        <v>2921</v>
      </c>
      <c r="I489" t="s">
        <v>1317</v>
      </c>
      <c r="K489" t="s">
        <v>5037</v>
      </c>
      <c r="L489" t="s">
        <v>5039</v>
      </c>
    </row>
    <row r="490" spans="1:12" x14ac:dyDescent="0.35">
      <c r="A490" t="s">
        <v>102</v>
      </c>
      <c r="B490" t="s">
        <v>387</v>
      </c>
      <c r="C490" t="s">
        <v>162</v>
      </c>
      <c r="D490">
        <v>1</v>
      </c>
      <c r="F490" t="s">
        <v>1317</v>
      </c>
      <c r="H490" t="s">
        <v>2922</v>
      </c>
      <c r="I490" t="s">
        <v>1477</v>
      </c>
      <c r="K490" t="s">
        <v>5037</v>
      </c>
      <c r="L490" t="s">
        <v>5039</v>
      </c>
    </row>
    <row r="491" spans="1:12" x14ac:dyDescent="0.35">
      <c r="A491" t="s">
        <v>102</v>
      </c>
      <c r="B491" t="s">
        <v>387</v>
      </c>
      <c r="C491" t="s">
        <v>708</v>
      </c>
      <c r="D491">
        <v>0.01</v>
      </c>
      <c r="F491" t="s">
        <v>1376</v>
      </c>
      <c r="H491" t="s">
        <v>2923</v>
      </c>
      <c r="I491" t="s">
        <v>1477</v>
      </c>
      <c r="K491" t="s">
        <v>5037</v>
      </c>
      <c r="L491" t="s">
        <v>5039</v>
      </c>
    </row>
    <row r="492" spans="1:12" x14ac:dyDescent="0.35">
      <c r="A492" t="s">
        <v>102</v>
      </c>
      <c r="B492" t="s">
        <v>387</v>
      </c>
      <c r="C492" t="s">
        <v>710</v>
      </c>
      <c r="D492">
        <v>420</v>
      </c>
      <c r="F492" t="s">
        <v>1607</v>
      </c>
      <c r="H492" t="s">
        <v>2842</v>
      </c>
      <c r="I492" t="s">
        <v>1968</v>
      </c>
      <c r="K492" t="s">
        <v>5037</v>
      </c>
      <c r="L492" t="s">
        <v>5039</v>
      </c>
    </row>
    <row r="493" spans="1:12" x14ac:dyDescent="0.35">
      <c r="A493" t="s">
        <v>102</v>
      </c>
      <c r="B493" t="s">
        <v>387</v>
      </c>
      <c r="C493" t="s">
        <v>708</v>
      </c>
      <c r="D493">
        <v>4.4999999999999998E-2</v>
      </c>
      <c r="F493" t="s">
        <v>1290</v>
      </c>
      <c r="I493" t="s">
        <v>1317</v>
      </c>
      <c r="K493" t="s">
        <v>5037</v>
      </c>
      <c r="L493" t="s">
        <v>5039</v>
      </c>
    </row>
    <row r="494" spans="1:12" x14ac:dyDescent="0.35">
      <c r="A494" t="s">
        <v>102</v>
      </c>
      <c r="B494" t="s">
        <v>388</v>
      </c>
      <c r="C494" t="s">
        <v>710</v>
      </c>
      <c r="D494">
        <v>67</v>
      </c>
      <c r="F494" t="s">
        <v>1608</v>
      </c>
      <c r="H494" t="s">
        <v>2842</v>
      </c>
      <c r="I494" t="s">
        <v>1317</v>
      </c>
      <c r="K494" t="s">
        <v>5037</v>
      </c>
      <c r="L494" t="s">
        <v>5039</v>
      </c>
    </row>
    <row r="495" spans="1:12" x14ac:dyDescent="0.35">
      <c r="A495" t="s">
        <v>102</v>
      </c>
      <c r="B495" t="s">
        <v>388</v>
      </c>
      <c r="C495" t="s">
        <v>709</v>
      </c>
      <c r="D495">
        <v>5</v>
      </c>
      <c r="F495" t="s">
        <v>1477</v>
      </c>
      <c r="I495" t="s">
        <v>1317</v>
      </c>
      <c r="K495" t="s">
        <v>5037</v>
      </c>
      <c r="L495" t="s">
        <v>5039</v>
      </c>
    </row>
    <row r="496" spans="1:12" x14ac:dyDescent="0.35">
      <c r="A496" t="s">
        <v>102</v>
      </c>
      <c r="B496" t="s">
        <v>388</v>
      </c>
      <c r="C496" t="s">
        <v>708</v>
      </c>
      <c r="D496">
        <v>0.04</v>
      </c>
      <c r="F496" t="s">
        <v>1334</v>
      </c>
      <c r="H496" t="s">
        <v>2924</v>
      </c>
      <c r="I496" t="s">
        <v>1317</v>
      </c>
      <c r="K496" t="s">
        <v>5037</v>
      </c>
      <c r="L496" t="s">
        <v>5039</v>
      </c>
    </row>
    <row r="497" spans="1:12" x14ac:dyDescent="0.35">
      <c r="A497" t="s">
        <v>102</v>
      </c>
      <c r="B497" t="s">
        <v>389</v>
      </c>
      <c r="C497" t="s">
        <v>162</v>
      </c>
      <c r="D497">
        <v>0.32</v>
      </c>
      <c r="F497" t="s">
        <v>1470</v>
      </c>
      <c r="H497" t="s">
        <v>2925</v>
      </c>
      <c r="I497" t="s">
        <v>4891</v>
      </c>
      <c r="K497" t="s">
        <v>5037</v>
      </c>
      <c r="L497" t="s">
        <v>5039</v>
      </c>
    </row>
    <row r="498" spans="1:12" x14ac:dyDescent="0.35">
      <c r="A498" t="s">
        <v>102</v>
      </c>
      <c r="B498" t="s">
        <v>389</v>
      </c>
      <c r="C498" t="s">
        <v>699</v>
      </c>
      <c r="D498">
        <v>1.76</v>
      </c>
      <c r="F498" t="s">
        <v>1609</v>
      </c>
      <c r="H498" t="s">
        <v>2925</v>
      </c>
      <c r="I498" t="s">
        <v>4891</v>
      </c>
      <c r="K498" t="s">
        <v>5037</v>
      </c>
      <c r="L498" t="s">
        <v>5039</v>
      </c>
    </row>
    <row r="499" spans="1:12" x14ac:dyDescent="0.35">
      <c r="A499" t="s">
        <v>102</v>
      </c>
      <c r="B499" t="s">
        <v>390</v>
      </c>
      <c r="C499" t="s">
        <v>708</v>
      </c>
      <c r="D499">
        <v>3.3000000000000002E-2</v>
      </c>
      <c r="F499" t="s">
        <v>1340</v>
      </c>
      <c r="I499" t="s">
        <v>1317</v>
      </c>
      <c r="K499" t="s">
        <v>5037</v>
      </c>
      <c r="L499" t="s">
        <v>5039</v>
      </c>
    </row>
    <row r="500" spans="1:12" x14ac:dyDescent="0.35">
      <c r="A500" t="s">
        <v>102</v>
      </c>
      <c r="B500" t="s">
        <v>390</v>
      </c>
      <c r="C500" t="s">
        <v>710</v>
      </c>
      <c r="D500">
        <v>280</v>
      </c>
      <c r="F500" t="s">
        <v>1610</v>
      </c>
      <c r="H500" t="s">
        <v>2842</v>
      </c>
      <c r="I500" t="s">
        <v>1968</v>
      </c>
      <c r="K500" t="s">
        <v>5037</v>
      </c>
      <c r="L500" t="s">
        <v>5039</v>
      </c>
    </row>
    <row r="501" spans="1:12" x14ac:dyDescent="0.35">
      <c r="A501" t="s">
        <v>102</v>
      </c>
      <c r="B501" t="s">
        <v>377</v>
      </c>
      <c r="C501" t="s">
        <v>722</v>
      </c>
      <c r="D501">
        <v>0.6</v>
      </c>
      <c r="F501" t="s">
        <v>1519</v>
      </c>
      <c r="H501" t="s">
        <v>2926</v>
      </c>
      <c r="I501" t="s">
        <v>4892</v>
      </c>
      <c r="K501" t="s">
        <v>5037</v>
      </c>
      <c r="L501" t="s">
        <v>5039</v>
      </c>
    </row>
    <row r="502" spans="1:12" x14ac:dyDescent="0.35">
      <c r="A502" t="s">
        <v>102</v>
      </c>
      <c r="B502" t="s">
        <v>377</v>
      </c>
      <c r="C502" t="s">
        <v>162</v>
      </c>
      <c r="D502">
        <v>4.9000000000000002E-2</v>
      </c>
      <c r="F502" t="s">
        <v>1452</v>
      </c>
      <c r="H502" t="s">
        <v>2927</v>
      </c>
      <c r="I502" t="s">
        <v>2009</v>
      </c>
      <c r="K502" t="s">
        <v>5037</v>
      </c>
      <c r="L502" t="s">
        <v>5039</v>
      </c>
    </row>
    <row r="503" spans="1:12" x14ac:dyDescent="0.35">
      <c r="A503" t="s">
        <v>102</v>
      </c>
      <c r="B503" t="s">
        <v>377</v>
      </c>
      <c r="C503" t="s">
        <v>708</v>
      </c>
      <c r="D503">
        <v>1.7999999999999999E-2</v>
      </c>
      <c r="F503" t="s">
        <v>1611</v>
      </c>
      <c r="H503" t="s">
        <v>2928</v>
      </c>
      <c r="I503" t="s">
        <v>1509</v>
      </c>
      <c r="K503" t="s">
        <v>5037</v>
      </c>
      <c r="L503" t="s">
        <v>5039</v>
      </c>
    </row>
    <row r="504" spans="1:12" x14ac:dyDescent="0.35">
      <c r="A504" t="s">
        <v>102</v>
      </c>
      <c r="B504" t="s">
        <v>377</v>
      </c>
      <c r="C504" t="s">
        <v>708</v>
      </c>
      <c r="D504">
        <v>6.5000000000000002E-2</v>
      </c>
      <c r="F504" t="s">
        <v>1455</v>
      </c>
      <c r="H504" t="s">
        <v>2929</v>
      </c>
      <c r="I504" t="s">
        <v>1509</v>
      </c>
      <c r="K504" t="s">
        <v>5037</v>
      </c>
      <c r="L504" t="s">
        <v>5039</v>
      </c>
    </row>
    <row r="505" spans="1:12" x14ac:dyDescent="0.35">
      <c r="A505" t="s">
        <v>102</v>
      </c>
      <c r="B505" t="s">
        <v>377</v>
      </c>
      <c r="C505" t="s">
        <v>708</v>
      </c>
      <c r="D505">
        <v>1.0999999999999999E-2</v>
      </c>
      <c r="F505" t="s">
        <v>1612</v>
      </c>
      <c r="H505" t="s">
        <v>2926</v>
      </c>
      <c r="I505" t="s">
        <v>4892</v>
      </c>
      <c r="K505" t="s">
        <v>5037</v>
      </c>
      <c r="L505" t="s">
        <v>5039</v>
      </c>
    </row>
    <row r="506" spans="1:12" x14ac:dyDescent="0.35">
      <c r="A506" t="s">
        <v>102</v>
      </c>
      <c r="B506" t="s">
        <v>377</v>
      </c>
      <c r="C506" t="s">
        <v>162</v>
      </c>
      <c r="D506">
        <v>5.5E-2</v>
      </c>
      <c r="F506" t="s">
        <v>1613</v>
      </c>
      <c r="H506" t="s">
        <v>2926</v>
      </c>
      <c r="I506" t="s">
        <v>4892</v>
      </c>
      <c r="K506" t="s">
        <v>5037</v>
      </c>
      <c r="L506" t="s">
        <v>5039</v>
      </c>
    </row>
    <row r="507" spans="1:12" x14ac:dyDescent="0.35">
      <c r="A507" t="s">
        <v>102</v>
      </c>
      <c r="B507" t="s">
        <v>377</v>
      </c>
      <c r="C507" t="s">
        <v>708</v>
      </c>
      <c r="D507">
        <v>1.6E-2</v>
      </c>
      <c r="F507" t="s">
        <v>1614</v>
      </c>
      <c r="H507" t="s">
        <v>2927</v>
      </c>
      <c r="I507" t="s">
        <v>2009</v>
      </c>
      <c r="K507" t="s">
        <v>5037</v>
      </c>
      <c r="L507" t="s">
        <v>5039</v>
      </c>
    </row>
    <row r="508" spans="1:12" x14ac:dyDescent="0.35">
      <c r="A508" t="s">
        <v>102</v>
      </c>
      <c r="B508" t="s">
        <v>377</v>
      </c>
      <c r="C508" t="s">
        <v>715</v>
      </c>
      <c r="D508">
        <v>4.7E-2</v>
      </c>
      <c r="F508" t="s">
        <v>1615</v>
      </c>
      <c r="H508" t="s">
        <v>2926</v>
      </c>
      <c r="I508" t="s">
        <v>4892</v>
      </c>
      <c r="K508" t="s">
        <v>5037</v>
      </c>
      <c r="L508" t="s">
        <v>5039</v>
      </c>
    </row>
    <row r="509" spans="1:12" x14ac:dyDescent="0.35">
      <c r="A509" t="s">
        <v>102</v>
      </c>
      <c r="B509" t="s">
        <v>377</v>
      </c>
      <c r="C509" t="s">
        <v>723</v>
      </c>
      <c r="D509">
        <v>0.11600000000000001</v>
      </c>
      <c r="F509" t="s">
        <v>1616</v>
      </c>
      <c r="H509" t="s">
        <v>2926</v>
      </c>
      <c r="I509" t="s">
        <v>4892</v>
      </c>
      <c r="K509" t="s">
        <v>5037</v>
      </c>
      <c r="L509" t="s">
        <v>5039</v>
      </c>
    </row>
    <row r="510" spans="1:12" x14ac:dyDescent="0.35">
      <c r="A510" t="s">
        <v>102</v>
      </c>
      <c r="B510" t="s">
        <v>377</v>
      </c>
      <c r="C510" t="s">
        <v>709</v>
      </c>
      <c r="D510">
        <v>0.18</v>
      </c>
      <c r="F510" t="s">
        <v>1531</v>
      </c>
      <c r="H510" t="s">
        <v>2926</v>
      </c>
      <c r="I510" t="s">
        <v>4892</v>
      </c>
      <c r="K510" t="s">
        <v>5037</v>
      </c>
      <c r="L510" t="s">
        <v>5039</v>
      </c>
    </row>
    <row r="511" spans="1:12" x14ac:dyDescent="0.35">
      <c r="A511" t="s">
        <v>102</v>
      </c>
      <c r="B511" t="s">
        <v>356</v>
      </c>
      <c r="C511" t="s">
        <v>709</v>
      </c>
      <c r="D511">
        <v>0.9</v>
      </c>
      <c r="F511" t="s">
        <v>1556</v>
      </c>
      <c r="I511" t="s">
        <v>1317</v>
      </c>
      <c r="K511" t="s">
        <v>5037</v>
      </c>
      <c r="L511" t="s">
        <v>5039</v>
      </c>
    </row>
    <row r="512" spans="1:12" x14ac:dyDescent="0.35">
      <c r="A512" t="s">
        <v>102</v>
      </c>
      <c r="B512" t="s">
        <v>356</v>
      </c>
      <c r="C512" t="s">
        <v>710</v>
      </c>
      <c r="D512">
        <v>30</v>
      </c>
      <c r="F512" t="s">
        <v>1354</v>
      </c>
      <c r="H512" t="s">
        <v>2842</v>
      </c>
      <c r="I512" t="s">
        <v>1317</v>
      </c>
      <c r="K512" t="s">
        <v>5037</v>
      </c>
      <c r="L512" t="s">
        <v>5039</v>
      </c>
    </row>
    <row r="513" spans="1:12" x14ac:dyDescent="0.35">
      <c r="A513" t="s">
        <v>102</v>
      </c>
      <c r="B513" t="s">
        <v>391</v>
      </c>
      <c r="C513" t="s">
        <v>162</v>
      </c>
      <c r="D513">
        <v>0.35</v>
      </c>
      <c r="F513" t="s">
        <v>1294</v>
      </c>
      <c r="H513" t="s">
        <v>2930</v>
      </c>
      <c r="I513" t="s">
        <v>1389</v>
      </c>
      <c r="K513" t="s">
        <v>5037</v>
      </c>
      <c r="L513" t="s">
        <v>5039</v>
      </c>
    </row>
    <row r="514" spans="1:12" x14ac:dyDescent="0.35">
      <c r="A514" t="s">
        <v>102</v>
      </c>
      <c r="B514" t="s">
        <v>392</v>
      </c>
      <c r="C514" t="s">
        <v>162</v>
      </c>
      <c r="D514">
        <v>1.6E-2</v>
      </c>
      <c r="F514" t="s">
        <v>1614</v>
      </c>
      <c r="H514" t="s">
        <v>2931</v>
      </c>
      <c r="I514" t="s">
        <v>1390</v>
      </c>
      <c r="K514" t="s">
        <v>5037</v>
      </c>
      <c r="L514" t="s">
        <v>5039</v>
      </c>
    </row>
    <row r="515" spans="1:12" x14ac:dyDescent="0.35">
      <c r="A515" t="s">
        <v>102</v>
      </c>
      <c r="B515" t="s">
        <v>393</v>
      </c>
      <c r="C515" t="s">
        <v>162</v>
      </c>
      <c r="D515">
        <v>3</v>
      </c>
      <c r="F515" t="s">
        <v>1368</v>
      </c>
      <c r="H515" t="s">
        <v>2852</v>
      </c>
      <c r="I515" t="s">
        <v>4882</v>
      </c>
      <c r="K515" t="s">
        <v>5037</v>
      </c>
      <c r="L515" t="s">
        <v>5039</v>
      </c>
    </row>
    <row r="516" spans="1:12" x14ac:dyDescent="0.35">
      <c r="A516" t="s">
        <v>102</v>
      </c>
      <c r="B516" t="s">
        <v>394</v>
      </c>
      <c r="C516" t="s">
        <v>708</v>
      </c>
      <c r="D516">
        <v>2.1000000000000001E-2</v>
      </c>
      <c r="F516" t="s">
        <v>1617</v>
      </c>
      <c r="H516" t="s">
        <v>2932</v>
      </c>
      <c r="I516" t="s">
        <v>2009</v>
      </c>
      <c r="K516" t="s">
        <v>5037</v>
      </c>
      <c r="L516" t="s">
        <v>5039</v>
      </c>
    </row>
    <row r="517" spans="1:12" x14ac:dyDescent="0.35">
      <c r="A517" t="s">
        <v>102</v>
      </c>
      <c r="B517" t="s">
        <v>394</v>
      </c>
      <c r="C517" t="s">
        <v>162</v>
      </c>
      <c r="D517">
        <v>5.7000000000000002E-2</v>
      </c>
      <c r="F517" t="s">
        <v>1530</v>
      </c>
      <c r="H517" t="s">
        <v>2933</v>
      </c>
      <c r="I517" t="s">
        <v>2009</v>
      </c>
      <c r="K517" t="s">
        <v>5037</v>
      </c>
      <c r="L517" t="s">
        <v>5039</v>
      </c>
    </row>
    <row r="518" spans="1:12" x14ac:dyDescent="0.35">
      <c r="A518" t="s">
        <v>102</v>
      </c>
      <c r="B518" t="s">
        <v>395</v>
      </c>
      <c r="C518" t="s">
        <v>708</v>
      </c>
      <c r="D518">
        <v>0.25</v>
      </c>
      <c r="F518" t="s">
        <v>1403</v>
      </c>
      <c r="I518" t="s">
        <v>1354</v>
      </c>
      <c r="K518" t="s">
        <v>5037</v>
      </c>
      <c r="L518" t="s">
        <v>5039</v>
      </c>
    </row>
    <row r="519" spans="1:12" x14ac:dyDescent="0.35">
      <c r="A519" t="s">
        <v>102</v>
      </c>
      <c r="B519" t="s">
        <v>395</v>
      </c>
      <c r="C519" t="s">
        <v>710</v>
      </c>
      <c r="D519">
        <v>2.5</v>
      </c>
      <c r="F519" t="s">
        <v>1406</v>
      </c>
      <c r="H519" t="s">
        <v>2842</v>
      </c>
      <c r="I519" t="s">
        <v>1354</v>
      </c>
      <c r="K519" t="s">
        <v>5037</v>
      </c>
      <c r="L519" t="s">
        <v>5039</v>
      </c>
    </row>
    <row r="520" spans="1:12" x14ac:dyDescent="0.35">
      <c r="A520" t="s">
        <v>102</v>
      </c>
      <c r="B520" t="s">
        <v>395</v>
      </c>
      <c r="C520" t="s">
        <v>162</v>
      </c>
      <c r="D520">
        <v>0.34</v>
      </c>
      <c r="F520" t="s">
        <v>1327</v>
      </c>
      <c r="H520" t="s">
        <v>2934</v>
      </c>
      <c r="I520" t="s">
        <v>1526</v>
      </c>
      <c r="K520" t="s">
        <v>5037</v>
      </c>
      <c r="L520" t="s">
        <v>5039</v>
      </c>
    </row>
    <row r="521" spans="1:12" x14ac:dyDescent="0.35">
      <c r="A521" t="s">
        <v>102</v>
      </c>
      <c r="B521" t="s">
        <v>396</v>
      </c>
      <c r="C521" t="s">
        <v>710</v>
      </c>
      <c r="D521">
        <v>360</v>
      </c>
      <c r="F521" t="s">
        <v>1618</v>
      </c>
      <c r="H521" t="s">
        <v>2842</v>
      </c>
      <c r="I521" t="s">
        <v>1317</v>
      </c>
      <c r="K521" t="s">
        <v>5037</v>
      </c>
      <c r="L521" t="s">
        <v>5039</v>
      </c>
    </row>
    <row r="522" spans="1:12" x14ac:dyDescent="0.35">
      <c r="A522" t="s">
        <v>102</v>
      </c>
      <c r="B522" t="s">
        <v>396</v>
      </c>
      <c r="C522" t="s">
        <v>708</v>
      </c>
      <c r="D522">
        <v>6.9000000000000006E-2</v>
      </c>
      <c r="F522" t="s">
        <v>1619</v>
      </c>
      <c r="I522" t="s">
        <v>1317</v>
      </c>
      <c r="K522" t="s">
        <v>5037</v>
      </c>
      <c r="L522" t="s">
        <v>5039</v>
      </c>
    </row>
    <row r="523" spans="1:12" x14ac:dyDescent="0.35">
      <c r="A523" t="s">
        <v>102</v>
      </c>
      <c r="B523" t="s">
        <v>397</v>
      </c>
      <c r="C523" t="s">
        <v>709</v>
      </c>
      <c r="D523">
        <v>0.23</v>
      </c>
      <c r="F523" t="s">
        <v>1362</v>
      </c>
      <c r="I523" t="s">
        <v>1372</v>
      </c>
      <c r="K523" t="s">
        <v>5037</v>
      </c>
      <c r="L523" t="s">
        <v>5039</v>
      </c>
    </row>
    <row r="524" spans="1:12" x14ac:dyDescent="0.35">
      <c r="A524" t="s">
        <v>102</v>
      </c>
      <c r="B524" t="s">
        <v>397</v>
      </c>
      <c r="C524" t="s">
        <v>708</v>
      </c>
      <c r="D524">
        <v>2.4E-2</v>
      </c>
      <c r="F524" t="s">
        <v>1620</v>
      </c>
      <c r="I524" t="s">
        <v>1372</v>
      </c>
      <c r="K524" t="s">
        <v>5037</v>
      </c>
      <c r="L524" t="s">
        <v>5039</v>
      </c>
    </row>
    <row r="525" spans="1:12" x14ac:dyDescent="0.35">
      <c r="A525" t="s">
        <v>102</v>
      </c>
      <c r="B525" t="s">
        <v>397</v>
      </c>
      <c r="C525" t="s">
        <v>162</v>
      </c>
      <c r="D525">
        <v>1.75</v>
      </c>
      <c r="F525" t="s">
        <v>1523</v>
      </c>
      <c r="I525" t="s">
        <v>1372</v>
      </c>
      <c r="K525" t="s">
        <v>5037</v>
      </c>
      <c r="L525" t="s">
        <v>5039</v>
      </c>
    </row>
    <row r="526" spans="1:12" x14ac:dyDescent="0.35">
      <c r="A526" t="s">
        <v>102</v>
      </c>
      <c r="B526" t="s">
        <v>397</v>
      </c>
      <c r="C526" t="s">
        <v>710</v>
      </c>
      <c r="D526">
        <v>109</v>
      </c>
      <c r="F526" t="s">
        <v>1621</v>
      </c>
      <c r="H526" t="s">
        <v>2842</v>
      </c>
      <c r="I526" t="s">
        <v>1372</v>
      </c>
      <c r="K526" t="s">
        <v>5037</v>
      </c>
      <c r="L526" t="s">
        <v>5039</v>
      </c>
    </row>
    <row r="527" spans="1:12" x14ac:dyDescent="0.35">
      <c r="A527" t="s">
        <v>102</v>
      </c>
      <c r="B527" t="s">
        <v>398</v>
      </c>
      <c r="C527" t="s">
        <v>708</v>
      </c>
      <c r="D527">
        <v>0.4</v>
      </c>
      <c r="F527" t="s">
        <v>1315</v>
      </c>
      <c r="H527" t="s">
        <v>2935</v>
      </c>
      <c r="I527" t="s">
        <v>1379</v>
      </c>
      <c r="K527" t="s">
        <v>5037</v>
      </c>
      <c r="L527" t="s">
        <v>5039</v>
      </c>
    </row>
    <row r="528" spans="1:12" x14ac:dyDescent="0.35">
      <c r="A528" t="s">
        <v>102</v>
      </c>
      <c r="B528" t="s">
        <v>398</v>
      </c>
      <c r="C528" t="s">
        <v>162</v>
      </c>
      <c r="D528">
        <v>1.1499999999999999</v>
      </c>
      <c r="F528" t="s">
        <v>1622</v>
      </c>
      <c r="H528" t="s">
        <v>2936</v>
      </c>
      <c r="I528" t="s">
        <v>1379</v>
      </c>
      <c r="K528" t="s">
        <v>5037</v>
      </c>
      <c r="L528" t="s">
        <v>5039</v>
      </c>
    </row>
    <row r="529" spans="1:12" x14ac:dyDescent="0.35">
      <c r="A529" t="s">
        <v>102</v>
      </c>
      <c r="B529" t="s">
        <v>398</v>
      </c>
      <c r="C529" t="s">
        <v>708</v>
      </c>
      <c r="D529">
        <v>6.6000000000000003E-2</v>
      </c>
      <c r="F529" t="s">
        <v>1623</v>
      </c>
      <c r="H529" t="s">
        <v>2937</v>
      </c>
      <c r="I529" t="s">
        <v>4864</v>
      </c>
      <c r="K529" t="s">
        <v>5037</v>
      </c>
      <c r="L529" t="s">
        <v>5039</v>
      </c>
    </row>
    <row r="530" spans="1:12" x14ac:dyDescent="0.35">
      <c r="A530" t="s">
        <v>102</v>
      </c>
      <c r="B530" t="s">
        <v>398</v>
      </c>
      <c r="C530" t="s">
        <v>709</v>
      </c>
      <c r="D530">
        <v>0.38</v>
      </c>
      <c r="F530" t="s">
        <v>1624</v>
      </c>
      <c r="H530" t="s">
        <v>2937</v>
      </c>
      <c r="I530" t="s">
        <v>4864</v>
      </c>
      <c r="K530" t="s">
        <v>5037</v>
      </c>
      <c r="L530" t="s">
        <v>5039</v>
      </c>
    </row>
    <row r="531" spans="1:12" x14ac:dyDescent="0.35">
      <c r="A531" t="s">
        <v>102</v>
      </c>
      <c r="B531" t="s">
        <v>398</v>
      </c>
      <c r="C531" t="s">
        <v>162</v>
      </c>
      <c r="D531">
        <v>1.95</v>
      </c>
      <c r="F531" t="s">
        <v>1525</v>
      </c>
      <c r="H531" t="s">
        <v>2937</v>
      </c>
      <c r="I531" t="s">
        <v>4864</v>
      </c>
      <c r="K531" t="s">
        <v>5037</v>
      </c>
      <c r="L531" t="s">
        <v>5039</v>
      </c>
    </row>
    <row r="532" spans="1:12" x14ac:dyDescent="0.35">
      <c r="A532" t="s">
        <v>102</v>
      </c>
      <c r="B532" t="s">
        <v>398</v>
      </c>
      <c r="C532" t="s">
        <v>162</v>
      </c>
      <c r="D532">
        <v>77</v>
      </c>
      <c r="F532" t="s">
        <v>1571</v>
      </c>
      <c r="I532" t="s">
        <v>1317</v>
      </c>
      <c r="K532" t="s">
        <v>5037</v>
      </c>
      <c r="L532" t="s">
        <v>5039</v>
      </c>
    </row>
    <row r="533" spans="1:12" x14ac:dyDescent="0.35">
      <c r="A533" t="s">
        <v>102</v>
      </c>
      <c r="B533" t="s">
        <v>398</v>
      </c>
      <c r="C533" t="s">
        <v>710</v>
      </c>
      <c r="D533">
        <v>158</v>
      </c>
      <c r="F533" t="s">
        <v>1625</v>
      </c>
      <c r="H533" t="s">
        <v>2842</v>
      </c>
      <c r="I533" t="s">
        <v>4864</v>
      </c>
      <c r="K533" t="s">
        <v>5037</v>
      </c>
      <c r="L533" t="s">
        <v>5039</v>
      </c>
    </row>
    <row r="534" spans="1:12" x14ac:dyDescent="0.35">
      <c r="A534" t="s">
        <v>102</v>
      </c>
      <c r="B534" t="s">
        <v>398</v>
      </c>
      <c r="C534" t="s">
        <v>708</v>
      </c>
      <c r="D534">
        <v>44</v>
      </c>
      <c r="F534" t="s">
        <v>1626</v>
      </c>
      <c r="H534" t="s">
        <v>2936</v>
      </c>
      <c r="I534" t="s">
        <v>1379</v>
      </c>
      <c r="K534" t="s">
        <v>5037</v>
      </c>
      <c r="L534" t="s">
        <v>5039</v>
      </c>
    </row>
    <row r="535" spans="1:12" x14ac:dyDescent="0.35">
      <c r="A535" t="s">
        <v>102</v>
      </c>
      <c r="B535" t="s">
        <v>398</v>
      </c>
      <c r="C535" t="s">
        <v>162</v>
      </c>
      <c r="D535">
        <v>7.7</v>
      </c>
      <c r="F535" t="s">
        <v>1627</v>
      </c>
      <c r="H535" t="s">
        <v>2938</v>
      </c>
      <c r="I535" t="s">
        <v>1379</v>
      </c>
      <c r="K535" t="s">
        <v>5037</v>
      </c>
      <c r="L535" t="s">
        <v>5039</v>
      </c>
    </row>
    <row r="536" spans="1:12" x14ac:dyDescent="0.35">
      <c r="A536" t="s">
        <v>102</v>
      </c>
      <c r="B536" t="s">
        <v>319</v>
      </c>
      <c r="C536" t="s">
        <v>162</v>
      </c>
      <c r="D536">
        <v>1.9E-2</v>
      </c>
      <c r="F536" t="s">
        <v>1628</v>
      </c>
      <c r="H536" t="s">
        <v>2939</v>
      </c>
      <c r="I536" t="s">
        <v>1961</v>
      </c>
      <c r="K536" t="s">
        <v>5037</v>
      </c>
      <c r="L536" t="s">
        <v>5039</v>
      </c>
    </row>
    <row r="537" spans="1:12" x14ac:dyDescent="0.35">
      <c r="A537" t="s">
        <v>102</v>
      </c>
      <c r="B537" t="s">
        <v>319</v>
      </c>
      <c r="C537" t="s">
        <v>162</v>
      </c>
      <c r="D537">
        <v>1.7999999999999999E-2</v>
      </c>
      <c r="F537" t="s">
        <v>1611</v>
      </c>
      <c r="H537" t="s">
        <v>2940</v>
      </c>
      <c r="I537" t="s">
        <v>1390</v>
      </c>
      <c r="K537" t="s">
        <v>5037</v>
      </c>
      <c r="L537" t="s">
        <v>5039</v>
      </c>
    </row>
    <row r="538" spans="1:12" x14ac:dyDescent="0.35">
      <c r="A538" t="s">
        <v>102</v>
      </c>
      <c r="B538" t="s">
        <v>399</v>
      </c>
      <c r="C538" t="s">
        <v>708</v>
      </c>
      <c r="D538">
        <v>3.2000000000000001E-2</v>
      </c>
      <c r="F538" t="s">
        <v>1314</v>
      </c>
      <c r="I538" t="s">
        <v>1317</v>
      </c>
      <c r="K538" t="s">
        <v>5037</v>
      </c>
      <c r="L538" t="s">
        <v>5039</v>
      </c>
    </row>
    <row r="539" spans="1:12" x14ac:dyDescent="0.35">
      <c r="A539" t="s">
        <v>102</v>
      </c>
      <c r="B539" t="s">
        <v>400</v>
      </c>
      <c r="C539" t="s">
        <v>708</v>
      </c>
      <c r="D539">
        <v>1.2500000000000001E-2</v>
      </c>
      <c r="F539" t="s">
        <v>1262</v>
      </c>
      <c r="H539" t="s">
        <v>2941</v>
      </c>
      <c r="I539" t="s">
        <v>1526</v>
      </c>
      <c r="K539" t="s">
        <v>5037</v>
      </c>
      <c r="L539" t="s">
        <v>5039</v>
      </c>
    </row>
    <row r="540" spans="1:12" x14ac:dyDescent="0.35">
      <c r="A540" t="s">
        <v>102</v>
      </c>
      <c r="B540" t="s">
        <v>400</v>
      </c>
      <c r="C540" t="s">
        <v>162</v>
      </c>
      <c r="D540">
        <v>0.5</v>
      </c>
      <c r="F540" t="s">
        <v>1440</v>
      </c>
      <c r="H540" t="s">
        <v>2942</v>
      </c>
      <c r="I540" t="s">
        <v>1526</v>
      </c>
      <c r="K540" t="s">
        <v>5037</v>
      </c>
      <c r="L540" t="s">
        <v>5039</v>
      </c>
    </row>
    <row r="541" spans="1:12" x14ac:dyDescent="0.35">
      <c r="A541" t="s">
        <v>102</v>
      </c>
      <c r="B541" t="s">
        <v>400</v>
      </c>
      <c r="C541" t="s">
        <v>710</v>
      </c>
      <c r="D541">
        <v>17</v>
      </c>
      <c r="F541" t="s">
        <v>1383</v>
      </c>
      <c r="H541" t="s">
        <v>2842</v>
      </c>
      <c r="I541" t="s">
        <v>1526</v>
      </c>
      <c r="K541" t="s">
        <v>5037</v>
      </c>
      <c r="L541" t="s">
        <v>5039</v>
      </c>
    </row>
    <row r="542" spans="1:12" x14ac:dyDescent="0.35">
      <c r="A542" t="s">
        <v>102</v>
      </c>
      <c r="B542" t="s">
        <v>400</v>
      </c>
      <c r="C542" t="s">
        <v>162</v>
      </c>
      <c r="D542">
        <v>0.42</v>
      </c>
      <c r="F542" t="s">
        <v>1629</v>
      </c>
      <c r="H542" t="s">
        <v>2943</v>
      </c>
      <c r="I542" t="s">
        <v>1526</v>
      </c>
      <c r="K542" t="s">
        <v>5037</v>
      </c>
      <c r="L542" t="s">
        <v>5039</v>
      </c>
    </row>
    <row r="543" spans="1:12" x14ac:dyDescent="0.35">
      <c r="A543" t="s">
        <v>102</v>
      </c>
      <c r="B543" t="s">
        <v>400</v>
      </c>
      <c r="C543" t="s">
        <v>709</v>
      </c>
      <c r="D543">
        <v>0.95</v>
      </c>
      <c r="F543" t="s">
        <v>1630</v>
      </c>
      <c r="H543" t="s">
        <v>2944</v>
      </c>
      <c r="I543" t="s">
        <v>1526</v>
      </c>
      <c r="K543" t="s">
        <v>5037</v>
      </c>
      <c r="L543" t="s">
        <v>5039</v>
      </c>
    </row>
    <row r="544" spans="1:12" x14ac:dyDescent="0.35">
      <c r="A544" t="s">
        <v>102</v>
      </c>
      <c r="B544" t="s">
        <v>400</v>
      </c>
      <c r="C544" t="s">
        <v>710</v>
      </c>
      <c r="D544">
        <v>22</v>
      </c>
      <c r="F544" t="s">
        <v>1449</v>
      </c>
      <c r="H544" t="s">
        <v>2842</v>
      </c>
      <c r="I544" t="s">
        <v>1526</v>
      </c>
      <c r="K544" t="s">
        <v>5037</v>
      </c>
      <c r="L544" t="s">
        <v>5039</v>
      </c>
    </row>
    <row r="545" spans="1:12" x14ac:dyDescent="0.35">
      <c r="A545" t="s">
        <v>102</v>
      </c>
      <c r="B545" t="s">
        <v>353</v>
      </c>
      <c r="C545" t="s">
        <v>162</v>
      </c>
      <c r="D545">
        <v>13.3</v>
      </c>
      <c r="F545" t="s">
        <v>1631</v>
      </c>
      <c r="H545" t="s">
        <v>2945</v>
      </c>
      <c r="I545" t="s">
        <v>4885</v>
      </c>
      <c r="K545" t="s">
        <v>5037</v>
      </c>
      <c r="L545" t="s">
        <v>5039</v>
      </c>
    </row>
    <row r="546" spans="1:12" x14ac:dyDescent="0.35">
      <c r="A546" t="s">
        <v>102</v>
      </c>
      <c r="B546" t="s">
        <v>401</v>
      </c>
      <c r="C546" t="s">
        <v>162</v>
      </c>
      <c r="D546">
        <v>0.25</v>
      </c>
      <c r="F546" t="s">
        <v>1403</v>
      </c>
      <c r="H546" t="s">
        <v>2946</v>
      </c>
      <c r="I546" t="s">
        <v>2050</v>
      </c>
      <c r="K546" t="s">
        <v>5037</v>
      </c>
      <c r="L546" t="s">
        <v>5039</v>
      </c>
    </row>
    <row r="547" spans="1:12" x14ac:dyDescent="0.35">
      <c r="A547" t="s">
        <v>102</v>
      </c>
      <c r="B547" t="s">
        <v>402</v>
      </c>
      <c r="C547" t="s">
        <v>162</v>
      </c>
      <c r="D547">
        <v>0.113</v>
      </c>
      <c r="F547" t="s">
        <v>1632</v>
      </c>
      <c r="H547" t="s">
        <v>2947</v>
      </c>
      <c r="I547" t="s">
        <v>4868</v>
      </c>
      <c r="K547" t="s">
        <v>5037</v>
      </c>
      <c r="L547" t="s">
        <v>5039</v>
      </c>
    </row>
    <row r="548" spans="1:12" x14ac:dyDescent="0.35">
      <c r="A548" t="s">
        <v>102</v>
      </c>
      <c r="B548" t="s">
        <v>372</v>
      </c>
      <c r="C548" t="s">
        <v>162</v>
      </c>
      <c r="D548">
        <v>2.2000000000000002</v>
      </c>
      <c r="F548" t="s">
        <v>1417</v>
      </c>
      <c r="H548" t="s">
        <v>2948</v>
      </c>
      <c r="I548" t="s">
        <v>2050</v>
      </c>
      <c r="K548" t="s">
        <v>5037</v>
      </c>
      <c r="L548" t="s">
        <v>5039</v>
      </c>
    </row>
    <row r="549" spans="1:12" x14ac:dyDescent="0.35">
      <c r="A549" t="s">
        <v>102</v>
      </c>
      <c r="B549" t="s">
        <v>175</v>
      </c>
      <c r="C549" t="s">
        <v>162</v>
      </c>
      <c r="D549">
        <v>0.39800000000000002</v>
      </c>
      <c r="F549" t="s">
        <v>1633</v>
      </c>
      <c r="I549" t="s">
        <v>1454</v>
      </c>
      <c r="K549" t="s">
        <v>5037</v>
      </c>
      <c r="L549" t="s">
        <v>5039</v>
      </c>
    </row>
    <row r="550" spans="1:12" x14ac:dyDescent="0.35">
      <c r="A550" t="s">
        <v>102</v>
      </c>
      <c r="B550" t="s">
        <v>175</v>
      </c>
      <c r="C550" t="s">
        <v>162</v>
      </c>
      <c r="D550">
        <v>0.03</v>
      </c>
      <c r="F550" t="s">
        <v>1266</v>
      </c>
      <c r="H550" t="s">
        <v>2949</v>
      </c>
      <c r="I550" t="s">
        <v>1394</v>
      </c>
      <c r="K550" t="s">
        <v>5037</v>
      </c>
      <c r="L550" t="s">
        <v>5039</v>
      </c>
    </row>
    <row r="551" spans="1:12" x14ac:dyDescent="0.35">
      <c r="A551" t="s">
        <v>102</v>
      </c>
      <c r="B551" t="s">
        <v>403</v>
      </c>
      <c r="C551" t="s">
        <v>709</v>
      </c>
      <c r="D551">
        <v>1.4999999999999999E-2</v>
      </c>
      <c r="F551" t="s">
        <v>1336</v>
      </c>
      <c r="I551" t="s">
        <v>1467</v>
      </c>
      <c r="K551" t="s">
        <v>5037</v>
      </c>
      <c r="L551" t="s">
        <v>5039</v>
      </c>
    </row>
    <row r="552" spans="1:12" x14ac:dyDescent="0.35">
      <c r="A552" t="s">
        <v>102</v>
      </c>
      <c r="B552" t="s">
        <v>403</v>
      </c>
      <c r="C552" t="s">
        <v>709</v>
      </c>
      <c r="D552">
        <v>6.5000000000000002E-2</v>
      </c>
      <c r="F552" t="s">
        <v>1455</v>
      </c>
      <c r="I552" t="s">
        <v>1467</v>
      </c>
      <c r="K552" t="s">
        <v>5037</v>
      </c>
      <c r="L552" t="s">
        <v>5039</v>
      </c>
    </row>
    <row r="553" spans="1:12" x14ac:dyDescent="0.35">
      <c r="A553" t="s">
        <v>102</v>
      </c>
      <c r="B553" t="s">
        <v>404</v>
      </c>
      <c r="C553" t="s">
        <v>715</v>
      </c>
      <c r="D553">
        <v>0.152</v>
      </c>
      <c r="F553" t="s">
        <v>1634</v>
      </c>
      <c r="H553" t="s">
        <v>2950</v>
      </c>
      <c r="I553" t="s">
        <v>4853</v>
      </c>
      <c r="K553" t="s">
        <v>5037</v>
      </c>
      <c r="L553" t="s">
        <v>5039</v>
      </c>
    </row>
    <row r="554" spans="1:12" x14ac:dyDescent="0.35">
      <c r="A554" t="s">
        <v>102</v>
      </c>
      <c r="B554" t="s">
        <v>405</v>
      </c>
      <c r="C554" t="s">
        <v>162</v>
      </c>
      <c r="D554">
        <v>2.7E-2</v>
      </c>
      <c r="F554" t="s">
        <v>1420</v>
      </c>
      <c r="H554" t="s">
        <v>2951</v>
      </c>
      <c r="I554" t="s">
        <v>1390</v>
      </c>
      <c r="K554" t="s">
        <v>5037</v>
      </c>
      <c r="L554" t="s">
        <v>5039</v>
      </c>
    </row>
    <row r="555" spans="1:12" x14ac:dyDescent="0.35">
      <c r="A555" t="s">
        <v>102</v>
      </c>
      <c r="B555" t="s">
        <v>405</v>
      </c>
      <c r="C555" t="s">
        <v>162</v>
      </c>
      <c r="D555">
        <v>0.11</v>
      </c>
      <c r="F555" t="s">
        <v>1295</v>
      </c>
      <c r="H555" t="s">
        <v>2952</v>
      </c>
      <c r="I555" t="s">
        <v>1390</v>
      </c>
      <c r="K555" t="s">
        <v>5037</v>
      </c>
      <c r="L555" t="s">
        <v>5039</v>
      </c>
    </row>
    <row r="556" spans="1:12" x14ac:dyDescent="0.35">
      <c r="A556" t="s">
        <v>102</v>
      </c>
      <c r="B556" t="s">
        <v>405</v>
      </c>
      <c r="C556" t="s">
        <v>710</v>
      </c>
      <c r="D556">
        <v>1.33</v>
      </c>
      <c r="F556" t="s">
        <v>1443</v>
      </c>
      <c r="H556" t="s">
        <v>2842</v>
      </c>
      <c r="I556" t="s">
        <v>1390</v>
      </c>
      <c r="K556" t="s">
        <v>5037</v>
      </c>
      <c r="L556" t="s">
        <v>5039</v>
      </c>
    </row>
    <row r="557" spans="1:12" x14ac:dyDescent="0.35">
      <c r="A557" t="s">
        <v>102</v>
      </c>
      <c r="B557" t="s">
        <v>405</v>
      </c>
      <c r="C557" t="s">
        <v>162</v>
      </c>
      <c r="D557">
        <v>3.3000000000000002E-2</v>
      </c>
      <c r="F557" t="s">
        <v>1340</v>
      </c>
      <c r="H557" t="s">
        <v>2953</v>
      </c>
      <c r="I557" t="s">
        <v>1390</v>
      </c>
      <c r="K557" t="s">
        <v>5037</v>
      </c>
      <c r="L557" t="s">
        <v>5039</v>
      </c>
    </row>
    <row r="558" spans="1:12" x14ac:dyDescent="0.35">
      <c r="A558" t="s">
        <v>102</v>
      </c>
      <c r="B558" t="s">
        <v>405</v>
      </c>
      <c r="C558" t="s">
        <v>710</v>
      </c>
      <c r="D558">
        <v>0.62</v>
      </c>
      <c r="F558" t="s">
        <v>1635</v>
      </c>
      <c r="H558" t="s">
        <v>2842</v>
      </c>
      <c r="I558" t="s">
        <v>1390</v>
      </c>
      <c r="K558" t="s">
        <v>5037</v>
      </c>
      <c r="L558" t="s">
        <v>5039</v>
      </c>
    </row>
    <row r="559" spans="1:12" x14ac:dyDescent="0.35">
      <c r="A559" t="s">
        <v>102</v>
      </c>
      <c r="B559" t="s">
        <v>405</v>
      </c>
      <c r="C559" t="s">
        <v>162</v>
      </c>
      <c r="D559">
        <v>5.3999999999999999E-2</v>
      </c>
      <c r="F559" t="s">
        <v>1575</v>
      </c>
      <c r="H559" t="s">
        <v>2954</v>
      </c>
      <c r="I559" t="s">
        <v>1390</v>
      </c>
      <c r="K559" t="s">
        <v>5037</v>
      </c>
      <c r="L559" t="s">
        <v>5039</v>
      </c>
    </row>
    <row r="560" spans="1:12" x14ac:dyDescent="0.35">
      <c r="A560" t="s">
        <v>102</v>
      </c>
      <c r="B560" t="s">
        <v>405</v>
      </c>
      <c r="C560" t="s">
        <v>162</v>
      </c>
      <c r="D560">
        <v>4.3999999999999997E-2</v>
      </c>
      <c r="F560" t="s">
        <v>1429</v>
      </c>
      <c r="H560" t="s">
        <v>2955</v>
      </c>
      <c r="I560" t="s">
        <v>1390</v>
      </c>
      <c r="K560" t="s">
        <v>5037</v>
      </c>
      <c r="L560" t="s">
        <v>5039</v>
      </c>
    </row>
    <row r="561" spans="1:12" x14ac:dyDescent="0.35">
      <c r="A561" t="s">
        <v>102</v>
      </c>
      <c r="B561" t="s">
        <v>405</v>
      </c>
      <c r="C561" t="s">
        <v>162</v>
      </c>
      <c r="D561">
        <v>0.17100000000000001</v>
      </c>
      <c r="F561" t="s">
        <v>1636</v>
      </c>
      <c r="H561" t="s">
        <v>2956</v>
      </c>
      <c r="I561" t="s">
        <v>1390</v>
      </c>
      <c r="K561" t="s">
        <v>5037</v>
      </c>
      <c r="L561" t="s">
        <v>5039</v>
      </c>
    </row>
    <row r="562" spans="1:12" x14ac:dyDescent="0.35">
      <c r="A562" t="s">
        <v>102</v>
      </c>
      <c r="B562" t="s">
        <v>405</v>
      </c>
      <c r="C562" t="s">
        <v>162</v>
      </c>
      <c r="D562">
        <v>0.312</v>
      </c>
      <c r="F562" t="s">
        <v>1637</v>
      </c>
      <c r="H562" t="s">
        <v>2957</v>
      </c>
      <c r="I562" t="s">
        <v>1390</v>
      </c>
      <c r="K562" t="s">
        <v>5037</v>
      </c>
      <c r="L562" t="s">
        <v>5039</v>
      </c>
    </row>
    <row r="563" spans="1:12" x14ac:dyDescent="0.35">
      <c r="A563" t="s">
        <v>102</v>
      </c>
      <c r="B563" t="s">
        <v>405</v>
      </c>
      <c r="C563" t="s">
        <v>162</v>
      </c>
      <c r="D563">
        <v>0.11700000000000001</v>
      </c>
      <c r="F563" t="s">
        <v>1638</v>
      </c>
      <c r="H563" t="s">
        <v>2957</v>
      </c>
      <c r="I563" t="s">
        <v>1390</v>
      </c>
      <c r="K563" t="s">
        <v>5037</v>
      </c>
      <c r="L563" t="s">
        <v>5039</v>
      </c>
    </row>
    <row r="564" spans="1:12" x14ac:dyDescent="0.35">
      <c r="A564" t="s">
        <v>102</v>
      </c>
      <c r="B564" t="s">
        <v>405</v>
      </c>
      <c r="C564" t="s">
        <v>710</v>
      </c>
      <c r="D564">
        <v>0.51700000000000002</v>
      </c>
      <c r="F564" t="s">
        <v>1639</v>
      </c>
      <c r="H564" t="s">
        <v>2842</v>
      </c>
      <c r="I564" t="s">
        <v>1390</v>
      </c>
      <c r="K564" t="s">
        <v>5037</v>
      </c>
      <c r="L564" t="s">
        <v>5039</v>
      </c>
    </row>
    <row r="565" spans="1:12" x14ac:dyDescent="0.35">
      <c r="A565" t="s">
        <v>102</v>
      </c>
      <c r="B565" t="s">
        <v>405</v>
      </c>
      <c r="C565" t="s">
        <v>710</v>
      </c>
      <c r="D565">
        <v>0.53700000000000003</v>
      </c>
      <c r="F565" t="s">
        <v>1640</v>
      </c>
      <c r="H565" t="s">
        <v>2842</v>
      </c>
      <c r="I565" t="s">
        <v>1390</v>
      </c>
      <c r="K565" t="s">
        <v>5037</v>
      </c>
      <c r="L565" t="s">
        <v>5039</v>
      </c>
    </row>
    <row r="566" spans="1:12" x14ac:dyDescent="0.35">
      <c r="A566" t="s">
        <v>102</v>
      </c>
      <c r="B566" t="s">
        <v>405</v>
      </c>
      <c r="C566" t="s">
        <v>710</v>
      </c>
      <c r="D566">
        <v>0.54100000000000004</v>
      </c>
      <c r="F566" t="s">
        <v>1641</v>
      </c>
      <c r="H566" t="s">
        <v>2842</v>
      </c>
      <c r="I566" t="s">
        <v>1390</v>
      </c>
      <c r="K566" t="s">
        <v>5037</v>
      </c>
      <c r="L566" t="s">
        <v>5039</v>
      </c>
    </row>
    <row r="567" spans="1:12" x14ac:dyDescent="0.35">
      <c r="A567" t="s">
        <v>102</v>
      </c>
      <c r="B567" t="s">
        <v>405</v>
      </c>
      <c r="C567" t="s">
        <v>710</v>
      </c>
      <c r="D567">
        <v>0.73499999999999999</v>
      </c>
      <c r="F567" t="s">
        <v>1642</v>
      </c>
      <c r="H567" t="s">
        <v>2842</v>
      </c>
      <c r="I567" t="s">
        <v>1390</v>
      </c>
      <c r="K567" t="s">
        <v>5037</v>
      </c>
      <c r="L567" t="s">
        <v>5039</v>
      </c>
    </row>
    <row r="568" spans="1:12" x14ac:dyDescent="0.35">
      <c r="A568" t="s">
        <v>102</v>
      </c>
      <c r="B568" t="s">
        <v>405</v>
      </c>
      <c r="C568" t="s">
        <v>710</v>
      </c>
      <c r="D568">
        <v>0.82199999999999995</v>
      </c>
      <c r="F568" t="s">
        <v>1643</v>
      </c>
      <c r="H568" t="s">
        <v>2842</v>
      </c>
      <c r="I568" t="s">
        <v>1390</v>
      </c>
      <c r="K568" t="s">
        <v>5037</v>
      </c>
      <c r="L568" t="s">
        <v>5039</v>
      </c>
    </row>
    <row r="569" spans="1:12" x14ac:dyDescent="0.35">
      <c r="A569" t="s">
        <v>102</v>
      </c>
      <c r="B569" t="s">
        <v>405</v>
      </c>
      <c r="C569" t="s">
        <v>710</v>
      </c>
      <c r="D569">
        <v>0.96599999999999997</v>
      </c>
      <c r="F569" t="s">
        <v>1644</v>
      </c>
      <c r="H569" t="s">
        <v>2842</v>
      </c>
      <c r="I569" t="s">
        <v>1390</v>
      </c>
      <c r="K569" t="s">
        <v>5037</v>
      </c>
      <c r="L569" t="s">
        <v>5039</v>
      </c>
    </row>
    <row r="570" spans="1:12" x14ac:dyDescent="0.35">
      <c r="A570" t="s">
        <v>102</v>
      </c>
      <c r="B570" t="s">
        <v>405</v>
      </c>
      <c r="C570" t="s">
        <v>710</v>
      </c>
      <c r="D570">
        <v>1.016</v>
      </c>
      <c r="F570" t="s">
        <v>1645</v>
      </c>
      <c r="H570" t="s">
        <v>2842</v>
      </c>
      <c r="I570" t="s">
        <v>1390</v>
      </c>
      <c r="K570" t="s">
        <v>5037</v>
      </c>
      <c r="L570" t="s">
        <v>5039</v>
      </c>
    </row>
    <row r="571" spans="1:12" x14ac:dyDescent="0.35">
      <c r="A571" t="s">
        <v>102</v>
      </c>
      <c r="B571" t="s">
        <v>405</v>
      </c>
      <c r="C571" t="s">
        <v>162</v>
      </c>
      <c r="D571">
        <v>6.0999999999999999E-2</v>
      </c>
      <c r="F571" t="s">
        <v>1646</v>
      </c>
      <c r="H571" t="s">
        <v>2958</v>
      </c>
      <c r="I571" t="s">
        <v>1390</v>
      </c>
      <c r="K571" t="s">
        <v>5037</v>
      </c>
      <c r="L571" t="s">
        <v>5039</v>
      </c>
    </row>
    <row r="572" spans="1:12" x14ac:dyDescent="0.35">
      <c r="A572" t="s">
        <v>102</v>
      </c>
      <c r="B572" t="s">
        <v>179</v>
      </c>
      <c r="C572" t="s">
        <v>710</v>
      </c>
      <c r="D572">
        <v>1.79</v>
      </c>
      <c r="F572" t="s">
        <v>1647</v>
      </c>
      <c r="H572" t="s">
        <v>2842</v>
      </c>
      <c r="I572" t="s">
        <v>2393</v>
      </c>
      <c r="K572" t="s">
        <v>5037</v>
      </c>
      <c r="L572" t="s">
        <v>5039</v>
      </c>
    </row>
    <row r="573" spans="1:12" x14ac:dyDescent="0.35">
      <c r="A573" t="s">
        <v>102</v>
      </c>
      <c r="B573" t="s">
        <v>380</v>
      </c>
      <c r="C573" t="s">
        <v>714</v>
      </c>
      <c r="D573">
        <v>3.3</v>
      </c>
      <c r="F573" t="s">
        <v>1377</v>
      </c>
      <c r="I573" t="s">
        <v>4869</v>
      </c>
      <c r="K573" t="s">
        <v>5037</v>
      </c>
      <c r="L573" t="s">
        <v>5039</v>
      </c>
    </row>
    <row r="574" spans="1:12" x14ac:dyDescent="0.35">
      <c r="A574" t="s">
        <v>102</v>
      </c>
      <c r="B574" t="s">
        <v>380</v>
      </c>
      <c r="C574" t="s">
        <v>162</v>
      </c>
      <c r="D574">
        <v>0.15</v>
      </c>
      <c r="F574" t="s">
        <v>1269</v>
      </c>
      <c r="H574" t="s">
        <v>2959</v>
      </c>
      <c r="I574" t="s">
        <v>1461</v>
      </c>
      <c r="K574" t="s">
        <v>5037</v>
      </c>
      <c r="L574" t="s">
        <v>5039</v>
      </c>
    </row>
    <row r="575" spans="1:12" x14ac:dyDescent="0.35">
      <c r="A575" t="s">
        <v>102</v>
      </c>
      <c r="B575" t="s">
        <v>406</v>
      </c>
      <c r="C575" t="s">
        <v>708</v>
      </c>
      <c r="D575">
        <v>6.0999999999999999E-2</v>
      </c>
      <c r="F575" t="s">
        <v>1646</v>
      </c>
      <c r="I575" t="s">
        <v>1373</v>
      </c>
      <c r="K575" t="s">
        <v>5037</v>
      </c>
      <c r="L575" t="s">
        <v>5039</v>
      </c>
    </row>
    <row r="576" spans="1:12" x14ac:dyDescent="0.35">
      <c r="A576" t="s">
        <v>102</v>
      </c>
      <c r="B576" t="s">
        <v>406</v>
      </c>
      <c r="C576" t="s">
        <v>709</v>
      </c>
      <c r="D576">
        <v>1.1000000000000001</v>
      </c>
      <c r="F576" t="s">
        <v>1505</v>
      </c>
      <c r="I576" t="s">
        <v>1373</v>
      </c>
      <c r="K576" t="s">
        <v>5037</v>
      </c>
      <c r="L576" t="s">
        <v>5039</v>
      </c>
    </row>
    <row r="577" spans="1:12" x14ac:dyDescent="0.35">
      <c r="A577" t="s">
        <v>102</v>
      </c>
      <c r="B577" t="s">
        <v>406</v>
      </c>
      <c r="C577" t="s">
        <v>710</v>
      </c>
      <c r="D577">
        <v>1100</v>
      </c>
      <c r="F577" t="s">
        <v>1648</v>
      </c>
      <c r="H577" t="s">
        <v>2842</v>
      </c>
      <c r="I577" t="s">
        <v>1373</v>
      </c>
      <c r="K577" t="s">
        <v>5037</v>
      </c>
      <c r="L577" t="s">
        <v>5039</v>
      </c>
    </row>
    <row r="578" spans="1:12" x14ac:dyDescent="0.35">
      <c r="A578" t="s">
        <v>102</v>
      </c>
      <c r="B578" t="s">
        <v>406</v>
      </c>
      <c r="C578" t="s">
        <v>162</v>
      </c>
      <c r="D578">
        <v>0.24</v>
      </c>
      <c r="F578" t="s">
        <v>1488</v>
      </c>
      <c r="I578" t="s">
        <v>4893</v>
      </c>
      <c r="K578" t="s">
        <v>5037</v>
      </c>
      <c r="L578" t="s">
        <v>5039</v>
      </c>
    </row>
    <row r="579" spans="1:12" x14ac:dyDescent="0.35">
      <c r="A579" t="s">
        <v>102</v>
      </c>
      <c r="B579" t="s">
        <v>407</v>
      </c>
      <c r="C579" t="s">
        <v>710</v>
      </c>
      <c r="D579">
        <v>13</v>
      </c>
      <c r="F579" t="s">
        <v>1454</v>
      </c>
      <c r="H579" t="s">
        <v>2842</v>
      </c>
      <c r="I579" t="s">
        <v>1383</v>
      </c>
      <c r="K579" t="s">
        <v>5037</v>
      </c>
      <c r="L579" t="s">
        <v>5039</v>
      </c>
    </row>
    <row r="580" spans="1:12" x14ac:dyDescent="0.35">
      <c r="A580" t="s">
        <v>102</v>
      </c>
      <c r="B580" t="s">
        <v>408</v>
      </c>
      <c r="C580" t="s">
        <v>162</v>
      </c>
      <c r="D580">
        <v>7.8E-2</v>
      </c>
      <c r="F580" t="s">
        <v>1649</v>
      </c>
      <c r="H580" t="s">
        <v>2960</v>
      </c>
      <c r="I580" t="s">
        <v>1390</v>
      </c>
      <c r="K580" t="s">
        <v>5037</v>
      </c>
      <c r="L580" t="s">
        <v>5039</v>
      </c>
    </row>
    <row r="581" spans="1:12" x14ac:dyDescent="0.35">
      <c r="A581" t="s">
        <v>102</v>
      </c>
      <c r="B581" t="s">
        <v>408</v>
      </c>
      <c r="C581" t="s">
        <v>162</v>
      </c>
      <c r="D581">
        <v>2.5000000000000001E-2</v>
      </c>
      <c r="F581" t="s">
        <v>1282</v>
      </c>
      <c r="H581" t="s">
        <v>2961</v>
      </c>
      <c r="I581" t="s">
        <v>1390</v>
      </c>
      <c r="K581" t="s">
        <v>5037</v>
      </c>
      <c r="L581" t="s">
        <v>5039</v>
      </c>
    </row>
    <row r="582" spans="1:12" x14ac:dyDescent="0.35">
      <c r="A582" t="s">
        <v>102</v>
      </c>
      <c r="B582" t="s">
        <v>408</v>
      </c>
      <c r="C582" t="s">
        <v>162</v>
      </c>
      <c r="D582">
        <v>8.5999999999999993E-2</v>
      </c>
      <c r="F582" t="s">
        <v>1582</v>
      </c>
      <c r="H582" t="s">
        <v>2962</v>
      </c>
      <c r="I582" t="s">
        <v>1390</v>
      </c>
      <c r="K582" t="s">
        <v>5037</v>
      </c>
      <c r="L582" t="s">
        <v>5039</v>
      </c>
    </row>
    <row r="583" spans="1:12" x14ac:dyDescent="0.35">
      <c r="A583" t="s">
        <v>102</v>
      </c>
      <c r="B583" t="s">
        <v>408</v>
      </c>
      <c r="C583" t="s">
        <v>162</v>
      </c>
      <c r="D583">
        <v>0.14499999999999999</v>
      </c>
      <c r="F583" t="s">
        <v>1650</v>
      </c>
      <c r="H583" t="s">
        <v>2963</v>
      </c>
      <c r="I583" t="s">
        <v>1390</v>
      </c>
      <c r="K583" t="s">
        <v>5037</v>
      </c>
      <c r="L583" t="s">
        <v>5039</v>
      </c>
    </row>
    <row r="584" spans="1:12" x14ac:dyDescent="0.35">
      <c r="A584" t="s">
        <v>102</v>
      </c>
      <c r="B584" t="s">
        <v>408</v>
      </c>
      <c r="C584" t="s">
        <v>710</v>
      </c>
      <c r="D584">
        <v>0.94</v>
      </c>
      <c r="F584" t="s">
        <v>1651</v>
      </c>
      <c r="H584" t="s">
        <v>2842</v>
      </c>
      <c r="I584" t="s">
        <v>1390</v>
      </c>
      <c r="K584" t="s">
        <v>5037</v>
      </c>
      <c r="L584" t="s">
        <v>5039</v>
      </c>
    </row>
    <row r="585" spans="1:12" x14ac:dyDescent="0.35">
      <c r="A585" t="s">
        <v>102</v>
      </c>
      <c r="B585" t="s">
        <v>408</v>
      </c>
      <c r="C585" t="s">
        <v>162</v>
      </c>
      <c r="D585">
        <v>3.9E-2</v>
      </c>
      <c r="F585" t="s">
        <v>1407</v>
      </c>
      <c r="H585" t="s">
        <v>2964</v>
      </c>
      <c r="I585" t="s">
        <v>1390</v>
      </c>
      <c r="K585" t="s">
        <v>5037</v>
      </c>
      <c r="L585" t="s">
        <v>5039</v>
      </c>
    </row>
    <row r="586" spans="1:12" x14ac:dyDescent="0.35">
      <c r="A586" t="s">
        <v>102</v>
      </c>
      <c r="B586" t="s">
        <v>408</v>
      </c>
      <c r="C586" t="s">
        <v>710</v>
      </c>
      <c r="D586">
        <v>0.90900000000000003</v>
      </c>
      <c r="F586" t="s">
        <v>1652</v>
      </c>
      <c r="H586" t="s">
        <v>2842</v>
      </c>
      <c r="I586" t="s">
        <v>1390</v>
      </c>
      <c r="K586" t="s">
        <v>5037</v>
      </c>
      <c r="L586" t="s">
        <v>5039</v>
      </c>
    </row>
    <row r="587" spans="1:12" x14ac:dyDescent="0.35">
      <c r="A587" t="s">
        <v>102</v>
      </c>
      <c r="B587" t="s">
        <v>408</v>
      </c>
      <c r="C587" t="s">
        <v>710</v>
      </c>
      <c r="D587">
        <v>0.61599999999999999</v>
      </c>
      <c r="F587" t="s">
        <v>1653</v>
      </c>
      <c r="H587" t="s">
        <v>2842</v>
      </c>
      <c r="I587" t="s">
        <v>1390</v>
      </c>
      <c r="K587" t="s">
        <v>5037</v>
      </c>
      <c r="L587" t="s">
        <v>5039</v>
      </c>
    </row>
    <row r="588" spans="1:12" x14ac:dyDescent="0.35">
      <c r="A588" t="s">
        <v>102</v>
      </c>
      <c r="B588" t="s">
        <v>408</v>
      </c>
      <c r="C588" t="s">
        <v>710</v>
      </c>
      <c r="D588">
        <v>0.51500000000000001</v>
      </c>
      <c r="F588" t="s">
        <v>1654</v>
      </c>
      <c r="H588" t="s">
        <v>2842</v>
      </c>
      <c r="I588" t="s">
        <v>1390</v>
      </c>
      <c r="K588" t="s">
        <v>5037</v>
      </c>
      <c r="L588" t="s">
        <v>5039</v>
      </c>
    </row>
    <row r="589" spans="1:12" x14ac:dyDescent="0.35">
      <c r="A589" t="s">
        <v>102</v>
      </c>
      <c r="B589" t="s">
        <v>408</v>
      </c>
      <c r="C589" t="s">
        <v>710</v>
      </c>
      <c r="D589">
        <v>0.56699999999999995</v>
      </c>
      <c r="F589" t="s">
        <v>1655</v>
      </c>
      <c r="H589" t="s">
        <v>2842</v>
      </c>
      <c r="I589" t="s">
        <v>1390</v>
      </c>
      <c r="K589" t="s">
        <v>5037</v>
      </c>
      <c r="L589" t="s">
        <v>5039</v>
      </c>
    </row>
    <row r="590" spans="1:12" x14ac:dyDescent="0.35">
      <c r="A590" t="s">
        <v>102</v>
      </c>
      <c r="B590" t="s">
        <v>408</v>
      </c>
      <c r="C590" t="s">
        <v>710</v>
      </c>
      <c r="D590">
        <v>0.64100000000000001</v>
      </c>
      <c r="F590" t="s">
        <v>1656</v>
      </c>
      <c r="H590" t="s">
        <v>2842</v>
      </c>
      <c r="I590" t="s">
        <v>1390</v>
      </c>
      <c r="K590" t="s">
        <v>5037</v>
      </c>
      <c r="L590" t="s">
        <v>5039</v>
      </c>
    </row>
    <row r="591" spans="1:12" x14ac:dyDescent="0.35">
      <c r="A591" t="s">
        <v>102</v>
      </c>
      <c r="B591" t="s">
        <v>408</v>
      </c>
      <c r="C591" t="s">
        <v>710</v>
      </c>
      <c r="D591">
        <v>0.80300000000000005</v>
      </c>
      <c r="F591" t="s">
        <v>1657</v>
      </c>
      <c r="H591" t="s">
        <v>2842</v>
      </c>
      <c r="I591" t="s">
        <v>1390</v>
      </c>
      <c r="K591" t="s">
        <v>5037</v>
      </c>
      <c r="L591" t="s">
        <v>5039</v>
      </c>
    </row>
    <row r="592" spans="1:12" x14ac:dyDescent="0.35">
      <c r="A592" t="s">
        <v>102</v>
      </c>
      <c r="B592" t="s">
        <v>408</v>
      </c>
      <c r="C592" t="s">
        <v>710</v>
      </c>
      <c r="D592">
        <v>0.86199999999999999</v>
      </c>
      <c r="F592" t="s">
        <v>1658</v>
      </c>
      <c r="H592" t="s">
        <v>2842</v>
      </c>
      <c r="I592" t="s">
        <v>1390</v>
      </c>
      <c r="K592" t="s">
        <v>5037</v>
      </c>
      <c r="L592" t="s">
        <v>5039</v>
      </c>
    </row>
    <row r="593" spans="1:12" x14ac:dyDescent="0.35">
      <c r="A593" t="s">
        <v>102</v>
      </c>
      <c r="B593" t="s">
        <v>408</v>
      </c>
      <c r="C593" t="s">
        <v>710</v>
      </c>
      <c r="D593">
        <v>1.1910000000000001</v>
      </c>
      <c r="F593" t="s">
        <v>1659</v>
      </c>
      <c r="H593" t="s">
        <v>2842</v>
      </c>
      <c r="I593" t="s">
        <v>1390</v>
      </c>
      <c r="K593" t="s">
        <v>5037</v>
      </c>
      <c r="L593" t="s">
        <v>5039</v>
      </c>
    </row>
    <row r="594" spans="1:12" x14ac:dyDescent="0.35">
      <c r="A594" t="s">
        <v>102</v>
      </c>
      <c r="B594" t="s">
        <v>409</v>
      </c>
      <c r="C594" t="s">
        <v>162</v>
      </c>
      <c r="D594">
        <v>0.12</v>
      </c>
      <c r="F594" t="s">
        <v>1473</v>
      </c>
      <c r="H594" t="s">
        <v>2965</v>
      </c>
      <c r="I594" t="s">
        <v>1461</v>
      </c>
      <c r="K594" t="s">
        <v>5037</v>
      </c>
      <c r="L594" t="s">
        <v>5039</v>
      </c>
    </row>
    <row r="595" spans="1:12" x14ac:dyDescent="0.35">
      <c r="A595" t="s">
        <v>102</v>
      </c>
      <c r="B595" t="s">
        <v>409</v>
      </c>
      <c r="C595" t="s">
        <v>162</v>
      </c>
      <c r="D595">
        <v>0.08</v>
      </c>
      <c r="F595" t="s">
        <v>1402</v>
      </c>
      <c r="H595" t="s">
        <v>2966</v>
      </c>
      <c r="I595" t="s">
        <v>1461</v>
      </c>
      <c r="K595" t="s">
        <v>5037</v>
      </c>
      <c r="L595" t="s">
        <v>5039</v>
      </c>
    </row>
    <row r="596" spans="1:12" x14ac:dyDescent="0.35">
      <c r="A596" t="s">
        <v>102</v>
      </c>
      <c r="B596" t="s">
        <v>409</v>
      </c>
      <c r="C596" t="s">
        <v>710</v>
      </c>
      <c r="D596">
        <v>90.04</v>
      </c>
      <c r="F596" t="s">
        <v>1660</v>
      </c>
      <c r="H596" t="s">
        <v>2842</v>
      </c>
      <c r="I596" t="s">
        <v>1461</v>
      </c>
      <c r="K596" t="s">
        <v>5037</v>
      </c>
      <c r="L596" t="s">
        <v>5039</v>
      </c>
    </row>
    <row r="597" spans="1:12" x14ac:dyDescent="0.35">
      <c r="A597" t="s">
        <v>102</v>
      </c>
      <c r="B597" t="s">
        <v>409</v>
      </c>
      <c r="C597" t="s">
        <v>162</v>
      </c>
      <c r="D597">
        <v>0.14000000000000001</v>
      </c>
      <c r="F597" t="s">
        <v>1361</v>
      </c>
      <c r="H597" t="s">
        <v>2967</v>
      </c>
      <c r="I597" t="s">
        <v>1461</v>
      </c>
      <c r="K597" t="s">
        <v>5037</v>
      </c>
      <c r="L597" t="s">
        <v>5039</v>
      </c>
    </row>
    <row r="598" spans="1:12" x14ac:dyDescent="0.35">
      <c r="A598" t="s">
        <v>102</v>
      </c>
      <c r="B598" t="s">
        <v>409</v>
      </c>
      <c r="C598" t="s">
        <v>162</v>
      </c>
      <c r="D598">
        <v>0.18</v>
      </c>
      <c r="F598" t="s">
        <v>1531</v>
      </c>
      <c r="H598" t="s">
        <v>2968</v>
      </c>
      <c r="I598" t="s">
        <v>1461</v>
      </c>
      <c r="K598" t="s">
        <v>5037</v>
      </c>
      <c r="L598" t="s">
        <v>5039</v>
      </c>
    </row>
    <row r="599" spans="1:12" x14ac:dyDescent="0.35">
      <c r="A599" t="s">
        <v>156</v>
      </c>
      <c r="B599" t="s">
        <v>410</v>
      </c>
      <c r="C599" t="s">
        <v>695</v>
      </c>
      <c r="D599">
        <v>1.82</v>
      </c>
      <c r="F599" t="s">
        <v>1661</v>
      </c>
      <c r="H599" t="s">
        <v>2969</v>
      </c>
      <c r="I599" t="s">
        <v>1393</v>
      </c>
      <c r="K599" t="s">
        <v>5037</v>
      </c>
      <c r="L599" t="s">
        <v>5039</v>
      </c>
    </row>
    <row r="600" spans="1:12" x14ac:dyDescent="0.35">
      <c r="A600" t="s">
        <v>156</v>
      </c>
      <c r="B600" t="s">
        <v>410</v>
      </c>
      <c r="C600" t="s">
        <v>698</v>
      </c>
      <c r="D600">
        <v>6.33</v>
      </c>
      <c r="F600" t="s">
        <v>1662</v>
      </c>
      <c r="H600" t="s">
        <v>2969</v>
      </c>
      <c r="I600" t="s">
        <v>1393</v>
      </c>
      <c r="K600" t="s">
        <v>5037</v>
      </c>
      <c r="L600" t="s">
        <v>5039</v>
      </c>
    </row>
    <row r="601" spans="1:12" x14ac:dyDescent="0.35">
      <c r="A601" t="s">
        <v>156</v>
      </c>
      <c r="B601" t="s">
        <v>410</v>
      </c>
      <c r="C601" t="s">
        <v>162</v>
      </c>
      <c r="D601">
        <v>2.4500000000000002</v>
      </c>
      <c r="F601" t="s">
        <v>1446</v>
      </c>
      <c r="H601" t="s">
        <v>2969</v>
      </c>
      <c r="I601" t="s">
        <v>1393</v>
      </c>
      <c r="K601" t="s">
        <v>5037</v>
      </c>
      <c r="L601" t="s">
        <v>5039</v>
      </c>
    </row>
    <row r="602" spans="1:12" x14ac:dyDescent="0.35">
      <c r="A602" t="s">
        <v>156</v>
      </c>
      <c r="B602" t="s">
        <v>410</v>
      </c>
      <c r="C602" t="s">
        <v>704</v>
      </c>
      <c r="D602">
        <v>7.83</v>
      </c>
      <c r="F602" t="s">
        <v>1663</v>
      </c>
      <c r="H602" t="s">
        <v>2969</v>
      </c>
      <c r="I602" t="s">
        <v>1393</v>
      </c>
      <c r="K602" t="s">
        <v>5037</v>
      </c>
      <c r="L602" t="s">
        <v>5039</v>
      </c>
    </row>
    <row r="603" spans="1:12" x14ac:dyDescent="0.35">
      <c r="A603" t="s">
        <v>156</v>
      </c>
      <c r="B603" t="s">
        <v>410</v>
      </c>
      <c r="C603" t="s">
        <v>691</v>
      </c>
      <c r="D603">
        <v>56.13</v>
      </c>
      <c r="F603" t="s">
        <v>1664</v>
      </c>
      <c r="H603" t="s">
        <v>2969</v>
      </c>
      <c r="I603" t="s">
        <v>1393</v>
      </c>
      <c r="K603" t="s">
        <v>5037</v>
      </c>
      <c r="L603" t="s">
        <v>5039</v>
      </c>
    </row>
    <row r="604" spans="1:12" x14ac:dyDescent="0.35">
      <c r="A604" t="s">
        <v>156</v>
      </c>
      <c r="B604" t="s">
        <v>410</v>
      </c>
      <c r="C604" t="s">
        <v>163</v>
      </c>
      <c r="D604">
        <v>0.35</v>
      </c>
      <c r="F604" t="s">
        <v>1294</v>
      </c>
      <c r="H604" t="s">
        <v>2970</v>
      </c>
      <c r="I604" t="s">
        <v>1393</v>
      </c>
      <c r="K604" t="s">
        <v>5037</v>
      </c>
      <c r="L604" t="s">
        <v>5039</v>
      </c>
    </row>
    <row r="605" spans="1:12" x14ac:dyDescent="0.35">
      <c r="A605" t="s">
        <v>156</v>
      </c>
      <c r="B605" t="s">
        <v>411</v>
      </c>
      <c r="C605" t="s">
        <v>695</v>
      </c>
      <c r="D605">
        <v>0.5</v>
      </c>
      <c r="F605" t="s">
        <v>1440</v>
      </c>
      <c r="H605" t="s">
        <v>2971</v>
      </c>
      <c r="I605" t="s">
        <v>1454</v>
      </c>
      <c r="K605" t="s">
        <v>5037</v>
      </c>
      <c r="L605" t="s">
        <v>5039</v>
      </c>
    </row>
    <row r="606" spans="1:12" x14ac:dyDescent="0.35">
      <c r="A606" t="s">
        <v>156</v>
      </c>
      <c r="B606" t="s">
        <v>411</v>
      </c>
      <c r="C606" t="s">
        <v>163</v>
      </c>
      <c r="D606">
        <v>0.25</v>
      </c>
      <c r="F606" t="s">
        <v>1403</v>
      </c>
      <c r="H606" t="s">
        <v>2971</v>
      </c>
      <c r="I606" t="s">
        <v>1454</v>
      </c>
      <c r="K606" t="s">
        <v>5037</v>
      </c>
      <c r="L606" t="s">
        <v>5039</v>
      </c>
    </row>
    <row r="607" spans="1:12" x14ac:dyDescent="0.35">
      <c r="A607" t="s">
        <v>156</v>
      </c>
      <c r="B607" t="s">
        <v>412</v>
      </c>
      <c r="C607" t="s">
        <v>695</v>
      </c>
      <c r="D607">
        <v>1.86</v>
      </c>
      <c r="F607" t="s">
        <v>1604</v>
      </c>
      <c r="H607" t="s">
        <v>2972</v>
      </c>
      <c r="I607" t="s">
        <v>1889</v>
      </c>
      <c r="K607" t="s">
        <v>5037</v>
      </c>
      <c r="L607" t="s">
        <v>5039</v>
      </c>
    </row>
    <row r="608" spans="1:12" x14ac:dyDescent="0.35">
      <c r="A608" t="s">
        <v>156</v>
      </c>
      <c r="B608" t="s">
        <v>412</v>
      </c>
      <c r="C608" t="s">
        <v>695</v>
      </c>
      <c r="D608">
        <v>2.5</v>
      </c>
      <c r="F608" t="s">
        <v>1406</v>
      </c>
      <c r="H608" t="s">
        <v>2973</v>
      </c>
      <c r="I608" t="s">
        <v>1889</v>
      </c>
      <c r="K608" t="s">
        <v>5037</v>
      </c>
      <c r="L608" t="s">
        <v>5039</v>
      </c>
    </row>
    <row r="609" spans="1:12" x14ac:dyDescent="0.35">
      <c r="A609" t="s">
        <v>156</v>
      </c>
      <c r="B609" t="s">
        <v>413</v>
      </c>
      <c r="C609" t="s">
        <v>695</v>
      </c>
      <c r="D609">
        <v>0.45</v>
      </c>
      <c r="F609" t="s">
        <v>1316</v>
      </c>
      <c r="H609" t="s">
        <v>2974</v>
      </c>
      <c r="I609" t="s">
        <v>1467</v>
      </c>
      <c r="K609" t="s">
        <v>5037</v>
      </c>
      <c r="L609" t="s">
        <v>5039</v>
      </c>
    </row>
    <row r="610" spans="1:12" x14ac:dyDescent="0.35">
      <c r="A610" t="s">
        <v>156</v>
      </c>
      <c r="B610" t="s">
        <v>413</v>
      </c>
      <c r="C610" t="s">
        <v>695</v>
      </c>
      <c r="D610">
        <v>20</v>
      </c>
      <c r="F610" t="s">
        <v>1458</v>
      </c>
      <c r="H610" t="s">
        <v>2975</v>
      </c>
      <c r="I610" t="s">
        <v>1467</v>
      </c>
      <c r="K610" t="s">
        <v>5037</v>
      </c>
      <c r="L610" t="s">
        <v>5039</v>
      </c>
    </row>
    <row r="611" spans="1:12" x14ac:dyDescent="0.35">
      <c r="A611" t="s">
        <v>156</v>
      </c>
      <c r="B611" t="s">
        <v>413</v>
      </c>
      <c r="C611" t="s">
        <v>695</v>
      </c>
      <c r="D611">
        <v>5</v>
      </c>
      <c r="F611" t="s">
        <v>1477</v>
      </c>
      <c r="H611" t="s">
        <v>2976</v>
      </c>
      <c r="I611" t="s">
        <v>1467</v>
      </c>
      <c r="K611" t="s">
        <v>5037</v>
      </c>
      <c r="L611" t="s">
        <v>5039</v>
      </c>
    </row>
    <row r="612" spans="1:12" x14ac:dyDescent="0.35">
      <c r="A612" t="s">
        <v>156</v>
      </c>
      <c r="B612" t="s">
        <v>313</v>
      </c>
      <c r="C612" t="s">
        <v>724</v>
      </c>
      <c r="D612">
        <v>0.3</v>
      </c>
      <c r="F612" t="s">
        <v>1401</v>
      </c>
      <c r="H612" t="s">
        <v>2977</v>
      </c>
      <c r="I612" t="s">
        <v>1943</v>
      </c>
      <c r="K612" t="s">
        <v>5037</v>
      </c>
      <c r="L612" t="s">
        <v>5039</v>
      </c>
    </row>
    <row r="613" spans="1:12" x14ac:dyDescent="0.35">
      <c r="A613" t="s">
        <v>156</v>
      </c>
      <c r="B613" t="s">
        <v>313</v>
      </c>
      <c r="C613" t="s">
        <v>162</v>
      </c>
      <c r="D613">
        <v>0.6</v>
      </c>
      <c r="F613" t="s">
        <v>1519</v>
      </c>
      <c r="H613" t="s">
        <v>2978</v>
      </c>
      <c r="I613" t="s">
        <v>1943</v>
      </c>
      <c r="K613" t="s">
        <v>5037</v>
      </c>
      <c r="L613" t="s">
        <v>5039</v>
      </c>
    </row>
    <row r="614" spans="1:12" x14ac:dyDescent="0.35">
      <c r="A614" t="s">
        <v>156</v>
      </c>
      <c r="B614" t="s">
        <v>313</v>
      </c>
      <c r="C614" t="s">
        <v>161</v>
      </c>
      <c r="D614">
        <v>0.9</v>
      </c>
      <c r="F614" t="s">
        <v>1556</v>
      </c>
      <c r="H614" t="s">
        <v>2979</v>
      </c>
      <c r="I614" t="s">
        <v>1943</v>
      </c>
      <c r="K614" t="s">
        <v>5037</v>
      </c>
      <c r="L614" t="s">
        <v>5039</v>
      </c>
    </row>
    <row r="615" spans="1:12" x14ac:dyDescent="0.35">
      <c r="A615" t="s">
        <v>156</v>
      </c>
      <c r="B615" t="s">
        <v>313</v>
      </c>
      <c r="C615" t="s">
        <v>163</v>
      </c>
      <c r="D615">
        <v>4.5999999999999996</v>
      </c>
      <c r="F615" t="s">
        <v>1468</v>
      </c>
      <c r="H615" t="s">
        <v>2979</v>
      </c>
      <c r="I615" t="s">
        <v>1943</v>
      </c>
      <c r="K615" t="s">
        <v>5037</v>
      </c>
      <c r="L615" t="s">
        <v>5039</v>
      </c>
    </row>
    <row r="616" spans="1:12" x14ac:dyDescent="0.35">
      <c r="A616" t="s">
        <v>156</v>
      </c>
      <c r="B616" t="s">
        <v>313</v>
      </c>
      <c r="C616" t="s">
        <v>162</v>
      </c>
      <c r="D616">
        <v>0.8</v>
      </c>
      <c r="F616" t="s">
        <v>1319</v>
      </c>
      <c r="H616" t="s">
        <v>2979</v>
      </c>
      <c r="I616" t="s">
        <v>1943</v>
      </c>
      <c r="K616" t="s">
        <v>5037</v>
      </c>
      <c r="L616" t="s">
        <v>5039</v>
      </c>
    </row>
    <row r="617" spans="1:12" x14ac:dyDescent="0.35">
      <c r="A617" t="s">
        <v>156</v>
      </c>
      <c r="B617" t="s">
        <v>313</v>
      </c>
      <c r="C617" t="s">
        <v>695</v>
      </c>
      <c r="D617">
        <v>2.4</v>
      </c>
      <c r="F617" t="s">
        <v>1433</v>
      </c>
      <c r="H617" t="s">
        <v>2980</v>
      </c>
      <c r="I617" t="s">
        <v>1943</v>
      </c>
      <c r="K617" t="s">
        <v>5037</v>
      </c>
      <c r="L617" t="s">
        <v>5039</v>
      </c>
    </row>
    <row r="618" spans="1:12" x14ac:dyDescent="0.35">
      <c r="A618" t="s">
        <v>156</v>
      </c>
      <c r="B618" t="s">
        <v>313</v>
      </c>
      <c r="C618" t="s">
        <v>161</v>
      </c>
      <c r="D618">
        <v>1.2</v>
      </c>
      <c r="F618" t="s">
        <v>1421</v>
      </c>
      <c r="H618" t="s">
        <v>2978</v>
      </c>
      <c r="I618" t="s">
        <v>1943</v>
      </c>
      <c r="K618" t="s">
        <v>5037</v>
      </c>
      <c r="L618" t="s">
        <v>5039</v>
      </c>
    </row>
    <row r="619" spans="1:12" x14ac:dyDescent="0.35">
      <c r="A619" t="s">
        <v>156</v>
      </c>
      <c r="B619" t="s">
        <v>313</v>
      </c>
      <c r="C619" t="s">
        <v>695</v>
      </c>
      <c r="D619">
        <v>1.2</v>
      </c>
      <c r="F619" t="s">
        <v>1421</v>
      </c>
      <c r="H619" t="s">
        <v>2979</v>
      </c>
      <c r="I619" t="s">
        <v>1943</v>
      </c>
      <c r="K619" t="s">
        <v>5037</v>
      </c>
      <c r="L619" t="s">
        <v>5039</v>
      </c>
    </row>
    <row r="620" spans="1:12" x14ac:dyDescent="0.35">
      <c r="A620" t="s">
        <v>156</v>
      </c>
      <c r="B620" t="s">
        <v>313</v>
      </c>
      <c r="C620" t="s">
        <v>724</v>
      </c>
      <c r="D620">
        <v>2.8</v>
      </c>
      <c r="F620" t="s">
        <v>1504</v>
      </c>
      <c r="H620" t="s">
        <v>2980</v>
      </c>
      <c r="I620" t="s">
        <v>1943</v>
      </c>
      <c r="K620" t="s">
        <v>5037</v>
      </c>
      <c r="L620" t="s">
        <v>5039</v>
      </c>
    </row>
    <row r="621" spans="1:12" x14ac:dyDescent="0.35">
      <c r="A621" t="s">
        <v>156</v>
      </c>
      <c r="B621" t="s">
        <v>313</v>
      </c>
      <c r="C621" t="s">
        <v>163</v>
      </c>
      <c r="D621">
        <v>9.6</v>
      </c>
      <c r="F621" t="s">
        <v>1665</v>
      </c>
      <c r="H621" t="s">
        <v>2980</v>
      </c>
      <c r="I621" t="s">
        <v>1943</v>
      </c>
      <c r="K621" t="s">
        <v>5037</v>
      </c>
      <c r="L621" t="s">
        <v>5039</v>
      </c>
    </row>
    <row r="622" spans="1:12" x14ac:dyDescent="0.35">
      <c r="A622" t="s">
        <v>156</v>
      </c>
      <c r="B622" t="s">
        <v>313</v>
      </c>
      <c r="C622" t="s">
        <v>163</v>
      </c>
      <c r="D622">
        <v>14.8</v>
      </c>
      <c r="F622" t="s">
        <v>1666</v>
      </c>
      <c r="H622" t="s">
        <v>2977</v>
      </c>
      <c r="I622" t="s">
        <v>1943</v>
      </c>
      <c r="K622" t="s">
        <v>5037</v>
      </c>
      <c r="L622" t="s">
        <v>5039</v>
      </c>
    </row>
    <row r="623" spans="1:12" x14ac:dyDescent="0.35">
      <c r="A623" t="s">
        <v>156</v>
      </c>
      <c r="B623" t="s">
        <v>313</v>
      </c>
      <c r="C623" t="s">
        <v>724</v>
      </c>
      <c r="D623">
        <v>20.399999999999999</v>
      </c>
      <c r="F623" t="s">
        <v>1667</v>
      </c>
      <c r="H623" t="s">
        <v>2979</v>
      </c>
      <c r="I623" t="s">
        <v>1943</v>
      </c>
      <c r="K623" t="s">
        <v>5037</v>
      </c>
      <c r="L623" t="s">
        <v>5039</v>
      </c>
    </row>
    <row r="624" spans="1:12" x14ac:dyDescent="0.35">
      <c r="A624" t="s">
        <v>156</v>
      </c>
      <c r="B624" t="s">
        <v>313</v>
      </c>
      <c r="C624" t="s">
        <v>695</v>
      </c>
      <c r="D624">
        <v>2.2999999999999998</v>
      </c>
      <c r="F624" t="s">
        <v>1453</v>
      </c>
      <c r="H624" t="s">
        <v>2981</v>
      </c>
      <c r="I624" t="s">
        <v>1943</v>
      </c>
      <c r="K624" t="s">
        <v>5037</v>
      </c>
      <c r="L624" t="s">
        <v>5039</v>
      </c>
    </row>
    <row r="625" spans="1:12" x14ac:dyDescent="0.35">
      <c r="A625" t="s">
        <v>156</v>
      </c>
      <c r="B625" t="s">
        <v>320</v>
      </c>
      <c r="C625" t="s">
        <v>699</v>
      </c>
      <c r="D625">
        <v>0.9</v>
      </c>
      <c r="F625" t="s">
        <v>1556</v>
      </c>
      <c r="H625" t="s">
        <v>2982</v>
      </c>
      <c r="I625" t="s">
        <v>2254</v>
      </c>
      <c r="K625" t="s">
        <v>5037</v>
      </c>
      <c r="L625" t="s">
        <v>5039</v>
      </c>
    </row>
    <row r="626" spans="1:12" x14ac:dyDescent="0.35">
      <c r="A626" t="s">
        <v>156</v>
      </c>
      <c r="B626" t="s">
        <v>320</v>
      </c>
      <c r="C626" t="s">
        <v>695</v>
      </c>
      <c r="D626">
        <v>1.8</v>
      </c>
      <c r="F626" t="s">
        <v>1375</v>
      </c>
      <c r="H626" t="s">
        <v>2982</v>
      </c>
      <c r="I626" t="s">
        <v>2254</v>
      </c>
      <c r="K626" t="s">
        <v>5037</v>
      </c>
      <c r="L626" t="s">
        <v>5039</v>
      </c>
    </row>
    <row r="627" spans="1:12" x14ac:dyDescent="0.35">
      <c r="A627" t="s">
        <v>156</v>
      </c>
      <c r="B627" t="s">
        <v>320</v>
      </c>
      <c r="C627" t="s">
        <v>725</v>
      </c>
      <c r="D627">
        <v>0.7</v>
      </c>
      <c r="F627" t="s">
        <v>1378</v>
      </c>
      <c r="H627" t="s">
        <v>2982</v>
      </c>
      <c r="I627" t="s">
        <v>2254</v>
      </c>
      <c r="K627" t="s">
        <v>5037</v>
      </c>
      <c r="L627" t="s">
        <v>5039</v>
      </c>
    </row>
    <row r="628" spans="1:12" x14ac:dyDescent="0.35">
      <c r="A628" t="s">
        <v>156</v>
      </c>
      <c r="B628" t="s">
        <v>320</v>
      </c>
      <c r="C628" t="s">
        <v>698</v>
      </c>
      <c r="D628">
        <v>11.4</v>
      </c>
      <c r="F628" t="s">
        <v>1668</v>
      </c>
      <c r="H628" t="s">
        <v>2982</v>
      </c>
      <c r="I628" t="s">
        <v>2254</v>
      </c>
      <c r="K628" t="s">
        <v>5037</v>
      </c>
      <c r="L628" t="s">
        <v>5039</v>
      </c>
    </row>
    <row r="629" spans="1:12" x14ac:dyDescent="0.35">
      <c r="A629" t="s">
        <v>156</v>
      </c>
      <c r="B629" t="s">
        <v>320</v>
      </c>
      <c r="C629" t="s">
        <v>164</v>
      </c>
      <c r="D629">
        <v>4.9000000000000004</v>
      </c>
      <c r="F629" t="s">
        <v>1669</v>
      </c>
      <c r="H629" t="s">
        <v>2982</v>
      </c>
      <c r="I629" t="s">
        <v>2254</v>
      </c>
      <c r="K629" t="s">
        <v>5037</v>
      </c>
      <c r="L629" t="s">
        <v>5039</v>
      </c>
    </row>
    <row r="630" spans="1:12" x14ac:dyDescent="0.35">
      <c r="A630" t="s">
        <v>156</v>
      </c>
      <c r="B630" t="s">
        <v>320</v>
      </c>
      <c r="C630" t="s">
        <v>726</v>
      </c>
      <c r="D630">
        <v>7.3</v>
      </c>
      <c r="F630" t="s">
        <v>1670</v>
      </c>
      <c r="H630" t="s">
        <v>2982</v>
      </c>
      <c r="I630" t="s">
        <v>2254</v>
      </c>
      <c r="K630" t="s">
        <v>5037</v>
      </c>
      <c r="L630" t="s">
        <v>5039</v>
      </c>
    </row>
    <row r="631" spans="1:12" x14ac:dyDescent="0.35">
      <c r="A631" t="s">
        <v>156</v>
      </c>
      <c r="B631" t="s">
        <v>320</v>
      </c>
      <c r="C631" t="s">
        <v>163</v>
      </c>
      <c r="D631">
        <v>1.8</v>
      </c>
      <c r="F631" t="s">
        <v>1375</v>
      </c>
      <c r="H631" t="s">
        <v>2983</v>
      </c>
      <c r="I631" t="s">
        <v>2254</v>
      </c>
      <c r="K631" t="s">
        <v>5037</v>
      </c>
      <c r="L631" t="s">
        <v>5039</v>
      </c>
    </row>
    <row r="632" spans="1:12" x14ac:dyDescent="0.35">
      <c r="A632" t="s">
        <v>156</v>
      </c>
      <c r="B632" t="s">
        <v>179</v>
      </c>
      <c r="C632" t="s">
        <v>727</v>
      </c>
      <c r="D632">
        <v>1.3</v>
      </c>
      <c r="F632" t="s">
        <v>1358</v>
      </c>
      <c r="H632" t="s">
        <v>2984</v>
      </c>
      <c r="I632" t="s">
        <v>1943</v>
      </c>
      <c r="K632" t="s">
        <v>5037</v>
      </c>
      <c r="L632" t="s">
        <v>5039</v>
      </c>
    </row>
    <row r="633" spans="1:12" x14ac:dyDescent="0.35">
      <c r="A633" t="s">
        <v>156</v>
      </c>
      <c r="B633" t="s">
        <v>179</v>
      </c>
      <c r="C633" t="s">
        <v>163</v>
      </c>
      <c r="D633">
        <v>0.4</v>
      </c>
      <c r="F633" t="s">
        <v>1315</v>
      </c>
      <c r="H633" t="s">
        <v>2985</v>
      </c>
      <c r="I633" t="s">
        <v>1943</v>
      </c>
      <c r="K633" t="s">
        <v>5037</v>
      </c>
      <c r="L633" t="s">
        <v>5039</v>
      </c>
    </row>
    <row r="634" spans="1:12" x14ac:dyDescent="0.35">
      <c r="A634" t="s">
        <v>156</v>
      </c>
      <c r="B634" t="s">
        <v>179</v>
      </c>
      <c r="C634" t="s">
        <v>164</v>
      </c>
      <c r="D634">
        <v>2.2000000000000002</v>
      </c>
      <c r="F634" t="s">
        <v>1417</v>
      </c>
      <c r="H634" t="s">
        <v>2985</v>
      </c>
      <c r="I634" t="s">
        <v>1943</v>
      </c>
      <c r="K634" t="s">
        <v>5037</v>
      </c>
      <c r="L634" t="s">
        <v>5039</v>
      </c>
    </row>
    <row r="635" spans="1:12" x14ac:dyDescent="0.35">
      <c r="A635" t="s">
        <v>156</v>
      </c>
      <c r="B635" t="s">
        <v>179</v>
      </c>
      <c r="C635" t="s">
        <v>695</v>
      </c>
      <c r="D635">
        <v>5.3</v>
      </c>
      <c r="F635" t="s">
        <v>1671</v>
      </c>
      <c r="H635" t="s">
        <v>2986</v>
      </c>
      <c r="I635" t="s">
        <v>1943</v>
      </c>
      <c r="K635" t="s">
        <v>5037</v>
      </c>
      <c r="L635" t="s">
        <v>5039</v>
      </c>
    </row>
    <row r="636" spans="1:12" x14ac:dyDescent="0.35">
      <c r="A636" t="s">
        <v>156</v>
      </c>
      <c r="B636" t="s">
        <v>179</v>
      </c>
      <c r="C636" t="s">
        <v>727</v>
      </c>
      <c r="D636">
        <v>1.2</v>
      </c>
      <c r="F636" t="s">
        <v>1421</v>
      </c>
      <c r="H636" t="s">
        <v>2987</v>
      </c>
      <c r="I636" t="s">
        <v>1943</v>
      </c>
      <c r="K636" t="s">
        <v>5037</v>
      </c>
      <c r="L636" t="s">
        <v>5039</v>
      </c>
    </row>
    <row r="637" spans="1:12" x14ac:dyDescent="0.35">
      <c r="A637" t="s">
        <v>156</v>
      </c>
      <c r="B637" t="s">
        <v>179</v>
      </c>
      <c r="C637" t="s">
        <v>164</v>
      </c>
      <c r="D637">
        <v>1.9</v>
      </c>
      <c r="F637" t="s">
        <v>1503</v>
      </c>
      <c r="H637" t="s">
        <v>2988</v>
      </c>
      <c r="I637" t="s">
        <v>1943</v>
      </c>
      <c r="K637" t="s">
        <v>5037</v>
      </c>
      <c r="L637" t="s">
        <v>5039</v>
      </c>
    </row>
    <row r="638" spans="1:12" x14ac:dyDescent="0.35">
      <c r="A638" t="s">
        <v>156</v>
      </c>
      <c r="B638" t="s">
        <v>179</v>
      </c>
      <c r="C638" t="s">
        <v>164</v>
      </c>
      <c r="D638">
        <v>8.8000000000000007</v>
      </c>
      <c r="F638" t="s">
        <v>1672</v>
      </c>
      <c r="H638" t="s">
        <v>2986</v>
      </c>
      <c r="I638" t="s">
        <v>1943</v>
      </c>
      <c r="K638" t="s">
        <v>5037</v>
      </c>
      <c r="L638" t="s">
        <v>5039</v>
      </c>
    </row>
    <row r="639" spans="1:12" x14ac:dyDescent="0.35">
      <c r="A639" t="s">
        <v>156</v>
      </c>
      <c r="B639" t="s">
        <v>179</v>
      </c>
      <c r="C639" t="s">
        <v>163</v>
      </c>
      <c r="D639">
        <v>3.5</v>
      </c>
      <c r="F639" t="s">
        <v>1451</v>
      </c>
      <c r="H639" t="s">
        <v>2986</v>
      </c>
      <c r="I639" t="s">
        <v>1943</v>
      </c>
      <c r="K639" t="s">
        <v>5037</v>
      </c>
      <c r="L639" t="s">
        <v>5039</v>
      </c>
    </row>
    <row r="640" spans="1:12" x14ac:dyDescent="0.35">
      <c r="A640" t="s">
        <v>156</v>
      </c>
      <c r="B640" t="s">
        <v>414</v>
      </c>
      <c r="C640" t="s">
        <v>163</v>
      </c>
      <c r="D640">
        <v>0.3</v>
      </c>
      <c r="F640" t="s">
        <v>1401</v>
      </c>
      <c r="H640" t="s">
        <v>2989</v>
      </c>
      <c r="I640" t="s">
        <v>4859</v>
      </c>
      <c r="K640" t="s">
        <v>5037</v>
      </c>
      <c r="L640" t="s">
        <v>5039</v>
      </c>
    </row>
    <row r="641" spans="1:12" x14ac:dyDescent="0.35">
      <c r="A641" t="s">
        <v>156</v>
      </c>
      <c r="B641" t="s">
        <v>414</v>
      </c>
      <c r="C641" t="s">
        <v>728</v>
      </c>
      <c r="D641">
        <v>1.5</v>
      </c>
      <c r="F641" t="s">
        <v>1426</v>
      </c>
      <c r="H641" t="s">
        <v>2842</v>
      </c>
      <c r="I641" t="s">
        <v>4859</v>
      </c>
      <c r="K641" t="s">
        <v>5037</v>
      </c>
      <c r="L641" t="s">
        <v>5039</v>
      </c>
    </row>
    <row r="642" spans="1:12" x14ac:dyDescent="0.35">
      <c r="A642" t="s">
        <v>156</v>
      </c>
      <c r="B642" t="s">
        <v>178</v>
      </c>
      <c r="C642" t="s">
        <v>163</v>
      </c>
      <c r="D642">
        <v>0.19</v>
      </c>
      <c r="F642" t="s">
        <v>1538</v>
      </c>
      <c r="H642" t="s">
        <v>2990</v>
      </c>
      <c r="I642" t="s">
        <v>2253</v>
      </c>
      <c r="K642" t="s">
        <v>5037</v>
      </c>
      <c r="L642" t="s">
        <v>5039</v>
      </c>
    </row>
    <row r="643" spans="1:12" x14ac:dyDescent="0.35">
      <c r="A643" t="s">
        <v>156</v>
      </c>
      <c r="B643" t="s">
        <v>178</v>
      </c>
      <c r="C643" t="s">
        <v>695</v>
      </c>
      <c r="D643">
        <v>0.19</v>
      </c>
      <c r="F643" t="s">
        <v>1538</v>
      </c>
      <c r="H643" t="s">
        <v>2990</v>
      </c>
      <c r="I643" t="s">
        <v>2253</v>
      </c>
      <c r="K643" t="s">
        <v>5037</v>
      </c>
      <c r="L643" t="s">
        <v>5039</v>
      </c>
    </row>
    <row r="644" spans="1:12" x14ac:dyDescent="0.35">
      <c r="A644" t="s">
        <v>156</v>
      </c>
      <c r="B644" t="s">
        <v>178</v>
      </c>
      <c r="C644" t="s">
        <v>729</v>
      </c>
      <c r="D644">
        <v>0.22</v>
      </c>
      <c r="F644" t="s">
        <v>1438</v>
      </c>
      <c r="H644" t="s">
        <v>2991</v>
      </c>
      <c r="I644" t="s">
        <v>2253</v>
      </c>
      <c r="K644" t="s">
        <v>5037</v>
      </c>
      <c r="L644" t="s">
        <v>5039</v>
      </c>
    </row>
    <row r="645" spans="1:12" x14ac:dyDescent="0.35">
      <c r="A645" t="s">
        <v>156</v>
      </c>
      <c r="B645" t="s">
        <v>178</v>
      </c>
      <c r="C645" t="s">
        <v>164</v>
      </c>
      <c r="D645">
        <v>1.4</v>
      </c>
      <c r="F645" t="s">
        <v>1469</v>
      </c>
      <c r="H645" t="s">
        <v>2990</v>
      </c>
      <c r="I645" t="s">
        <v>2253</v>
      </c>
      <c r="K645" t="s">
        <v>5037</v>
      </c>
      <c r="L645" t="s">
        <v>5039</v>
      </c>
    </row>
    <row r="646" spans="1:12" x14ac:dyDescent="0.35">
      <c r="A646" t="s">
        <v>156</v>
      </c>
      <c r="B646" t="s">
        <v>178</v>
      </c>
      <c r="C646" t="s">
        <v>698</v>
      </c>
      <c r="D646">
        <v>0.84</v>
      </c>
      <c r="F646" t="s">
        <v>1673</v>
      </c>
      <c r="H646" t="s">
        <v>2990</v>
      </c>
      <c r="I646" t="s">
        <v>2253</v>
      </c>
      <c r="K646" t="s">
        <v>5037</v>
      </c>
      <c r="L646" t="s">
        <v>5039</v>
      </c>
    </row>
    <row r="647" spans="1:12" x14ac:dyDescent="0.35">
      <c r="A647" t="s">
        <v>156</v>
      </c>
      <c r="B647" t="s">
        <v>178</v>
      </c>
      <c r="C647" t="s">
        <v>730</v>
      </c>
      <c r="D647">
        <v>0.13</v>
      </c>
      <c r="F647" t="s">
        <v>1466</v>
      </c>
      <c r="H647" t="s">
        <v>2990</v>
      </c>
      <c r="I647" t="s">
        <v>2253</v>
      </c>
      <c r="K647" t="s">
        <v>5037</v>
      </c>
      <c r="L647" t="s">
        <v>5039</v>
      </c>
    </row>
    <row r="648" spans="1:12" x14ac:dyDescent="0.35">
      <c r="A648" t="s">
        <v>156</v>
      </c>
      <c r="B648" t="s">
        <v>415</v>
      </c>
      <c r="C648" t="s">
        <v>699</v>
      </c>
      <c r="D648">
        <v>1.5</v>
      </c>
      <c r="F648" t="s">
        <v>1426</v>
      </c>
      <c r="H648" t="s">
        <v>2992</v>
      </c>
      <c r="I648" t="s">
        <v>4894</v>
      </c>
      <c r="K648" t="s">
        <v>5037</v>
      </c>
      <c r="L648" t="s">
        <v>5039</v>
      </c>
    </row>
    <row r="649" spans="1:12" x14ac:dyDescent="0.35">
      <c r="A649" t="s">
        <v>156</v>
      </c>
      <c r="B649" t="s">
        <v>415</v>
      </c>
      <c r="C649" t="s">
        <v>695</v>
      </c>
      <c r="D649">
        <v>1.9</v>
      </c>
      <c r="F649" t="s">
        <v>1503</v>
      </c>
      <c r="H649" t="s">
        <v>2993</v>
      </c>
      <c r="I649" t="s">
        <v>4894</v>
      </c>
      <c r="K649" t="s">
        <v>5037</v>
      </c>
      <c r="L649" t="s">
        <v>5039</v>
      </c>
    </row>
    <row r="650" spans="1:12" x14ac:dyDescent="0.35">
      <c r="A650" t="s">
        <v>156</v>
      </c>
      <c r="B650" t="s">
        <v>415</v>
      </c>
      <c r="C650" t="s">
        <v>698</v>
      </c>
      <c r="D650">
        <v>4.3</v>
      </c>
      <c r="F650" t="s">
        <v>1674</v>
      </c>
      <c r="H650" t="s">
        <v>2994</v>
      </c>
      <c r="I650" t="s">
        <v>4894</v>
      </c>
      <c r="K650" t="s">
        <v>5037</v>
      </c>
      <c r="L650" t="s">
        <v>5039</v>
      </c>
    </row>
    <row r="651" spans="1:12" x14ac:dyDescent="0.35">
      <c r="A651" t="s">
        <v>156</v>
      </c>
      <c r="B651" t="s">
        <v>415</v>
      </c>
      <c r="C651" t="s">
        <v>164</v>
      </c>
      <c r="D651">
        <v>11.1</v>
      </c>
      <c r="F651" t="s">
        <v>1675</v>
      </c>
      <c r="H651" t="s">
        <v>2995</v>
      </c>
      <c r="I651" t="s">
        <v>4894</v>
      </c>
      <c r="K651" t="s">
        <v>5037</v>
      </c>
      <c r="L651" t="s">
        <v>5039</v>
      </c>
    </row>
    <row r="652" spans="1:12" x14ac:dyDescent="0.35">
      <c r="A652" t="s">
        <v>156</v>
      </c>
      <c r="B652" t="s">
        <v>415</v>
      </c>
      <c r="C652" t="s">
        <v>699</v>
      </c>
      <c r="D652">
        <v>2.6</v>
      </c>
      <c r="F652" t="s">
        <v>1428</v>
      </c>
      <c r="H652" t="s">
        <v>2996</v>
      </c>
      <c r="I652" t="s">
        <v>4894</v>
      </c>
      <c r="K652" t="s">
        <v>5037</v>
      </c>
      <c r="L652" t="s">
        <v>5039</v>
      </c>
    </row>
    <row r="653" spans="1:12" x14ac:dyDescent="0.35">
      <c r="A653" t="s">
        <v>156</v>
      </c>
      <c r="B653" t="s">
        <v>415</v>
      </c>
      <c r="C653" t="s">
        <v>725</v>
      </c>
      <c r="D653">
        <v>7.9</v>
      </c>
      <c r="F653" t="s">
        <v>1676</v>
      </c>
      <c r="H653" t="s">
        <v>2997</v>
      </c>
      <c r="I653" t="s">
        <v>4894</v>
      </c>
      <c r="K653" t="s">
        <v>5037</v>
      </c>
      <c r="L653" t="s">
        <v>5039</v>
      </c>
    </row>
    <row r="654" spans="1:12" x14ac:dyDescent="0.35">
      <c r="A654" t="s">
        <v>156</v>
      </c>
      <c r="B654" t="s">
        <v>415</v>
      </c>
      <c r="C654" t="s">
        <v>698</v>
      </c>
      <c r="D654">
        <v>13.8</v>
      </c>
      <c r="F654" t="s">
        <v>1677</v>
      </c>
      <c r="H654" t="s">
        <v>2998</v>
      </c>
      <c r="I654" t="s">
        <v>4894</v>
      </c>
      <c r="K654" t="s">
        <v>5037</v>
      </c>
      <c r="L654" t="s">
        <v>5039</v>
      </c>
    </row>
    <row r="655" spans="1:12" x14ac:dyDescent="0.35">
      <c r="A655" t="s">
        <v>156</v>
      </c>
      <c r="B655" t="s">
        <v>353</v>
      </c>
      <c r="C655" t="s">
        <v>695</v>
      </c>
      <c r="D655">
        <v>0.21</v>
      </c>
      <c r="F655" t="s">
        <v>1572</v>
      </c>
      <c r="H655" t="s">
        <v>2999</v>
      </c>
      <c r="I655" t="s">
        <v>1584</v>
      </c>
      <c r="K655" t="s">
        <v>5037</v>
      </c>
      <c r="L655" t="s">
        <v>5039</v>
      </c>
    </row>
    <row r="656" spans="1:12" x14ac:dyDescent="0.35">
      <c r="A656" t="s">
        <v>156</v>
      </c>
      <c r="B656" t="s">
        <v>353</v>
      </c>
      <c r="C656" t="s">
        <v>695</v>
      </c>
      <c r="D656">
        <v>0.28999999999999998</v>
      </c>
      <c r="F656" t="s">
        <v>1396</v>
      </c>
      <c r="H656" t="s">
        <v>3000</v>
      </c>
      <c r="I656" t="s">
        <v>1584</v>
      </c>
      <c r="K656" t="s">
        <v>5037</v>
      </c>
      <c r="L656" t="s">
        <v>5039</v>
      </c>
    </row>
    <row r="657" spans="1:12" x14ac:dyDescent="0.35">
      <c r="A657" t="s">
        <v>156</v>
      </c>
      <c r="B657" t="s">
        <v>353</v>
      </c>
      <c r="C657" t="s">
        <v>695</v>
      </c>
      <c r="D657">
        <v>0.33</v>
      </c>
      <c r="F657" t="s">
        <v>1397</v>
      </c>
      <c r="H657" t="s">
        <v>3001</v>
      </c>
      <c r="I657" t="s">
        <v>1584</v>
      </c>
      <c r="K657" t="s">
        <v>5037</v>
      </c>
      <c r="L657" t="s">
        <v>5039</v>
      </c>
    </row>
    <row r="658" spans="1:12" x14ac:dyDescent="0.35">
      <c r="A658" t="s">
        <v>156</v>
      </c>
      <c r="B658" t="s">
        <v>416</v>
      </c>
      <c r="C658" t="s">
        <v>695</v>
      </c>
      <c r="D658">
        <v>3.5</v>
      </c>
      <c r="F658" t="s">
        <v>1451</v>
      </c>
      <c r="H658" t="s">
        <v>3002</v>
      </c>
      <c r="I658" t="s">
        <v>4861</v>
      </c>
      <c r="K658" t="s">
        <v>5037</v>
      </c>
      <c r="L658" t="s">
        <v>5039</v>
      </c>
    </row>
    <row r="659" spans="1:12" x14ac:dyDescent="0.35">
      <c r="A659" t="s">
        <v>156</v>
      </c>
      <c r="B659" t="s">
        <v>416</v>
      </c>
      <c r="C659" t="s">
        <v>695</v>
      </c>
      <c r="D659">
        <v>3.468</v>
      </c>
      <c r="F659" t="s">
        <v>1678</v>
      </c>
      <c r="H659" t="s">
        <v>3003</v>
      </c>
      <c r="I659" t="s">
        <v>4877</v>
      </c>
      <c r="K659" t="s">
        <v>5037</v>
      </c>
      <c r="L659" t="s">
        <v>5039</v>
      </c>
    </row>
    <row r="660" spans="1:12" x14ac:dyDescent="0.35">
      <c r="A660" t="s">
        <v>156</v>
      </c>
      <c r="B660" t="s">
        <v>416</v>
      </c>
      <c r="C660" t="s">
        <v>695</v>
      </c>
      <c r="D660">
        <v>4.5810000000000004</v>
      </c>
      <c r="F660" t="s">
        <v>1679</v>
      </c>
      <c r="H660" t="s">
        <v>3004</v>
      </c>
      <c r="I660" t="s">
        <v>4877</v>
      </c>
      <c r="K660" t="s">
        <v>5037</v>
      </c>
      <c r="L660" t="s">
        <v>5039</v>
      </c>
    </row>
    <row r="661" spans="1:12" x14ac:dyDescent="0.35">
      <c r="A661" t="s">
        <v>156</v>
      </c>
      <c r="B661" t="s">
        <v>416</v>
      </c>
      <c r="C661" t="s">
        <v>162</v>
      </c>
      <c r="D661">
        <v>42.67</v>
      </c>
      <c r="F661" t="s">
        <v>1680</v>
      </c>
      <c r="H661" t="s">
        <v>3005</v>
      </c>
      <c r="I661" t="s">
        <v>4861</v>
      </c>
      <c r="K661" t="s">
        <v>5037</v>
      </c>
      <c r="L661" t="s">
        <v>5039</v>
      </c>
    </row>
    <row r="662" spans="1:12" x14ac:dyDescent="0.35">
      <c r="A662" t="s">
        <v>156</v>
      </c>
      <c r="B662" t="s">
        <v>416</v>
      </c>
      <c r="C662" t="s">
        <v>695</v>
      </c>
      <c r="D662">
        <v>0.78090000000000004</v>
      </c>
      <c r="F662" t="s">
        <v>1681</v>
      </c>
      <c r="H662" t="s">
        <v>3006</v>
      </c>
      <c r="I662" t="s">
        <v>4861</v>
      </c>
      <c r="K662" t="s">
        <v>5037</v>
      </c>
      <c r="L662" t="s">
        <v>5039</v>
      </c>
    </row>
    <row r="663" spans="1:12" x14ac:dyDescent="0.35">
      <c r="A663" t="s">
        <v>156</v>
      </c>
      <c r="B663" t="s">
        <v>416</v>
      </c>
      <c r="C663" t="s">
        <v>731</v>
      </c>
      <c r="D663">
        <v>0.81030000000000002</v>
      </c>
      <c r="F663" t="s">
        <v>1682</v>
      </c>
      <c r="H663" t="s">
        <v>3007</v>
      </c>
      <c r="I663" t="s">
        <v>4861</v>
      </c>
      <c r="K663" t="s">
        <v>5037</v>
      </c>
      <c r="L663" t="s">
        <v>5039</v>
      </c>
    </row>
    <row r="664" spans="1:12" x14ac:dyDescent="0.35">
      <c r="A664" t="s">
        <v>156</v>
      </c>
      <c r="B664" t="s">
        <v>416</v>
      </c>
      <c r="C664" t="s">
        <v>698</v>
      </c>
      <c r="D664">
        <v>3.5720000000000001</v>
      </c>
      <c r="F664" t="s">
        <v>1683</v>
      </c>
      <c r="H664" t="s">
        <v>3008</v>
      </c>
      <c r="I664" t="s">
        <v>4861</v>
      </c>
      <c r="K664" t="s">
        <v>5037</v>
      </c>
      <c r="L664" t="s">
        <v>5039</v>
      </c>
    </row>
    <row r="665" spans="1:12" x14ac:dyDescent="0.35">
      <c r="A665" t="s">
        <v>156</v>
      </c>
      <c r="B665" t="s">
        <v>416</v>
      </c>
      <c r="C665" t="s">
        <v>704</v>
      </c>
      <c r="D665">
        <v>5.0549999999999997</v>
      </c>
      <c r="F665" t="s">
        <v>1684</v>
      </c>
      <c r="H665" t="s">
        <v>3008</v>
      </c>
      <c r="I665" t="s">
        <v>4861</v>
      </c>
      <c r="K665" t="s">
        <v>5037</v>
      </c>
      <c r="L665" t="s">
        <v>5039</v>
      </c>
    </row>
    <row r="666" spans="1:12" x14ac:dyDescent="0.35">
      <c r="A666" t="s">
        <v>156</v>
      </c>
      <c r="B666" t="s">
        <v>178</v>
      </c>
      <c r="C666" t="s">
        <v>725</v>
      </c>
      <c r="D666">
        <v>0.41</v>
      </c>
      <c r="F666" t="s">
        <v>1555</v>
      </c>
      <c r="H666" t="s">
        <v>3009</v>
      </c>
      <c r="I666" t="s">
        <v>4880</v>
      </c>
      <c r="K666" t="s">
        <v>5037</v>
      </c>
      <c r="L666" t="s">
        <v>5039</v>
      </c>
    </row>
    <row r="667" spans="1:12" x14ac:dyDescent="0.35">
      <c r="A667" t="s">
        <v>156</v>
      </c>
      <c r="B667" t="s">
        <v>178</v>
      </c>
      <c r="C667" t="s">
        <v>165</v>
      </c>
      <c r="D667">
        <v>1.7</v>
      </c>
      <c r="F667" t="s">
        <v>1416</v>
      </c>
      <c r="H667" t="s">
        <v>3010</v>
      </c>
      <c r="I667" t="s">
        <v>4880</v>
      </c>
      <c r="K667" t="s">
        <v>5037</v>
      </c>
      <c r="L667" t="s">
        <v>5039</v>
      </c>
    </row>
    <row r="668" spans="1:12" x14ac:dyDescent="0.35">
      <c r="A668" t="s">
        <v>156</v>
      </c>
      <c r="B668" t="s">
        <v>178</v>
      </c>
      <c r="C668" t="s">
        <v>732</v>
      </c>
      <c r="D668">
        <v>0.74</v>
      </c>
      <c r="F668" t="s">
        <v>1685</v>
      </c>
      <c r="H668" t="s">
        <v>3011</v>
      </c>
      <c r="I668" t="s">
        <v>4880</v>
      </c>
      <c r="K668" t="s">
        <v>5037</v>
      </c>
      <c r="L668" t="s">
        <v>5039</v>
      </c>
    </row>
    <row r="669" spans="1:12" x14ac:dyDescent="0.35">
      <c r="A669" t="s">
        <v>156</v>
      </c>
      <c r="B669" t="s">
        <v>178</v>
      </c>
      <c r="C669" t="s">
        <v>695</v>
      </c>
      <c r="D669">
        <v>2.9</v>
      </c>
      <c r="F669" t="s">
        <v>1576</v>
      </c>
      <c r="H669" t="s">
        <v>3010</v>
      </c>
      <c r="I669" t="s">
        <v>4880</v>
      </c>
      <c r="K669" t="s">
        <v>5037</v>
      </c>
      <c r="L669" t="s">
        <v>5039</v>
      </c>
    </row>
    <row r="670" spans="1:12" x14ac:dyDescent="0.35">
      <c r="A670" t="s">
        <v>156</v>
      </c>
      <c r="B670" t="s">
        <v>178</v>
      </c>
      <c r="C670" t="s">
        <v>698</v>
      </c>
      <c r="D670">
        <v>6.7</v>
      </c>
      <c r="F670" t="s">
        <v>1520</v>
      </c>
      <c r="H670" t="s">
        <v>3010</v>
      </c>
      <c r="I670" t="s">
        <v>4880</v>
      </c>
      <c r="K670" t="s">
        <v>5037</v>
      </c>
      <c r="L670" t="s">
        <v>5039</v>
      </c>
    </row>
    <row r="671" spans="1:12" x14ac:dyDescent="0.35">
      <c r="A671" t="s">
        <v>156</v>
      </c>
      <c r="B671" t="s">
        <v>178</v>
      </c>
      <c r="C671" t="s">
        <v>699</v>
      </c>
      <c r="D671">
        <v>1.28</v>
      </c>
      <c r="F671" t="s">
        <v>1686</v>
      </c>
      <c r="H671" t="s">
        <v>3012</v>
      </c>
      <c r="I671" t="s">
        <v>4880</v>
      </c>
      <c r="K671" t="s">
        <v>5037</v>
      </c>
      <c r="L671" t="s">
        <v>5039</v>
      </c>
    </row>
    <row r="672" spans="1:12" x14ac:dyDescent="0.35">
      <c r="A672" t="s">
        <v>156</v>
      </c>
      <c r="B672" t="s">
        <v>178</v>
      </c>
      <c r="C672" t="s">
        <v>691</v>
      </c>
      <c r="D672">
        <v>42.9</v>
      </c>
      <c r="F672" t="s">
        <v>1687</v>
      </c>
      <c r="H672" t="s">
        <v>3013</v>
      </c>
      <c r="I672" t="s">
        <v>4880</v>
      </c>
      <c r="K672" t="s">
        <v>5037</v>
      </c>
      <c r="L672" t="s">
        <v>5039</v>
      </c>
    </row>
    <row r="673" spans="1:12" x14ac:dyDescent="0.35">
      <c r="A673" t="s">
        <v>156</v>
      </c>
      <c r="B673" t="s">
        <v>178</v>
      </c>
      <c r="C673" t="s">
        <v>732</v>
      </c>
      <c r="D673">
        <v>0.80700000000000005</v>
      </c>
      <c r="F673" t="s">
        <v>1688</v>
      </c>
      <c r="H673" t="s">
        <v>3009</v>
      </c>
      <c r="I673" t="s">
        <v>4880</v>
      </c>
      <c r="K673" t="s">
        <v>5037</v>
      </c>
      <c r="L673" t="s">
        <v>5039</v>
      </c>
    </row>
    <row r="674" spans="1:12" x14ac:dyDescent="0.35">
      <c r="A674" t="s">
        <v>156</v>
      </c>
      <c r="B674" t="s">
        <v>178</v>
      </c>
      <c r="C674" t="s">
        <v>699</v>
      </c>
      <c r="D674">
        <v>3.43</v>
      </c>
      <c r="F674" t="s">
        <v>1689</v>
      </c>
      <c r="H674" t="s">
        <v>3013</v>
      </c>
      <c r="I674" t="s">
        <v>4880</v>
      </c>
      <c r="K674" t="s">
        <v>5037</v>
      </c>
      <c r="L674" t="s">
        <v>5039</v>
      </c>
    </row>
    <row r="675" spans="1:12" x14ac:dyDescent="0.35">
      <c r="A675" t="s">
        <v>156</v>
      </c>
      <c r="B675" t="s">
        <v>178</v>
      </c>
      <c r="C675" t="s">
        <v>163</v>
      </c>
      <c r="D675">
        <v>7.62</v>
      </c>
      <c r="F675" t="s">
        <v>1690</v>
      </c>
      <c r="H675" t="s">
        <v>3013</v>
      </c>
      <c r="I675" t="s">
        <v>4880</v>
      </c>
      <c r="K675" t="s">
        <v>5037</v>
      </c>
      <c r="L675" t="s">
        <v>5039</v>
      </c>
    </row>
    <row r="676" spans="1:12" x14ac:dyDescent="0.35">
      <c r="A676" t="s">
        <v>156</v>
      </c>
      <c r="B676" t="s">
        <v>178</v>
      </c>
      <c r="C676" t="s">
        <v>732</v>
      </c>
      <c r="D676">
        <v>1.3</v>
      </c>
      <c r="F676" t="s">
        <v>1358</v>
      </c>
      <c r="H676" t="s">
        <v>3014</v>
      </c>
      <c r="I676" t="s">
        <v>4880</v>
      </c>
      <c r="K676" t="s">
        <v>5037</v>
      </c>
      <c r="L676" t="s">
        <v>5039</v>
      </c>
    </row>
    <row r="677" spans="1:12" x14ac:dyDescent="0.35">
      <c r="A677" t="s">
        <v>156</v>
      </c>
      <c r="B677" t="s">
        <v>178</v>
      </c>
      <c r="C677" t="s">
        <v>163</v>
      </c>
      <c r="D677">
        <v>3.33</v>
      </c>
      <c r="F677" t="s">
        <v>1691</v>
      </c>
      <c r="H677" t="s">
        <v>3015</v>
      </c>
      <c r="I677" t="s">
        <v>4880</v>
      </c>
      <c r="K677" t="s">
        <v>5037</v>
      </c>
      <c r="L677" t="s">
        <v>5039</v>
      </c>
    </row>
    <row r="678" spans="1:12" x14ac:dyDescent="0.35">
      <c r="A678" t="s">
        <v>156</v>
      </c>
      <c r="B678" t="s">
        <v>178</v>
      </c>
      <c r="C678" t="s">
        <v>695</v>
      </c>
      <c r="D678">
        <v>0.20399999999999999</v>
      </c>
      <c r="F678" t="s">
        <v>1308</v>
      </c>
      <c r="H678" t="s">
        <v>3016</v>
      </c>
      <c r="I678" t="s">
        <v>4880</v>
      </c>
      <c r="K678" t="s">
        <v>5037</v>
      </c>
      <c r="L678" t="s">
        <v>5039</v>
      </c>
    </row>
    <row r="679" spans="1:12" x14ac:dyDescent="0.35">
      <c r="A679" t="s">
        <v>156</v>
      </c>
      <c r="B679" t="s">
        <v>178</v>
      </c>
      <c r="C679" t="s">
        <v>725</v>
      </c>
      <c r="D679">
        <v>10.1</v>
      </c>
      <c r="F679" t="s">
        <v>1692</v>
      </c>
      <c r="H679" t="s">
        <v>3014</v>
      </c>
      <c r="I679" t="s">
        <v>4880</v>
      </c>
      <c r="K679" t="s">
        <v>5037</v>
      </c>
      <c r="L679" t="s">
        <v>5039</v>
      </c>
    </row>
    <row r="680" spans="1:12" x14ac:dyDescent="0.35">
      <c r="A680" t="s">
        <v>156</v>
      </c>
      <c r="B680" t="s">
        <v>178</v>
      </c>
      <c r="C680" t="s">
        <v>699</v>
      </c>
      <c r="D680">
        <v>0.45500000000000002</v>
      </c>
      <c r="F680" t="s">
        <v>1693</v>
      </c>
      <c r="H680" t="s">
        <v>3017</v>
      </c>
      <c r="I680" t="s">
        <v>4880</v>
      </c>
      <c r="K680" t="s">
        <v>5037</v>
      </c>
      <c r="L680" t="s">
        <v>5039</v>
      </c>
    </row>
    <row r="681" spans="1:12" x14ac:dyDescent="0.35">
      <c r="A681" t="s">
        <v>156</v>
      </c>
      <c r="B681" t="s">
        <v>178</v>
      </c>
      <c r="C681" t="s">
        <v>699</v>
      </c>
      <c r="D681">
        <v>3.06</v>
      </c>
      <c r="F681" t="s">
        <v>1694</v>
      </c>
      <c r="H681" t="s">
        <v>3015</v>
      </c>
      <c r="I681" t="s">
        <v>4880</v>
      </c>
      <c r="K681" t="s">
        <v>5037</v>
      </c>
      <c r="L681" t="s">
        <v>5039</v>
      </c>
    </row>
    <row r="682" spans="1:12" x14ac:dyDescent="0.35">
      <c r="A682" t="s">
        <v>156</v>
      </c>
      <c r="B682" t="s">
        <v>178</v>
      </c>
      <c r="C682" t="s">
        <v>732</v>
      </c>
      <c r="D682">
        <v>3.46</v>
      </c>
      <c r="F682" t="s">
        <v>1695</v>
      </c>
      <c r="H682" t="s">
        <v>3018</v>
      </c>
      <c r="I682" t="s">
        <v>4880</v>
      </c>
      <c r="K682" t="s">
        <v>5037</v>
      </c>
      <c r="L682" t="s">
        <v>5039</v>
      </c>
    </row>
    <row r="683" spans="1:12" x14ac:dyDescent="0.35">
      <c r="A683" t="s">
        <v>156</v>
      </c>
      <c r="B683" t="s">
        <v>178</v>
      </c>
      <c r="C683" t="s">
        <v>698</v>
      </c>
      <c r="D683">
        <v>6.94</v>
      </c>
      <c r="F683" t="s">
        <v>1696</v>
      </c>
      <c r="H683" t="s">
        <v>3016</v>
      </c>
      <c r="I683" t="s">
        <v>4880</v>
      </c>
      <c r="K683" t="s">
        <v>5037</v>
      </c>
      <c r="L683" t="s">
        <v>5039</v>
      </c>
    </row>
    <row r="684" spans="1:12" x14ac:dyDescent="0.35">
      <c r="A684" t="s">
        <v>156</v>
      </c>
      <c r="B684" t="s">
        <v>178</v>
      </c>
      <c r="C684" t="s">
        <v>165</v>
      </c>
      <c r="D684">
        <v>24.2</v>
      </c>
      <c r="F684" t="s">
        <v>1697</v>
      </c>
      <c r="H684" t="s">
        <v>3016</v>
      </c>
      <c r="I684" t="s">
        <v>4880</v>
      </c>
      <c r="K684" t="s">
        <v>5037</v>
      </c>
      <c r="L684" t="s">
        <v>5039</v>
      </c>
    </row>
    <row r="685" spans="1:12" x14ac:dyDescent="0.35">
      <c r="A685" t="s">
        <v>156</v>
      </c>
      <c r="B685" t="s">
        <v>417</v>
      </c>
      <c r="C685" t="s">
        <v>695</v>
      </c>
      <c r="D685">
        <v>0.4</v>
      </c>
      <c r="F685" t="s">
        <v>1315</v>
      </c>
      <c r="H685" t="s">
        <v>3019</v>
      </c>
      <c r="I685" t="s">
        <v>1360</v>
      </c>
      <c r="K685" t="s">
        <v>5037</v>
      </c>
      <c r="L685" t="s">
        <v>5039</v>
      </c>
    </row>
    <row r="686" spans="1:12" x14ac:dyDescent="0.35">
      <c r="A686" t="s">
        <v>156</v>
      </c>
      <c r="B686" t="s">
        <v>417</v>
      </c>
      <c r="C686" t="s">
        <v>699</v>
      </c>
      <c r="D686">
        <v>0.84</v>
      </c>
      <c r="F686" t="s">
        <v>1673</v>
      </c>
      <c r="H686" t="s">
        <v>3020</v>
      </c>
      <c r="I686" t="s">
        <v>1360</v>
      </c>
      <c r="K686" t="s">
        <v>5037</v>
      </c>
      <c r="L686" t="s">
        <v>5039</v>
      </c>
    </row>
    <row r="687" spans="1:12" x14ac:dyDescent="0.35">
      <c r="A687" t="s">
        <v>156</v>
      </c>
      <c r="B687" t="s">
        <v>417</v>
      </c>
      <c r="C687" t="s">
        <v>699</v>
      </c>
      <c r="D687">
        <v>3.9</v>
      </c>
      <c r="F687" t="s">
        <v>1410</v>
      </c>
      <c r="H687" t="s">
        <v>3021</v>
      </c>
      <c r="I687" t="s">
        <v>1360</v>
      </c>
      <c r="K687" t="s">
        <v>5037</v>
      </c>
      <c r="L687" t="s">
        <v>5039</v>
      </c>
    </row>
    <row r="688" spans="1:12" x14ac:dyDescent="0.35">
      <c r="A688" t="s">
        <v>156</v>
      </c>
      <c r="B688" t="s">
        <v>417</v>
      </c>
      <c r="C688" t="s">
        <v>725</v>
      </c>
      <c r="D688">
        <v>0.48</v>
      </c>
      <c r="F688" t="s">
        <v>1508</v>
      </c>
      <c r="H688" t="s">
        <v>3022</v>
      </c>
      <c r="I688" t="s">
        <v>1360</v>
      </c>
      <c r="K688" t="s">
        <v>5037</v>
      </c>
      <c r="L688" t="s">
        <v>5039</v>
      </c>
    </row>
    <row r="689" spans="1:12" x14ac:dyDescent="0.35">
      <c r="A689" t="s">
        <v>156</v>
      </c>
      <c r="B689" t="s">
        <v>417</v>
      </c>
      <c r="C689" t="s">
        <v>698</v>
      </c>
      <c r="D689">
        <v>10.199999999999999</v>
      </c>
      <c r="F689" t="s">
        <v>1581</v>
      </c>
      <c r="H689" t="s">
        <v>3023</v>
      </c>
      <c r="I689" t="s">
        <v>1360</v>
      </c>
      <c r="K689" t="s">
        <v>5037</v>
      </c>
      <c r="L689" t="s">
        <v>5039</v>
      </c>
    </row>
    <row r="690" spans="1:12" x14ac:dyDescent="0.35">
      <c r="A690" t="s">
        <v>156</v>
      </c>
      <c r="B690" t="s">
        <v>417</v>
      </c>
      <c r="C690" t="s">
        <v>691</v>
      </c>
      <c r="D690">
        <v>4.72</v>
      </c>
      <c r="F690" t="s">
        <v>1698</v>
      </c>
      <c r="H690" t="s">
        <v>3021</v>
      </c>
      <c r="I690" t="s">
        <v>1360</v>
      </c>
      <c r="K690" t="s">
        <v>5037</v>
      </c>
      <c r="L690" t="s">
        <v>5039</v>
      </c>
    </row>
    <row r="691" spans="1:12" x14ac:dyDescent="0.35">
      <c r="A691" t="s">
        <v>156</v>
      </c>
      <c r="B691" t="s">
        <v>417</v>
      </c>
      <c r="C691" t="s">
        <v>691</v>
      </c>
      <c r="D691">
        <v>1.82</v>
      </c>
      <c r="F691" t="s">
        <v>1661</v>
      </c>
      <c r="H691" t="s">
        <v>3024</v>
      </c>
      <c r="I691" t="s">
        <v>1360</v>
      </c>
      <c r="K691" t="s">
        <v>5037</v>
      </c>
      <c r="L691" t="s">
        <v>5039</v>
      </c>
    </row>
    <row r="692" spans="1:12" x14ac:dyDescent="0.35">
      <c r="A692" t="s">
        <v>156</v>
      </c>
      <c r="B692" t="s">
        <v>417</v>
      </c>
      <c r="C692" t="s">
        <v>163</v>
      </c>
      <c r="D692">
        <v>10.8</v>
      </c>
      <c r="F692" t="s">
        <v>1699</v>
      </c>
      <c r="H692" t="s">
        <v>3021</v>
      </c>
      <c r="I692" t="s">
        <v>1360</v>
      </c>
      <c r="K692" t="s">
        <v>5037</v>
      </c>
      <c r="L692" t="s">
        <v>5039</v>
      </c>
    </row>
    <row r="693" spans="1:12" x14ac:dyDescent="0.35">
      <c r="A693" t="s">
        <v>156</v>
      </c>
      <c r="B693" t="s">
        <v>417</v>
      </c>
      <c r="C693" t="s">
        <v>704</v>
      </c>
      <c r="D693">
        <v>8.14</v>
      </c>
      <c r="F693" t="s">
        <v>1700</v>
      </c>
      <c r="H693" t="s">
        <v>3025</v>
      </c>
      <c r="I693" t="s">
        <v>1360</v>
      </c>
      <c r="K693" t="s">
        <v>5037</v>
      </c>
      <c r="L693" t="s">
        <v>5039</v>
      </c>
    </row>
    <row r="694" spans="1:12" x14ac:dyDescent="0.35">
      <c r="A694" t="s">
        <v>156</v>
      </c>
      <c r="B694" t="s">
        <v>417</v>
      </c>
      <c r="C694" t="s">
        <v>162</v>
      </c>
      <c r="D694">
        <v>52.06</v>
      </c>
      <c r="F694" t="s">
        <v>1701</v>
      </c>
      <c r="H694" t="s">
        <v>3026</v>
      </c>
      <c r="I694" t="s">
        <v>1360</v>
      </c>
      <c r="K694" t="s">
        <v>5037</v>
      </c>
      <c r="L694" t="s">
        <v>5039</v>
      </c>
    </row>
    <row r="695" spans="1:12" x14ac:dyDescent="0.35">
      <c r="A695" t="s">
        <v>156</v>
      </c>
      <c r="B695" t="s">
        <v>175</v>
      </c>
      <c r="C695" t="s">
        <v>695</v>
      </c>
      <c r="D695">
        <v>67</v>
      </c>
      <c r="F695" t="s">
        <v>1608</v>
      </c>
      <c r="H695" t="s">
        <v>3027</v>
      </c>
      <c r="I695" t="s">
        <v>1848</v>
      </c>
      <c r="K695" t="s">
        <v>5037</v>
      </c>
      <c r="L695" t="s">
        <v>5039</v>
      </c>
    </row>
    <row r="696" spans="1:12" x14ac:dyDescent="0.35">
      <c r="A696" t="s">
        <v>156</v>
      </c>
      <c r="B696" t="s">
        <v>175</v>
      </c>
      <c r="C696" t="s">
        <v>695</v>
      </c>
      <c r="D696">
        <v>870</v>
      </c>
      <c r="F696" t="s">
        <v>1702</v>
      </c>
      <c r="H696" t="s">
        <v>3028</v>
      </c>
      <c r="I696" t="s">
        <v>1848</v>
      </c>
      <c r="K696" t="s">
        <v>5037</v>
      </c>
      <c r="L696" t="s">
        <v>5039</v>
      </c>
    </row>
    <row r="697" spans="1:12" x14ac:dyDescent="0.35">
      <c r="A697" t="s">
        <v>156</v>
      </c>
      <c r="B697" t="s">
        <v>175</v>
      </c>
      <c r="C697" t="s">
        <v>727</v>
      </c>
      <c r="D697">
        <v>580</v>
      </c>
      <c r="F697" t="s">
        <v>1703</v>
      </c>
      <c r="H697" t="s">
        <v>3028</v>
      </c>
      <c r="I697" t="s">
        <v>1848</v>
      </c>
      <c r="K697" t="s">
        <v>5037</v>
      </c>
      <c r="L697" t="s">
        <v>5039</v>
      </c>
    </row>
    <row r="698" spans="1:12" x14ac:dyDescent="0.35">
      <c r="A698" t="s">
        <v>156</v>
      </c>
      <c r="B698" t="s">
        <v>175</v>
      </c>
      <c r="C698" t="s">
        <v>163</v>
      </c>
      <c r="D698">
        <v>3300</v>
      </c>
      <c r="F698" t="s">
        <v>1704</v>
      </c>
      <c r="H698" t="s">
        <v>3028</v>
      </c>
      <c r="I698" t="s">
        <v>1848</v>
      </c>
      <c r="K698" t="s">
        <v>5037</v>
      </c>
      <c r="L698" t="s">
        <v>5039</v>
      </c>
    </row>
    <row r="699" spans="1:12" x14ac:dyDescent="0.35">
      <c r="A699" t="s">
        <v>156</v>
      </c>
      <c r="B699" t="s">
        <v>179</v>
      </c>
      <c r="C699" t="s">
        <v>163</v>
      </c>
      <c r="D699">
        <v>1</v>
      </c>
      <c r="F699" t="s">
        <v>1317</v>
      </c>
      <c r="H699" t="s">
        <v>3029</v>
      </c>
      <c r="I699" t="s">
        <v>1335</v>
      </c>
      <c r="K699" t="s">
        <v>5037</v>
      </c>
      <c r="L699" t="s">
        <v>5039</v>
      </c>
    </row>
    <row r="700" spans="1:12" x14ac:dyDescent="0.35">
      <c r="A700" t="s">
        <v>156</v>
      </c>
      <c r="B700" t="s">
        <v>179</v>
      </c>
      <c r="C700" t="s">
        <v>163</v>
      </c>
      <c r="D700">
        <v>0.9</v>
      </c>
      <c r="F700" t="s">
        <v>1556</v>
      </c>
      <c r="H700" t="s">
        <v>3030</v>
      </c>
      <c r="I700" t="s">
        <v>1335</v>
      </c>
      <c r="K700" t="s">
        <v>5037</v>
      </c>
      <c r="L700" t="s">
        <v>5039</v>
      </c>
    </row>
    <row r="701" spans="1:12" x14ac:dyDescent="0.35">
      <c r="A701" t="s">
        <v>156</v>
      </c>
      <c r="B701" t="s">
        <v>179</v>
      </c>
      <c r="C701" t="s">
        <v>695</v>
      </c>
      <c r="D701">
        <v>1.4</v>
      </c>
      <c r="F701" t="s">
        <v>1469</v>
      </c>
      <c r="H701" t="s">
        <v>3031</v>
      </c>
      <c r="I701" t="s">
        <v>1335</v>
      </c>
      <c r="K701" t="s">
        <v>5037</v>
      </c>
      <c r="L701" t="s">
        <v>5039</v>
      </c>
    </row>
    <row r="702" spans="1:12" x14ac:dyDescent="0.35">
      <c r="A702" t="s">
        <v>156</v>
      </c>
      <c r="B702" t="s">
        <v>179</v>
      </c>
      <c r="C702" t="s">
        <v>163</v>
      </c>
      <c r="D702">
        <v>1.2</v>
      </c>
      <c r="F702" t="s">
        <v>1421</v>
      </c>
      <c r="H702" t="s">
        <v>3032</v>
      </c>
      <c r="I702" t="s">
        <v>1335</v>
      </c>
      <c r="K702" t="s">
        <v>5037</v>
      </c>
      <c r="L702" t="s">
        <v>5039</v>
      </c>
    </row>
    <row r="703" spans="1:12" x14ac:dyDescent="0.35">
      <c r="A703" t="s">
        <v>156</v>
      </c>
      <c r="B703" t="s">
        <v>179</v>
      </c>
      <c r="C703" t="s">
        <v>163</v>
      </c>
      <c r="D703">
        <v>0.7</v>
      </c>
      <c r="F703" t="s">
        <v>1378</v>
      </c>
      <c r="H703" t="s">
        <v>3033</v>
      </c>
      <c r="I703" t="s">
        <v>1489</v>
      </c>
      <c r="K703" t="s">
        <v>5037</v>
      </c>
      <c r="L703" t="s">
        <v>5039</v>
      </c>
    </row>
    <row r="704" spans="1:12" x14ac:dyDescent="0.35">
      <c r="A704" t="s">
        <v>156</v>
      </c>
      <c r="B704" t="s">
        <v>179</v>
      </c>
      <c r="C704" t="s">
        <v>163</v>
      </c>
      <c r="D704">
        <v>1.1000000000000001</v>
      </c>
      <c r="F704" t="s">
        <v>1505</v>
      </c>
      <c r="H704" t="s">
        <v>3031</v>
      </c>
      <c r="I704" t="s">
        <v>1335</v>
      </c>
      <c r="K704" t="s">
        <v>5037</v>
      </c>
      <c r="L704" t="s">
        <v>5039</v>
      </c>
    </row>
    <row r="705" spans="1:12" x14ac:dyDescent="0.35">
      <c r="A705" t="s">
        <v>156</v>
      </c>
      <c r="B705" t="s">
        <v>179</v>
      </c>
      <c r="C705" t="s">
        <v>733</v>
      </c>
      <c r="D705">
        <v>26</v>
      </c>
      <c r="F705" t="s">
        <v>1518</v>
      </c>
      <c r="H705" t="s">
        <v>3034</v>
      </c>
      <c r="I705" t="s">
        <v>1450</v>
      </c>
      <c r="K705" t="s">
        <v>5037</v>
      </c>
      <c r="L705" t="s">
        <v>5039</v>
      </c>
    </row>
    <row r="706" spans="1:12" x14ac:dyDescent="0.35">
      <c r="A706" t="s">
        <v>156</v>
      </c>
      <c r="B706" t="s">
        <v>179</v>
      </c>
      <c r="C706" t="s">
        <v>734</v>
      </c>
      <c r="D706">
        <v>60</v>
      </c>
      <c r="F706" t="s">
        <v>1569</v>
      </c>
      <c r="H706" t="s">
        <v>3033</v>
      </c>
      <c r="I706" t="s">
        <v>1489</v>
      </c>
      <c r="K706" t="s">
        <v>5037</v>
      </c>
      <c r="L706" t="s">
        <v>5039</v>
      </c>
    </row>
    <row r="707" spans="1:12" x14ac:dyDescent="0.35">
      <c r="A707" t="s">
        <v>156</v>
      </c>
      <c r="B707" t="s">
        <v>179</v>
      </c>
      <c r="C707" t="s">
        <v>735</v>
      </c>
      <c r="D707">
        <v>80</v>
      </c>
      <c r="F707" t="s">
        <v>1705</v>
      </c>
      <c r="H707" t="s">
        <v>3034</v>
      </c>
      <c r="I707" t="s">
        <v>1450</v>
      </c>
      <c r="K707" t="s">
        <v>5037</v>
      </c>
      <c r="L707" t="s">
        <v>5039</v>
      </c>
    </row>
    <row r="708" spans="1:12" x14ac:dyDescent="0.35">
      <c r="A708" t="s">
        <v>156</v>
      </c>
      <c r="B708" t="s">
        <v>179</v>
      </c>
      <c r="C708" t="s">
        <v>695</v>
      </c>
      <c r="D708">
        <v>3.4</v>
      </c>
      <c r="F708" t="s">
        <v>1706</v>
      </c>
      <c r="H708" t="s">
        <v>3033</v>
      </c>
      <c r="I708" t="s">
        <v>1489</v>
      </c>
      <c r="K708" t="s">
        <v>5037</v>
      </c>
      <c r="L708" t="s">
        <v>5039</v>
      </c>
    </row>
    <row r="709" spans="1:12" x14ac:dyDescent="0.35">
      <c r="A709" t="s">
        <v>156</v>
      </c>
      <c r="B709" t="s">
        <v>179</v>
      </c>
      <c r="C709" t="s">
        <v>695</v>
      </c>
      <c r="D709">
        <v>15</v>
      </c>
      <c r="F709" t="s">
        <v>1489</v>
      </c>
      <c r="H709" t="s">
        <v>3034</v>
      </c>
      <c r="I709" t="s">
        <v>1450</v>
      </c>
      <c r="K709" t="s">
        <v>5037</v>
      </c>
      <c r="L709" t="s">
        <v>5039</v>
      </c>
    </row>
    <row r="710" spans="1:12" x14ac:dyDescent="0.35">
      <c r="A710" t="s">
        <v>156</v>
      </c>
      <c r="B710" t="s">
        <v>179</v>
      </c>
      <c r="C710" t="s">
        <v>734</v>
      </c>
      <c r="D710">
        <v>30</v>
      </c>
      <c r="F710" t="s">
        <v>1354</v>
      </c>
      <c r="H710" t="s">
        <v>3034</v>
      </c>
      <c r="I710" t="s">
        <v>1450</v>
      </c>
      <c r="K710" t="s">
        <v>5037</v>
      </c>
      <c r="L710" t="s">
        <v>5039</v>
      </c>
    </row>
    <row r="711" spans="1:12" x14ac:dyDescent="0.35">
      <c r="A711" t="s">
        <v>156</v>
      </c>
      <c r="B711" t="s">
        <v>313</v>
      </c>
      <c r="C711" t="s">
        <v>162</v>
      </c>
      <c r="D711">
        <v>0.5</v>
      </c>
      <c r="F711" t="s">
        <v>1440</v>
      </c>
      <c r="H711" t="s">
        <v>3035</v>
      </c>
      <c r="I711" t="s">
        <v>2051</v>
      </c>
      <c r="K711" t="s">
        <v>5037</v>
      </c>
      <c r="L711" t="s">
        <v>5039</v>
      </c>
    </row>
    <row r="712" spans="1:12" x14ac:dyDescent="0.35">
      <c r="A712" t="s">
        <v>156</v>
      </c>
      <c r="B712" t="s">
        <v>313</v>
      </c>
      <c r="C712" t="s">
        <v>695</v>
      </c>
      <c r="D712">
        <v>6.8</v>
      </c>
      <c r="F712" t="s">
        <v>1381</v>
      </c>
      <c r="H712" t="s">
        <v>3036</v>
      </c>
      <c r="I712" t="s">
        <v>2051</v>
      </c>
      <c r="K712" t="s">
        <v>5037</v>
      </c>
      <c r="L712" t="s">
        <v>5039</v>
      </c>
    </row>
    <row r="713" spans="1:12" x14ac:dyDescent="0.35">
      <c r="A713" t="s">
        <v>156</v>
      </c>
      <c r="B713" t="s">
        <v>313</v>
      </c>
      <c r="C713" t="s">
        <v>691</v>
      </c>
      <c r="D713">
        <v>16</v>
      </c>
      <c r="F713" t="s">
        <v>1526</v>
      </c>
      <c r="H713" t="s">
        <v>3037</v>
      </c>
      <c r="I713" t="s">
        <v>2051</v>
      </c>
      <c r="K713" t="s">
        <v>5037</v>
      </c>
      <c r="L713" t="s">
        <v>5039</v>
      </c>
    </row>
    <row r="714" spans="1:12" x14ac:dyDescent="0.35">
      <c r="A714" t="s">
        <v>156</v>
      </c>
      <c r="B714" t="s">
        <v>313</v>
      </c>
      <c r="C714" t="s">
        <v>163</v>
      </c>
      <c r="D714">
        <v>38</v>
      </c>
      <c r="F714" t="s">
        <v>1707</v>
      </c>
      <c r="H714" t="s">
        <v>3037</v>
      </c>
      <c r="I714" t="s">
        <v>2051</v>
      </c>
      <c r="K714" t="s">
        <v>5037</v>
      </c>
      <c r="L714" t="s">
        <v>5039</v>
      </c>
    </row>
    <row r="715" spans="1:12" x14ac:dyDescent="0.35">
      <c r="A715" t="s">
        <v>156</v>
      </c>
      <c r="B715" t="s">
        <v>313</v>
      </c>
      <c r="C715" t="s">
        <v>734</v>
      </c>
      <c r="D715">
        <v>21.4</v>
      </c>
      <c r="F715" t="s">
        <v>1708</v>
      </c>
      <c r="H715" t="s">
        <v>3038</v>
      </c>
      <c r="I715" t="s">
        <v>2051</v>
      </c>
      <c r="K715" t="s">
        <v>5037</v>
      </c>
      <c r="L715" t="s">
        <v>5039</v>
      </c>
    </row>
    <row r="716" spans="1:12" x14ac:dyDescent="0.35">
      <c r="A716" t="s">
        <v>156</v>
      </c>
      <c r="B716" t="s">
        <v>313</v>
      </c>
      <c r="C716" t="s">
        <v>698</v>
      </c>
      <c r="D716">
        <v>17.899999999999999</v>
      </c>
      <c r="F716" t="s">
        <v>1709</v>
      </c>
      <c r="H716" t="s">
        <v>3038</v>
      </c>
      <c r="I716" t="s">
        <v>2051</v>
      </c>
      <c r="K716" t="s">
        <v>5037</v>
      </c>
      <c r="L716" t="s">
        <v>5039</v>
      </c>
    </row>
    <row r="717" spans="1:12" x14ac:dyDescent="0.35">
      <c r="A717" t="s">
        <v>156</v>
      </c>
      <c r="B717" t="s">
        <v>418</v>
      </c>
      <c r="C717" t="s">
        <v>695</v>
      </c>
      <c r="D717">
        <v>2.1</v>
      </c>
      <c r="F717" t="s">
        <v>1399</v>
      </c>
      <c r="H717" t="s">
        <v>3039</v>
      </c>
      <c r="I717" t="s">
        <v>1851</v>
      </c>
      <c r="K717" t="s">
        <v>5037</v>
      </c>
      <c r="L717" t="s">
        <v>5039</v>
      </c>
    </row>
    <row r="718" spans="1:12" x14ac:dyDescent="0.35">
      <c r="A718" t="s">
        <v>235</v>
      </c>
      <c r="B718" t="s">
        <v>419</v>
      </c>
      <c r="C718" t="s">
        <v>698</v>
      </c>
      <c r="D718">
        <v>0.17</v>
      </c>
      <c r="F718" t="s">
        <v>1409</v>
      </c>
      <c r="H718" t="s">
        <v>3040</v>
      </c>
      <c r="I718" t="s">
        <v>1367</v>
      </c>
      <c r="K718" t="s">
        <v>5037</v>
      </c>
      <c r="L718" t="s">
        <v>5039</v>
      </c>
    </row>
    <row r="719" spans="1:12" x14ac:dyDescent="0.35">
      <c r="A719" t="s">
        <v>235</v>
      </c>
      <c r="B719" t="s">
        <v>419</v>
      </c>
      <c r="C719" t="s">
        <v>704</v>
      </c>
      <c r="D719">
        <v>0.21</v>
      </c>
      <c r="F719" t="s">
        <v>1572</v>
      </c>
      <c r="H719" t="s">
        <v>3040</v>
      </c>
      <c r="I719" t="s">
        <v>1367</v>
      </c>
      <c r="K719" t="s">
        <v>5037</v>
      </c>
      <c r="L719" t="s">
        <v>5039</v>
      </c>
    </row>
    <row r="720" spans="1:12" x14ac:dyDescent="0.35">
      <c r="A720" t="s">
        <v>235</v>
      </c>
      <c r="B720" t="s">
        <v>419</v>
      </c>
      <c r="C720" t="s">
        <v>695</v>
      </c>
      <c r="D720">
        <v>0.11</v>
      </c>
      <c r="F720" t="s">
        <v>1295</v>
      </c>
      <c r="H720" t="s">
        <v>3040</v>
      </c>
      <c r="I720" t="s">
        <v>1367</v>
      </c>
      <c r="K720" t="s">
        <v>5037</v>
      </c>
      <c r="L720" t="s">
        <v>5039</v>
      </c>
    </row>
    <row r="721" spans="1:12" x14ac:dyDescent="0.35">
      <c r="A721" t="s">
        <v>235</v>
      </c>
      <c r="B721" t="s">
        <v>419</v>
      </c>
      <c r="C721" t="s">
        <v>736</v>
      </c>
      <c r="D721">
        <v>7.1</v>
      </c>
      <c r="F721" t="s">
        <v>1532</v>
      </c>
      <c r="H721" t="s">
        <v>3040</v>
      </c>
      <c r="I721" t="s">
        <v>1367</v>
      </c>
      <c r="K721" t="s">
        <v>5037</v>
      </c>
      <c r="L721" t="s">
        <v>5039</v>
      </c>
    </row>
    <row r="722" spans="1:12" x14ac:dyDescent="0.35">
      <c r="A722" t="s">
        <v>235</v>
      </c>
      <c r="B722" t="s">
        <v>419</v>
      </c>
      <c r="C722" t="s">
        <v>163</v>
      </c>
      <c r="D722">
        <v>0.15</v>
      </c>
      <c r="F722" t="s">
        <v>1269</v>
      </c>
      <c r="H722" t="s">
        <v>3040</v>
      </c>
      <c r="I722" t="s">
        <v>1367</v>
      </c>
      <c r="K722" t="s">
        <v>5037</v>
      </c>
      <c r="L722" t="s">
        <v>5039</v>
      </c>
    </row>
    <row r="723" spans="1:12" x14ac:dyDescent="0.35">
      <c r="A723" t="s">
        <v>235</v>
      </c>
      <c r="B723" t="s">
        <v>419</v>
      </c>
      <c r="C723" t="s">
        <v>688</v>
      </c>
      <c r="D723">
        <v>3.7</v>
      </c>
      <c r="F723" t="s">
        <v>1380</v>
      </c>
      <c r="H723" t="s">
        <v>3040</v>
      </c>
      <c r="I723" t="s">
        <v>1367</v>
      </c>
      <c r="K723" t="s">
        <v>5037</v>
      </c>
      <c r="L723" t="s">
        <v>5039</v>
      </c>
    </row>
    <row r="724" spans="1:12" x14ac:dyDescent="0.35">
      <c r="A724" t="s">
        <v>235</v>
      </c>
      <c r="B724" t="s">
        <v>419</v>
      </c>
      <c r="C724" t="s">
        <v>162</v>
      </c>
      <c r="D724">
        <v>8.8000000000000007</v>
      </c>
      <c r="F724" t="s">
        <v>1672</v>
      </c>
      <c r="H724" t="s">
        <v>3040</v>
      </c>
      <c r="I724" t="s">
        <v>1367</v>
      </c>
      <c r="K724" t="s">
        <v>5037</v>
      </c>
      <c r="L724" t="s">
        <v>5039</v>
      </c>
    </row>
    <row r="725" spans="1:12" x14ac:dyDescent="0.35">
      <c r="A725" t="s">
        <v>235</v>
      </c>
      <c r="B725" t="s">
        <v>419</v>
      </c>
      <c r="C725" t="s">
        <v>691</v>
      </c>
      <c r="D725">
        <v>5.0999999999999996</v>
      </c>
      <c r="F725" t="s">
        <v>1710</v>
      </c>
      <c r="H725" t="s">
        <v>3040</v>
      </c>
      <c r="I725" t="s">
        <v>1367</v>
      </c>
      <c r="K725" t="s">
        <v>5037</v>
      </c>
      <c r="L725" t="s">
        <v>5039</v>
      </c>
    </row>
    <row r="726" spans="1:12" x14ac:dyDescent="0.35">
      <c r="A726" t="s">
        <v>235</v>
      </c>
      <c r="B726" t="s">
        <v>354</v>
      </c>
      <c r="C726" t="s">
        <v>731</v>
      </c>
      <c r="D726">
        <v>0.33</v>
      </c>
      <c r="F726" t="s">
        <v>1397</v>
      </c>
      <c r="H726" t="s">
        <v>3041</v>
      </c>
      <c r="I726" t="s">
        <v>1449</v>
      </c>
      <c r="K726" t="s">
        <v>5037</v>
      </c>
      <c r="L726" t="s">
        <v>5039</v>
      </c>
    </row>
    <row r="727" spans="1:12" x14ac:dyDescent="0.35">
      <c r="A727" t="s">
        <v>235</v>
      </c>
      <c r="B727" t="s">
        <v>354</v>
      </c>
      <c r="C727" t="s">
        <v>695</v>
      </c>
      <c r="D727">
        <v>0.56999999999999995</v>
      </c>
      <c r="F727" t="s">
        <v>1711</v>
      </c>
      <c r="H727" t="s">
        <v>3041</v>
      </c>
      <c r="I727" t="s">
        <v>1449</v>
      </c>
      <c r="K727" t="s">
        <v>5037</v>
      </c>
      <c r="L727" t="s">
        <v>5039</v>
      </c>
    </row>
    <row r="728" spans="1:12" x14ac:dyDescent="0.35">
      <c r="A728" t="s">
        <v>235</v>
      </c>
      <c r="B728" t="s">
        <v>354</v>
      </c>
      <c r="C728" t="s">
        <v>704</v>
      </c>
      <c r="D728">
        <v>1.64</v>
      </c>
      <c r="F728" t="s">
        <v>1712</v>
      </c>
      <c r="H728" t="s">
        <v>3041</v>
      </c>
      <c r="I728" t="s">
        <v>1449</v>
      </c>
      <c r="K728" t="s">
        <v>5037</v>
      </c>
      <c r="L728" t="s">
        <v>5039</v>
      </c>
    </row>
    <row r="729" spans="1:12" x14ac:dyDescent="0.35">
      <c r="A729" t="s">
        <v>235</v>
      </c>
      <c r="B729" t="s">
        <v>354</v>
      </c>
      <c r="C729" t="s">
        <v>735</v>
      </c>
      <c r="D729">
        <v>2.1800000000000002</v>
      </c>
      <c r="F729" t="s">
        <v>1596</v>
      </c>
      <c r="H729" t="s">
        <v>3041</v>
      </c>
      <c r="I729" t="s">
        <v>1449</v>
      </c>
      <c r="K729" t="s">
        <v>5037</v>
      </c>
      <c r="L729" t="s">
        <v>5039</v>
      </c>
    </row>
    <row r="730" spans="1:12" x14ac:dyDescent="0.35">
      <c r="A730" t="s">
        <v>235</v>
      </c>
      <c r="B730" t="s">
        <v>420</v>
      </c>
      <c r="C730" t="s">
        <v>698</v>
      </c>
      <c r="D730">
        <v>1.3</v>
      </c>
      <c r="F730" t="s">
        <v>1358</v>
      </c>
      <c r="H730" t="s">
        <v>3042</v>
      </c>
      <c r="I730" t="s">
        <v>1373</v>
      </c>
      <c r="K730" t="s">
        <v>5037</v>
      </c>
      <c r="L730" t="s">
        <v>5039</v>
      </c>
    </row>
    <row r="731" spans="1:12" x14ac:dyDescent="0.35">
      <c r="A731" t="s">
        <v>235</v>
      </c>
      <c r="B731" t="s">
        <v>420</v>
      </c>
      <c r="C731" t="s">
        <v>704</v>
      </c>
      <c r="D731">
        <v>0.7</v>
      </c>
      <c r="F731" t="s">
        <v>1378</v>
      </c>
      <c r="H731" t="s">
        <v>3042</v>
      </c>
      <c r="I731" t="s">
        <v>1373</v>
      </c>
      <c r="K731" t="s">
        <v>5037</v>
      </c>
      <c r="L731" t="s">
        <v>5039</v>
      </c>
    </row>
    <row r="732" spans="1:12" x14ac:dyDescent="0.35">
      <c r="A732" t="s">
        <v>235</v>
      </c>
      <c r="B732" t="s">
        <v>420</v>
      </c>
      <c r="C732" t="s">
        <v>688</v>
      </c>
      <c r="D732">
        <v>8.4</v>
      </c>
      <c r="F732" t="s">
        <v>1565</v>
      </c>
      <c r="H732" t="s">
        <v>3042</v>
      </c>
      <c r="I732" t="s">
        <v>1373</v>
      </c>
      <c r="K732" t="s">
        <v>5037</v>
      </c>
      <c r="L732" t="s">
        <v>5039</v>
      </c>
    </row>
    <row r="733" spans="1:12" x14ac:dyDescent="0.35">
      <c r="A733" t="s">
        <v>235</v>
      </c>
      <c r="B733" t="s">
        <v>420</v>
      </c>
      <c r="C733" t="s">
        <v>695</v>
      </c>
      <c r="D733">
        <v>1.4</v>
      </c>
      <c r="F733" t="s">
        <v>1469</v>
      </c>
      <c r="H733" t="s">
        <v>3043</v>
      </c>
      <c r="I733" t="s">
        <v>1373</v>
      </c>
      <c r="K733" t="s">
        <v>5037</v>
      </c>
      <c r="L733" t="s">
        <v>5039</v>
      </c>
    </row>
    <row r="734" spans="1:12" x14ac:dyDescent="0.35">
      <c r="A734" t="s">
        <v>235</v>
      </c>
      <c r="B734" t="s">
        <v>421</v>
      </c>
      <c r="C734" t="s">
        <v>704</v>
      </c>
      <c r="D734">
        <v>9.5000000000000001E-2</v>
      </c>
      <c r="F734" t="s">
        <v>1332</v>
      </c>
      <c r="I734" t="s">
        <v>1839</v>
      </c>
      <c r="K734" t="s">
        <v>5037</v>
      </c>
      <c r="L734" t="s">
        <v>5039</v>
      </c>
    </row>
    <row r="735" spans="1:12" x14ac:dyDescent="0.35">
      <c r="A735" t="s">
        <v>235</v>
      </c>
      <c r="B735" t="s">
        <v>421</v>
      </c>
      <c r="C735" t="s">
        <v>737</v>
      </c>
      <c r="D735">
        <v>0.1</v>
      </c>
      <c r="F735" t="s">
        <v>1309</v>
      </c>
      <c r="I735" t="s">
        <v>1839</v>
      </c>
      <c r="K735" t="s">
        <v>5037</v>
      </c>
      <c r="L735" t="s">
        <v>5039</v>
      </c>
    </row>
    <row r="736" spans="1:12" x14ac:dyDescent="0.35">
      <c r="A736" t="s">
        <v>235</v>
      </c>
      <c r="B736" t="s">
        <v>421</v>
      </c>
      <c r="C736" t="s">
        <v>698</v>
      </c>
      <c r="D736">
        <v>7.0000000000000007E-2</v>
      </c>
      <c r="F736" t="s">
        <v>1456</v>
      </c>
      <c r="I736" t="s">
        <v>1839</v>
      </c>
      <c r="K736" t="s">
        <v>5037</v>
      </c>
      <c r="L736" t="s">
        <v>5039</v>
      </c>
    </row>
    <row r="737" spans="1:12" x14ac:dyDescent="0.35">
      <c r="A737" t="s">
        <v>235</v>
      </c>
      <c r="B737" t="s">
        <v>421</v>
      </c>
      <c r="C737" t="s">
        <v>738</v>
      </c>
      <c r="D737">
        <v>0.8</v>
      </c>
      <c r="F737" t="s">
        <v>1319</v>
      </c>
      <c r="I737" t="s">
        <v>1839</v>
      </c>
      <c r="K737" t="s">
        <v>5037</v>
      </c>
      <c r="L737" t="s">
        <v>5039</v>
      </c>
    </row>
    <row r="738" spans="1:12" x14ac:dyDescent="0.35">
      <c r="A738" t="s">
        <v>235</v>
      </c>
      <c r="B738" t="s">
        <v>421</v>
      </c>
      <c r="C738" t="s">
        <v>695</v>
      </c>
      <c r="D738">
        <v>0.08</v>
      </c>
      <c r="F738" t="s">
        <v>1402</v>
      </c>
      <c r="I738" t="s">
        <v>1839</v>
      </c>
      <c r="K738" t="s">
        <v>5037</v>
      </c>
      <c r="L738" t="s">
        <v>5039</v>
      </c>
    </row>
    <row r="739" spans="1:12" x14ac:dyDescent="0.35">
      <c r="A739" t="s">
        <v>235</v>
      </c>
      <c r="B739" t="s">
        <v>422</v>
      </c>
      <c r="C739" t="s">
        <v>704</v>
      </c>
      <c r="D739">
        <v>1.07</v>
      </c>
      <c r="F739" t="s">
        <v>1713</v>
      </c>
      <c r="H739" t="s">
        <v>3044</v>
      </c>
      <c r="I739" t="s">
        <v>4863</v>
      </c>
      <c r="K739" t="s">
        <v>5037</v>
      </c>
      <c r="L739" t="s">
        <v>5039</v>
      </c>
    </row>
    <row r="740" spans="1:12" x14ac:dyDescent="0.35">
      <c r="A740" t="s">
        <v>235</v>
      </c>
      <c r="B740" t="s">
        <v>422</v>
      </c>
      <c r="C740" t="s">
        <v>698</v>
      </c>
      <c r="D740">
        <v>0.24</v>
      </c>
      <c r="F740" t="s">
        <v>1488</v>
      </c>
      <c r="H740" t="s">
        <v>3044</v>
      </c>
      <c r="I740" t="s">
        <v>4863</v>
      </c>
      <c r="K740" t="s">
        <v>5037</v>
      </c>
      <c r="L740" t="s">
        <v>5039</v>
      </c>
    </row>
    <row r="741" spans="1:12" x14ac:dyDescent="0.35">
      <c r="A741" t="s">
        <v>235</v>
      </c>
      <c r="B741" t="s">
        <v>422</v>
      </c>
      <c r="C741" t="s">
        <v>695</v>
      </c>
      <c r="D741">
        <v>0.46</v>
      </c>
      <c r="F741" t="s">
        <v>1506</v>
      </c>
      <c r="H741" t="s">
        <v>3044</v>
      </c>
      <c r="I741" t="s">
        <v>4863</v>
      </c>
      <c r="K741" t="s">
        <v>5037</v>
      </c>
      <c r="L741" t="s">
        <v>5039</v>
      </c>
    </row>
    <row r="742" spans="1:12" x14ac:dyDescent="0.35">
      <c r="A742" t="s">
        <v>235</v>
      </c>
      <c r="B742" t="s">
        <v>356</v>
      </c>
      <c r="C742" t="s">
        <v>695</v>
      </c>
      <c r="D742">
        <v>0.31</v>
      </c>
      <c r="F742" t="s">
        <v>1714</v>
      </c>
      <c r="H742" t="s">
        <v>3045</v>
      </c>
      <c r="I742" t="s">
        <v>1383</v>
      </c>
      <c r="K742" t="s">
        <v>5037</v>
      </c>
      <c r="L742" t="s">
        <v>5039</v>
      </c>
    </row>
    <row r="743" spans="1:12" x14ac:dyDescent="0.35">
      <c r="A743" t="s">
        <v>235</v>
      </c>
      <c r="B743" t="s">
        <v>356</v>
      </c>
      <c r="C743" t="s">
        <v>739</v>
      </c>
      <c r="D743">
        <v>2.5000000000000001E-2</v>
      </c>
      <c r="F743" t="s">
        <v>1282</v>
      </c>
      <c r="H743" t="s">
        <v>3046</v>
      </c>
      <c r="I743" t="s">
        <v>1389</v>
      </c>
      <c r="K743" t="s">
        <v>5037</v>
      </c>
      <c r="L743" t="s">
        <v>5039</v>
      </c>
    </row>
    <row r="744" spans="1:12" x14ac:dyDescent="0.35">
      <c r="A744" t="s">
        <v>235</v>
      </c>
      <c r="B744" t="s">
        <v>356</v>
      </c>
      <c r="C744" t="s">
        <v>698</v>
      </c>
      <c r="D744">
        <v>0.14000000000000001</v>
      </c>
      <c r="F744" t="s">
        <v>1361</v>
      </c>
      <c r="H744" t="s">
        <v>3047</v>
      </c>
      <c r="I744" t="s">
        <v>1383</v>
      </c>
      <c r="K744" t="s">
        <v>5037</v>
      </c>
      <c r="L744" t="s">
        <v>5039</v>
      </c>
    </row>
    <row r="745" spans="1:12" x14ac:dyDescent="0.35">
      <c r="A745" t="s">
        <v>235</v>
      </c>
      <c r="B745" t="s">
        <v>356</v>
      </c>
      <c r="C745" t="s">
        <v>163</v>
      </c>
      <c r="D745">
        <v>3.1</v>
      </c>
      <c r="F745" t="s">
        <v>1374</v>
      </c>
      <c r="H745" t="s">
        <v>3047</v>
      </c>
      <c r="I745" t="s">
        <v>1383</v>
      </c>
      <c r="K745" t="s">
        <v>5037</v>
      </c>
      <c r="L745" t="s">
        <v>5039</v>
      </c>
    </row>
    <row r="746" spans="1:12" x14ac:dyDescent="0.35">
      <c r="A746" t="s">
        <v>235</v>
      </c>
      <c r="B746" t="s">
        <v>356</v>
      </c>
      <c r="C746" t="s">
        <v>695</v>
      </c>
      <c r="D746">
        <v>0.57999999999999996</v>
      </c>
      <c r="F746" t="s">
        <v>1444</v>
      </c>
      <c r="H746" t="s">
        <v>3047</v>
      </c>
      <c r="I746" t="s">
        <v>1383</v>
      </c>
      <c r="K746" t="s">
        <v>5037</v>
      </c>
      <c r="L746" t="s">
        <v>5039</v>
      </c>
    </row>
    <row r="747" spans="1:12" x14ac:dyDescent="0.35">
      <c r="A747" t="s">
        <v>235</v>
      </c>
      <c r="B747" t="s">
        <v>356</v>
      </c>
      <c r="C747" t="s">
        <v>695</v>
      </c>
      <c r="D747">
        <v>2.7</v>
      </c>
      <c r="F747" t="s">
        <v>1557</v>
      </c>
      <c r="H747" t="s">
        <v>3046</v>
      </c>
      <c r="I747" t="s">
        <v>1389</v>
      </c>
      <c r="K747" t="s">
        <v>5037</v>
      </c>
      <c r="L747" t="s">
        <v>5039</v>
      </c>
    </row>
    <row r="748" spans="1:12" x14ac:dyDescent="0.35">
      <c r="A748" t="s">
        <v>235</v>
      </c>
      <c r="B748" t="s">
        <v>356</v>
      </c>
      <c r="C748" t="s">
        <v>163</v>
      </c>
      <c r="D748">
        <v>38</v>
      </c>
      <c r="F748" t="s">
        <v>1707</v>
      </c>
      <c r="H748" t="s">
        <v>3046</v>
      </c>
      <c r="I748" t="s">
        <v>1389</v>
      </c>
      <c r="K748" t="s">
        <v>5037</v>
      </c>
      <c r="L748" t="s">
        <v>5039</v>
      </c>
    </row>
    <row r="749" spans="1:12" x14ac:dyDescent="0.35">
      <c r="A749" t="s">
        <v>235</v>
      </c>
      <c r="B749" t="s">
        <v>356</v>
      </c>
      <c r="C749" t="s">
        <v>698</v>
      </c>
      <c r="D749">
        <v>9.8000000000000007</v>
      </c>
      <c r="F749" t="s">
        <v>1715</v>
      </c>
      <c r="H749" t="s">
        <v>3046</v>
      </c>
      <c r="I749" t="s">
        <v>1389</v>
      </c>
      <c r="K749" t="s">
        <v>5037</v>
      </c>
      <c r="L749" t="s">
        <v>5039</v>
      </c>
    </row>
    <row r="750" spans="1:12" x14ac:dyDescent="0.35">
      <c r="A750" t="s">
        <v>235</v>
      </c>
      <c r="B750" t="s">
        <v>356</v>
      </c>
      <c r="C750" t="s">
        <v>163</v>
      </c>
      <c r="D750">
        <v>7.8</v>
      </c>
      <c r="F750" t="s">
        <v>1716</v>
      </c>
      <c r="H750" t="s">
        <v>3045</v>
      </c>
      <c r="I750" t="s">
        <v>1383</v>
      </c>
      <c r="K750" t="s">
        <v>5037</v>
      </c>
      <c r="L750" t="s">
        <v>5039</v>
      </c>
    </row>
    <row r="751" spans="1:12" x14ac:dyDescent="0.35">
      <c r="A751" t="s">
        <v>235</v>
      </c>
      <c r="B751" t="s">
        <v>356</v>
      </c>
      <c r="C751" t="s">
        <v>725</v>
      </c>
      <c r="D751">
        <v>3.2000000000000001E-2</v>
      </c>
      <c r="F751" t="s">
        <v>1314</v>
      </c>
      <c r="H751" t="s">
        <v>3048</v>
      </c>
      <c r="I751" t="s">
        <v>1766</v>
      </c>
      <c r="K751" t="s">
        <v>5037</v>
      </c>
      <c r="L751" t="s">
        <v>5039</v>
      </c>
    </row>
    <row r="752" spans="1:12" x14ac:dyDescent="0.35">
      <c r="A752" t="s">
        <v>235</v>
      </c>
      <c r="B752" t="s">
        <v>356</v>
      </c>
      <c r="C752" t="s">
        <v>698</v>
      </c>
      <c r="D752">
        <v>0.08</v>
      </c>
      <c r="F752" t="s">
        <v>1402</v>
      </c>
      <c r="H752" t="s">
        <v>3049</v>
      </c>
      <c r="I752" t="s">
        <v>1383</v>
      </c>
      <c r="K752" t="s">
        <v>5037</v>
      </c>
      <c r="L752" t="s">
        <v>5039</v>
      </c>
    </row>
    <row r="753" spans="1:12" x14ac:dyDescent="0.35">
      <c r="A753" t="s">
        <v>235</v>
      </c>
      <c r="B753" t="s">
        <v>423</v>
      </c>
      <c r="C753" t="s">
        <v>695</v>
      </c>
      <c r="D753">
        <v>0.19</v>
      </c>
      <c r="F753" t="s">
        <v>1538</v>
      </c>
      <c r="I753" t="s">
        <v>1851</v>
      </c>
      <c r="K753" t="s">
        <v>5037</v>
      </c>
      <c r="L753" t="s">
        <v>5039</v>
      </c>
    </row>
    <row r="754" spans="1:12" x14ac:dyDescent="0.35">
      <c r="A754" t="s">
        <v>235</v>
      </c>
      <c r="B754" t="s">
        <v>423</v>
      </c>
      <c r="C754" t="s">
        <v>698</v>
      </c>
      <c r="D754">
        <v>0.43</v>
      </c>
      <c r="F754" t="s">
        <v>1441</v>
      </c>
      <c r="I754" t="s">
        <v>1851</v>
      </c>
      <c r="K754" t="s">
        <v>5037</v>
      </c>
      <c r="L754" t="s">
        <v>5039</v>
      </c>
    </row>
    <row r="755" spans="1:12" x14ac:dyDescent="0.35">
      <c r="A755" t="s">
        <v>235</v>
      </c>
      <c r="B755" t="s">
        <v>423</v>
      </c>
      <c r="C755" t="s">
        <v>740</v>
      </c>
      <c r="D755">
        <v>1.2</v>
      </c>
      <c r="F755" t="s">
        <v>1421</v>
      </c>
      <c r="I755" t="s">
        <v>1851</v>
      </c>
      <c r="K755" t="s">
        <v>5037</v>
      </c>
      <c r="L755" t="s">
        <v>5039</v>
      </c>
    </row>
    <row r="756" spans="1:12" x14ac:dyDescent="0.35">
      <c r="A756" t="s">
        <v>235</v>
      </c>
      <c r="B756" t="s">
        <v>423</v>
      </c>
      <c r="C756" t="s">
        <v>741</v>
      </c>
      <c r="D756">
        <v>0.35</v>
      </c>
      <c r="F756" t="s">
        <v>1294</v>
      </c>
      <c r="I756" t="s">
        <v>1851</v>
      </c>
      <c r="K756" t="s">
        <v>5037</v>
      </c>
      <c r="L756" t="s">
        <v>5039</v>
      </c>
    </row>
    <row r="757" spans="1:12" x14ac:dyDescent="0.35">
      <c r="A757" t="s">
        <v>235</v>
      </c>
      <c r="B757" t="s">
        <v>423</v>
      </c>
      <c r="C757" t="s">
        <v>742</v>
      </c>
      <c r="D757">
        <v>0.36</v>
      </c>
      <c r="F757" t="s">
        <v>1398</v>
      </c>
      <c r="I757" t="s">
        <v>1851</v>
      </c>
      <c r="K757" t="s">
        <v>5037</v>
      </c>
      <c r="L757" t="s">
        <v>5039</v>
      </c>
    </row>
    <row r="758" spans="1:12" x14ac:dyDescent="0.35">
      <c r="A758" t="s">
        <v>235</v>
      </c>
      <c r="B758" t="s">
        <v>423</v>
      </c>
      <c r="C758" t="s">
        <v>163</v>
      </c>
      <c r="D758">
        <v>0.57999999999999996</v>
      </c>
      <c r="F758" t="s">
        <v>1444</v>
      </c>
      <c r="H758" t="s">
        <v>3050</v>
      </c>
      <c r="I758" t="s">
        <v>1851</v>
      </c>
      <c r="K758" t="s">
        <v>5037</v>
      </c>
      <c r="L758" t="s">
        <v>5039</v>
      </c>
    </row>
    <row r="759" spans="1:12" x14ac:dyDescent="0.35">
      <c r="A759" t="s">
        <v>235</v>
      </c>
      <c r="B759" t="s">
        <v>423</v>
      </c>
      <c r="C759" t="s">
        <v>704</v>
      </c>
      <c r="D759">
        <v>1.05</v>
      </c>
      <c r="F759" t="s">
        <v>1717</v>
      </c>
      <c r="I759" t="s">
        <v>1851</v>
      </c>
      <c r="K759" t="s">
        <v>5037</v>
      </c>
      <c r="L759" t="s">
        <v>5039</v>
      </c>
    </row>
    <row r="760" spans="1:12" x14ac:dyDescent="0.35">
      <c r="A760" t="s">
        <v>235</v>
      </c>
      <c r="B760" t="s">
        <v>423</v>
      </c>
      <c r="C760" t="s">
        <v>163</v>
      </c>
      <c r="D760">
        <v>1.44</v>
      </c>
      <c r="F760" t="s">
        <v>1718</v>
      </c>
      <c r="H760" t="s">
        <v>3051</v>
      </c>
      <c r="I760" t="s">
        <v>1851</v>
      </c>
      <c r="K760" t="s">
        <v>5037</v>
      </c>
      <c r="L760" t="s">
        <v>5039</v>
      </c>
    </row>
    <row r="761" spans="1:12" x14ac:dyDescent="0.35">
      <c r="A761" t="s">
        <v>235</v>
      </c>
      <c r="B761" t="s">
        <v>424</v>
      </c>
      <c r="C761" t="s">
        <v>698</v>
      </c>
      <c r="D761">
        <v>1.33</v>
      </c>
      <c r="F761" t="s">
        <v>1443</v>
      </c>
      <c r="H761" t="s">
        <v>3052</v>
      </c>
      <c r="I761" t="s">
        <v>1467</v>
      </c>
      <c r="K761" t="s">
        <v>5037</v>
      </c>
      <c r="L761" t="s">
        <v>5039</v>
      </c>
    </row>
    <row r="762" spans="1:12" x14ac:dyDescent="0.35">
      <c r="A762" t="s">
        <v>235</v>
      </c>
      <c r="B762" t="s">
        <v>424</v>
      </c>
      <c r="C762" t="s">
        <v>163</v>
      </c>
      <c r="D762">
        <v>0.97</v>
      </c>
      <c r="F762" t="s">
        <v>1719</v>
      </c>
      <c r="H762" t="s">
        <v>3052</v>
      </c>
      <c r="I762" t="s">
        <v>1467</v>
      </c>
      <c r="K762" t="s">
        <v>5037</v>
      </c>
      <c r="L762" t="s">
        <v>5039</v>
      </c>
    </row>
    <row r="763" spans="1:12" x14ac:dyDescent="0.35">
      <c r="A763" t="s">
        <v>235</v>
      </c>
      <c r="B763" t="s">
        <v>424</v>
      </c>
      <c r="C763" t="s">
        <v>695</v>
      </c>
      <c r="D763">
        <v>15</v>
      </c>
      <c r="F763" t="s">
        <v>1489</v>
      </c>
      <c r="H763" t="s">
        <v>3053</v>
      </c>
      <c r="I763" t="s">
        <v>1467</v>
      </c>
      <c r="K763" t="s">
        <v>5037</v>
      </c>
      <c r="L763" t="s">
        <v>5039</v>
      </c>
    </row>
    <row r="764" spans="1:12" x14ac:dyDescent="0.35">
      <c r="A764" t="s">
        <v>235</v>
      </c>
      <c r="B764" t="s">
        <v>424</v>
      </c>
      <c r="C764" t="s">
        <v>704</v>
      </c>
      <c r="D764">
        <v>1.37</v>
      </c>
      <c r="F764" t="s">
        <v>1720</v>
      </c>
      <c r="H764" t="s">
        <v>3052</v>
      </c>
      <c r="I764" t="s">
        <v>1467</v>
      </c>
      <c r="K764" t="s">
        <v>5037</v>
      </c>
      <c r="L764" t="s">
        <v>5039</v>
      </c>
    </row>
    <row r="765" spans="1:12" x14ac:dyDescent="0.35">
      <c r="A765" t="s">
        <v>235</v>
      </c>
      <c r="B765" t="s">
        <v>424</v>
      </c>
      <c r="C765" t="s">
        <v>698</v>
      </c>
      <c r="D765">
        <v>16.600000000000001</v>
      </c>
      <c r="F765" t="s">
        <v>1721</v>
      </c>
      <c r="H765" t="s">
        <v>3054</v>
      </c>
      <c r="I765" t="s">
        <v>1467</v>
      </c>
      <c r="K765" t="s">
        <v>5037</v>
      </c>
      <c r="L765" t="s">
        <v>5039</v>
      </c>
    </row>
    <row r="766" spans="1:12" x14ac:dyDescent="0.35">
      <c r="A766" t="s">
        <v>235</v>
      </c>
      <c r="B766" t="s">
        <v>424</v>
      </c>
      <c r="C766" t="s">
        <v>704</v>
      </c>
      <c r="D766">
        <v>16.600000000000001</v>
      </c>
      <c r="F766" t="s">
        <v>1721</v>
      </c>
      <c r="H766" t="s">
        <v>3054</v>
      </c>
      <c r="I766" t="s">
        <v>1467</v>
      </c>
      <c r="K766" t="s">
        <v>5037</v>
      </c>
      <c r="L766" t="s">
        <v>5039</v>
      </c>
    </row>
    <row r="767" spans="1:12" x14ac:dyDescent="0.35">
      <c r="A767" t="s">
        <v>235</v>
      </c>
      <c r="B767" t="s">
        <v>425</v>
      </c>
      <c r="C767" t="s">
        <v>725</v>
      </c>
      <c r="D767">
        <v>0.05</v>
      </c>
      <c r="F767" t="s">
        <v>1559</v>
      </c>
      <c r="H767" t="s">
        <v>3055</v>
      </c>
      <c r="I767" t="s">
        <v>1526</v>
      </c>
      <c r="K767" t="s">
        <v>5037</v>
      </c>
      <c r="L767" t="s">
        <v>5039</v>
      </c>
    </row>
    <row r="768" spans="1:12" x14ac:dyDescent="0.35">
      <c r="A768" t="s">
        <v>235</v>
      </c>
      <c r="B768" t="s">
        <v>425</v>
      </c>
      <c r="C768" t="s">
        <v>737</v>
      </c>
      <c r="D768">
        <v>0.06</v>
      </c>
      <c r="F768" t="s">
        <v>1370</v>
      </c>
      <c r="H768" t="s">
        <v>3055</v>
      </c>
      <c r="I768" t="s">
        <v>1526</v>
      </c>
      <c r="K768" t="s">
        <v>5037</v>
      </c>
      <c r="L768" t="s">
        <v>5039</v>
      </c>
    </row>
    <row r="769" spans="1:12" x14ac:dyDescent="0.35">
      <c r="A769" t="s">
        <v>235</v>
      </c>
      <c r="B769" t="s">
        <v>425</v>
      </c>
      <c r="C769" t="s">
        <v>739</v>
      </c>
      <c r="D769">
        <v>1E-3</v>
      </c>
      <c r="F769" t="s">
        <v>1722</v>
      </c>
      <c r="H769" t="s">
        <v>3055</v>
      </c>
      <c r="I769" t="s">
        <v>1526</v>
      </c>
      <c r="K769" t="s">
        <v>5037</v>
      </c>
      <c r="L769" t="s">
        <v>5039</v>
      </c>
    </row>
    <row r="770" spans="1:12" x14ac:dyDescent="0.35">
      <c r="A770" t="s">
        <v>235</v>
      </c>
      <c r="B770" t="s">
        <v>425</v>
      </c>
      <c r="C770" t="s">
        <v>743</v>
      </c>
      <c r="D770">
        <v>7</v>
      </c>
      <c r="F770" t="s">
        <v>1335</v>
      </c>
      <c r="H770" t="s">
        <v>3055</v>
      </c>
      <c r="I770" t="s">
        <v>1526</v>
      </c>
      <c r="K770" t="s">
        <v>5037</v>
      </c>
      <c r="L770" t="s">
        <v>5039</v>
      </c>
    </row>
    <row r="771" spans="1:12" x14ac:dyDescent="0.35">
      <c r="A771" t="s">
        <v>235</v>
      </c>
      <c r="B771" t="s">
        <v>425</v>
      </c>
      <c r="C771" t="s">
        <v>695</v>
      </c>
      <c r="D771">
        <v>0.4</v>
      </c>
      <c r="F771" t="s">
        <v>1315</v>
      </c>
      <c r="H771" t="s">
        <v>3055</v>
      </c>
      <c r="I771" t="s">
        <v>1526</v>
      </c>
      <c r="K771" t="s">
        <v>5037</v>
      </c>
      <c r="L771" t="s">
        <v>5039</v>
      </c>
    </row>
    <row r="772" spans="1:12" x14ac:dyDescent="0.35">
      <c r="A772" t="s">
        <v>235</v>
      </c>
      <c r="B772" t="s">
        <v>425</v>
      </c>
      <c r="C772" t="s">
        <v>744</v>
      </c>
      <c r="D772">
        <v>0.45</v>
      </c>
      <c r="F772" t="s">
        <v>1316</v>
      </c>
      <c r="H772" t="s">
        <v>3055</v>
      </c>
      <c r="I772" t="s">
        <v>1526</v>
      </c>
      <c r="K772" t="s">
        <v>5037</v>
      </c>
      <c r="L772" t="s">
        <v>5039</v>
      </c>
    </row>
    <row r="773" spans="1:12" x14ac:dyDescent="0.35">
      <c r="A773" t="s">
        <v>235</v>
      </c>
      <c r="B773" t="s">
        <v>425</v>
      </c>
      <c r="C773" t="s">
        <v>704</v>
      </c>
      <c r="D773">
        <v>2.5</v>
      </c>
      <c r="F773" t="s">
        <v>1406</v>
      </c>
      <c r="H773" t="s">
        <v>3055</v>
      </c>
      <c r="I773" t="s">
        <v>1526</v>
      </c>
      <c r="K773" t="s">
        <v>5037</v>
      </c>
      <c r="L773" t="s">
        <v>5039</v>
      </c>
    </row>
    <row r="774" spans="1:12" x14ac:dyDescent="0.35">
      <c r="A774" t="s">
        <v>235</v>
      </c>
      <c r="B774" t="s">
        <v>425</v>
      </c>
      <c r="C774" t="s">
        <v>691</v>
      </c>
      <c r="D774">
        <v>3.3</v>
      </c>
      <c r="F774" t="s">
        <v>1377</v>
      </c>
      <c r="H774" t="s">
        <v>3055</v>
      </c>
      <c r="I774" t="s">
        <v>1526</v>
      </c>
      <c r="K774" t="s">
        <v>5037</v>
      </c>
      <c r="L774" t="s">
        <v>5039</v>
      </c>
    </row>
    <row r="775" spans="1:12" x14ac:dyDescent="0.35">
      <c r="A775" t="s">
        <v>235</v>
      </c>
      <c r="B775" t="s">
        <v>425</v>
      </c>
      <c r="C775" t="s">
        <v>699</v>
      </c>
      <c r="D775">
        <v>0.08</v>
      </c>
      <c r="F775" t="s">
        <v>1402</v>
      </c>
      <c r="H775" t="s">
        <v>3055</v>
      </c>
      <c r="I775" t="s">
        <v>1526</v>
      </c>
      <c r="K775" t="s">
        <v>5037</v>
      </c>
      <c r="L775" t="s">
        <v>5039</v>
      </c>
    </row>
    <row r="776" spans="1:12" x14ac:dyDescent="0.35">
      <c r="A776" t="s">
        <v>235</v>
      </c>
      <c r="B776" t="s">
        <v>425</v>
      </c>
      <c r="C776" t="s">
        <v>745</v>
      </c>
      <c r="D776">
        <v>0.08</v>
      </c>
      <c r="F776" t="s">
        <v>1402</v>
      </c>
      <c r="H776" t="s">
        <v>3055</v>
      </c>
      <c r="I776" t="s">
        <v>1526</v>
      </c>
      <c r="K776" t="s">
        <v>5037</v>
      </c>
      <c r="L776" t="s">
        <v>5039</v>
      </c>
    </row>
    <row r="777" spans="1:12" x14ac:dyDescent="0.35">
      <c r="A777" t="s">
        <v>235</v>
      </c>
      <c r="B777" t="s">
        <v>425</v>
      </c>
      <c r="C777" t="s">
        <v>736</v>
      </c>
      <c r="D777">
        <v>4</v>
      </c>
      <c r="F777" t="s">
        <v>1379</v>
      </c>
      <c r="H777" t="s">
        <v>3055</v>
      </c>
      <c r="I777" t="s">
        <v>1526</v>
      </c>
      <c r="K777" t="s">
        <v>5037</v>
      </c>
      <c r="L777" t="s">
        <v>5039</v>
      </c>
    </row>
    <row r="778" spans="1:12" x14ac:dyDescent="0.35">
      <c r="A778" t="s">
        <v>235</v>
      </c>
      <c r="B778" t="s">
        <v>425</v>
      </c>
      <c r="C778" t="s">
        <v>163</v>
      </c>
      <c r="D778">
        <v>5</v>
      </c>
      <c r="F778" t="s">
        <v>1477</v>
      </c>
      <c r="H778" t="s">
        <v>3055</v>
      </c>
      <c r="I778" t="s">
        <v>1526</v>
      </c>
      <c r="K778" t="s">
        <v>5037</v>
      </c>
      <c r="L778" t="s">
        <v>5039</v>
      </c>
    </row>
    <row r="779" spans="1:12" x14ac:dyDescent="0.35">
      <c r="A779" t="s">
        <v>235</v>
      </c>
      <c r="B779" t="s">
        <v>425</v>
      </c>
      <c r="C779" t="s">
        <v>165</v>
      </c>
      <c r="D779">
        <v>5</v>
      </c>
      <c r="F779" t="s">
        <v>1477</v>
      </c>
      <c r="H779" t="s">
        <v>3055</v>
      </c>
      <c r="I779" t="s">
        <v>1526</v>
      </c>
      <c r="K779" t="s">
        <v>5037</v>
      </c>
      <c r="L779" t="s">
        <v>5039</v>
      </c>
    </row>
    <row r="780" spans="1:12" x14ac:dyDescent="0.35">
      <c r="A780" t="s">
        <v>235</v>
      </c>
      <c r="B780" t="s">
        <v>425</v>
      </c>
      <c r="C780" t="s">
        <v>741</v>
      </c>
      <c r="D780">
        <v>5</v>
      </c>
      <c r="F780" t="s">
        <v>1477</v>
      </c>
      <c r="H780" t="s">
        <v>3055</v>
      </c>
      <c r="I780" t="s">
        <v>1526</v>
      </c>
      <c r="K780" t="s">
        <v>5037</v>
      </c>
      <c r="L780" t="s">
        <v>5039</v>
      </c>
    </row>
    <row r="781" spans="1:12" x14ac:dyDescent="0.35">
      <c r="A781" t="s">
        <v>235</v>
      </c>
      <c r="B781" t="s">
        <v>425</v>
      </c>
      <c r="C781" t="s">
        <v>698</v>
      </c>
      <c r="D781">
        <v>0.44</v>
      </c>
      <c r="F781" t="s">
        <v>1723</v>
      </c>
      <c r="H781" t="s">
        <v>3055</v>
      </c>
      <c r="I781" t="s">
        <v>1526</v>
      </c>
      <c r="K781" t="s">
        <v>5037</v>
      </c>
      <c r="L781" t="s">
        <v>5039</v>
      </c>
    </row>
    <row r="782" spans="1:12" x14ac:dyDescent="0.35">
      <c r="A782" t="s">
        <v>235</v>
      </c>
      <c r="B782" t="s">
        <v>426</v>
      </c>
      <c r="C782" t="s">
        <v>163</v>
      </c>
      <c r="D782">
        <v>0.18</v>
      </c>
      <c r="F782" t="s">
        <v>1531</v>
      </c>
      <c r="H782" t="s">
        <v>3056</v>
      </c>
      <c r="I782" t="s">
        <v>4894</v>
      </c>
      <c r="K782" t="s">
        <v>5037</v>
      </c>
      <c r="L782" t="s">
        <v>5039</v>
      </c>
    </row>
    <row r="783" spans="1:12" x14ac:dyDescent="0.35">
      <c r="A783" t="s">
        <v>235</v>
      </c>
      <c r="B783" t="s">
        <v>426</v>
      </c>
      <c r="C783" t="s">
        <v>695</v>
      </c>
      <c r="D783">
        <v>0.5</v>
      </c>
      <c r="F783" t="s">
        <v>1440</v>
      </c>
      <c r="H783" t="s">
        <v>3057</v>
      </c>
      <c r="I783" t="s">
        <v>4894</v>
      </c>
      <c r="K783" t="s">
        <v>5037</v>
      </c>
      <c r="L783" t="s">
        <v>5039</v>
      </c>
    </row>
    <row r="784" spans="1:12" x14ac:dyDescent="0.35">
      <c r="A784" t="s">
        <v>235</v>
      </c>
      <c r="B784" t="s">
        <v>426</v>
      </c>
      <c r="C784" t="s">
        <v>746</v>
      </c>
      <c r="D784">
        <v>0.14000000000000001</v>
      </c>
      <c r="F784" t="s">
        <v>1361</v>
      </c>
      <c r="H784" t="s">
        <v>3058</v>
      </c>
      <c r="I784" t="s">
        <v>4894</v>
      </c>
      <c r="K784" t="s">
        <v>5037</v>
      </c>
      <c r="L784" t="s">
        <v>5039</v>
      </c>
    </row>
    <row r="785" spans="1:12" x14ac:dyDescent="0.35">
      <c r="A785" t="s">
        <v>235</v>
      </c>
      <c r="B785" t="s">
        <v>426</v>
      </c>
      <c r="C785" t="s">
        <v>698</v>
      </c>
      <c r="D785">
        <v>1.4</v>
      </c>
      <c r="F785" t="s">
        <v>1469</v>
      </c>
      <c r="H785" t="s">
        <v>3059</v>
      </c>
      <c r="I785" t="s">
        <v>4894</v>
      </c>
      <c r="K785" t="s">
        <v>5037</v>
      </c>
      <c r="L785" t="s">
        <v>5039</v>
      </c>
    </row>
    <row r="786" spans="1:12" x14ac:dyDescent="0.35">
      <c r="A786" t="s">
        <v>235</v>
      </c>
      <c r="B786" t="s">
        <v>426</v>
      </c>
      <c r="C786" t="s">
        <v>164</v>
      </c>
      <c r="D786">
        <v>10</v>
      </c>
      <c r="F786" t="s">
        <v>1533</v>
      </c>
      <c r="H786" t="s">
        <v>3060</v>
      </c>
      <c r="I786" t="s">
        <v>4894</v>
      </c>
      <c r="K786" t="s">
        <v>5037</v>
      </c>
      <c r="L786" t="s">
        <v>5039</v>
      </c>
    </row>
    <row r="787" spans="1:12" x14ac:dyDescent="0.35">
      <c r="A787" t="s">
        <v>235</v>
      </c>
      <c r="B787" t="s">
        <v>426</v>
      </c>
      <c r="C787" t="s">
        <v>746</v>
      </c>
      <c r="D787">
        <v>3.3</v>
      </c>
      <c r="F787" t="s">
        <v>1377</v>
      </c>
      <c r="H787" t="s">
        <v>3059</v>
      </c>
      <c r="I787" t="s">
        <v>4894</v>
      </c>
      <c r="K787" t="s">
        <v>5037</v>
      </c>
      <c r="L787" t="s">
        <v>5039</v>
      </c>
    </row>
    <row r="788" spans="1:12" x14ac:dyDescent="0.35">
      <c r="A788" t="s">
        <v>235</v>
      </c>
      <c r="B788" t="s">
        <v>426</v>
      </c>
      <c r="C788" t="s">
        <v>707</v>
      </c>
      <c r="D788">
        <v>9</v>
      </c>
      <c r="F788" t="s">
        <v>1367</v>
      </c>
      <c r="H788" t="s">
        <v>3057</v>
      </c>
      <c r="I788" t="s">
        <v>4894</v>
      </c>
      <c r="K788" t="s">
        <v>5037</v>
      </c>
      <c r="L788" t="s">
        <v>5039</v>
      </c>
    </row>
    <row r="789" spans="1:12" x14ac:dyDescent="0.35">
      <c r="A789" t="s">
        <v>235</v>
      </c>
      <c r="B789" t="s">
        <v>344</v>
      </c>
      <c r="C789" t="s">
        <v>163</v>
      </c>
      <c r="D789">
        <v>0.3</v>
      </c>
      <c r="F789" t="s">
        <v>1401</v>
      </c>
      <c r="H789" t="s">
        <v>3061</v>
      </c>
      <c r="I789" t="s">
        <v>1968</v>
      </c>
      <c r="K789" t="s">
        <v>5037</v>
      </c>
      <c r="L789" t="s">
        <v>5039</v>
      </c>
    </row>
    <row r="790" spans="1:12" x14ac:dyDescent="0.35">
      <c r="A790" t="s">
        <v>235</v>
      </c>
      <c r="B790" t="s">
        <v>344</v>
      </c>
      <c r="C790" t="s">
        <v>163</v>
      </c>
      <c r="D790">
        <v>0.6</v>
      </c>
      <c r="F790" t="s">
        <v>1519</v>
      </c>
      <c r="H790" t="s">
        <v>3062</v>
      </c>
      <c r="I790" t="s">
        <v>1968</v>
      </c>
      <c r="K790" t="s">
        <v>5037</v>
      </c>
      <c r="L790" t="s">
        <v>5039</v>
      </c>
    </row>
    <row r="791" spans="1:12" x14ac:dyDescent="0.35">
      <c r="A791" t="s">
        <v>235</v>
      </c>
      <c r="B791" t="s">
        <v>344</v>
      </c>
      <c r="C791" t="s">
        <v>163</v>
      </c>
      <c r="D791">
        <v>0.4</v>
      </c>
      <c r="F791" t="s">
        <v>1315</v>
      </c>
      <c r="H791" t="s">
        <v>3063</v>
      </c>
      <c r="I791" t="s">
        <v>1968</v>
      </c>
      <c r="K791" t="s">
        <v>5037</v>
      </c>
      <c r="L791" t="s">
        <v>5039</v>
      </c>
    </row>
    <row r="792" spans="1:12" x14ac:dyDescent="0.35">
      <c r="A792" t="s">
        <v>235</v>
      </c>
      <c r="B792" t="s">
        <v>344</v>
      </c>
      <c r="C792" t="s">
        <v>698</v>
      </c>
      <c r="D792">
        <v>0.4</v>
      </c>
      <c r="F792" t="s">
        <v>1315</v>
      </c>
      <c r="H792" t="s">
        <v>3064</v>
      </c>
      <c r="I792" t="s">
        <v>1968</v>
      </c>
      <c r="K792" t="s">
        <v>5037</v>
      </c>
      <c r="L792" t="s">
        <v>5039</v>
      </c>
    </row>
    <row r="793" spans="1:12" x14ac:dyDescent="0.35">
      <c r="A793" t="s">
        <v>235</v>
      </c>
      <c r="B793" t="s">
        <v>344</v>
      </c>
      <c r="C793" t="s">
        <v>695</v>
      </c>
      <c r="D793">
        <v>1</v>
      </c>
      <c r="F793" t="s">
        <v>1317</v>
      </c>
      <c r="H793" t="s">
        <v>3065</v>
      </c>
      <c r="I793" t="s">
        <v>1968</v>
      </c>
      <c r="K793" t="s">
        <v>5037</v>
      </c>
      <c r="L793" t="s">
        <v>5039</v>
      </c>
    </row>
    <row r="794" spans="1:12" x14ac:dyDescent="0.35">
      <c r="A794" t="s">
        <v>235</v>
      </c>
      <c r="B794" t="s">
        <v>344</v>
      </c>
      <c r="C794" t="s">
        <v>704</v>
      </c>
      <c r="D794">
        <v>1</v>
      </c>
      <c r="F794" t="s">
        <v>1317</v>
      </c>
      <c r="H794" t="s">
        <v>3065</v>
      </c>
      <c r="I794" t="s">
        <v>1968</v>
      </c>
      <c r="K794" t="s">
        <v>5037</v>
      </c>
      <c r="L794" t="s">
        <v>5039</v>
      </c>
    </row>
    <row r="795" spans="1:12" x14ac:dyDescent="0.35">
      <c r="A795" t="s">
        <v>235</v>
      </c>
      <c r="B795" t="s">
        <v>344</v>
      </c>
      <c r="C795" t="s">
        <v>163</v>
      </c>
      <c r="D795">
        <v>4.5999999999999996</v>
      </c>
      <c r="F795" t="s">
        <v>1468</v>
      </c>
      <c r="H795" t="s">
        <v>3066</v>
      </c>
      <c r="I795" t="s">
        <v>1968</v>
      </c>
      <c r="K795" t="s">
        <v>5037</v>
      </c>
      <c r="L795" t="s">
        <v>5039</v>
      </c>
    </row>
    <row r="796" spans="1:12" x14ac:dyDescent="0.35">
      <c r="A796" t="s">
        <v>235</v>
      </c>
      <c r="B796" t="s">
        <v>344</v>
      </c>
      <c r="C796" t="s">
        <v>163</v>
      </c>
      <c r="D796">
        <v>1.8</v>
      </c>
      <c r="F796" t="s">
        <v>1375</v>
      </c>
      <c r="H796" t="s">
        <v>3067</v>
      </c>
      <c r="I796" t="s">
        <v>1968</v>
      </c>
      <c r="K796" t="s">
        <v>5037</v>
      </c>
      <c r="L796" t="s">
        <v>5039</v>
      </c>
    </row>
    <row r="797" spans="1:12" x14ac:dyDescent="0.35">
      <c r="A797" t="s">
        <v>235</v>
      </c>
      <c r="B797" t="s">
        <v>344</v>
      </c>
      <c r="C797" t="s">
        <v>698</v>
      </c>
      <c r="D797">
        <v>1.2</v>
      </c>
      <c r="F797" t="s">
        <v>1421</v>
      </c>
      <c r="H797" t="s">
        <v>3068</v>
      </c>
      <c r="I797" t="s">
        <v>1968</v>
      </c>
      <c r="K797" t="s">
        <v>5037</v>
      </c>
      <c r="L797" t="s">
        <v>5039</v>
      </c>
    </row>
    <row r="798" spans="1:12" x14ac:dyDescent="0.35">
      <c r="A798" t="s">
        <v>235</v>
      </c>
      <c r="B798" t="s">
        <v>344</v>
      </c>
      <c r="C798" t="s">
        <v>704</v>
      </c>
      <c r="D798">
        <v>1.9</v>
      </c>
      <c r="F798" t="s">
        <v>1503</v>
      </c>
      <c r="H798" t="s">
        <v>3069</v>
      </c>
      <c r="I798" t="s">
        <v>1968</v>
      </c>
      <c r="K798" t="s">
        <v>5037</v>
      </c>
      <c r="L798" t="s">
        <v>5039</v>
      </c>
    </row>
    <row r="799" spans="1:12" x14ac:dyDescent="0.35">
      <c r="A799" t="s">
        <v>235</v>
      </c>
      <c r="B799" t="s">
        <v>427</v>
      </c>
      <c r="C799" t="s">
        <v>698</v>
      </c>
      <c r="D799">
        <v>0.55000000000000004</v>
      </c>
      <c r="F799" t="s">
        <v>1432</v>
      </c>
      <c r="H799" t="s">
        <v>3070</v>
      </c>
      <c r="I799" t="s">
        <v>1335</v>
      </c>
      <c r="K799" t="s">
        <v>5037</v>
      </c>
      <c r="L799" t="s">
        <v>5039</v>
      </c>
    </row>
    <row r="800" spans="1:12" x14ac:dyDescent="0.35">
      <c r="A800" t="s">
        <v>235</v>
      </c>
      <c r="B800" t="s">
        <v>427</v>
      </c>
      <c r="C800" t="s">
        <v>163</v>
      </c>
      <c r="D800">
        <v>0.49</v>
      </c>
      <c r="F800" t="s">
        <v>1724</v>
      </c>
      <c r="H800" t="s">
        <v>3071</v>
      </c>
      <c r="I800" t="s">
        <v>1335</v>
      </c>
      <c r="K800" t="s">
        <v>5037</v>
      </c>
      <c r="L800" t="s">
        <v>5039</v>
      </c>
    </row>
    <row r="801" spans="1:12" x14ac:dyDescent="0.35">
      <c r="A801" t="s">
        <v>235</v>
      </c>
      <c r="B801" t="s">
        <v>427</v>
      </c>
      <c r="C801" t="s">
        <v>163</v>
      </c>
      <c r="D801">
        <v>0.44</v>
      </c>
      <c r="F801" t="s">
        <v>1723</v>
      </c>
      <c r="H801" t="s">
        <v>3070</v>
      </c>
      <c r="I801" t="s">
        <v>1335</v>
      </c>
      <c r="K801" t="s">
        <v>5037</v>
      </c>
      <c r="L801" t="s">
        <v>5039</v>
      </c>
    </row>
    <row r="802" spans="1:12" x14ac:dyDescent="0.35">
      <c r="A802" t="s">
        <v>235</v>
      </c>
      <c r="B802" t="s">
        <v>427</v>
      </c>
      <c r="C802" t="s">
        <v>704</v>
      </c>
      <c r="D802">
        <v>1.47</v>
      </c>
      <c r="F802" t="s">
        <v>1521</v>
      </c>
      <c r="H802" t="s">
        <v>3070</v>
      </c>
      <c r="I802" t="s">
        <v>1335</v>
      </c>
      <c r="K802" t="s">
        <v>5037</v>
      </c>
      <c r="L802" t="s">
        <v>5039</v>
      </c>
    </row>
    <row r="803" spans="1:12" x14ac:dyDescent="0.35">
      <c r="A803" t="s">
        <v>235</v>
      </c>
      <c r="B803" t="s">
        <v>427</v>
      </c>
      <c r="C803" t="s">
        <v>695</v>
      </c>
      <c r="D803">
        <v>2.39</v>
      </c>
      <c r="F803" t="s">
        <v>1725</v>
      </c>
      <c r="H803" t="s">
        <v>3070</v>
      </c>
      <c r="I803" t="s">
        <v>1335</v>
      </c>
      <c r="K803" t="s">
        <v>5037</v>
      </c>
      <c r="L803" t="s">
        <v>5039</v>
      </c>
    </row>
    <row r="804" spans="1:12" x14ac:dyDescent="0.35">
      <c r="A804" t="s">
        <v>235</v>
      </c>
      <c r="B804" t="s">
        <v>427</v>
      </c>
      <c r="C804" t="s">
        <v>698</v>
      </c>
      <c r="D804">
        <v>1.55</v>
      </c>
      <c r="F804" t="s">
        <v>1726</v>
      </c>
      <c r="H804" t="s">
        <v>3071</v>
      </c>
      <c r="I804" t="s">
        <v>1335</v>
      </c>
      <c r="K804" t="s">
        <v>5037</v>
      </c>
      <c r="L804" t="s">
        <v>5039</v>
      </c>
    </row>
    <row r="805" spans="1:12" x14ac:dyDescent="0.35">
      <c r="A805" t="s">
        <v>235</v>
      </c>
      <c r="B805" t="s">
        <v>427</v>
      </c>
      <c r="C805" t="s">
        <v>695</v>
      </c>
      <c r="D805">
        <v>2.37</v>
      </c>
      <c r="F805" t="s">
        <v>1727</v>
      </c>
      <c r="H805" t="s">
        <v>3071</v>
      </c>
      <c r="I805" t="s">
        <v>1335</v>
      </c>
      <c r="K805" t="s">
        <v>5037</v>
      </c>
      <c r="L805" t="s">
        <v>5039</v>
      </c>
    </row>
    <row r="806" spans="1:12" x14ac:dyDescent="0.35">
      <c r="A806" t="s">
        <v>235</v>
      </c>
      <c r="B806" t="s">
        <v>427</v>
      </c>
      <c r="C806" t="s">
        <v>704</v>
      </c>
      <c r="D806">
        <v>4.62</v>
      </c>
      <c r="F806" t="s">
        <v>1728</v>
      </c>
      <c r="H806" t="s">
        <v>3071</v>
      </c>
      <c r="I806" t="s">
        <v>1335</v>
      </c>
      <c r="K806" t="s">
        <v>5037</v>
      </c>
      <c r="L806" t="s">
        <v>5039</v>
      </c>
    </row>
    <row r="807" spans="1:12" x14ac:dyDescent="0.35">
      <c r="A807" t="s">
        <v>235</v>
      </c>
      <c r="B807" t="s">
        <v>428</v>
      </c>
      <c r="C807" t="s">
        <v>699</v>
      </c>
      <c r="D807">
        <v>8.3000000000000004E-2</v>
      </c>
      <c r="F807" t="s">
        <v>1603</v>
      </c>
      <c r="H807" t="s">
        <v>3072</v>
      </c>
      <c r="I807" t="s">
        <v>1387</v>
      </c>
      <c r="K807" t="s">
        <v>5037</v>
      </c>
      <c r="L807" t="s">
        <v>5039</v>
      </c>
    </row>
    <row r="808" spans="1:12" x14ac:dyDescent="0.35">
      <c r="A808" t="s">
        <v>235</v>
      </c>
      <c r="B808" t="s">
        <v>428</v>
      </c>
      <c r="C808" t="s">
        <v>163</v>
      </c>
      <c r="D808">
        <v>0.14000000000000001</v>
      </c>
      <c r="F808" t="s">
        <v>1361</v>
      </c>
      <c r="H808" t="s">
        <v>3073</v>
      </c>
      <c r="I808" t="s">
        <v>1387</v>
      </c>
      <c r="K808" t="s">
        <v>5037</v>
      </c>
      <c r="L808" t="s">
        <v>5039</v>
      </c>
    </row>
    <row r="809" spans="1:12" x14ac:dyDescent="0.35">
      <c r="A809" t="s">
        <v>235</v>
      </c>
      <c r="B809" t="s">
        <v>428</v>
      </c>
      <c r="C809" t="s">
        <v>704</v>
      </c>
      <c r="D809">
        <v>1.4</v>
      </c>
      <c r="F809" t="s">
        <v>1469</v>
      </c>
      <c r="H809" t="s">
        <v>3074</v>
      </c>
      <c r="I809" t="s">
        <v>1387</v>
      </c>
      <c r="K809" t="s">
        <v>5037</v>
      </c>
      <c r="L809" t="s">
        <v>5039</v>
      </c>
    </row>
    <row r="810" spans="1:12" x14ac:dyDescent="0.35">
      <c r="A810" t="s">
        <v>235</v>
      </c>
      <c r="B810" t="s">
        <v>428</v>
      </c>
      <c r="C810" t="s">
        <v>688</v>
      </c>
      <c r="D810">
        <v>1.8</v>
      </c>
      <c r="F810" t="s">
        <v>1375</v>
      </c>
      <c r="H810" t="s">
        <v>3074</v>
      </c>
      <c r="I810" t="s">
        <v>1387</v>
      </c>
      <c r="K810" t="s">
        <v>5037</v>
      </c>
      <c r="L810" t="s">
        <v>5039</v>
      </c>
    </row>
    <row r="811" spans="1:12" x14ac:dyDescent="0.35">
      <c r="A811" t="s">
        <v>235</v>
      </c>
      <c r="B811" t="s">
        <v>428</v>
      </c>
      <c r="C811" t="s">
        <v>747</v>
      </c>
      <c r="D811">
        <v>5.8999999999999997E-2</v>
      </c>
      <c r="F811" t="s">
        <v>1729</v>
      </c>
      <c r="H811" t="s">
        <v>2991</v>
      </c>
      <c r="I811" t="s">
        <v>1387</v>
      </c>
      <c r="K811" t="s">
        <v>5037</v>
      </c>
      <c r="L811" t="s">
        <v>5039</v>
      </c>
    </row>
    <row r="812" spans="1:12" x14ac:dyDescent="0.35">
      <c r="A812" t="s">
        <v>235</v>
      </c>
      <c r="B812" t="s">
        <v>428</v>
      </c>
      <c r="C812" t="s">
        <v>688</v>
      </c>
      <c r="D812">
        <v>7.9000000000000001E-2</v>
      </c>
      <c r="F812" t="s">
        <v>1730</v>
      </c>
      <c r="H812" t="s">
        <v>3075</v>
      </c>
      <c r="I812" t="s">
        <v>2254</v>
      </c>
      <c r="K812" t="s">
        <v>5037</v>
      </c>
      <c r="L812" t="s">
        <v>5039</v>
      </c>
    </row>
    <row r="813" spans="1:12" x14ac:dyDescent="0.35">
      <c r="A813" t="s">
        <v>235</v>
      </c>
      <c r="B813" t="s">
        <v>428</v>
      </c>
      <c r="C813" t="s">
        <v>690</v>
      </c>
      <c r="D813">
        <v>12.22</v>
      </c>
      <c r="F813" t="s">
        <v>1731</v>
      </c>
      <c r="H813" t="s">
        <v>3075</v>
      </c>
      <c r="I813" t="s">
        <v>2254</v>
      </c>
      <c r="K813" t="s">
        <v>5037</v>
      </c>
      <c r="L813" t="s">
        <v>5039</v>
      </c>
    </row>
    <row r="814" spans="1:12" x14ac:dyDescent="0.35">
      <c r="A814" t="s">
        <v>235</v>
      </c>
      <c r="B814" t="s">
        <v>353</v>
      </c>
      <c r="C814" t="s">
        <v>698</v>
      </c>
      <c r="D814">
        <v>0.06</v>
      </c>
      <c r="F814" t="s">
        <v>1370</v>
      </c>
      <c r="H814" t="s">
        <v>3048</v>
      </c>
      <c r="I814" t="s">
        <v>1766</v>
      </c>
      <c r="K814" t="s">
        <v>5037</v>
      </c>
      <c r="L814" t="s">
        <v>5039</v>
      </c>
    </row>
    <row r="815" spans="1:12" x14ac:dyDescent="0.35">
      <c r="A815" t="s">
        <v>235</v>
      </c>
      <c r="B815" t="s">
        <v>353</v>
      </c>
      <c r="C815" t="s">
        <v>698</v>
      </c>
      <c r="D815">
        <v>0.26</v>
      </c>
      <c r="F815" t="s">
        <v>1447</v>
      </c>
      <c r="H815" t="s">
        <v>3076</v>
      </c>
      <c r="I815" t="s">
        <v>1533</v>
      </c>
      <c r="K815" t="s">
        <v>5037</v>
      </c>
      <c r="L815" t="s">
        <v>5039</v>
      </c>
    </row>
    <row r="816" spans="1:12" x14ac:dyDescent="0.35">
      <c r="A816" t="s">
        <v>235</v>
      </c>
      <c r="B816" t="s">
        <v>353</v>
      </c>
      <c r="C816" t="s">
        <v>163</v>
      </c>
      <c r="D816">
        <v>1.3</v>
      </c>
      <c r="F816" t="s">
        <v>1358</v>
      </c>
      <c r="H816" t="s">
        <v>3077</v>
      </c>
      <c r="I816" t="s">
        <v>1533</v>
      </c>
      <c r="K816" t="s">
        <v>5037</v>
      </c>
      <c r="L816" t="s">
        <v>5039</v>
      </c>
    </row>
    <row r="817" spans="1:12" x14ac:dyDescent="0.35">
      <c r="A817" t="s">
        <v>235</v>
      </c>
      <c r="B817" t="s">
        <v>353</v>
      </c>
      <c r="C817" t="s">
        <v>704</v>
      </c>
      <c r="D817">
        <v>0.5</v>
      </c>
      <c r="F817" t="s">
        <v>1440</v>
      </c>
      <c r="H817" t="s">
        <v>3078</v>
      </c>
      <c r="I817" t="s">
        <v>1766</v>
      </c>
      <c r="K817" t="s">
        <v>5037</v>
      </c>
      <c r="L817" t="s">
        <v>5039</v>
      </c>
    </row>
    <row r="818" spans="1:12" x14ac:dyDescent="0.35">
      <c r="A818" t="s">
        <v>235</v>
      </c>
      <c r="B818" t="s">
        <v>353</v>
      </c>
      <c r="C818" t="s">
        <v>698</v>
      </c>
      <c r="D818">
        <v>1</v>
      </c>
      <c r="F818" t="s">
        <v>1317</v>
      </c>
      <c r="H818" t="s">
        <v>3079</v>
      </c>
      <c r="I818" t="s">
        <v>2051</v>
      </c>
      <c r="K818" t="s">
        <v>5037</v>
      </c>
      <c r="L818" t="s">
        <v>5039</v>
      </c>
    </row>
    <row r="819" spans="1:12" x14ac:dyDescent="0.35">
      <c r="A819" t="s">
        <v>235</v>
      </c>
      <c r="B819" t="s">
        <v>353</v>
      </c>
      <c r="C819" t="s">
        <v>748</v>
      </c>
      <c r="D819">
        <v>2</v>
      </c>
      <c r="F819" t="s">
        <v>1372</v>
      </c>
      <c r="H819" t="s">
        <v>3048</v>
      </c>
      <c r="I819" t="s">
        <v>1766</v>
      </c>
      <c r="K819" t="s">
        <v>5037</v>
      </c>
      <c r="L819" t="s">
        <v>5039</v>
      </c>
    </row>
    <row r="820" spans="1:12" x14ac:dyDescent="0.35">
      <c r="A820" t="s">
        <v>235</v>
      </c>
      <c r="B820" t="s">
        <v>353</v>
      </c>
      <c r="C820" t="s">
        <v>164</v>
      </c>
      <c r="D820">
        <v>0.28000000000000003</v>
      </c>
      <c r="F820" t="s">
        <v>1732</v>
      </c>
      <c r="H820" t="s">
        <v>3048</v>
      </c>
      <c r="I820" t="s">
        <v>1766</v>
      </c>
      <c r="K820" t="s">
        <v>5037</v>
      </c>
      <c r="L820" t="s">
        <v>5039</v>
      </c>
    </row>
    <row r="821" spans="1:12" x14ac:dyDescent="0.35">
      <c r="A821" t="s">
        <v>235</v>
      </c>
      <c r="B821" t="s">
        <v>353</v>
      </c>
      <c r="C821" t="s">
        <v>695</v>
      </c>
      <c r="D821">
        <v>4.2000000000000003E-2</v>
      </c>
      <c r="F821" t="s">
        <v>1338</v>
      </c>
      <c r="H821" t="s">
        <v>3048</v>
      </c>
      <c r="I821" t="s">
        <v>1766</v>
      </c>
      <c r="K821" t="s">
        <v>5037</v>
      </c>
      <c r="L821" t="s">
        <v>5039</v>
      </c>
    </row>
    <row r="822" spans="1:12" x14ac:dyDescent="0.35">
      <c r="A822" t="s">
        <v>235</v>
      </c>
      <c r="B822" t="s">
        <v>353</v>
      </c>
      <c r="C822" t="s">
        <v>163</v>
      </c>
      <c r="D822">
        <v>0.8</v>
      </c>
      <c r="F822" t="s">
        <v>1319</v>
      </c>
      <c r="H822" t="s">
        <v>3080</v>
      </c>
      <c r="I822" t="s">
        <v>1533</v>
      </c>
      <c r="K822" t="s">
        <v>5037</v>
      </c>
      <c r="L822" t="s">
        <v>5039</v>
      </c>
    </row>
    <row r="823" spans="1:12" x14ac:dyDescent="0.35">
      <c r="A823" t="s">
        <v>235</v>
      </c>
      <c r="B823" t="s">
        <v>353</v>
      </c>
      <c r="C823" t="s">
        <v>695</v>
      </c>
      <c r="D823">
        <v>0.32</v>
      </c>
      <c r="F823" t="s">
        <v>1470</v>
      </c>
      <c r="H823" t="s">
        <v>3081</v>
      </c>
      <c r="I823" t="s">
        <v>1533</v>
      </c>
      <c r="K823" t="s">
        <v>5037</v>
      </c>
      <c r="L823" t="s">
        <v>5039</v>
      </c>
    </row>
    <row r="824" spans="1:12" x14ac:dyDescent="0.35">
      <c r="A824" t="s">
        <v>235</v>
      </c>
      <c r="B824" t="s">
        <v>353</v>
      </c>
      <c r="C824" t="s">
        <v>165</v>
      </c>
      <c r="D824">
        <v>1.5</v>
      </c>
      <c r="F824" t="s">
        <v>1426</v>
      </c>
      <c r="H824" t="s">
        <v>3048</v>
      </c>
      <c r="I824" t="s">
        <v>1766</v>
      </c>
      <c r="K824" t="s">
        <v>5037</v>
      </c>
      <c r="L824" t="s">
        <v>5039</v>
      </c>
    </row>
    <row r="825" spans="1:12" x14ac:dyDescent="0.35">
      <c r="A825" t="s">
        <v>235</v>
      </c>
      <c r="B825" t="s">
        <v>353</v>
      </c>
      <c r="C825" t="s">
        <v>163</v>
      </c>
      <c r="D825">
        <v>2.5</v>
      </c>
      <c r="F825" t="s">
        <v>1406</v>
      </c>
      <c r="H825" t="s">
        <v>3082</v>
      </c>
      <c r="I825" t="s">
        <v>1379</v>
      </c>
      <c r="K825" t="s">
        <v>5037</v>
      </c>
      <c r="L825" t="s">
        <v>5039</v>
      </c>
    </row>
    <row r="826" spans="1:12" x14ac:dyDescent="0.35">
      <c r="A826" t="s">
        <v>235</v>
      </c>
      <c r="B826" t="s">
        <v>353</v>
      </c>
      <c r="C826" t="s">
        <v>695</v>
      </c>
      <c r="D826">
        <v>0.62</v>
      </c>
      <c r="F826" t="s">
        <v>1635</v>
      </c>
      <c r="H826" t="s">
        <v>3082</v>
      </c>
      <c r="I826" t="s">
        <v>1379</v>
      </c>
      <c r="K826" t="s">
        <v>5037</v>
      </c>
      <c r="L826" t="s">
        <v>5039</v>
      </c>
    </row>
    <row r="827" spans="1:12" x14ac:dyDescent="0.35">
      <c r="A827" t="s">
        <v>235</v>
      </c>
      <c r="B827" t="s">
        <v>353</v>
      </c>
      <c r="C827" t="s">
        <v>698</v>
      </c>
      <c r="D827">
        <v>0.33</v>
      </c>
      <c r="F827" t="s">
        <v>1397</v>
      </c>
      <c r="H827" t="s">
        <v>3082</v>
      </c>
      <c r="I827" t="s">
        <v>1379</v>
      </c>
      <c r="K827" t="s">
        <v>5037</v>
      </c>
      <c r="L827" t="s">
        <v>5039</v>
      </c>
    </row>
    <row r="828" spans="1:12" x14ac:dyDescent="0.35">
      <c r="A828" t="s">
        <v>235</v>
      </c>
      <c r="B828" t="s">
        <v>353</v>
      </c>
      <c r="C828" t="s">
        <v>736</v>
      </c>
      <c r="D828">
        <v>5.8</v>
      </c>
      <c r="F828" t="s">
        <v>1733</v>
      </c>
      <c r="H828" t="s">
        <v>3048</v>
      </c>
      <c r="I828" t="s">
        <v>1766</v>
      </c>
      <c r="K828" t="s">
        <v>5037</v>
      </c>
      <c r="L828" t="s">
        <v>5039</v>
      </c>
    </row>
    <row r="829" spans="1:12" x14ac:dyDescent="0.35">
      <c r="A829" t="s">
        <v>235</v>
      </c>
      <c r="B829" t="s">
        <v>353</v>
      </c>
      <c r="C829" t="s">
        <v>688</v>
      </c>
      <c r="D829">
        <v>5</v>
      </c>
      <c r="F829" t="s">
        <v>1477</v>
      </c>
      <c r="H829" t="s">
        <v>3083</v>
      </c>
      <c r="I829" t="s">
        <v>1766</v>
      </c>
      <c r="K829" t="s">
        <v>5037</v>
      </c>
      <c r="L829" t="s">
        <v>5039</v>
      </c>
    </row>
    <row r="830" spans="1:12" x14ac:dyDescent="0.35">
      <c r="A830" t="s">
        <v>235</v>
      </c>
      <c r="B830" t="s">
        <v>353</v>
      </c>
      <c r="C830" t="s">
        <v>695</v>
      </c>
      <c r="D830">
        <v>0.83</v>
      </c>
      <c r="F830" t="s">
        <v>1734</v>
      </c>
      <c r="H830" t="s">
        <v>3079</v>
      </c>
      <c r="I830" t="s">
        <v>2051</v>
      </c>
      <c r="K830" t="s">
        <v>5037</v>
      </c>
      <c r="L830" t="s">
        <v>5039</v>
      </c>
    </row>
    <row r="831" spans="1:12" x14ac:dyDescent="0.35">
      <c r="A831" t="s">
        <v>235</v>
      </c>
      <c r="B831" t="s">
        <v>353</v>
      </c>
      <c r="C831" t="s">
        <v>699</v>
      </c>
      <c r="D831">
        <v>5.6000000000000001E-2</v>
      </c>
      <c r="F831" t="s">
        <v>1462</v>
      </c>
      <c r="H831" t="s">
        <v>3048</v>
      </c>
      <c r="I831" t="s">
        <v>1766</v>
      </c>
      <c r="K831" t="s">
        <v>5037</v>
      </c>
      <c r="L831" t="s">
        <v>5039</v>
      </c>
    </row>
    <row r="832" spans="1:12" x14ac:dyDescent="0.35">
      <c r="A832" t="s">
        <v>235</v>
      </c>
      <c r="B832" t="s">
        <v>353</v>
      </c>
      <c r="C832" t="s">
        <v>691</v>
      </c>
      <c r="D832">
        <v>3.8</v>
      </c>
      <c r="F832" t="s">
        <v>1388</v>
      </c>
      <c r="H832" t="s">
        <v>3048</v>
      </c>
      <c r="I832" t="s">
        <v>1766</v>
      </c>
      <c r="K832" t="s">
        <v>5037</v>
      </c>
      <c r="L832" t="s">
        <v>5039</v>
      </c>
    </row>
    <row r="833" spans="1:12" x14ac:dyDescent="0.35">
      <c r="A833" t="s">
        <v>235</v>
      </c>
      <c r="B833" t="s">
        <v>353</v>
      </c>
      <c r="C833" t="s">
        <v>688</v>
      </c>
      <c r="D833">
        <v>3.8</v>
      </c>
      <c r="F833" t="s">
        <v>1388</v>
      </c>
      <c r="H833" t="s">
        <v>3081</v>
      </c>
      <c r="I833" t="s">
        <v>1533</v>
      </c>
      <c r="K833" t="s">
        <v>5037</v>
      </c>
      <c r="L833" t="s">
        <v>5039</v>
      </c>
    </row>
    <row r="834" spans="1:12" x14ac:dyDescent="0.35">
      <c r="A834" t="s">
        <v>235</v>
      </c>
      <c r="B834" t="s">
        <v>353</v>
      </c>
      <c r="C834" t="s">
        <v>704</v>
      </c>
      <c r="D834">
        <v>0.68</v>
      </c>
      <c r="F834" t="s">
        <v>1735</v>
      </c>
      <c r="H834" t="s">
        <v>3079</v>
      </c>
      <c r="I834" t="s">
        <v>2051</v>
      </c>
      <c r="K834" t="s">
        <v>5037</v>
      </c>
      <c r="L834" t="s">
        <v>5039</v>
      </c>
    </row>
    <row r="835" spans="1:12" x14ac:dyDescent="0.35">
      <c r="A835" t="s">
        <v>235</v>
      </c>
      <c r="B835" t="s">
        <v>353</v>
      </c>
      <c r="C835" t="s">
        <v>691</v>
      </c>
      <c r="D835">
        <v>3.13</v>
      </c>
      <c r="F835" t="s">
        <v>1736</v>
      </c>
      <c r="H835" t="s">
        <v>3082</v>
      </c>
      <c r="I835" t="s">
        <v>1379</v>
      </c>
      <c r="K835" t="s">
        <v>5037</v>
      </c>
      <c r="L835" t="s">
        <v>5039</v>
      </c>
    </row>
    <row r="836" spans="1:12" x14ac:dyDescent="0.35">
      <c r="A836" t="s">
        <v>235</v>
      </c>
      <c r="B836" t="s">
        <v>353</v>
      </c>
      <c r="C836" t="s">
        <v>163</v>
      </c>
      <c r="D836">
        <v>1.7</v>
      </c>
      <c r="F836" t="s">
        <v>1416</v>
      </c>
      <c r="H836" t="s">
        <v>3084</v>
      </c>
      <c r="I836" t="s">
        <v>1533</v>
      </c>
      <c r="K836" t="s">
        <v>5037</v>
      </c>
      <c r="L836" t="s">
        <v>5039</v>
      </c>
    </row>
    <row r="837" spans="1:12" x14ac:dyDescent="0.35">
      <c r="A837" t="s">
        <v>235</v>
      </c>
      <c r="B837" t="s">
        <v>353</v>
      </c>
      <c r="C837" t="s">
        <v>163</v>
      </c>
      <c r="D837">
        <v>0.23</v>
      </c>
      <c r="F837" t="s">
        <v>1362</v>
      </c>
      <c r="H837" t="s">
        <v>3048</v>
      </c>
      <c r="I837" t="s">
        <v>1766</v>
      </c>
      <c r="K837" t="s">
        <v>5037</v>
      </c>
      <c r="L837" t="s">
        <v>5039</v>
      </c>
    </row>
    <row r="838" spans="1:12" x14ac:dyDescent="0.35">
      <c r="A838" t="s">
        <v>235</v>
      </c>
      <c r="B838" t="s">
        <v>353</v>
      </c>
      <c r="C838" t="s">
        <v>163</v>
      </c>
      <c r="D838">
        <v>0.59</v>
      </c>
      <c r="F838" t="s">
        <v>1483</v>
      </c>
      <c r="H838" t="s">
        <v>3085</v>
      </c>
      <c r="I838" t="s">
        <v>1387</v>
      </c>
      <c r="K838" t="s">
        <v>5037</v>
      </c>
      <c r="L838" t="s">
        <v>5039</v>
      </c>
    </row>
    <row r="839" spans="1:12" x14ac:dyDescent="0.35">
      <c r="A839" t="s">
        <v>235</v>
      </c>
      <c r="B839" t="s">
        <v>353</v>
      </c>
      <c r="C839" t="s">
        <v>704</v>
      </c>
      <c r="D839">
        <v>10</v>
      </c>
      <c r="F839" t="s">
        <v>1533</v>
      </c>
      <c r="H839" t="s">
        <v>3082</v>
      </c>
      <c r="I839" t="s">
        <v>1379</v>
      </c>
      <c r="K839" t="s">
        <v>5037</v>
      </c>
      <c r="L839" t="s">
        <v>5039</v>
      </c>
    </row>
    <row r="840" spans="1:12" x14ac:dyDescent="0.35">
      <c r="A840" t="s">
        <v>235</v>
      </c>
      <c r="B840" t="s">
        <v>422</v>
      </c>
      <c r="C840" t="s">
        <v>725</v>
      </c>
      <c r="D840">
        <v>0.03</v>
      </c>
      <c r="F840" t="s">
        <v>1266</v>
      </c>
      <c r="H840" t="s">
        <v>3086</v>
      </c>
      <c r="I840" t="s">
        <v>4863</v>
      </c>
      <c r="K840" t="s">
        <v>5037</v>
      </c>
      <c r="L840" t="s">
        <v>5039</v>
      </c>
    </row>
    <row r="841" spans="1:12" x14ac:dyDescent="0.35">
      <c r="A841" t="s">
        <v>235</v>
      </c>
      <c r="B841" t="s">
        <v>422</v>
      </c>
      <c r="C841" t="s">
        <v>698</v>
      </c>
      <c r="D841">
        <v>0.05</v>
      </c>
      <c r="F841" t="s">
        <v>1559</v>
      </c>
      <c r="H841" t="s">
        <v>3086</v>
      </c>
      <c r="I841" t="s">
        <v>4863</v>
      </c>
      <c r="K841" t="s">
        <v>5037</v>
      </c>
      <c r="L841" t="s">
        <v>5039</v>
      </c>
    </row>
    <row r="842" spans="1:12" x14ac:dyDescent="0.35">
      <c r="A842" t="s">
        <v>235</v>
      </c>
      <c r="B842" t="s">
        <v>422</v>
      </c>
      <c r="C842" t="s">
        <v>695</v>
      </c>
      <c r="D842">
        <v>0.1</v>
      </c>
      <c r="F842" t="s">
        <v>1309</v>
      </c>
      <c r="H842" t="s">
        <v>3086</v>
      </c>
      <c r="I842" t="s">
        <v>4863</v>
      </c>
      <c r="K842" t="s">
        <v>5037</v>
      </c>
      <c r="L842" t="s">
        <v>5039</v>
      </c>
    </row>
    <row r="843" spans="1:12" x14ac:dyDescent="0.35">
      <c r="A843" t="s">
        <v>235</v>
      </c>
      <c r="B843" t="s">
        <v>422</v>
      </c>
      <c r="C843" t="s">
        <v>749</v>
      </c>
      <c r="D843">
        <v>0.1</v>
      </c>
      <c r="F843" t="s">
        <v>1309</v>
      </c>
      <c r="H843" t="s">
        <v>3087</v>
      </c>
      <c r="I843" t="s">
        <v>4863</v>
      </c>
      <c r="K843" t="s">
        <v>5037</v>
      </c>
      <c r="L843" t="s">
        <v>5039</v>
      </c>
    </row>
    <row r="844" spans="1:12" x14ac:dyDescent="0.35">
      <c r="A844" t="s">
        <v>235</v>
      </c>
      <c r="B844" t="s">
        <v>422</v>
      </c>
      <c r="C844" t="s">
        <v>695</v>
      </c>
      <c r="D844">
        <v>0.09</v>
      </c>
      <c r="F844" t="s">
        <v>1310</v>
      </c>
      <c r="H844" t="s">
        <v>3088</v>
      </c>
      <c r="I844" t="s">
        <v>1369</v>
      </c>
      <c r="K844" t="s">
        <v>5037</v>
      </c>
      <c r="L844" t="s">
        <v>5039</v>
      </c>
    </row>
    <row r="845" spans="1:12" x14ac:dyDescent="0.35">
      <c r="A845" t="s">
        <v>235</v>
      </c>
      <c r="B845" t="s">
        <v>422</v>
      </c>
      <c r="C845" t="s">
        <v>699</v>
      </c>
      <c r="D845">
        <v>0.01</v>
      </c>
      <c r="F845" t="s">
        <v>1376</v>
      </c>
      <c r="H845" t="s">
        <v>3086</v>
      </c>
      <c r="I845" t="s">
        <v>4863</v>
      </c>
      <c r="K845" t="s">
        <v>5037</v>
      </c>
      <c r="L845" t="s">
        <v>5039</v>
      </c>
    </row>
    <row r="846" spans="1:12" x14ac:dyDescent="0.35">
      <c r="A846" t="s">
        <v>235</v>
      </c>
      <c r="B846" t="s">
        <v>422</v>
      </c>
      <c r="C846" t="s">
        <v>699</v>
      </c>
      <c r="D846">
        <v>1.7000000000000001E-2</v>
      </c>
      <c r="F846" t="s">
        <v>1363</v>
      </c>
      <c r="H846" t="s">
        <v>3089</v>
      </c>
      <c r="I846" t="s">
        <v>1369</v>
      </c>
      <c r="K846" t="s">
        <v>5037</v>
      </c>
      <c r="L846" t="s">
        <v>5039</v>
      </c>
    </row>
    <row r="847" spans="1:12" x14ac:dyDescent="0.35">
      <c r="A847" t="s">
        <v>235</v>
      </c>
      <c r="B847" t="s">
        <v>422</v>
      </c>
      <c r="C847" t="s">
        <v>725</v>
      </c>
      <c r="D847">
        <v>2.5999999999999999E-2</v>
      </c>
      <c r="F847" t="s">
        <v>1737</v>
      </c>
      <c r="H847" t="s">
        <v>3090</v>
      </c>
      <c r="I847" t="s">
        <v>1369</v>
      </c>
      <c r="K847" t="s">
        <v>5037</v>
      </c>
      <c r="L847" t="s">
        <v>5039</v>
      </c>
    </row>
    <row r="848" spans="1:12" x14ac:dyDescent="0.35">
      <c r="A848" t="s">
        <v>235</v>
      </c>
      <c r="B848" t="s">
        <v>422</v>
      </c>
      <c r="C848" t="s">
        <v>163</v>
      </c>
      <c r="D848">
        <v>0.27</v>
      </c>
      <c r="F848" t="s">
        <v>1738</v>
      </c>
      <c r="H848" t="s">
        <v>3091</v>
      </c>
      <c r="I848" t="s">
        <v>1369</v>
      </c>
      <c r="K848" t="s">
        <v>5037</v>
      </c>
      <c r="L848" t="s">
        <v>5039</v>
      </c>
    </row>
    <row r="849" spans="1:12" x14ac:dyDescent="0.35">
      <c r="A849" t="s">
        <v>235</v>
      </c>
      <c r="B849" t="s">
        <v>422</v>
      </c>
      <c r="C849" t="s">
        <v>746</v>
      </c>
      <c r="D849">
        <v>1.6E-2</v>
      </c>
      <c r="F849" t="s">
        <v>1614</v>
      </c>
      <c r="H849" t="s">
        <v>3092</v>
      </c>
      <c r="I849" t="s">
        <v>1369</v>
      </c>
      <c r="K849" t="s">
        <v>5037</v>
      </c>
      <c r="L849" t="s">
        <v>5039</v>
      </c>
    </row>
    <row r="850" spans="1:12" x14ac:dyDescent="0.35">
      <c r="A850" t="s">
        <v>235</v>
      </c>
      <c r="B850" t="s">
        <v>422</v>
      </c>
      <c r="C850" t="s">
        <v>698</v>
      </c>
      <c r="D850">
        <v>5.2999999999999999E-2</v>
      </c>
      <c r="F850" t="s">
        <v>1739</v>
      </c>
      <c r="H850" t="s">
        <v>3093</v>
      </c>
      <c r="I850" t="s">
        <v>1369</v>
      </c>
      <c r="K850" t="s">
        <v>5037</v>
      </c>
      <c r="L850" t="s">
        <v>5039</v>
      </c>
    </row>
    <row r="851" spans="1:12" x14ac:dyDescent="0.35">
      <c r="A851" t="s">
        <v>235</v>
      </c>
      <c r="B851" t="s">
        <v>422</v>
      </c>
      <c r="C851" t="s">
        <v>704</v>
      </c>
      <c r="D851">
        <v>1.68</v>
      </c>
      <c r="F851" t="s">
        <v>1740</v>
      </c>
      <c r="H851" t="s">
        <v>3088</v>
      </c>
      <c r="I851" t="s">
        <v>1369</v>
      </c>
      <c r="K851" t="s">
        <v>5037</v>
      </c>
      <c r="L851" t="s">
        <v>5039</v>
      </c>
    </row>
    <row r="852" spans="1:12" x14ac:dyDescent="0.35">
      <c r="A852" t="s">
        <v>235</v>
      </c>
      <c r="B852" t="s">
        <v>422</v>
      </c>
      <c r="C852" t="s">
        <v>741</v>
      </c>
      <c r="D852">
        <v>11.5</v>
      </c>
      <c r="F852" t="s">
        <v>1741</v>
      </c>
      <c r="H852" t="s">
        <v>3088</v>
      </c>
      <c r="I852" t="s">
        <v>1369</v>
      </c>
      <c r="K852" t="s">
        <v>5037</v>
      </c>
      <c r="L852" t="s">
        <v>5039</v>
      </c>
    </row>
    <row r="853" spans="1:12" x14ac:dyDescent="0.35">
      <c r="A853" t="s">
        <v>235</v>
      </c>
      <c r="B853" t="s">
        <v>422</v>
      </c>
      <c r="C853" t="s">
        <v>704</v>
      </c>
      <c r="D853">
        <v>1.45</v>
      </c>
      <c r="F853" t="s">
        <v>1742</v>
      </c>
      <c r="H853" t="s">
        <v>3086</v>
      </c>
      <c r="I853" t="s">
        <v>4863</v>
      </c>
      <c r="K853" t="s">
        <v>5037</v>
      </c>
      <c r="L853" t="s">
        <v>5039</v>
      </c>
    </row>
    <row r="854" spans="1:12" x14ac:dyDescent="0.35">
      <c r="A854" t="s">
        <v>235</v>
      </c>
      <c r="B854" t="s">
        <v>422</v>
      </c>
      <c r="C854" t="s">
        <v>163</v>
      </c>
      <c r="D854">
        <v>5.19</v>
      </c>
      <c r="F854" t="s">
        <v>1743</v>
      </c>
      <c r="H854" t="s">
        <v>3086</v>
      </c>
      <c r="I854" t="s">
        <v>4863</v>
      </c>
      <c r="K854" t="s">
        <v>5037</v>
      </c>
      <c r="L854" t="s">
        <v>5039</v>
      </c>
    </row>
    <row r="855" spans="1:12" x14ac:dyDescent="0.35">
      <c r="A855" t="s">
        <v>235</v>
      </c>
      <c r="B855" t="s">
        <v>422</v>
      </c>
      <c r="C855" t="s">
        <v>162</v>
      </c>
      <c r="D855">
        <v>3.59</v>
      </c>
      <c r="F855" t="s">
        <v>1744</v>
      </c>
      <c r="H855" t="s">
        <v>3086</v>
      </c>
      <c r="I855" t="s">
        <v>4863</v>
      </c>
      <c r="K855" t="s">
        <v>5037</v>
      </c>
      <c r="L855" t="s">
        <v>5039</v>
      </c>
    </row>
    <row r="856" spans="1:12" x14ac:dyDescent="0.35">
      <c r="A856" t="s">
        <v>235</v>
      </c>
      <c r="B856" t="s">
        <v>422</v>
      </c>
      <c r="C856" t="s">
        <v>718</v>
      </c>
      <c r="D856">
        <v>7.04</v>
      </c>
      <c r="F856" t="s">
        <v>1745</v>
      </c>
      <c r="H856" t="s">
        <v>3086</v>
      </c>
      <c r="I856" t="s">
        <v>4863</v>
      </c>
      <c r="K856" t="s">
        <v>5037</v>
      </c>
      <c r="L856" t="s">
        <v>5039</v>
      </c>
    </row>
    <row r="857" spans="1:12" x14ac:dyDescent="0.35">
      <c r="A857" t="s">
        <v>235</v>
      </c>
      <c r="B857" t="s">
        <v>422</v>
      </c>
      <c r="C857" t="s">
        <v>163</v>
      </c>
      <c r="D857">
        <v>0.41</v>
      </c>
      <c r="F857" t="s">
        <v>1555</v>
      </c>
      <c r="H857" t="s">
        <v>3094</v>
      </c>
      <c r="I857" t="s">
        <v>1369</v>
      </c>
      <c r="K857" t="s">
        <v>5037</v>
      </c>
      <c r="L857" t="s">
        <v>5039</v>
      </c>
    </row>
    <row r="858" spans="1:12" x14ac:dyDescent="0.35">
      <c r="A858" t="s">
        <v>235</v>
      </c>
      <c r="B858" t="s">
        <v>422</v>
      </c>
      <c r="C858" t="s">
        <v>704</v>
      </c>
      <c r="D858">
        <v>1.8</v>
      </c>
      <c r="F858" t="s">
        <v>1375</v>
      </c>
      <c r="H858" t="s">
        <v>3095</v>
      </c>
      <c r="I858" t="s">
        <v>1369</v>
      </c>
      <c r="K858" t="s">
        <v>5037</v>
      </c>
      <c r="L858" t="s">
        <v>5039</v>
      </c>
    </row>
    <row r="859" spans="1:12" x14ac:dyDescent="0.35">
      <c r="A859" t="s">
        <v>235</v>
      </c>
      <c r="B859" t="s">
        <v>422</v>
      </c>
      <c r="C859" t="s">
        <v>749</v>
      </c>
      <c r="D859">
        <v>0.13</v>
      </c>
      <c r="F859" t="s">
        <v>1466</v>
      </c>
      <c r="H859" t="s">
        <v>3096</v>
      </c>
      <c r="I859" t="s">
        <v>1369</v>
      </c>
      <c r="K859" t="s">
        <v>5037</v>
      </c>
      <c r="L859" t="s">
        <v>5039</v>
      </c>
    </row>
    <row r="860" spans="1:12" x14ac:dyDescent="0.35">
      <c r="A860" t="s">
        <v>235</v>
      </c>
      <c r="B860" t="s">
        <v>422</v>
      </c>
      <c r="C860" t="s">
        <v>695</v>
      </c>
      <c r="D860">
        <v>2.8</v>
      </c>
      <c r="F860" t="s">
        <v>1504</v>
      </c>
      <c r="H860" t="s">
        <v>3095</v>
      </c>
      <c r="I860" t="s">
        <v>1369</v>
      </c>
      <c r="K860" t="s">
        <v>5037</v>
      </c>
      <c r="L860" t="s">
        <v>5039</v>
      </c>
    </row>
    <row r="861" spans="1:12" x14ac:dyDescent="0.35">
      <c r="A861" t="s">
        <v>235</v>
      </c>
      <c r="B861" t="s">
        <v>422</v>
      </c>
      <c r="C861" t="s">
        <v>698</v>
      </c>
      <c r="D861">
        <v>4.76</v>
      </c>
      <c r="F861" t="s">
        <v>1746</v>
      </c>
      <c r="H861" t="s">
        <v>3094</v>
      </c>
      <c r="I861" t="s">
        <v>1369</v>
      </c>
      <c r="K861" t="s">
        <v>5037</v>
      </c>
      <c r="L861" t="s">
        <v>5039</v>
      </c>
    </row>
    <row r="862" spans="1:12" x14ac:dyDescent="0.35">
      <c r="A862" t="s">
        <v>235</v>
      </c>
      <c r="B862" t="s">
        <v>422</v>
      </c>
      <c r="C862" t="s">
        <v>746</v>
      </c>
      <c r="D862">
        <v>4.28</v>
      </c>
      <c r="F862" t="s">
        <v>1747</v>
      </c>
      <c r="H862" t="s">
        <v>3097</v>
      </c>
      <c r="I862" t="s">
        <v>1369</v>
      </c>
      <c r="K862" t="s">
        <v>5037</v>
      </c>
      <c r="L862" t="s">
        <v>5039</v>
      </c>
    </row>
    <row r="863" spans="1:12" x14ac:dyDescent="0.35">
      <c r="A863" t="s">
        <v>235</v>
      </c>
      <c r="B863" t="s">
        <v>179</v>
      </c>
      <c r="C863" t="s">
        <v>163</v>
      </c>
      <c r="D863">
        <v>0.54</v>
      </c>
      <c r="F863" t="s">
        <v>1748</v>
      </c>
      <c r="H863" t="s">
        <v>3098</v>
      </c>
      <c r="I863" t="s">
        <v>1477</v>
      </c>
      <c r="K863" t="s">
        <v>5037</v>
      </c>
      <c r="L863" t="s">
        <v>5039</v>
      </c>
    </row>
    <row r="864" spans="1:12" x14ac:dyDescent="0.35">
      <c r="A864" t="s">
        <v>235</v>
      </c>
      <c r="B864" t="s">
        <v>179</v>
      </c>
      <c r="C864" t="s">
        <v>698</v>
      </c>
      <c r="D864">
        <v>7.7</v>
      </c>
      <c r="F864" t="s">
        <v>1627</v>
      </c>
      <c r="H864" t="s">
        <v>3099</v>
      </c>
      <c r="I864" t="s">
        <v>1477</v>
      </c>
      <c r="K864" t="s">
        <v>5037</v>
      </c>
      <c r="L864" t="s">
        <v>5039</v>
      </c>
    </row>
    <row r="865" spans="1:12" x14ac:dyDescent="0.35">
      <c r="A865" t="s">
        <v>235</v>
      </c>
      <c r="B865" t="s">
        <v>179</v>
      </c>
      <c r="C865" t="s">
        <v>695</v>
      </c>
      <c r="D865">
        <v>11.8</v>
      </c>
      <c r="F865" t="s">
        <v>1749</v>
      </c>
      <c r="H865" t="s">
        <v>3099</v>
      </c>
      <c r="I865" t="s">
        <v>1477</v>
      </c>
      <c r="K865" t="s">
        <v>5037</v>
      </c>
      <c r="L865" t="s">
        <v>5039</v>
      </c>
    </row>
    <row r="866" spans="1:12" x14ac:dyDescent="0.35">
      <c r="A866" t="s">
        <v>235</v>
      </c>
      <c r="B866" t="s">
        <v>429</v>
      </c>
      <c r="C866" t="s">
        <v>698</v>
      </c>
      <c r="D866">
        <v>1.1499999999999999</v>
      </c>
      <c r="F866" t="s">
        <v>1622</v>
      </c>
      <c r="H866" t="s">
        <v>3100</v>
      </c>
      <c r="I866" t="s">
        <v>1394</v>
      </c>
      <c r="K866" t="s">
        <v>5037</v>
      </c>
      <c r="L866" t="s">
        <v>5039</v>
      </c>
    </row>
    <row r="867" spans="1:12" x14ac:dyDescent="0.35">
      <c r="A867" t="s">
        <v>235</v>
      </c>
      <c r="B867" t="s">
        <v>429</v>
      </c>
      <c r="C867" t="s">
        <v>163</v>
      </c>
      <c r="D867">
        <v>0.76</v>
      </c>
      <c r="F867" t="s">
        <v>1750</v>
      </c>
      <c r="H867" t="s">
        <v>3101</v>
      </c>
      <c r="I867" t="s">
        <v>4895</v>
      </c>
      <c r="K867" t="s">
        <v>5037</v>
      </c>
      <c r="L867" t="s">
        <v>5039</v>
      </c>
    </row>
    <row r="868" spans="1:12" x14ac:dyDescent="0.35">
      <c r="A868" t="s">
        <v>235</v>
      </c>
      <c r="B868" t="s">
        <v>429</v>
      </c>
      <c r="C868" t="s">
        <v>695</v>
      </c>
      <c r="D868">
        <v>1.31</v>
      </c>
      <c r="F868" t="s">
        <v>1751</v>
      </c>
      <c r="H868" t="s">
        <v>3102</v>
      </c>
      <c r="I868" t="s">
        <v>1394</v>
      </c>
      <c r="K868" t="s">
        <v>5037</v>
      </c>
      <c r="L868" t="s">
        <v>5039</v>
      </c>
    </row>
    <row r="869" spans="1:12" x14ac:dyDescent="0.35">
      <c r="A869" t="s">
        <v>235</v>
      </c>
      <c r="B869" t="s">
        <v>429</v>
      </c>
      <c r="C869" t="s">
        <v>704</v>
      </c>
      <c r="D869">
        <v>1.31</v>
      </c>
      <c r="F869" t="s">
        <v>1751</v>
      </c>
      <c r="H869" t="s">
        <v>3103</v>
      </c>
      <c r="I869" t="s">
        <v>1335</v>
      </c>
      <c r="K869" t="s">
        <v>5037</v>
      </c>
      <c r="L869" t="s">
        <v>5039</v>
      </c>
    </row>
    <row r="870" spans="1:12" x14ac:dyDescent="0.35">
      <c r="A870" t="s">
        <v>235</v>
      </c>
      <c r="B870" t="s">
        <v>429</v>
      </c>
      <c r="C870" t="s">
        <v>704</v>
      </c>
      <c r="D870">
        <v>2.1</v>
      </c>
      <c r="F870" t="s">
        <v>1399</v>
      </c>
      <c r="H870" t="s">
        <v>3104</v>
      </c>
      <c r="I870" t="s">
        <v>1394</v>
      </c>
      <c r="K870" t="s">
        <v>5037</v>
      </c>
      <c r="L870" t="s">
        <v>5039</v>
      </c>
    </row>
    <row r="871" spans="1:12" x14ac:dyDescent="0.35">
      <c r="A871" t="s">
        <v>235</v>
      </c>
      <c r="B871" t="s">
        <v>429</v>
      </c>
      <c r="C871" t="s">
        <v>695</v>
      </c>
      <c r="D871">
        <v>2.1</v>
      </c>
      <c r="F871" t="s">
        <v>1399</v>
      </c>
      <c r="H871" t="s">
        <v>3105</v>
      </c>
      <c r="I871" t="s">
        <v>1335</v>
      </c>
      <c r="K871" t="s">
        <v>5037</v>
      </c>
      <c r="L871" t="s">
        <v>5039</v>
      </c>
    </row>
    <row r="872" spans="1:12" x14ac:dyDescent="0.35">
      <c r="A872" t="s">
        <v>235</v>
      </c>
      <c r="B872" t="s">
        <v>430</v>
      </c>
      <c r="C872" t="s">
        <v>704</v>
      </c>
      <c r="D872">
        <v>0.6</v>
      </c>
      <c r="F872" t="s">
        <v>1519</v>
      </c>
      <c r="H872" t="s">
        <v>3106</v>
      </c>
      <c r="I872" t="s">
        <v>1454</v>
      </c>
      <c r="K872" t="s">
        <v>5037</v>
      </c>
      <c r="L872" t="s">
        <v>5039</v>
      </c>
    </row>
    <row r="873" spans="1:12" x14ac:dyDescent="0.35">
      <c r="A873" t="s">
        <v>235</v>
      </c>
      <c r="B873" t="s">
        <v>430</v>
      </c>
      <c r="C873" t="s">
        <v>699</v>
      </c>
      <c r="D873">
        <v>0.02</v>
      </c>
      <c r="F873" t="s">
        <v>1448</v>
      </c>
      <c r="H873" t="s">
        <v>3107</v>
      </c>
      <c r="I873" t="s">
        <v>1454</v>
      </c>
      <c r="K873" t="s">
        <v>5037</v>
      </c>
      <c r="L873" t="s">
        <v>5039</v>
      </c>
    </row>
    <row r="874" spans="1:12" x14ac:dyDescent="0.35">
      <c r="A874" t="s">
        <v>235</v>
      </c>
      <c r="B874" t="s">
        <v>430</v>
      </c>
      <c r="C874" t="s">
        <v>691</v>
      </c>
      <c r="D874">
        <v>0.12</v>
      </c>
      <c r="F874" t="s">
        <v>1473</v>
      </c>
      <c r="H874" t="s">
        <v>3108</v>
      </c>
      <c r="I874" t="s">
        <v>1454</v>
      </c>
      <c r="K874" t="s">
        <v>5037</v>
      </c>
      <c r="L874" t="s">
        <v>5039</v>
      </c>
    </row>
    <row r="875" spans="1:12" x14ac:dyDescent="0.35">
      <c r="A875" t="s">
        <v>235</v>
      </c>
      <c r="B875" t="s">
        <v>430</v>
      </c>
      <c r="C875" t="s">
        <v>741</v>
      </c>
      <c r="D875">
        <v>70</v>
      </c>
      <c r="F875" t="s">
        <v>1752</v>
      </c>
      <c r="H875" t="s">
        <v>3106</v>
      </c>
      <c r="I875" t="s">
        <v>1454</v>
      </c>
      <c r="K875" t="s">
        <v>5037</v>
      </c>
      <c r="L875" t="s">
        <v>5039</v>
      </c>
    </row>
    <row r="876" spans="1:12" x14ac:dyDescent="0.35">
      <c r="A876" t="s">
        <v>235</v>
      </c>
      <c r="B876" t="s">
        <v>430</v>
      </c>
      <c r="C876" t="s">
        <v>163</v>
      </c>
      <c r="D876">
        <v>2.08</v>
      </c>
      <c r="F876" t="s">
        <v>1753</v>
      </c>
      <c r="H876" t="s">
        <v>3108</v>
      </c>
      <c r="I876" t="s">
        <v>1454</v>
      </c>
      <c r="K876" t="s">
        <v>5037</v>
      </c>
      <c r="L876" t="s">
        <v>5039</v>
      </c>
    </row>
    <row r="877" spans="1:12" x14ac:dyDescent="0.35">
      <c r="A877" t="s">
        <v>104</v>
      </c>
      <c r="B877" t="s">
        <v>340</v>
      </c>
      <c r="C877" t="s">
        <v>750</v>
      </c>
      <c r="D877">
        <v>3.1</v>
      </c>
      <c r="F877" t="s">
        <v>1374</v>
      </c>
      <c r="H877" t="s">
        <v>2842</v>
      </c>
      <c r="I877" t="s">
        <v>4863</v>
      </c>
      <c r="K877" t="s">
        <v>5037</v>
      </c>
      <c r="L877" t="s">
        <v>5039</v>
      </c>
    </row>
    <row r="878" spans="1:12" x14ac:dyDescent="0.35">
      <c r="A878" t="s">
        <v>104</v>
      </c>
      <c r="B878" t="s">
        <v>340</v>
      </c>
      <c r="C878" t="s">
        <v>716</v>
      </c>
      <c r="D878">
        <v>9.2999999999999999E-2</v>
      </c>
      <c r="F878" t="s">
        <v>1412</v>
      </c>
      <c r="H878" t="s">
        <v>3109</v>
      </c>
      <c r="I878" t="s">
        <v>4863</v>
      </c>
      <c r="K878" t="s">
        <v>5037</v>
      </c>
      <c r="L878" t="s">
        <v>5039</v>
      </c>
    </row>
    <row r="879" spans="1:12" x14ac:dyDescent="0.35">
      <c r="A879" t="s">
        <v>104</v>
      </c>
      <c r="B879" t="s">
        <v>431</v>
      </c>
      <c r="C879" t="s">
        <v>750</v>
      </c>
      <c r="D879">
        <v>0.6</v>
      </c>
      <c r="F879" t="s">
        <v>1519</v>
      </c>
      <c r="H879" t="s">
        <v>2842</v>
      </c>
      <c r="I879" t="s">
        <v>1360</v>
      </c>
      <c r="K879" t="s">
        <v>5037</v>
      </c>
      <c r="L879" t="s">
        <v>5039</v>
      </c>
    </row>
    <row r="880" spans="1:12" x14ac:dyDescent="0.35">
      <c r="A880" t="s">
        <v>104</v>
      </c>
      <c r="B880" t="s">
        <v>358</v>
      </c>
      <c r="C880" t="s">
        <v>716</v>
      </c>
      <c r="D880">
        <v>3.6999999999999998E-2</v>
      </c>
      <c r="F880" t="s">
        <v>1534</v>
      </c>
      <c r="H880" t="s">
        <v>3110</v>
      </c>
      <c r="I880" t="s">
        <v>1584</v>
      </c>
      <c r="K880" t="s">
        <v>5037</v>
      </c>
      <c r="L880" t="s">
        <v>5039</v>
      </c>
    </row>
    <row r="881" spans="1:12" x14ac:dyDescent="0.35">
      <c r="A881" t="s">
        <v>104</v>
      </c>
      <c r="B881" t="s">
        <v>432</v>
      </c>
      <c r="C881" t="s">
        <v>162</v>
      </c>
      <c r="D881">
        <v>0.69</v>
      </c>
      <c r="F881" t="s">
        <v>1754</v>
      </c>
      <c r="H881" t="s">
        <v>3111</v>
      </c>
      <c r="I881" t="s">
        <v>2393</v>
      </c>
      <c r="K881" t="s">
        <v>5037</v>
      </c>
      <c r="L881" t="s">
        <v>5039</v>
      </c>
    </row>
    <row r="882" spans="1:12" x14ac:dyDescent="0.35">
      <c r="A882" t="s">
        <v>104</v>
      </c>
      <c r="B882" t="s">
        <v>432</v>
      </c>
      <c r="C882" t="s">
        <v>716</v>
      </c>
      <c r="D882">
        <v>1.7099999999999999E-3</v>
      </c>
      <c r="F882" t="s">
        <v>1755</v>
      </c>
      <c r="H882" t="s">
        <v>3112</v>
      </c>
      <c r="I882" t="s">
        <v>2393</v>
      </c>
      <c r="K882" t="s">
        <v>5037</v>
      </c>
      <c r="L882" t="s">
        <v>5039</v>
      </c>
    </row>
    <row r="883" spans="1:12" x14ac:dyDescent="0.35">
      <c r="A883" t="s">
        <v>104</v>
      </c>
      <c r="B883" t="s">
        <v>432</v>
      </c>
      <c r="C883" t="s">
        <v>162</v>
      </c>
      <c r="D883">
        <v>2.6</v>
      </c>
      <c r="F883" t="s">
        <v>1428</v>
      </c>
      <c r="H883" t="s">
        <v>3113</v>
      </c>
      <c r="I883" t="s">
        <v>2393</v>
      </c>
      <c r="K883" t="s">
        <v>5037</v>
      </c>
      <c r="L883" t="s">
        <v>5039</v>
      </c>
    </row>
    <row r="884" spans="1:12" x14ac:dyDescent="0.35">
      <c r="A884" t="s">
        <v>104</v>
      </c>
      <c r="B884" t="s">
        <v>432</v>
      </c>
      <c r="C884" t="s">
        <v>750</v>
      </c>
      <c r="D884">
        <v>1.46</v>
      </c>
      <c r="F884" t="s">
        <v>1756</v>
      </c>
      <c r="H884" t="s">
        <v>2842</v>
      </c>
      <c r="I884" t="s">
        <v>2393</v>
      </c>
      <c r="K884" t="s">
        <v>5037</v>
      </c>
      <c r="L884" t="s">
        <v>5039</v>
      </c>
    </row>
    <row r="885" spans="1:12" x14ac:dyDescent="0.35">
      <c r="A885" t="s">
        <v>104</v>
      </c>
      <c r="B885" t="s">
        <v>432</v>
      </c>
      <c r="C885" t="s">
        <v>716</v>
      </c>
      <c r="D885">
        <v>4.2900000000000004E-3</v>
      </c>
      <c r="F885" t="s">
        <v>1757</v>
      </c>
      <c r="H885" t="s">
        <v>3113</v>
      </c>
      <c r="I885" t="s">
        <v>2393</v>
      </c>
      <c r="K885" t="s">
        <v>5037</v>
      </c>
      <c r="L885" t="s">
        <v>5039</v>
      </c>
    </row>
    <row r="886" spans="1:12" x14ac:dyDescent="0.35">
      <c r="A886" t="s">
        <v>104</v>
      </c>
      <c r="B886" t="s">
        <v>332</v>
      </c>
      <c r="C886" t="s">
        <v>716</v>
      </c>
      <c r="D886">
        <v>1.4E-2</v>
      </c>
      <c r="F886" t="s">
        <v>1550</v>
      </c>
      <c r="H886" t="s">
        <v>3114</v>
      </c>
      <c r="I886" t="s">
        <v>1368</v>
      </c>
      <c r="K886" t="s">
        <v>5037</v>
      </c>
      <c r="L886" t="s">
        <v>5039</v>
      </c>
    </row>
    <row r="887" spans="1:12" x14ac:dyDescent="0.35">
      <c r="A887" t="s">
        <v>104</v>
      </c>
      <c r="B887" t="s">
        <v>332</v>
      </c>
      <c r="C887" t="s">
        <v>750</v>
      </c>
      <c r="D887">
        <v>1.06</v>
      </c>
      <c r="F887" t="s">
        <v>1758</v>
      </c>
      <c r="H887" t="s">
        <v>2842</v>
      </c>
      <c r="I887" t="s">
        <v>1368</v>
      </c>
      <c r="K887" t="s">
        <v>5037</v>
      </c>
      <c r="L887" t="s">
        <v>5039</v>
      </c>
    </row>
    <row r="888" spans="1:12" x14ac:dyDescent="0.35">
      <c r="A888" t="s">
        <v>104</v>
      </c>
      <c r="B888" t="s">
        <v>332</v>
      </c>
      <c r="C888" t="s">
        <v>750</v>
      </c>
      <c r="D888">
        <v>3.63</v>
      </c>
      <c r="F888" t="s">
        <v>1759</v>
      </c>
      <c r="H888" t="s">
        <v>2842</v>
      </c>
      <c r="I888" t="s">
        <v>1368</v>
      </c>
      <c r="K888" t="s">
        <v>5037</v>
      </c>
      <c r="L888" t="s">
        <v>5039</v>
      </c>
    </row>
    <row r="889" spans="1:12" x14ac:dyDescent="0.35">
      <c r="A889" t="s">
        <v>104</v>
      </c>
      <c r="B889" t="s">
        <v>332</v>
      </c>
      <c r="C889" t="s">
        <v>716</v>
      </c>
      <c r="D889">
        <v>2.5000000000000001E-2</v>
      </c>
      <c r="F889" t="s">
        <v>1282</v>
      </c>
      <c r="H889" t="s">
        <v>3115</v>
      </c>
      <c r="I889" t="s">
        <v>1368</v>
      </c>
      <c r="K889" t="s">
        <v>5037</v>
      </c>
      <c r="L889" t="s">
        <v>5039</v>
      </c>
    </row>
    <row r="890" spans="1:12" x14ac:dyDescent="0.35">
      <c r="A890" t="s">
        <v>104</v>
      </c>
      <c r="B890" t="s">
        <v>178</v>
      </c>
      <c r="C890" t="s">
        <v>162</v>
      </c>
      <c r="D890">
        <v>0.5</v>
      </c>
      <c r="F890" t="s">
        <v>1440</v>
      </c>
      <c r="H890" t="s">
        <v>3116</v>
      </c>
      <c r="I890" t="s">
        <v>1752</v>
      </c>
      <c r="K890" t="s">
        <v>5037</v>
      </c>
      <c r="L890" t="s">
        <v>5039</v>
      </c>
    </row>
    <row r="891" spans="1:12" x14ac:dyDescent="0.35">
      <c r="A891" t="s">
        <v>104</v>
      </c>
      <c r="B891" t="s">
        <v>178</v>
      </c>
      <c r="C891" t="s">
        <v>750</v>
      </c>
      <c r="D891">
        <v>3.3</v>
      </c>
      <c r="F891" t="s">
        <v>1377</v>
      </c>
      <c r="H891" t="s">
        <v>2842</v>
      </c>
      <c r="I891" t="s">
        <v>1752</v>
      </c>
      <c r="K891" t="s">
        <v>5037</v>
      </c>
      <c r="L891" t="s">
        <v>5039</v>
      </c>
    </row>
    <row r="892" spans="1:12" x14ac:dyDescent="0.35">
      <c r="A892" t="s">
        <v>104</v>
      </c>
      <c r="B892" t="s">
        <v>178</v>
      </c>
      <c r="C892" t="s">
        <v>716</v>
      </c>
      <c r="D892">
        <v>7.1999999999999995E-2</v>
      </c>
      <c r="F892" t="s">
        <v>1760</v>
      </c>
      <c r="H892" t="s">
        <v>3117</v>
      </c>
      <c r="I892" t="s">
        <v>1752</v>
      </c>
      <c r="K892" t="s">
        <v>5037</v>
      </c>
      <c r="L892" t="s">
        <v>5039</v>
      </c>
    </row>
    <row r="893" spans="1:12" x14ac:dyDescent="0.35">
      <c r="A893" t="s">
        <v>104</v>
      </c>
      <c r="B893" t="s">
        <v>178</v>
      </c>
      <c r="C893" t="s">
        <v>162</v>
      </c>
      <c r="D893">
        <v>5</v>
      </c>
      <c r="F893" t="s">
        <v>1477</v>
      </c>
      <c r="H893" t="s">
        <v>3118</v>
      </c>
      <c r="I893" t="s">
        <v>1752</v>
      </c>
      <c r="K893" t="s">
        <v>5037</v>
      </c>
      <c r="L893" t="s">
        <v>5039</v>
      </c>
    </row>
    <row r="894" spans="1:12" x14ac:dyDescent="0.35">
      <c r="A894" t="s">
        <v>104</v>
      </c>
      <c r="B894" t="s">
        <v>178</v>
      </c>
      <c r="C894" t="s">
        <v>750</v>
      </c>
      <c r="D894">
        <v>0.8</v>
      </c>
      <c r="F894" t="s">
        <v>1319</v>
      </c>
      <c r="H894" t="s">
        <v>2842</v>
      </c>
      <c r="I894" t="s">
        <v>1752</v>
      </c>
      <c r="K894" t="s">
        <v>5037</v>
      </c>
      <c r="L894" t="s">
        <v>5039</v>
      </c>
    </row>
    <row r="895" spans="1:12" x14ac:dyDescent="0.35">
      <c r="A895" t="s">
        <v>104</v>
      </c>
      <c r="B895" t="s">
        <v>324</v>
      </c>
      <c r="C895" t="s">
        <v>162</v>
      </c>
      <c r="D895">
        <v>1.3</v>
      </c>
      <c r="F895" t="s">
        <v>1358</v>
      </c>
      <c r="H895" t="s">
        <v>3119</v>
      </c>
      <c r="I895" t="s">
        <v>2360</v>
      </c>
      <c r="K895" t="s">
        <v>5037</v>
      </c>
      <c r="L895" t="s">
        <v>5039</v>
      </c>
    </row>
    <row r="896" spans="1:12" x14ac:dyDescent="0.35">
      <c r="A896" t="s">
        <v>104</v>
      </c>
      <c r="B896" t="s">
        <v>324</v>
      </c>
      <c r="C896" t="s">
        <v>750</v>
      </c>
      <c r="D896">
        <v>3.0000000000000001E-3</v>
      </c>
      <c r="F896" t="s">
        <v>1279</v>
      </c>
      <c r="H896" t="s">
        <v>2842</v>
      </c>
      <c r="I896" t="s">
        <v>4854</v>
      </c>
      <c r="K896" t="s">
        <v>5037</v>
      </c>
      <c r="L896" t="s">
        <v>5039</v>
      </c>
    </row>
    <row r="897" spans="1:12" x14ac:dyDescent="0.35">
      <c r="A897" t="s">
        <v>104</v>
      </c>
      <c r="B897" t="s">
        <v>324</v>
      </c>
      <c r="C897" t="s">
        <v>750</v>
      </c>
      <c r="D897">
        <v>1.3999999999999999E-4</v>
      </c>
      <c r="F897" t="s">
        <v>1761</v>
      </c>
      <c r="H897" t="s">
        <v>2842</v>
      </c>
      <c r="I897" t="s">
        <v>4854</v>
      </c>
      <c r="K897" t="s">
        <v>5037</v>
      </c>
      <c r="L897" t="s">
        <v>5039</v>
      </c>
    </row>
    <row r="898" spans="1:12" x14ac:dyDescent="0.35">
      <c r="A898" t="s">
        <v>104</v>
      </c>
      <c r="B898" t="s">
        <v>324</v>
      </c>
      <c r="C898" t="s">
        <v>751</v>
      </c>
      <c r="D898">
        <v>0.5</v>
      </c>
      <c r="F898" t="s">
        <v>1440</v>
      </c>
      <c r="H898" t="s">
        <v>3120</v>
      </c>
      <c r="I898" t="s">
        <v>1584</v>
      </c>
      <c r="K898" t="s">
        <v>5037</v>
      </c>
      <c r="L898" t="s">
        <v>5039</v>
      </c>
    </row>
    <row r="899" spans="1:12" x14ac:dyDescent="0.35">
      <c r="A899" t="s">
        <v>104</v>
      </c>
      <c r="B899" t="s">
        <v>324</v>
      </c>
      <c r="C899" t="s">
        <v>750</v>
      </c>
      <c r="D899">
        <v>1.6999999999999999E-3</v>
      </c>
      <c r="F899" t="s">
        <v>1321</v>
      </c>
      <c r="H899" t="s">
        <v>2842</v>
      </c>
      <c r="I899" t="s">
        <v>4854</v>
      </c>
      <c r="K899" t="s">
        <v>5037</v>
      </c>
      <c r="L899" t="s">
        <v>5039</v>
      </c>
    </row>
    <row r="900" spans="1:12" x14ac:dyDescent="0.35">
      <c r="A900" t="s">
        <v>104</v>
      </c>
      <c r="B900" t="s">
        <v>324</v>
      </c>
      <c r="C900" t="s">
        <v>750</v>
      </c>
      <c r="D900">
        <v>8.0000000000000004E-4</v>
      </c>
      <c r="F900" t="s">
        <v>1762</v>
      </c>
      <c r="H900" t="s">
        <v>2842</v>
      </c>
      <c r="I900" t="s">
        <v>4854</v>
      </c>
      <c r="K900" t="s">
        <v>5037</v>
      </c>
      <c r="L900" t="s">
        <v>5039</v>
      </c>
    </row>
    <row r="901" spans="1:12" x14ac:dyDescent="0.35">
      <c r="A901" t="s">
        <v>104</v>
      </c>
      <c r="B901" t="s">
        <v>324</v>
      </c>
      <c r="C901" t="s">
        <v>750</v>
      </c>
      <c r="D901">
        <v>1.7000000000000001E-4</v>
      </c>
      <c r="F901" t="s">
        <v>1763</v>
      </c>
      <c r="H901" t="s">
        <v>2842</v>
      </c>
      <c r="I901" t="s">
        <v>4854</v>
      </c>
      <c r="K901" t="s">
        <v>5037</v>
      </c>
      <c r="L901" t="s">
        <v>5039</v>
      </c>
    </row>
    <row r="902" spans="1:12" x14ac:dyDescent="0.35">
      <c r="A902" t="s">
        <v>104</v>
      </c>
      <c r="B902" t="s">
        <v>324</v>
      </c>
      <c r="C902" t="s">
        <v>750</v>
      </c>
      <c r="D902">
        <v>1.4999999999999999E-4</v>
      </c>
      <c r="F902" t="s">
        <v>1764</v>
      </c>
      <c r="H902" t="s">
        <v>2842</v>
      </c>
      <c r="I902" t="s">
        <v>4854</v>
      </c>
      <c r="K902" t="s">
        <v>5037</v>
      </c>
      <c r="L902" t="s">
        <v>5039</v>
      </c>
    </row>
    <row r="903" spans="1:12" x14ac:dyDescent="0.35">
      <c r="A903" t="s">
        <v>104</v>
      </c>
      <c r="B903" t="s">
        <v>324</v>
      </c>
      <c r="C903" t="s">
        <v>750</v>
      </c>
      <c r="D903">
        <v>4.3E-3</v>
      </c>
      <c r="F903" t="s">
        <v>1765</v>
      </c>
      <c r="H903" t="s">
        <v>2842</v>
      </c>
      <c r="I903" t="s">
        <v>4854</v>
      </c>
      <c r="K903" t="s">
        <v>5037</v>
      </c>
      <c r="L903" t="s">
        <v>5039</v>
      </c>
    </row>
    <row r="904" spans="1:12" x14ac:dyDescent="0.35">
      <c r="A904" t="s">
        <v>104</v>
      </c>
      <c r="B904" t="s">
        <v>324</v>
      </c>
      <c r="C904" t="s">
        <v>709</v>
      </c>
      <c r="D904">
        <v>6</v>
      </c>
      <c r="F904" t="s">
        <v>1766</v>
      </c>
      <c r="H904" t="s">
        <v>3120</v>
      </c>
      <c r="I904" t="s">
        <v>1584</v>
      </c>
      <c r="K904" t="s">
        <v>5037</v>
      </c>
      <c r="L904" t="s">
        <v>5039</v>
      </c>
    </row>
    <row r="905" spans="1:12" x14ac:dyDescent="0.35">
      <c r="A905" t="s">
        <v>104</v>
      </c>
      <c r="B905" t="s">
        <v>324</v>
      </c>
      <c r="C905" t="s">
        <v>716</v>
      </c>
      <c r="D905">
        <v>1.23E-2</v>
      </c>
      <c r="F905" t="s">
        <v>1767</v>
      </c>
      <c r="H905" t="s">
        <v>3121</v>
      </c>
      <c r="I905" t="s">
        <v>4879</v>
      </c>
      <c r="K905" t="s">
        <v>5037</v>
      </c>
      <c r="L905" t="s">
        <v>5039</v>
      </c>
    </row>
    <row r="906" spans="1:12" x14ac:dyDescent="0.35">
      <c r="A906" t="s">
        <v>104</v>
      </c>
      <c r="B906" t="s">
        <v>324</v>
      </c>
      <c r="C906" t="s">
        <v>750</v>
      </c>
      <c r="D906">
        <v>3.8999999999999999E-4</v>
      </c>
      <c r="F906" t="s">
        <v>1768</v>
      </c>
      <c r="H906" t="s">
        <v>2842</v>
      </c>
      <c r="I906" t="s">
        <v>4854</v>
      </c>
      <c r="K906" t="s">
        <v>5037</v>
      </c>
      <c r="L906" t="s">
        <v>5039</v>
      </c>
    </row>
    <row r="907" spans="1:12" x14ac:dyDescent="0.35">
      <c r="A907" t="s">
        <v>104</v>
      </c>
      <c r="B907" t="s">
        <v>324</v>
      </c>
      <c r="C907" t="s">
        <v>750</v>
      </c>
      <c r="D907">
        <v>2.68</v>
      </c>
      <c r="F907" t="s">
        <v>1769</v>
      </c>
      <c r="H907" t="s">
        <v>2842</v>
      </c>
      <c r="I907" t="s">
        <v>4879</v>
      </c>
      <c r="K907" t="s">
        <v>5037</v>
      </c>
      <c r="L907" t="s">
        <v>5039</v>
      </c>
    </row>
    <row r="908" spans="1:12" x14ac:dyDescent="0.35">
      <c r="A908" t="s">
        <v>104</v>
      </c>
      <c r="B908" t="s">
        <v>324</v>
      </c>
      <c r="C908" t="s">
        <v>716</v>
      </c>
      <c r="D908">
        <v>0.1595</v>
      </c>
      <c r="F908" t="s">
        <v>1770</v>
      </c>
      <c r="H908" t="s">
        <v>3122</v>
      </c>
      <c r="I908" t="s">
        <v>4879</v>
      </c>
      <c r="K908" t="s">
        <v>5037</v>
      </c>
      <c r="L908" t="s">
        <v>5039</v>
      </c>
    </row>
    <row r="909" spans="1:12" x14ac:dyDescent="0.35">
      <c r="A909" t="s">
        <v>104</v>
      </c>
      <c r="B909" t="s">
        <v>433</v>
      </c>
      <c r="C909" t="s">
        <v>750</v>
      </c>
      <c r="D909">
        <v>6.4</v>
      </c>
      <c r="F909" t="s">
        <v>1771</v>
      </c>
      <c r="H909" t="s">
        <v>2842</v>
      </c>
      <c r="I909" t="s">
        <v>4896</v>
      </c>
      <c r="K909" t="s">
        <v>5037</v>
      </c>
      <c r="L909" t="s">
        <v>5039</v>
      </c>
    </row>
    <row r="910" spans="1:12" x14ac:dyDescent="0.35">
      <c r="A910" t="s">
        <v>104</v>
      </c>
      <c r="B910" t="s">
        <v>433</v>
      </c>
      <c r="C910" t="s">
        <v>716</v>
      </c>
      <c r="D910">
        <v>0.107</v>
      </c>
      <c r="F910" t="s">
        <v>1772</v>
      </c>
      <c r="H910" t="s">
        <v>3123</v>
      </c>
      <c r="I910" t="s">
        <v>4896</v>
      </c>
      <c r="K910" t="s">
        <v>5037</v>
      </c>
      <c r="L910" t="s">
        <v>5039</v>
      </c>
    </row>
    <row r="911" spans="1:12" x14ac:dyDescent="0.35">
      <c r="A911" t="s">
        <v>104</v>
      </c>
      <c r="B911" t="s">
        <v>433</v>
      </c>
      <c r="C911" t="s">
        <v>162</v>
      </c>
      <c r="D911">
        <v>18.100000000000001</v>
      </c>
      <c r="F911" t="s">
        <v>1773</v>
      </c>
      <c r="H911" t="s">
        <v>3123</v>
      </c>
      <c r="I911" t="s">
        <v>4896</v>
      </c>
      <c r="K911" t="s">
        <v>5037</v>
      </c>
      <c r="L911" t="s">
        <v>5039</v>
      </c>
    </row>
    <row r="912" spans="1:12" x14ac:dyDescent="0.35">
      <c r="A912" t="s">
        <v>104</v>
      </c>
      <c r="B912" t="s">
        <v>175</v>
      </c>
      <c r="C912" t="s">
        <v>720</v>
      </c>
      <c r="D912">
        <v>1.2500000000000001E-2</v>
      </c>
      <c r="F912" t="s">
        <v>1262</v>
      </c>
      <c r="H912" t="s">
        <v>3124</v>
      </c>
      <c r="I912" t="s">
        <v>1353</v>
      </c>
      <c r="K912" t="s">
        <v>5037</v>
      </c>
      <c r="L912" t="s">
        <v>5039</v>
      </c>
    </row>
    <row r="913" spans="1:12" x14ac:dyDescent="0.35">
      <c r="A913" t="s">
        <v>104</v>
      </c>
      <c r="B913" t="s">
        <v>175</v>
      </c>
      <c r="C913" t="s">
        <v>750</v>
      </c>
      <c r="D913">
        <v>1.3</v>
      </c>
      <c r="F913" t="s">
        <v>1358</v>
      </c>
      <c r="H913" t="s">
        <v>2842</v>
      </c>
      <c r="I913" t="s">
        <v>1353</v>
      </c>
      <c r="K913" t="s">
        <v>5037</v>
      </c>
      <c r="L913" t="s">
        <v>5039</v>
      </c>
    </row>
    <row r="914" spans="1:12" x14ac:dyDescent="0.35">
      <c r="A914" t="s">
        <v>104</v>
      </c>
      <c r="B914" t="s">
        <v>175</v>
      </c>
      <c r="C914" t="s">
        <v>720</v>
      </c>
      <c r="D914">
        <v>4.8999999999999998E-3</v>
      </c>
      <c r="F914" t="s">
        <v>1774</v>
      </c>
      <c r="H914" t="s">
        <v>3125</v>
      </c>
      <c r="I914" t="s">
        <v>1353</v>
      </c>
      <c r="K914" t="s">
        <v>5037</v>
      </c>
      <c r="L914" t="s">
        <v>5039</v>
      </c>
    </row>
    <row r="915" spans="1:12" x14ac:dyDescent="0.35">
      <c r="A915" t="s">
        <v>104</v>
      </c>
      <c r="B915" t="s">
        <v>175</v>
      </c>
      <c r="C915" t="s">
        <v>716</v>
      </c>
      <c r="D915">
        <v>4.8999999999999998E-3</v>
      </c>
      <c r="F915" t="s">
        <v>1774</v>
      </c>
      <c r="H915" t="s">
        <v>3126</v>
      </c>
      <c r="I915" t="s">
        <v>1353</v>
      </c>
      <c r="K915" t="s">
        <v>5037</v>
      </c>
      <c r="L915" t="s">
        <v>5039</v>
      </c>
    </row>
    <row r="916" spans="1:12" x14ac:dyDescent="0.35">
      <c r="A916" t="s">
        <v>104</v>
      </c>
      <c r="B916" t="s">
        <v>175</v>
      </c>
      <c r="C916" t="s">
        <v>720</v>
      </c>
      <c r="D916">
        <v>1.8E-3</v>
      </c>
      <c r="F916" t="s">
        <v>1288</v>
      </c>
      <c r="H916" t="s">
        <v>3127</v>
      </c>
      <c r="I916" t="s">
        <v>1353</v>
      </c>
      <c r="K916" t="s">
        <v>5037</v>
      </c>
      <c r="L916" t="s">
        <v>5039</v>
      </c>
    </row>
    <row r="917" spans="1:12" x14ac:dyDescent="0.35">
      <c r="A917" t="s">
        <v>104</v>
      </c>
      <c r="B917" t="s">
        <v>175</v>
      </c>
      <c r="C917" t="s">
        <v>720</v>
      </c>
      <c r="D917">
        <v>3.0999999999999999E-3</v>
      </c>
      <c r="F917" t="s">
        <v>1775</v>
      </c>
      <c r="H917" t="s">
        <v>3128</v>
      </c>
      <c r="I917" t="s">
        <v>1353</v>
      </c>
      <c r="K917" t="s">
        <v>5037</v>
      </c>
      <c r="L917" t="s">
        <v>5039</v>
      </c>
    </row>
    <row r="918" spans="1:12" x14ac:dyDescent="0.35">
      <c r="A918" t="s">
        <v>104</v>
      </c>
      <c r="B918" t="s">
        <v>175</v>
      </c>
      <c r="C918" t="s">
        <v>720</v>
      </c>
      <c r="D918">
        <v>4.4999999999999997E-3</v>
      </c>
      <c r="F918" t="s">
        <v>1776</v>
      </c>
      <c r="H918" t="s">
        <v>3129</v>
      </c>
      <c r="I918" t="s">
        <v>1353</v>
      </c>
      <c r="K918" t="s">
        <v>5037</v>
      </c>
      <c r="L918" t="s">
        <v>5039</v>
      </c>
    </row>
    <row r="919" spans="1:12" x14ac:dyDescent="0.35">
      <c r="A919" t="s">
        <v>104</v>
      </c>
      <c r="B919" t="s">
        <v>175</v>
      </c>
      <c r="C919" t="s">
        <v>716</v>
      </c>
      <c r="D919">
        <v>4.4999999999999997E-3</v>
      </c>
      <c r="F919" t="s">
        <v>1776</v>
      </c>
      <c r="H919" t="s">
        <v>3130</v>
      </c>
      <c r="I919" t="s">
        <v>1353</v>
      </c>
      <c r="K919" t="s">
        <v>5037</v>
      </c>
      <c r="L919" t="s">
        <v>5039</v>
      </c>
    </row>
    <row r="920" spans="1:12" x14ac:dyDescent="0.35">
      <c r="A920" t="s">
        <v>104</v>
      </c>
      <c r="B920" t="s">
        <v>175</v>
      </c>
      <c r="C920" t="s">
        <v>720</v>
      </c>
      <c r="D920">
        <v>4.5999999999999999E-3</v>
      </c>
      <c r="F920" t="s">
        <v>1777</v>
      </c>
      <c r="H920" t="s">
        <v>3131</v>
      </c>
      <c r="I920" t="s">
        <v>1353</v>
      </c>
      <c r="K920" t="s">
        <v>5037</v>
      </c>
      <c r="L920" t="s">
        <v>5039</v>
      </c>
    </row>
    <row r="921" spans="1:12" x14ac:dyDescent="0.35">
      <c r="A921" t="s">
        <v>104</v>
      </c>
      <c r="B921" t="s">
        <v>175</v>
      </c>
      <c r="C921" t="s">
        <v>720</v>
      </c>
      <c r="D921">
        <v>2.3E-3</v>
      </c>
      <c r="F921" t="s">
        <v>1320</v>
      </c>
      <c r="H921" t="s">
        <v>3132</v>
      </c>
      <c r="I921" t="s">
        <v>1353</v>
      </c>
      <c r="K921" t="s">
        <v>5037</v>
      </c>
      <c r="L921" t="s">
        <v>5039</v>
      </c>
    </row>
    <row r="922" spans="1:12" x14ac:dyDescent="0.35">
      <c r="A922" t="s">
        <v>104</v>
      </c>
      <c r="B922" t="s">
        <v>175</v>
      </c>
      <c r="C922" t="s">
        <v>716</v>
      </c>
      <c r="D922">
        <v>2.3E-3</v>
      </c>
      <c r="F922" t="s">
        <v>1320</v>
      </c>
      <c r="H922" t="s">
        <v>3133</v>
      </c>
      <c r="I922" t="s">
        <v>1353</v>
      </c>
      <c r="K922" t="s">
        <v>5037</v>
      </c>
      <c r="L922" t="s">
        <v>5039</v>
      </c>
    </row>
    <row r="923" spans="1:12" x14ac:dyDescent="0.35">
      <c r="A923" t="s">
        <v>104</v>
      </c>
      <c r="B923" t="s">
        <v>175</v>
      </c>
      <c r="C923" t="s">
        <v>720</v>
      </c>
      <c r="D923">
        <v>1.9E-3</v>
      </c>
      <c r="F923" t="s">
        <v>1778</v>
      </c>
      <c r="H923" t="s">
        <v>3134</v>
      </c>
      <c r="I923" t="s">
        <v>1353</v>
      </c>
      <c r="K923" t="s">
        <v>5037</v>
      </c>
      <c r="L923" t="s">
        <v>5039</v>
      </c>
    </row>
    <row r="924" spans="1:12" x14ac:dyDescent="0.35">
      <c r="A924" t="s">
        <v>104</v>
      </c>
      <c r="B924" t="s">
        <v>175</v>
      </c>
      <c r="C924" t="s">
        <v>716</v>
      </c>
      <c r="D924">
        <v>1.9E-3</v>
      </c>
      <c r="F924" t="s">
        <v>1778</v>
      </c>
      <c r="H924" t="s">
        <v>3135</v>
      </c>
      <c r="I924" t="s">
        <v>1353</v>
      </c>
      <c r="K924" t="s">
        <v>5037</v>
      </c>
      <c r="L924" t="s">
        <v>5039</v>
      </c>
    </row>
    <row r="925" spans="1:12" x14ac:dyDescent="0.35">
      <c r="A925" t="s">
        <v>104</v>
      </c>
      <c r="B925" t="s">
        <v>175</v>
      </c>
      <c r="C925" t="s">
        <v>750</v>
      </c>
      <c r="D925">
        <v>1.6</v>
      </c>
      <c r="F925" t="s">
        <v>1328</v>
      </c>
      <c r="H925" t="s">
        <v>2842</v>
      </c>
      <c r="I925" t="s">
        <v>1353</v>
      </c>
      <c r="K925" t="s">
        <v>5037</v>
      </c>
      <c r="L925" t="s">
        <v>5039</v>
      </c>
    </row>
    <row r="926" spans="1:12" x14ac:dyDescent="0.35">
      <c r="A926" t="s">
        <v>104</v>
      </c>
      <c r="B926" t="s">
        <v>175</v>
      </c>
      <c r="C926" t="s">
        <v>720</v>
      </c>
      <c r="D926">
        <v>8.8999999999999999E-3</v>
      </c>
      <c r="F926" t="s">
        <v>1779</v>
      </c>
      <c r="H926" t="s">
        <v>3136</v>
      </c>
      <c r="I926" t="s">
        <v>1353</v>
      </c>
      <c r="K926" t="s">
        <v>5037</v>
      </c>
      <c r="L926" t="s">
        <v>5039</v>
      </c>
    </row>
    <row r="927" spans="1:12" x14ac:dyDescent="0.35">
      <c r="A927" t="s">
        <v>104</v>
      </c>
      <c r="B927" t="s">
        <v>175</v>
      </c>
      <c r="C927" t="s">
        <v>716</v>
      </c>
      <c r="D927">
        <v>8.8999999999999999E-3</v>
      </c>
      <c r="F927" t="s">
        <v>1779</v>
      </c>
      <c r="H927" t="s">
        <v>3137</v>
      </c>
      <c r="I927" t="s">
        <v>1353</v>
      </c>
      <c r="K927" t="s">
        <v>5037</v>
      </c>
      <c r="L927" t="s">
        <v>5039</v>
      </c>
    </row>
    <row r="928" spans="1:12" x14ac:dyDescent="0.35">
      <c r="A928" t="s">
        <v>104</v>
      </c>
      <c r="B928" t="s">
        <v>175</v>
      </c>
      <c r="C928" t="s">
        <v>720</v>
      </c>
      <c r="D928">
        <v>6.8999999999999999E-3</v>
      </c>
      <c r="F928" t="s">
        <v>1780</v>
      </c>
      <c r="H928" t="s">
        <v>3138</v>
      </c>
      <c r="I928" t="s">
        <v>1353</v>
      </c>
      <c r="K928" t="s">
        <v>5037</v>
      </c>
      <c r="L928" t="s">
        <v>5039</v>
      </c>
    </row>
    <row r="929" spans="1:12" x14ac:dyDescent="0.35">
      <c r="A929" t="s">
        <v>104</v>
      </c>
      <c r="B929" t="s">
        <v>175</v>
      </c>
      <c r="C929" t="s">
        <v>716</v>
      </c>
      <c r="D929">
        <v>6.8999999999999999E-3</v>
      </c>
      <c r="F929" t="s">
        <v>1780</v>
      </c>
      <c r="H929" t="s">
        <v>3139</v>
      </c>
      <c r="I929" t="s">
        <v>1353</v>
      </c>
      <c r="K929" t="s">
        <v>5037</v>
      </c>
      <c r="L929" t="s">
        <v>5039</v>
      </c>
    </row>
    <row r="930" spans="1:12" x14ac:dyDescent="0.35">
      <c r="A930" t="s">
        <v>104</v>
      </c>
      <c r="B930" t="s">
        <v>175</v>
      </c>
      <c r="C930" t="s">
        <v>720</v>
      </c>
      <c r="D930">
        <v>2.7000000000000001E-3</v>
      </c>
      <c r="F930" t="s">
        <v>1342</v>
      </c>
      <c r="H930" t="s">
        <v>3140</v>
      </c>
      <c r="I930" t="s">
        <v>1353</v>
      </c>
      <c r="K930" t="s">
        <v>5037</v>
      </c>
      <c r="L930" t="s">
        <v>5039</v>
      </c>
    </row>
    <row r="931" spans="1:12" x14ac:dyDescent="0.35">
      <c r="A931" t="s">
        <v>104</v>
      </c>
      <c r="B931" t="s">
        <v>434</v>
      </c>
      <c r="C931" t="s">
        <v>716</v>
      </c>
      <c r="D931">
        <v>2.1000000000000001E-2</v>
      </c>
      <c r="F931" t="s">
        <v>1617</v>
      </c>
      <c r="H931" t="s">
        <v>3141</v>
      </c>
      <c r="I931" t="s">
        <v>4853</v>
      </c>
      <c r="K931" t="s">
        <v>5037</v>
      </c>
      <c r="L931" t="s">
        <v>5039</v>
      </c>
    </row>
    <row r="932" spans="1:12" x14ac:dyDescent="0.35">
      <c r="A932" t="s">
        <v>104</v>
      </c>
      <c r="B932" t="s">
        <v>434</v>
      </c>
      <c r="C932" t="s">
        <v>709</v>
      </c>
      <c r="D932">
        <v>1.54</v>
      </c>
      <c r="F932" t="s">
        <v>1781</v>
      </c>
      <c r="H932" t="s">
        <v>3142</v>
      </c>
      <c r="I932" t="s">
        <v>4853</v>
      </c>
      <c r="K932" t="s">
        <v>5037</v>
      </c>
      <c r="L932" t="s">
        <v>5039</v>
      </c>
    </row>
    <row r="933" spans="1:12" x14ac:dyDescent="0.35">
      <c r="A933" t="s">
        <v>104</v>
      </c>
      <c r="B933" t="s">
        <v>434</v>
      </c>
      <c r="C933" t="s">
        <v>716</v>
      </c>
      <c r="D933">
        <v>1.9E-2</v>
      </c>
      <c r="F933" t="s">
        <v>1628</v>
      </c>
      <c r="H933" t="s">
        <v>3143</v>
      </c>
      <c r="I933" t="s">
        <v>4853</v>
      </c>
      <c r="K933" t="s">
        <v>5037</v>
      </c>
      <c r="L933" t="s">
        <v>5039</v>
      </c>
    </row>
    <row r="934" spans="1:12" x14ac:dyDescent="0.35">
      <c r="A934" t="s">
        <v>104</v>
      </c>
      <c r="B934" t="s">
        <v>434</v>
      </c>
      <c r="C934" t="s">
        <v>709</v>
      </c>
      <c r="D934">
        <v>2.06</v>
      </c>
      <c r="F934" t="s">
        <v>1513</v>
      </c>
      <c r="H934" t="s">
        <v>3144</v>
      </c>
      <c r="I934" t="s">
        <v>4853</v>
      </c>
      <c r="K934" t="s">
        <v>5037</v>
      </c>
      <c r="L934" t="s">
        <v>5039</v>
      </c>
    </row>
    <row r="935" spans="1:12" x14ac:dyDescent="0.35">
      <c r="A935" t="s">
        <v>104</v>
      </c>
      <c r="B935" t="s">
        <v>434</v>
      </c>
      <c r="C935" t="s">
        <v>709</v>
      </c>
      <c r="D935">
        <v>0.96</v>
      </c>
      <c r="F935" t="s">
        <v>1415</v>
      </c>
      <c r="H935" t="s">
        <v>3145</v>
      </c>
      <c r="I935" t="s">
        <v>4853</v>
      </c>
      <c r="K935" t="s">
        <v>5037</v>
      </c>
      <c r="L935" t="s">
        <v>5039</v>
      </c>
    </row>
    <row r="936" spans="1:12" x14ac:dyDescent="0.35">
      <c r="A936" t="s">
        <v>104</v>
      </c>
      <c r="B936" t="s">
        <v>434</v>
      </c>
      <c r="C936" t="s">
        <v>709</v>
      </c>
      <c r="D936">
        <v>1.28</v>
      </c>
      <c r="F936" t="s">
        <v>1686</v>
      </c>
      <c r="H936" t="s">
        <v>3146</v>
      </c>
      <c r="I936" t="s">
        <v>4853</v>
      </c>
      <c r="K936" t="s">
        <v>5037</v>
      </c>
      <c r="L936" t="s">
        <v>5039</v>
      </c>
    </row>
    <row r="937" spans="1:12" x14ac:dyDescent="0.35">
      <c r="A937" t="s">
        <v>104</v>
      </c>
      <c r="B937" t="s">
        <v>434</v>
      </c>
      <c r="C937" t="s">
        <v>716</v>
      </c>
      <c r="D937">
        <v>0.38400000000000001</v>
      </c>
      <c r="F937" t="s">
        <v>1782</v>
      </c>
      <c r="H937" t="s">
        <v>3147</v>
      </c>
      <c r="I937" t="s">
        <v>4853</v>
      </c>
      <c r="K937" t="s">
        <v>5037</v>
      </c>
      <c r="L937" t="s">
        <v>5039</v>
      </c>
    </row>
    <row r="938" spans="1:12" x14ac:dyDescent="0.35">
      <c r="A938" t="s">
        <v>104</v>
      </c>
      <c r="B938" t="s">
        <v>434</v>
      </c>
      <c r="C938" t="s">
        <v>716</v>
      </c>
      <c r="D938">
        <v>0.24399999999999999</v>
      </c>
      <c r="F938" t="s">
        <v>1783</v>
      </c>
      <c r="H938" t="s">
        <v>3148</v>
      </c>
      <c r="I938" t="s">
        <v>4853</v>
      </c>
      <c r="K938" t="s">
        <v>5037</v>
      </c>
      <c r="L938" t="s">
        <v>5039</v>
      </c>
    </row>
    <row r="939" spans="1:12" x14ac:dyDescent="0.35">
      <c r="A939" t="s">
        <v>104</v>
      </c>
      <c r="B939" t="s">
        <v>434</v>
      </c>
      <c r="C939" t="s">
        <v>709</v>
      </c>
      <c r="D939">
        <v>2.29</v>
      </c>
      <c r="F939" t="s">
        <v>1784</v>
      </c>
      <c r="H939" t="s">
        <v>3149</v>
      </c>
      <c r="I939" t="s">
        <v>4853</v>
      </c>
      <c r="K939" t="s">
        <v>5037</v>
      </c>
      <c r="L939" t="s">
        <v>5039</v>
      </c>
    </row>
    <row r="940" spans="1:12" x14ac:dyDescent="0.35">
      <c r="A940" t="s">
        <v>104</v>
      </c>
      <c r="B940" t="s">
        <v>434</v>
      </c>
      <c r="C940" t="s">
        <v>709</v>
      </c>
      <c r="D940">
        <v>6.55</v>
      </c>
      <c r="F940" t="s">
        <v>1785</v>
      </c>
      <c r="H940" t="s">
        <v>3150</v>
      </c>
      <c r="I940" t="s">
        <v>4853</v>
      </c>
      <c r="K940" t="s">
        <v>5037</v>
      </c>
      <c r="L940" t="s">
        <v>5039</v>
      </c>
    </row>
    <row r="941" spans="1:12" x14ac:dyDescent="0.35">
      <c r="A941" t="s">
        <v>104</v>
      </c>
      <c r="B941" t="s">
        <v>324</v>
      </c>
      <c r="C941" t="s">
        <v>720</v>
      </c>
      <c r="D941">
        <v>4.4999999999999998E-2</v>
      </c>
      <c r="F941" t="s">
        <v>1290</v>
      </c>
      <c r="I941" t="s">
        <v>1450</v>
      </c>
      <c r="K941" t="s">
        <v>5037</v>
      </c>
      <c r="L941" t="s">
        <v>5039</v>
      </c>
    </row>
    <row r="942" spans="1:12" x14ac:dyDescent="0.35">
      <c r="A942" t="s">
        <v>104</v>
      </c>
      <c r="B942" t="s">
        <v>324</v>
      </c>
      <c r="C942" t="s">
        <v>750</v>
      </c>
      <c r="D942">
        <v>0.17</v>
      </c>
      <c r="F942" t="s">
        <v>1409</v>
      </c>
      <c r="H942" t="s">
        <v>2842</v>
      </c>
      <c r="I942" t="s">
        <v>4854</v>
      </c>
      <c r="K942" t="s">
        <v>5037</v>
      </c>
      <c r="L942" t="s">
        <v>5039</v>
      </c>
    </row>
    <row r="943" spans="1:12" x14ac:dyDescent="0.35">
      <c r="A943" t="s">
        <v>104</v>
      </c>
      <c r="B943" t="s">
        <v>324</v>
      </c>
      <c r="C943" t="s">
        <v>751</v>
      </c>
      <c r="D943">
        <v>0.26</v>
      </c>
      <c r="F943" t="s">
        <v>1447</v>
      </c>
      <c r="H943" t="s">
        <v>3151</v>
      </c>
      <c r="I943" t="s">
        <v>1848</v>
      </c>
      <c r="K943" t="s">
        <v>5037</v>
      </c>
      <c r="L943" t="s">
        <v>5039</v>
      </c>
    </row>
    <row r="944" spans="1:12" x14ac:dyDescent="0.35">
      <c r="A944" t="s">
        <v>104</v>
      </c>
      <c r="B944" t="s">
        <v>324</v>
      </c>
      <c r="C944" t="s">
        <v>751</v>
      </c>
      <c r="D944">
        <v>0.31</v>
      </c>
      <c r="F944" t="s">
        <v>1714</v>
      </c>
      <c r="H944" t="s">
        <v>3152</v>
      </c>
      <c r="I944" t="s">
        <v>1354</v>
      </c>
      <c r="K944" t="s">
        <v>5037</v>
      </c>
      <c r="L944" t="s">
        <v>5039</v>
      </c>
    </row>
    <row r="945" spans="1:12" x14ac:dyDescent="0.35">
      <c r="A945" t="s">
        <v>104</v>
      </c>
      <c r="B945" t="s">
        <v>324</v>
      </c>
      <c r="C945" t="s">
        <v>750</v>
      </c>
      <c r="D945">
        <v>0.04</v>
      </c>
      <c r="F945" t="s">
        <v>1334</v>
      </c>
      <c r="H945" t="s">
        <v>2842</v>
      </c>
      <c r="I945" t="s">
        <v>4861</v>
      </c>
      <c r="K945" t="s">
        <v>5037</v>
      </c>
      <c r="L945" t="s">
        <v>5039</v>
      </c>
    </row>
    <row r="946" spans="1:12" x14ac:dyDescent="0.35">
      <c r="A946" t="s">
        <v>104</v>
      </c>
      <c r="B946" t="s">
        <v>324</v>
      </c>
      <c r="C946" t="s">
        <v>751</v>
      </c>
      <c r="D946">
        <v>0.09</v>
      </c>
      <c r="F946" t="s">
        <v>1310</v>
      </c>
      <c r="I946" t="s">
        <v>1450</v>
      </c>
      <c r="K946" t="s">
        <v>5037</v>
      </c>
      <c r="L946" t="s">
        <v>5039</v>
      </c>
    </row>
    <row r="947" spans="1:12" x14ac:dyDescent="0.35">
      <c r="A947" t="s">
        <v>104</v>
      </c>
      <c r="B947" t="s">
        <v>324</v>
      </c>
      <c r="C947" t="s">
        <v>751</v>
      </c>
      <c r="D947">
        <v>0.28000000000000003</v>
      </c>
      <c r="F947" t="s">
        <v>1732</v>
      </c>
      <c r="H947" t="s">
        <v>3153</v>
      </c>
      <c r="I947" t="s">
        <v>1848</v>
      </c>
      <c r="K947" t="s">
        <v>5037</v>
      </c>
      <c r="L947" t="s">
        <v>5039</v>
      </c>
    </row>
    <row r="948" spans="1:12" x14ac:dyDescent="0.35">
      <c r="A948" t="s">
        <v>104</v>
      </c>
      <c r="B948" t="s">
        <v>324</v>
      </c>
      <c r="C948" t="s">
        <v>750</v>
      </c>
      <c r="D948">
        <v>0.14000000000000001</v>
      </c>
      <c r="F948" t="s">
        <v>1361</v>
      </c>
      <c r="H948" t="s">
        <v>2842</v>
      </c>
      <c r="I948" t="s">
        <v>4854</v>
      </c>
      <c r="K948" t="s">
        <v>5037</v>
      </c>
      <c r="L948" t="s">
        <v>5039</v>
      </c>
    </row>
    <row r="949" spans="1:12" x14ac:dyDescent="0.35">
      <c r="A949" t="s">
        <v>104</v>
      </c>
      <c r="B949" t="s">
        <v>324</v>
      </c>
      <c r="C949" t="s">
        <v>750</v>
      </c>
      <c r="D949">
        <v>0.43</v>
      </c>
      <c r="F949" t="s">
        <v>1441</v>
      </c>
      <c r="H949" t="s">
        <v>2842</v>
      </c>
      <c r="I949" t="s">
        <v>4886</v>
      </c>
      <c r="K949" t="s">
        <v>5037</v>
      </c>
      <c r="L949" t="s">
        <v>5039</v>
      </c>
    </row>
    <row r="950" spans="1:12" x14ac:dyDescent="0.35">
      <c r="A950" t="s">
        <v>104</v>
      </c>
      <c r="B950" t="s">
        <v>324</v>
      </c>
      <c r="C950" t="s">
        <v>750</v>
      </c>
      <c r="D950">
        <v>0.15</v>
      </c>
      <c r="F950" t="s">
        <v>1269</v>
      </c>
      <c r="H950" t="s">
        <v>2842</v>
      </c>
      <c r="I950" t="s">
        <v>4854</v>
      </c>
      <c r="K950" t="s">
        <v>5037</v>
      </c>
      <c r="L950" t="s">
        <v>5039</v>
      </c>
    </row>
    <row r="951" spans="1:12" x14ac:dyDescent="0.35">
      <c r="A951" t="s">
        <v>104</v>
      </c>
      <c r="B951" t="s">
        <v>324</v>
      </c>
      <c r="C951" t="s">
        <v>709</v>
      </c>
      <c r="D951">
        <v>1.9</v>
      </c>
      <c r="F951" t="s">
        <v>1503</v>
      </c>
      <c r="H951" t="s">
        <v>3152</v>
      </c>
      <c r="I951" t="s">
        <v>1354</v>
      </c>
      <c r="K951" t="s">
        <v>5037</v>
      </c>
      <c r="L951" t="s">
        <v>5039</v>
      </c>
    </row>
    <row r="952" spans="1:12" x14ac:dyDescent="0.35">
      <c r="A952" t="s">
        <v>104</v>
      </c>
      <c r="B952" t="s">
        <v>324</v>
      </c>
      <c r="C952" t="s">
        <v>162</v>
      </c>
      <c r="D952">
        <v>3</v>
      </c>
      <c r="F952" t="s">
        <v>1368</v>
      </c>
      <c r="I952" t="s">
        <v>1450</v>
      </c>
      <c r="K952" t="s">
        <v>5037</v>
      </c>
      <c r="L952" t="s">
        <v>5039</v>
      </c>
    </row>
    <row r="953" spans="1:12" x14ac:dyDescent="0.35">
      <c r="A953" t="s">
        <v>104</v>
      </c>
      <c r="B953" t="s">
        <v>324</v>
      </c>
      <c r="C953" t="s">
        <v>750</v>
      </c>
      <c r="D953">
        <v>4.3</v>
      </c>
      <c r="F953" t="s">
        <v>1674</v>
      </c>
      <c r="H953" t="s">
        <v>2842</v>
      </c>
      <c r="I953" t="s">
        <v>4854</v>
      </c>
      <c r="K953" t="s">
        <v>5037</v>
      </c>
      <c r="L953" t="s">
        <v>5039</v>
      </c>
    </row>
    <row r="954" spans="1:12" x14ac:dyDescent="0.35">
      <c r="A954" t="s">
        <v>104</v>
      </c>
      <c r="B954" t="s">
        <v>324</v>
      </c>
      <c r="C954" t="s">
        <v>750</v>
      </c>
      <c r="D954">
        <v>0.39</v>
      </c>
      <c r="F954" t="s">
        <v>1422</v>
      </c>
      <c r="H954" t="s">
        <v>2842</v>
      </c>
      <c r="I954" t="s">
        <v>4854</v>
      </c>
      <c r="K954" t="s">
        <v>5037</v>
      </c>
      <c r="L954" t="s">
        <v>5039</v>
      </c>
    </row>
    <row r="955" spans="1:12" x14ac:dyDescent="0.35">
      <c r="A955" t="s">
        <v>104</v>
      </c>
      <c r="B955" t="s">
        <v>324</v>
      </c>
      <c r="C955" t="s">
        <v>750</v>
      </c>
      <c r="D955">
        <v>0.57999999999999996</v>
      </c>
      <c r="F955" t="s">
        <v>1444</v>
      </c>
      <c r="H955" t="s">
        <v>2842</v>
      </c>
      <c r="I955" t="s">
        <v>4886</v>
      </c>
      <c r="K955" t="s">
        <v>5037</v>
      </c>
      <c r="L955" t="s">
        <v>5039</v>
      </c>
    </row>
    <row r="956" spans="1:12" x14ac:dyDescent="0.35">
      <c r="A956" t="s">
        <v>104</v>
      </c>
      <c r="B956" t="s">
        <v>324</v>
      </c>
      <c r="C956" t="s">
        <v>750</v>
      </c>
      <c r="D956">
        <v>0.85</v>
      </c>
      <c r="F956" t="s">
        <v>1474</v>
      </c>
      <c r="H956" t="s">
        <v>2842</v>
      </c>
      <c r="I956" t="s">
        <v>4886</v>
      </c>
      <c r="K956" t="s">
        <v>5037</v>
      </c>
      <c r="L956" t="s">
        <v>5039</v>
      </c>
    </row>
    <row r="957" spans="1:12" x14ac:dyDescent="0.35">
      <c r="A957" t="s">
        <v>104</v>
      </c>
      <c r="B957" t="s">
        <v>324</v>
      </c>
      <c r="C957" t="s">
        <v>716</v>
      </c>
      <c r="D957">
        <v>1.2800000000000001E-2</v>
      </c>
      <c r="F957" t="s">
        <v>1786</v>
      </c>
      <c r="H957" t="s">
        <v>3154</v>
      </c>
      <c r="I957" t="s">
        <v>4886</v>
      </c>
      <c r="K957" t="s">
        <v>5037</v>
      </c>
      <c r="L957" t="s">
        <v>5039</v>
      </c>
    </row>
    <row r="958" spans="1:12" x14ac:dyDescent="0.35">
      <c r="A958" t="s">
        <v>104</v>
      </c>
      <c r="B958" t="s">
        <v>324</v>
      </c>
      <c r="C958" t="s">
        <v>716</v>
      </c>
      <c r="D958">
        <v>7.2999999999999995E-2</v>
      </c>
      <c r="F958" t="s">
        <v>1787</v>
      </c>
      <c r="H958" t="s">
        <v>3152</v>
      </c>
      <c r="I958" t="s">
        <v>1354</v>
      </c>
      <c r="K958" t="s">
        <v>5037</v>
      </c>
      <c r="L958" t="s">
        <v>5039</v>
      </c>
    </row>
    <row r="959" spans="1:12" x14ac:dyDescent="0.35">
      <c r="A959" t="s">
        <v>104</v>
      </c>
      <c r="B959" t="s">
        <v>324</v>
      </c>
      <c r="C959" t="s">
        <v>750</v>
      </c>
      <c r="D959">
        <v>1.05</v>
      </c>
      <c r="F959" t="s">
        <v>1717</v>
      </c>
      <c r="H959" t="s">
        <v>2842</v>
      </c>
      <c r="I959" t="s">
        <v>4886</v>
      </c>
      <c r="K959" t="s">
        <v>5037</v>
      </c>
      <c r="L959" t="s">
        <v>5039</v>
      </c>
    </row>
    <row r="960" spans="1:12" x14ac:dyDescent="0.35">
      <c r="A960" t="s">
        <v>104</v>
      </c>
      <c r="B960" t="s">
        <v>324</v>
      </c>
      <c r="C960" t="s">
        <v>750</v>
      </c>
      <c r="D960">
        <v>0.46</v>
      </c>
      <c r="F960" t="s">
        <v>1506</v>
      </c>
      <c r="H960" t="s">
        <v>2842</v>
      </c>
      <c r="I960" t="s">
        <v>4886</v>
      </c>
      <c r="K960" t="s">
        <v>5037</v>
      </c>
      <c r="L960" t="s">
        <v>5039</v>
      </c>
    </row>
    <row r="961" spans="1:12" x14ac:dyDescent="0.35">
      <c r="A961" t="s">
        <v>104</v>
      </c>
      <c r="B961" t="s">
        <v>324</v>
      </c>
      <c r="C961" t="s">
        <v>750</v>
      </c>
      <c r="D961">
        <v>1.1200000000000001</v>
      </c>
      <c r="F961" t="s">
        <v>1788</v>
      </c>
      <c r="H961" t="s">
        <v>2842</v>
      </c>
      <c r="I961" t="s">
        <v>4886</v>
      </c>
      <c r="K961" t="s">
        <v>5037</v>
      </c>
      <c r="L961" t="s">
        <v>5039</v>
      </c>
    </row>
    <row r="962" spans="1:12" x14ac:dyDescent="0.35">
      <c r="A962" t="s">
        <v>104</v>
      </c>
      <c r="B962" t="s">
        <v>324</v>
      </c>
      <c r="C962" t="s">
        <v>716</v>
      </c>
      <c r="D962">
        <v>0.51</v>
      </c>
      <c r="F962" t="s">
        <v>1418</v>
      </c>
      <c r="H962" t="s">
        <v>3155</v>
      </c>
      <c r="I962" t="s">
        <v>4861</v>
      </c>
      <c r="K962" t="s">
        <v>5037</v>
      </c>
      <c r="L962" t="s">
        <v>5039</v>
      </c>
    </row>
    <row r="963" spans="1:12" x14ac:dyDescent="0.35">
      <c r="A963" t="s">
        <v>104</v>
      </c>
      <c r="B963" t="s">
        <v>324</v>
      </c>
      <c r="C963" t="s">
        <v>750</v>
      </c>
      <c r="D963">
        <v>0.51</v>
      </c>
      <c r="F963" t="s">
        <v>1418</v>
      </c>
      <c r="H963" t="s">
        <v>2842</v>
      </c>
      <c r="I963" t="s">
        <v>4861</v>
      </c>
      <c r="K963" t="s">
        <v>5037</v>
      </c>
      <c r="L963" t="s">
        <v>5039</v>
      </c>
    </row>
    <row r="964" spans="1:12" x14ac:dyDescent="0.35">
      <c r="A964" t="s">
        <v>104</v>
      </c>
      <c r="B964" t="s">
        <v>324</v>
      </c>
      <c r="C964" t="s">
        <v>716</v>
      </c>
      <c r="D964">
        <v>1.3100000000000001E-2</v>
      </c>
      <c r="F964" t="s">
        <v>1789</v>
      </c>
      <c r="H964" t="s">
        <v>3156</v>
      </c>
      <c r="I964" t="s">
        <v>4886</v>
      </c>
      <c r="K964" t="s">
        <v>5037</v>
      </c>
      <c r="L964" t="s">
        <v>5039</v>
      </c>
    </row>
    <row r="965" spans="1:12" x14ac:dyDescent="0.35">
      <c r="A965" t="s">
        <v>104</v>
      </c>
      <c r="B965" t="s">
        <v>324</v>
      </c>
      <c r="C965" t="s">
        <v>716</v>
      </c>
      <c r="D965">
        <v>0.123</v>
      </c>
      <c r="F965" t="s">
        <v>1583</v>
      </c>
      <c r="H965" t="s">
        <v>3157</v>
      </c>
      <c r="I965" t="s">
        <v>1354</v>
      </c>
      <c r="K965" t="s">
        <v>5037</v>
      </c>
      <c r="L965" t="s">
        <v>5039</v>
      </c>
    </row>
    <row r="966" spans="1:12" x14ac:dyDescent="0.35">
      <c r="A966" t="s">
        <v>104</v>
      </c>
      <c r="B966" t="s">
        <v>324</v>
      </c>
      <c r="C966" t="s">
        <v>716</v>
      </c>
      <c r="D966">
        <v>1.49E-2</v>
      </c>
      <c r="F966" t="s">
        <v>1790</v>
      </c>
      <c r="H966" t="s">
        <v>3158</v>
      </c>
      <c r="I966" t="s">
        <v>4886</v>
      </c>
      <c r="K966" t="s">
        <v>5037</v>
      </c>
      <c r="L966" t="s">
        <v>5039</v>
      </c>
    </row>
    <row r="967" spans="1:12" x14ac:dyDescent="0.35">
      <c r="A967" t="s">
        <v>104</v>
      </c>
      <c r="B967" t="s">
        <v>324</v>
      </c>
      <c r="C967" t="s">
        <v>716</v>
      </c>
      <c r="D967">
        <v>1.5900000000000001E-2</v>
      </c>
      <c r="F967" t="s">
        <v>1791</v>
      </c>
      <c r="H967" t="s">
        <v>3159</v>
      </c>
      <c r="I967" t="s">
        <v>4886</v>
      </c>
      <c r="K967" t="s">
        <v>5037</v>
      </c>
      <c r="L967" t="s">
        <v>5039</v>
      </c>
    </row>
    <row r="968" spans="1:12" x14ac:dyDescent="0.35">
      <c r="A968" t="s">
        <v>104</v>
      </c>
      <c r="B968" t="s">
        <v>324</v>
      </c>
      <c r="C968" t="s">
        <v>716</v>
      </c>
      <c r="D968">
        <v>5.0299999999999997E-2</v>
      </c>
      <c r="F968" t="s">
        <v>1792</v>
      </c>
      <c r="H968" t="s">
        <v>3160</v>
      </c>
      <c r="I968" t="s">
        <v>4886</v>
      </c>
      <c r="K968" t="s">
        <v>5037</v>
      </c>
      <c r="L968" t="s">
        <v>5039</v>
      </c>
    </row>
    <row r="969" spans="1:12" x14ac:dyDescent="0.35">
      <c r="A969" t="s">
        <v>104</v>
      </c>
      <c r="B969" t="s">
        <v>324</v>
      </c>
      <c r="C969" t="s">
        <v>716</v>
      </c>
      <c r="D969">
        <v>4.1200000000000001E-2</v>
      </c>
      <c r="F969" t="s">
        <v>1793</v>
      </c>
      <c r="H969" t="s">
        <v>3161</v>
      </c>
      <c r="I969" t="s">
        <v>4886</v>
      </c>
      <c r="K969" t="s">
        <v>5037</v>
      </c>
      <c r="L969" t="s">
        <v>5039</v>
      </c>
    </row>
    <row r="970" spans="1:12" x14ac:dyDescent="0.35">
      <c r="A970" t="s">
        <v>104</v>
      </c>
      <c r="B970" t="s">
        <v>324</v>
      </c>
      <c r="C970" t="s">
        <v>716</v>
      </c>
      <c r="D970">
        <v>1.4999999999999999E-2</v>
      </c>
      <c r="F970" t="s">
        <v>1336</v>
      </c>
      <c r="H970" t="s">
        <v>3162</v>
      </c>
      <c r="I970" t="s">
        <v>4854</v>
      </c>
      <c r="K970" t="s">
        <v>5037</v>
      </c>
      <c r="L970" t="s">
        <v>5039</v>
      </c>
    </row>
    <row r="971" spans="1:12" x14ac:dyDescent="0.35">
      <c r="A971" t="s">
        <v>104</v>
      </c>
      <c r="B971" t="s">
        <v>324</v>
      </c>
      <c r="C971" t="s">
        <v>750</v>
      </c>
      <c r="D971">
        <v>0.19</v>
      </c>
      <c r="F971" t="s">
        <v>1538</v>
      </c>
      <c r="H971" t="s">
        <v>2842</v>
      </c>
      <c r="I971" t="s">
        <v>4879</v>
      </c>
      <c r="K971" t="s">
        <v>5037</v>
      </c>
      <c r="L971" t="s">
        <v>5039</v>
      </c>
    </row>
    <row r="972" spans="1:12" x14ac:dyDescent="0.35">
      <c r="A972" t="s">
        <v>104</v>
      </c>
      <c r="B972" t="s">
        <v>324</v>
      </c>
      <c r="C972" t="s">
        <v>751</v>
      </c>
      <c r="D972">
        <v>0.19</v>
      </c>
      <c r="F972" t="s">
        <v>1538</v>
      </c>
      <c r="H972" t="s">
        <v>3163</v>
      </c>
      <c r="I972" t="s">
        <v>1584</v>
      </c>
      <c r="K972" t="s">
        <v>5037</v>
      </c>
      <c r="L972" t="s">
        <v>5039</v>
      </c>
    </row>
    <row r="973" spans="1:12" x14ac:dyDescent="0.35">
      <c r="A973" t="s">
        <v>104</v>
      </c>
      <c r="B973" t="s">
        <v>324</v>
      </c>
      <c r="C973" t="s">
        <v>716</v>
      </c>
      <c r="D973">
        <v>0.28999999999999998</v>
      </c>
      <c r="F973" t="s">
        <v>1396</v>
      </c>
      <c r="H973" t="s">
        <v>3164</v>
      </c>
      <c r="I973" t="s">
        <v>1584</v>
      </c>
      <c r="K973" t="s">
        <v>5037</v>
      </c>
      <c r="L973" t="s">
        <v>5039</v>
      </c>
    </row>
    <row r="974" spans="1:12" x14ac:dyDescent="0.35">
      <c r="A974" t="s">
        <v>104</v>
      </c>
      <c r="B974" t="s">
        <v>324</v>
      </c>
      <c r="C974" t="s">
        <v>751</v>
      </c>
      <c r="D974">
        <v>0.23</v>
      </c>
      <c r="F974" t="s">
        <v>1362</v>
      </c>
      <c r="H974" t="s">
        <v>3165</v>
      </c>
      <c r="I974" t="s">
        <v>1584</v>
      </c>
      <c r="K974" t="s">
        <v>5037</v>
      </c>
      <c r="L974" t="s">
        <v>5039</v>
      </c>
    </row>
    <row r="975" spans="1:12" x14ac:dyDescent="0.35">
      <c r="A975" t="s">
        <v>104</v>
      </c>
      <c r="B975" t="s">
        <v>324</v>
      </c>
      <c r="C975" t="s">
        <v>716</v>
      </c>
      <c r="D975">
        <v>3.5999999999999999E-3</v>
      </c>
      <c r="F975" t="s">
        <v>1794</v>
      </c>
      <c r="H975" t="s">
        <v>3166</v>
      </c>
      <c r="I975" t="s">
        <v>4854</v>
      </c>
      <c r="K975" t="s">
        <v>5037</v>
      </c>
      <c r="L975" t="s">
        <v>5039</v>
      </c>
    </row>
    <row r="976" spans="1:12" x14ac:dyDescent="0.35">
      <c r="A976" t="s">
        <v>104</v>
      </c>
      <c r="B976" t="s">
        <v>324</v>
      </c>
      <c r="C976" t="s">
        <v>750</v>
      </c>
      <c r="D976">
        <v>0.47</v>
      </c>
      <c r="F976" t="s">
        <v>1795</v>
      </c>
      <c r="H976" t="s">
        <v>2842</v>
      </c>
      <c r="I976" t="s">
        <v>4886</v>
      </c>
      <c r="K976" t="s">
        <v>5037</v>
      </c>
      <c r="L976" t="s">
        <v>5039</v>
      </c>
    </row>
    <row r="977" spans="1:12" x14ac:dyDescent="0.35">
      <c r="A977" t="s">
        <v>104</v>
      </c>
      <c r="B977" t="s">
        <v>324</v>
      </c>
      <c r="C977" t="s">
        <v>716</v>
      </c>
      <c r="D977">
        <v>8.6E-3</v>
      </c>
      <c r="F977" t="s">
        <v>1796</v>
      </c>
      <c r="H977" t="s">
        <v>3163</v>
      </c>
      <c r="I977" t="s">
        <v>1584</v>
      </c>
      <c r="K977" t="s">
        <v>5037</v>
      </c>
      <c r="L977" t="s">
        <v>5039</v>
      </c>
    </row>
    <row r="978" spans="1:12" x14ac:dyDescent="0.35">
      <c r="A978" t="s">
        <v>104</v>
      </c>
      <c r="B978" t="s">
        <v>324</v>
      </c>
      <c r="C978" t="s">
        <v>751</v>
      </c>
      <c r="D978">
        <v>2.9</v>
      </c>
      <c r="F978" t="s">
        <v>1576</v>
      </c>
      <c r="H978" t="s">
        <v>3164</v>
      </c>
      <c r="I978" t="s">
        <v>1584</v>
      </c>
      <c r="K978" t="s">
        <v>5037</v>
      </c>
      <c r="L978" t="s">
        <v>5039</v>
      </c>
    </row>
    <row r="979" spans="1:12" x14ac:dyDescent="0.35">
      <c r="A979" t="s">
        <v>104</v>
      </c>
      <c r="B979" t="s">
        <v>324</v>
      </c>
      <c r="C979" t="s">
        <v>716</v>
      </c>
      <c r="D979">
        <v>2.76E-2</v>
      </c>
      <c r="F979" t="s">
        <v>1797</v>
      </c>
      <c r="H979" t="s">
        <v>3167</v>
      </c>
      <c r="I979" t="s">
        <v>4854</v>
      </c>
      <c r="K979" t="s">
        <v>5037</v>
      </c>
      <c r="L979" t="s">
        <v>5039</v>
      </c>
    </row>
    <row r="980" spans="1:12" x14ac:dyDescent="0.35">
      <c r="A980" t="s">
        <v>104</v>
      </c>
      <c r="B980" t="s">
        <v>324</v>
      </c>
      <c r="C980" t="s">
        <v>716</v>
      </c>
      <c r="D980">
        <v>8.8000000000000005E-3</v>
      </c>
      <c r="F980" t="s">
        <v>1312</v>
      </c>
      <c r="H980" t="s">
        <v>3168</v>
      </c>
      <c r="I980" t="s">
        <v>4854</v>
      </c>
      <c r="K980" t="s">
        <v>5037</v>
      </c>
      <c r="L980" t="s">
        <v>5039</v>
      </c>
    </row>
    <row r="981" spans="1:12" x14ac:dyDescent="0.35">
      <c r="A981" t="s">
        <v>104</v>
      </c>
      <c r="B981" t="s">
        <v>324</v>
      </c>
      <c r="C981" t="s">
        <v>716</v>
      </c>
      <c r="D981">
        <v>1.54E-2</v>
      </c>
      <c r="F981" t="s">
        <v>1798</v>
      </c>
      <c r="H981" t="s">
        <v>3169</v>
      </c>
      <c r="I981" t="s">
        <v>4854</v>
      </c>
      <c r="K981" t="s">
        <v>5037</v>
      </c>
      <c r="L981" t="s">
        <v>5039</v>
      </c>
    </row>
    <row r="982" spans="1:12" x14ac:dyDescent="0.35">
      <c r="A982" t="s">
        <v>104</v>
      </c>
      <c r="B982" t="s">
        <v>324</v>
      </c>
      <c r="C982" t="s">
        <v>709</v>
      </c>
      <c r="D982">
        <v>8.1</v>
      </c>
      <c r="F982" t="s">
        <v>1540</v>
      </c>
      <c r="H982" t="s">
        <v>3165</v>
      </c>
      <c r="I982" t="s">
        <v>1584</v>
      </c>
      <c r="K982" t="s">
        <v>5037</v>
      </c>
      <c r="L982" t="s">
        <v>5039</v>
      </c>
    </row>
    <row r="983" spans="1:12" x14ac:dyDescent="0.35">
      <c r="A983" t="s">
        <v>104</v>
      </c>
      <c r="B983" t="s">
        <v>324</v>
      </c>
      <c r="C983" t="s">
        <v>716</v>
      </c>
      <c r="D983">
        <v>1.35E-2</v>
      </c>
      <c r="F983" t="s">
        <v>1799</v>
      </c>
      <c r="H983" t="s">
        <v>3170</v>
      </c>
      <c r="I983" t="s">
        <v>4854</v>
      </c>
      <c r="K983" t="s">
        <v>5037</v>
      </c>
      <c r="L983" t="s">
        <v>5039</v>
      </c>
    </row>
    <row r="984" spans="1:12" x14ac:dyDescent="0.35">
      <c r="A984" t="s">
        <v>104</v>
      </c>
      <c r="B984" t="s">
        <v>324</v>
      </c>
      <c r="C984" t="s">
        <v>716</v>
      </c>
      <c r="D984">
        <v>1.47E-2</v>
      </c>
      <c r="F984" t="s">
        <v>1800</v>
      </c>
      <c r="H984" t="s">
        <v>3171</v>
      </c>
      <c r="I984" t="s">
        <v>4854</v>
      </c>
      <c r="K984" t="s">
        <v>5037</v>
      </c>
      <c r="L984" t="s">
        <v>5039</v>
      </c>
    </row>
    <row r="985" spans="1:12" x14ac:dyDescent="0.35">
      <c r="A985" t="s">
        <v>104</v>
      </c>
      <c r="B985" t="s">
        <v>324</v>
      </c>
      <c r="C985" t="s">
        <v>716</v>
      </c>
      <c r="D985">
        <v>8.0000000000000002E-3</v>
      </c>
      <c r="F985" t="s">
        <v>1801</v>
      </c>
      <c r="H985" t="s">
        <v>3172</v>
      </c>
      <c r="I985" t="s">
        <v>1584</v>
      </c>
      <c r="K985" t="s">
        <v>5037</v>
      </c>
      <c r="L985" t="s">
        <v>5039</v>
      </c>
    </row>
    <row r="986" spans="1:12" x14ac:dyDescent="0.35">
      <c r="A986" t="s">
        <v>104</v>
      </c>
      <c r="B986" t="s">
        <v>324</v>
      </c>
      <c r="C986" t="s">
        <v>750</v>
      </c>
      <c r="D986">
        <v>1.7</v>
      </c>
      <c r="F986" t="s">
        <v>1416</v>
      </c>
      <c r="H986" t="s">
        <v>2842</v>
      </c>
      <c r="I986" t="s">
        <v>4854</v>
      </c>
      <c r="K986" t="s">
        <v>5037</v>
      </c>
      <c r="L986" t="s">
        <v>5039</v>
      </c>
    </row>
    <row r="987" spans="1:12" x14ac:dyDescent="0.35">
      <c r="A987" t="s">
        <v>104</v>
      </c>
      <c r="B987" t="s">
        <v>324</v>
      </c>
      <c r="C987" t="s">
        <v>750</v>
      </c>
      <c r="D987">
        <v>0.23</v>
      </c>
      <c r="F987" t="s">
        <v>1362</v>
      </c>
      <c r="H987" t="s">
        <v>2842</v>
      </c>
      <c r="I987" t="s">
        <v>2253</v>
      </c>
      <c r="K987" t="s">
        <v>5037</v>
      </c>
      <c r="L987" t="s">
        <v>5039</v>
      </c>
    </row>
    <row r="988" spans="1:12" x14ac:dyDescent="0.35">
      <c r="A988" t="s">
        <v>104</v>
      </c>
      <c r="B988" t="s">
        <v>324</v>
      </c>
      <c r="C988" t="s">
        <v>716</v>
      </c>
      <c r="D988">
        <v>8.2000000000000007E-3</v>
      </c>
      <c r="F988" t="s">
        <v>1802</v>
      </c>
      <c r="H988" t="s">
        <v>3173</v>
      </c>
      <c r="I988" t="s">
        <v>4886</v>
      </c>
      <c r="K988" t="s">
        <v>5037</v>
      </c>
      <c r="L988" t="s">
        <v>5039</v>
      </c>
    </row>
    <row r="989" spans="1:12" x14ac:dyDescent="0.35">
      <c r="A989" t="s">
        <v>104</v>
      </c>
      <c r="B989" t="s">
        <v>324</v>
      </c>
      <c r="C989" t="s">
        <v>716</v>
      </c>
      <c r="D989">
        <v>3.7999999999999999E-2</v>
      </c>
      <c r="F989" t="s">
        <v>1803</v>
      </c>
      <c r="H989" t="s">
        <v>3174</v>
      </c>
      <c r="I989" t="s">
        <v>4886</v>
      </c>
      <c r="K989" t="s">
        <v>5037</v>
      </c>
      <c r="L989" t="s">
        <v>5039</v>
      </c>
    </row>
    <row r="990" spans="1:12" x14ac:dyDescent="0.35">
      <c r="A990" t="s">
        <v>104</v>
      </c>
      <c r="B990" t="s">
        <v>324</v>
      </c>
      <c r="C990" t="s">
        <v>716</v>
      </c>
      <c r="D990">
        <v>2.3E-2</v>
      </c>
      <c r="F990" t="s">
        <v>1457</v>
      </c>
      <c r="H990" t="s">
        <v>3175</v>
      </c>
      <c r="I990" t="s">
        <v>4881</v>
      </c>
      <c r="K990" t="s">
        <v>5037</v>
      </c>
      <c r="L990" t="s">
        <v>5039</v>
      </c>
    </row>
    <row r="991" spans="1:12" x14ac:dyDescent="0.35">
      <c r="A991" t="s">
        <v>104</v>
      </c>
      <c r="B991" t="s">
        <v>324</v>
      </c>
      <c r="C991" t="s">
        <v>750</v>
      </c>
      <c r="D991">
        <v>0.08</v>
      </c>
      <c r="F991" t="s">
        <v>1402</v>
      </c>
      <c r="H991" t="s">
        <v>2842</v>
      </c>
      <c r="I991" t="s">
        <v>2258</v>
      </c>
      <c r="K991" t="s">
        <v>5037</v>
      </c>
      <c r="L991" t="s">
        <v>5039</v>
      </c>
    </row>
    <row r="992" spans="1:12" x14ac:dyDescent="0.35">
      <c r="A992" t="s">
        <v>104</v>
      </c>
      <c r="B992" t="s">
        <v>324</v>
      </c>
      <c r="C992" t="s">
        <v>750</v>
      </c>
      <c r="D992">
        <v>0.27</v>
      </c>
      <c r="F992" t="s">
        <v>1738</v>
      </c>
      <c r="H992" t="s">
        <v>2842</v>
      </c>
      <c r="I992" t="s">
        <v>2258</v>
      </c>
      <c r="K992" t="s">
        <v>5037</v>
      </c>
      <c r="L992" t="s">
        <v>5039</v>
      </c>
    </row>
    <row r="993" spans="1:12" x14ac:dyDescent="0.35">
      <c r="A993" t="s">
        <v>104</v>
      </c>
      <c r="B993" t="s">
        <v>324</v>
      </c>
      <c r="C993" t="s">
        <v>716</v>
      </c>
      <c r="D993">
        <v>0.04</v>
      </c>
      <c r="F993" t="s">
        <v>1334</v>
      </c>
      <c r="H993" t="s">
        <v>3176</v>
      </c>
      <c r="I993" t="s">
        <v>4861</v>
      </c>
      <c r="K993" t="s">
        <v>5037</v>
      </c>
      <c r="L993" t="s">
        <v>5039</v>
      </c>
    </row>
    <row r="994" spans="1:12" x14ac:dyDescent="0.35">
      <c r="A994" t="s">
        <v>104</v>
      </c>
      <c r="B994" t="s">
        <v>435</v>
      </c>
      <c r="C994" t="s">
        <v>750</v>
      </c>
      <c r="D994">
        <v>3.3E-3</v>
      </c>
      <c r="F994" t="s">
        <v>1281</v>
      </c>
      <c r="H994" t="s">
        <v>2842</v>
      </c>
      <c r="I994" t="s">
        <v>1889</v>
      </c>
      <c r="K994" t="s">
        <v>5037</v>
      </c>
      <c r="L994" t="s">
        <v>5039</v>
      </c>
    </row>
    <row r="995" spans="1:12" x14ac:dyDescent="0.35">
      <c r="A995" t="s">
        <v>104</v>
      </c>
      <c r="B995" t="s">
        <v>435</v>
      </c>
      <c r="C995" t="s">
        <v>716</v>
      </c>
      <c r="D995">
        <v>1.0200000000000001E-2</v>
      </c>
      <c r="F995" t="s">
        <v>1804</v>
      </c>
      <c r="H995" t="s">
        <v>3177</v>
      </c>
      <c r="I995" t="s">
        <v>1889</v>
      </c>
      <c r="K995" t="s">
        <v>5037</v>
      </c>
      <c r="L995" t="s">
        <v>5039</v>
      </c>
    </row>
    <row r="996" spans="1:12" x14ac:dyDescent="0.35">
      <c r="A996" t="s">
        <v>104</v>
      </c>
      <c r="B996" t="s">
        <v>435</v>
      </c>
      <c r="C996" t="s">
        <v>750</v>
      </c>
      <c r="D996">
        <v>0.83</v>
      </c>
      <c r="F996" t="s">
        <v>1734</v>
      </c>
      <c r="H996" t="s">
        <v>2842</v>
      </c>
      <c r="I996" t="s">
        <v>1889</v>
      </c>
      <c r="K996" t="s">
        <v>5037</v>
      </c>
      <c r="L996" t="s">
        <v>5039</v>
      </c>
    </row>
    <row r="997" spans="1:12" x14ac:dyDescent="0.35">
      <c r="A997" t="s">
        <v>104</v>
      </c>
      <c r="B997" t="s">
        <v>435</v>
      </c>
      <c r="C997" t="s">
        <v>750</v>
      </c>
      <c r="D997">
        <v>3.33</v>
      </c>
      <c r="F997" t="s">
        <v>1691</v>
      </c>
      <c r="H997" t="s">
        <v>2842</v>
      </c>
      <c r="I997" t="s">
        <v>2226</v>
      </c>
      <c r="K997" t="s">
        <v>5037</v>
      </c>
      <c r="L997" t="s">
        <v>5039</v>
      </c>
    </row>
    <row r="998" spans="1:12" x14ac:dyDescent="0.35">
      <c r="A998" t="s">
        <v>104</v>
      </c>
      <c r="B998" t="s">
        <v>435</v>
      </c>
      <c r="C998" t="s">
        <v>750</v>
      </c>
      <c r="D998">
        <v>2.96</v>
      </c>
      <c r="F998" t="s">
        <v>1805</v>
      </c>
      <c r="H998" t="s">
        <v>2842</v>
      </c>
      <c r="I998" t="s">
        <v>2226</v>
      </c>
      <c r="K998" t="s">
        <v>5037</v>
      </c>
      <c r="L998" t="s">
        <v>5039</v>
      </c>
    </row>
    <row r="999" spans="1:12" x14ac:dyDescent="0.35">
      <c r="A999" t="s">
        <v>104</v>
      </c>
      <c r="B999" t="s">
        <v>435</v>
      </c>
      <c r="C999" t="s">
        <v>162</v>
      </c>
      <c r="D999">
        <v>16.899999999999999</v>
      </c>
      <c r="F999" t="s">
        <v>1806</v>
      </c>
      <c r="H999" t="s">
        <v>3178</v>
      </c>
      <c r="I999" t="s">
        <v>2226</v>
      </c>
      <c r="K999" t="s">
        <v>5037</v>
      </c>
      <c r="L999" t="s">
        <v>5039</v>
      </c>
    </row>
    <row r="1000" spans="1:12" x14ac:dyDescent="0.35">
      <c r="A1000" t="s">
        <v>104</v>
      </c>
      <c r="B1000" t="s">
        <v>435</v>
      </c>
      <c r="C1000" t="s">
        <v>162</v>
      </c>
      <c r="D1000">
        <v>26.3</v>
      </c>
      <c r="F1000" t="s">
        <v>1807</v>
      </c>
      <c r="H1000" t="s">
        <v>3179</v>
      </c>
      <c r="I1000" t="s">
        <v>2226</v>
      </c>
      <c r="K1000" t="s">
        <v>5037</v>
      </c>
      <c r="L1000" t="s">
        <v>5039</v>
      </c>
    </row>
    <row r="1001" spans="1:12" x14ac:dyDescent="0.35">
      <c r="A1001" t="s">
        <v>104</v>
      </c>
      <c r="B1001" t="s">
        <v>435</v>
      </c>
      <c r="C1001" t="s">
        <v>750</v>
      </c>
      <c r="D1001">
        <v>2.96E-3</v>
      </c>
      <c r="F1001" t="s">
        <v>1808</v>
      </c>
      <c r="H1001" t="s">
        <v>2842</v>
      </c>
      <c r="I1001" t="s">
        <v>1889</v>
      </c>
      <c r="K1001" t="s">
        <v>5037</v>
      </c>
      <c r="L1001" t="s">
        <v>5039</v>
      </c>
    </row>
    <row r="1002" spans="1:12" x14ac:dyDescent="0.35">
      <c r="A1002" t="s">
        <v>104</v>
      </c>
      <c r="B1002" t="s">
        <v>435</v>
      </c>
      <c r="C1002" t="s">
        <v>716</v>
      </c>
      <c r="D1002">
        <v>0.20499999999999999</v>
      </c>
      <c r="F1002" t="s">
        <v>1809</v>
      </c>
      <c r="H1002" t="s">
        <v>3180</v>
      </c>
      <c r="I1002" t="s">
        <v>1889</v>
      </c>
      <c r="K1002" t="s">
        <v>5037</v>
      </c>
      <c r="L1002" t="s">
        <v>5039</v>
      </c>
    </row>
    <row r="1003" spans="1:12" x14ac:dyDescent="0.35">
      <c r="A1003" t="s">
        <v>104</v>
      </c>
      <c r="B1003" t="s">
        <v>435</v>
      </c>
      <c r="C1003" t="s">
        <v>716</v>
      </c>
      <c r="D1003">
        <v>7.2099999999999997E-2</v>
      </c>
      <c r="F1003" t="s">
        <v>1810</v>
      </c>
      <c r="H1003" t="s">
        <v>3181</v>
      </c>
      <c r="I1003" t="s">
        <v>1889</v>
      </c>
      <c r="K1003" t="s">
        <v>5037</v>
      </c>
      <c r="L1003" t="s">
        <v>5039</v>
      </c>
    </row>
    <row r="1004" spans="1:12" x14ac:dyDescent="0.35">
      <c r="A1004" t="s">
        <v>104</v>
      </c>
      <c r="B1004" t="s">
        <v>435</v>
      </c>
      <c r="C1004" t="s">
        <v>162</v>
      </c>
      <c r="D1004">
        <v>138.9</v>
      </c>
      <c r="F1004" t="s">
        <v>1811</v>
      </c>
      <c r="H1004" t="s">
        <v>3182</v>
      </c>
      <c r="I1004" t="s">
        <v>2226</v>
      </c>
      <c r="K1004" t="s">
        <v>5037</v>
      </c>
      <c r="L1004" t="s">
        <v>5039</v>
      </c>
    </row>
    <row r="1005" spans="1:12" x14ac:dyDescent="0.35">
      <c r="A1005" t="s">
        <v>104</v>
      </c>
      <c r="B1005" t="s">
        <v>435</v>
      </c>
      <c r="C1005" t="s">
        <v>162</v>
      </c>
      <c r="D1005">
        <v>48.2</v>
      </c>
      <c r="F1005" t="s">
        <v>1812</v>
      </c>
      <c r="H1005" t="s">
        <v>3183</v>
      </c>
      <c r="I1005" t="s">
        <v>2226</v>
      </c>
      <c r="K1005" t="s">
        <v>5037</v>
      </c>
      <c r="L1005" t="s">
        <v>5039</v>
      </c>
    </row>
    <row r="1006" spans="1:12" x14ac:dyDescent="0.35">
      <c r="A1006" t="s">
        <v>104</v>
      </c>
      <c r="B1006" t="s">
        <v>435</v>
      </c>
      <c r="C1006" t="s">
        <v>716</v>
      </c>
      <c r="D1006">
        <v>6.4999999999999997E-3</v>
      </c>
      <c r="F1006" t="s">
        <v>1813</v>
      </c>
      <c r="H1006" t="s">
        <v>3184</v>
      </c>
      <c r="I1006" t="s">
        <v>1752</v>
      </c>
      <c r="K1006" t="s">
        <v>5037</v>
      </c>
      <c r="L1006" t="s">
        <v>5039</v>
      </c>
    </row>
    <row r="1007" spans="1:12" x14ac:dyDescent="0.35">
      <c r="A1007" t="s">
        <v>104</v>
      </c>
      <c r="B1007" t="s">
        <v>308</v>
      </c>
      <c r="C1007" t="s">
        <v>716</v>
      </c>
      <c r="D1007">
        <v>7.0000000000000007E-2</v>
      </c>
      <c r="F1007" t="s">
        <v>1456</v>
      </c>
      <c r="I1007" t="s">
        <v>1379</v>
      </c>
      <c r="K1007" t="s">
        <v>5037</v>
      </c>
      <c r="L1007" t="s">
        <v>5039</v>
      </c>
    </row>
    <row r="1008" spans="1:12" x14ac:dyDescent="0.35">
      <c r="A1008" t="s">
        <v>104</v>
      </c>
      <c r="B1008" t="s">
        <v>308</v>
      </c>
      <c r="C1008" t="s">
        <v>750</v>
      </c>
      <c r="D1008">
        <v>2.7</v>
      </c>
      <c r="F1008" t="s">
        <v>1557</v>
      </c>
      <c r="H1008" t="s">
        <v>2842</v>
      </c>
      <c r="I1008" t="s">
        <v>4897</v>
      </c>
      <c r="K1008" t="s">
        <v>5037</v>
      </c>
      <c r="L1008" t="s">
        <v>5039</v>
      </c>
    </row>
    <row r="1009" spans="1:12" x14ac:dyDescent="0.35">
      <c r="A1009" t="s">
        <v>104</v>
      </c>
      <c r="B1009" t="s">
        <v>354</v>
      </c>
      <c r="C1009" t="s">
        <v>162</v>
      </c>
      <c r="D1009">
        <v>5.3</v>
      </c>
      <c r="F1009" t="s">
        <v>1671</v>
      </c>
      <c r="H1009" t="s">
        <v>3185</v>
      </c>
      <c r="I1009" t="s">
        <v>1571</v>
      </c>
      <c r="K1009" t="s">
        <v>5037</v>
      </c>
      <c r="L1009" t="s">
        <v>5039</v>
      </c>
    </row>
    <row r="1010" spans="1:12" x14ac:dyDescent="0.35">
      <c r="A1010" t="s">
        <v>104</v>
      </c>
      <c r="B1010" t="s">
        <v>354</v>
      </c>
      <c r="C1010" t="s">
        <v>750</v>
      </c>
      <c r="D1010">
        <v>0.32</v>
      </c>
      <c r="F1010" t="s">
        <v>1470</v>
      </c>
      <c r="H1010" t="s">
        <v>2842</v>
      </c>
      <c r="I1010" t="s">
        <v>1571</v>
      </c>
      <c r="K1010" t="s">
        <v>5037</v>
      </c>
      <c r="L1010" t="s">
        <v>5039</v>
      </c>
    </row>
    <row r="1011" spans="1:12" x14ac:dyDescent="0.35">
      <c r="A1011" t="s">
        <v>104</v>
      </c>
      <c r="B1011" t="s">
        <v>354</v>
      </c>
      <c r="C1011" t="s">
        <v>162</v>
      </c>
      <c r="D1011">
        <v>4.3</v>
      </c>
      <c r="F1011" t="s">
        <v>1674</v>
      </c>
      <c r="H1011" t="s">
        <v>3186</v>
      </c>
      <c r="I1011" t="s">
        <v>1571</v>
      </c>
      <c r="K1011" t="s">
        <v>5037</v>
      </c>
      <c r="L1011" t="s">
        <v>5039</v>
      </c>
    </row>
    <row r="1012" spans="1:12" x14ac:dyDescent="0.35">
      <c r="A1012" t="s">
        <v>104</v>
      </c>
      <c r="B1012" t="s">
        <v>354</v>
      </c>
      <c r="C1012" t="s">
        <v>716</v>
      </c>
      <c r="D1012">
        <v>4.8000000000000001E-2</v>
      </c>
      <c r="F1012" t="s">
        <v>1434</v>
      </c>
      <c r="H1012" t="s">
        <v>3187</v>
      </c>
      <c r="I1012" t="s">
        <v>1571</v>
      </c>
      <c r="K1012" t="s">
        <v>5037</v>
      </c>
      <c r="L1012" t="s">
        <v>5039</v>
      </c>
    </row>
    <row r="1013" spans="1:12" x14ac:dyDescent="0.35">
      <c r="A1013" t="s">
        <v>104</v>
      </c>
      <c r="B1013" t="s">
        <v>354</v>
      </c>
      <c r="C1013" t="s">
        <v>716</v>
      </c>
      <c r="D1013">
        <v>1.6E-2</v>
      </c>
      <c r="F1013" t="s">
        <v>1614</v>
      </c>
      <c r="H1013" t="s">
        <v>3188</v>
      </c>
      <c r="I1013" t="s">
        <v>1766</v>
      </c>
      <c r="K1013" t="s">
        <v>5037</v>
      </c>
      <c r="L1013" t="s">
        <v>5039</v>
      </c>
    </row>
    <row r="1014" spans="1:12" x14ac:dyDescent="0.35">
      <c r="A1014" t="s">
        <v>104</v>
      </c>
      <c r="B1014" t="s">
        <v>436</v>
      </c>
      <c r="C1014" t="s">
        <v>751</v>
      </c>
      <c r="D1014">
        <v>3.3</v>
      </c>
      <c r="F1014" t="s">
        <v>1377</v>
      </c>
      <c r="H1014" t="s">
        <v>3189</v>
      </c>
      <c r="I1014" t="s">
        <v>1766</v>
      </c>
      <c r="K1014" t="s">
        <v>5037</v>
      </c>
      <c r="L1014" t="s">
        <v>5039</v>
      </c>
    </row>
    <row r="1015" spans="1:12" x14ac:dyDescent="0.35">
      <c r="A1015" t="s">
        <v>104</v>
      </c>
      <c r="B1015" t="s">
        <v>436</v>
      </c>
      <c r="C1015" t="s">
        <v>751</v>
      </c>
      <c r="D1015">
        <v>0.39</v>
      </c>
      <c r="F1015" t="s">
        <v>1422</v>
      </c>
      <c r="H1015" t="s">
        <v>3190</v>
      </c>
      <c r="I1015" t="s">
        <v>1766</v>
      </c>
      <c r="K1015" t="s">
        <v>5037</v>
      </c>
      <c r="L1015" t="s">
        <v>5039</v>
      </c>
    </row>
    <row r="1016" spans="1:12" x14ac:dyDescent="0.35">
      <c r="A1016" t="s">
        <v>104</v>
      </c>
      <c r="B1016" t="s">
        <v>436</v>
      </c>
      <c r="C1016" t="s">
        <v>751</v>
      </c>
      <c r="D1016">
        <v>4.1000000000000002E-2</v>
      </c>
      <c r="F1016" t="s">
        <v>1814</v>
      </c>
      <c r="H1016" t="s">
        <v>3191</v>
      </c>
      <c r="I1016" t="s">
        <v>1766</v>
      </c>
      <c r="K1016" t="s">
        <v>5037</v>
      </c>
      <c r="L1016" t="s">
        <v>5039</v>
      </c>
    </row>
    <row r="1017" spans="1:12" x14ac:dyDescent="0.35">
      <c r="A1017" t="s">
        <v>104</v>
      </c>
      <c r="B1017" t="s">
        <v>311</v>
      </c>
      <c r="C1017" t="s">
        <v>720</v>
      </c>
      <c r="D1017">
        <v>0.06</v>
      </c>
      <c r="F1017" t="s">
        <v>1370</v>
      </c>
      <c r="I1017" t="s">
        <v>1851</v>
      </c>
      <c r="K1017" t="s">
        <v>5037</v>
      </c>
      <c r="L1017" t="s">
        <v>5039</v>
      </c>
    </row>
    <row r="1018" spans="1:12" x14ac:dyDescent="0.35">
      <c r="A1018" t="s">
        <v>104</v>
      </c>
      <c r="B1018" t="s">
        <v>311</v>
      </c>
      <c r="C1018" t="s">
        <v>716</v>
      </c>
      <c r="D1018">
        <v>8.3000000000000004E-2</v>
      </c>
      <c r="F1018" t="s">
        <v>1603</v>
      </c>
      <c r="I1018" t="s">
        <v>1851</v>
      </c>
      <c r="K1018" t="s">
        <v>5037</v>
      </c>
      <c r="L1018" t="s">
        <v>5039</v>
      </c>
    </row>
    <row r="1019" spans="1:12" x14ac:dyDescent="0.35">
      <c r="A1019" t="s">
        <v>104</v>
      </c>
      <c r="B1019" t="s">
        <v>311</v>
      </c>
      <c r="C1019" t="s">
        <v>751</v>
      </c>
      <c r="D1019">
        <v>3.8</v>
      </c>
      <c r="F1019" t="s">
        <v>1388</v>
      </c>
      <c r="I1019" t="s">
        <v>1851</v>
      </c>
      <c r="K1019" t="s">
        <v>5037</v>
      </c>
      <c r="L1019" t="s">
        <v>5039</v>
      </c>
    </row>
    <row r="1020" spans="1:12" x14ac:dyDescent="0.35">
      <c r="A1020" t="s">
        <v>104</v>
      </c>
      <c r="B1020" t="s">
        <v>311</v>
      </c>
      <c r="C1020" t="s">
        <v>162</v>
      </c>
      <c r="D1020">
        <v>13.8</v>
      </c>
      <c r="F1020" t="s">
        <v>1677</v>
      </c>
      <c r="I1020" t="s">
        <v>1851</v>
      </c>
      <c r="K1020" t="s">
        <v>5037</v>
      </c>
      <c r="L1020" t="s">
        <v>5039</v>
      </c>
    </row>
    <row r="1021" spans="1:12" x14ac:dyDescent="0.35">
      <c r="A1021" t="s">
        <v>104</v>
      </c>
      <c r="B1021" t="s">
        <v>437</v>
      </c>
      <c r="C1021" t="s">
        <v>751</v>
      </c>
      <c r="D1021">
        <v>0.22</v>
      </c>
      <c r="F1021" t="s">
        <v>1438</v>
      </c>
      <c r="H1021" t="s">
        <v>3192</v>
      </c>
      <c r="I1021" t="s">
        <v>1509</v>
      </c>
      <c r="K1021" t="s">
        <v>5037</v>
      </c>
      <c r="L1021" t="s">
        <v>5039</v>
      </c>
    </row>
    <row r="1022" spans="1:12" x14ac:dyDescent="0.35">
      <c r="A1022" t="s">
        <v>104</v>
      </c>
      <c r="B1022" t="s">
        <v>437</v>
      </c>
      <c r="C1022" t="s">
        <v>751</v>
      </c>
      <c r="D1022">
        <v>0.68</v>
      </c>
      <c r="F1022" t="s">
        <v>1735</v>
      </c>
      <c r="I1022" t="s">
        <v>1518</v>
      </c>
      <c r="K1022" t="s">
        <v>5037</v>
      </c>
      <c r="L1022" t="s">
        <v>5039</v>
      </c>
    </row>
    <row r="1023" spans="1:12" x14ac:dyDescent="0.35">
      <c r="A1023" t="s">
        <v>104</v>
      </c>
      <c r="B1023" t="s">
        <v>437</v>
      </c>
      <c r="C1023" t="s">
        <v>716</v>
      </c>
      <c r="D1023">
        <v>8.1999999999999993</v>
      </c>
      <c r="F1023" t="s">
        <v>1527</v>
      </c>
      <c r="I1023" t="s">
        <v>1518</v>
      </c>
      <c r="K1023" t="s">
        <v>5037</v>
      </c>
      <c r="L1023" t="s">
        <v>5039</v>
      </c>
    </row>
    <row r="1024" spans="1:12" x14ac:dyDescent="0.35">
      <c r="A1024" t="s">
        <v>104</v>
      </c>
      <c r="B1024" t="s">
        <v>437</v>
      </c>
      <c r="C1024" t="s">
        <v>716</v>
      </c>
      <c r="D1024">
        <v>1.03E-2</v>
      </c>
      <c r="F1024" t="s">
        <v>1815</v>
      </c>
      <c r="H1024" t="s">
        <v>3192</v>
      </c>
      <c r="I1024" t="s">
        <v>1509</v>
      </c>
      <c r="K1024" t="s">
        <v>5037</v>
      </c>
      <c r="L1024" t="s">
        <v>5039</v>
      </c>
    </row>
    <row r="1025" spans="1:12" x14ac:dyDescent="0.35">
      <c r="A1025" t="s">
        <v>104</v>
      </c>
      <c r="B1025" t="s">
        <v>313</v>
      </c>
      <c r="C1025" t="s">
        <v>716</v>
      </c>
      <c r="D1025">
        <v>2.7E-2</v>
      </c>
      <c r="F1025" t="s">
        <v>1420</v>
      </c>
      <c r="H1025" t="s">
        <v>3193</v>
      </c>
      <c r="I1025" t="s">
        <v>1571</v>
      </c>
      <c r="K1025" t="s">
        <v>5037</v>
      </c>
      <c r="L1025" t="s">
        <v>5039</v>
      </c>
    </row>
    <row r="1026" spans="1:12" x14ac:dyDescent="0.35">
      <c r="A1026" t="s">
        <v>104</v>
      </c>
      <c r="B1026" t="s">
        <v>313</v>
      </c>
      <c r="C1026" t="s">
        <v>716</v>
      </c>
      <c r="D1026">
        <v>3.2000000000000001E-2</v>
      </c>
      <c r="F1026" t="s">
        <v>1314</v>
      </c>
      <c r="H1026" t="s">
        <v>3194</v>
      </c>
      <c r="I1026" t="s">
        <v>1571</v>
      </c>
      <c r="K1026" t="s">
        <v>5037</v>
      </c>
      <c r="L1026" t="s">
        <v>5039</v>
      </c>
    </row>
    <row r="1027" spans="1:12" x14ac:dyDescent="0.35">
      <c r="A1027" t="s">
        <v>104</v>
      </c>
      <c r="B1027" t="s">
        <v>313</v>
      </c>
      <c r="C1027" t="s">
        <v>750</v>
      </c>
      <c r="D1027">
        <v>2.2999999999999998</v>
      </c>
      <c r="F1027" t="s">
        <v>1453</v>
      </c>
      <c r="H1027" t="s">
        <v>2842</v>
      </c>
      <c r="I1027" t="s">
        <v>1571</v>
      </c>
      <c r="K1027" t="s">
        <v>5037</v>
      </c>
      <c r="L1027" t="s">
        <v>5039</v>
      </c>
    </row>
    <row r="1028" spans="1:12" x14ac:dyDescent="0.35">
      <c r="A1028" t="s">
        <v>104</v>
      </c>
      <c r="B1028" t="s">
        <v>313</v>
      </c>
      <c r="C1028" t="s">
        <v>162</v>
      </c>
      <c r="D1028">
        <v>5.0999999999999996</v>
      </c>
      <c r="F1028" t="s">
        <v>1710</v>
      </c>
      <c r="H1028" t="s">
        <v>3195</v>
      </c>
      <c r="I1028" t="s">
        <v>1571</v>
      </c>
      <c r="K1028" t="s">
        <v>5037</v>
      </c>
      <c r="L1028" t="s">
        <v>5039</v>
      </c>
    </row>
    <row r="1029" spans="1:12" x14ac:dyDescent="0.35">
      <c r="A1029" t="s">
        <v>104</v>
      </c>
      <c r="B1029" t="s">
        <v>313</v>
      </c>
      <c r="C1029" t="s">
        <v>162</v>
      </c>
      <c r="D1029">
        <v>7.6</v>
      </c>
      <c r="F1029" t="s">
        <v>1816</v>
      </c>
      <c r="H1029" t="s">
        <v>3196</v>
      </c>
      <c r="I1029" t="s">
        <v>1571</v>
      </c>
      <c r="K1029" t="s">
        <v>5037</v>
      </c>
      <c r="L1029" t="s">
        <v>5039</v>
      </c>
    </row>
    <row r="1030" spans="1:12" x14ac:dyDescent="0.35">
      <c r="A1030" t="s">
        <v>104</v>
      </c>
      <c r="B1030" t="s">
        <v>313</v>
      </c>
      <c r="C1030" t="s">
        <v>750</v>
      </c>
      <c r="D1030">
        <v>0.13</v>
      </c>
      <c r="F1030" t="s">
        <v>1466</v>
      </c>
      <c r="H1030" t="s">
        <v>2842</v>
      </c>
      <c r="I1030" t="s">
        <v>2393</v>
      </c>
      <c r="K1030" t="s">
        <v>5037</v>
      </c>
      <c r="L1030" t="s">
        <v>5039</v>
      </c>
    </row>
    <row r="1031" spans="1:12" x14ac:dyDescent="0.35">
      <c r="A1031" t="s">
        <v>104</v>
      </c>
      <c r="B1031" t="s">
        <v>438</v>
      </c>
      <c r="C1031" t="s">
        <v>751</v>
      </c>
      <c r="D1031">
        <v>7.2999999999999995E-2</v>
      </c>
      <c r="F1031" t="s">
        <v>1787</v>
      </c>
      <c r="I1031" t="s">
        <v>1335</v>
      </c>
      <c r="K1031" t="s">
        <v>5037</v>
      </c>
      <c r="L1031" t="s">
        <v>5039</v>
      </c>
    </row>
    <row r="1032" spans="1:12" x14ac:dyDescent="0.35">
      <c r="A1032" t="s">
        <v>104</v>
      </c>
      <c r="B1032" t="s">
        <v>438</v>
      </c>
      <c r="C1032" t="s">
        <v>716</v>
      </c>
      <c r="D1032">
        <v>4.5999999999999999E-3</v>
      </c>
      <c r="F1032" t="s">
        <v>1777</v>
      </c>
      <c r="H1032" t="s">
        <v>3197</v>
      </c>
      <c r="I1032" t="s">
        <v>1353</v>
      </c>
      <c r="K1032" t="s">
        <v>5037</v>
      </c>
      <c r="L1032" t="s">
        <v>5039</v>
      </c>
    </row>
    <row r="1033" spans="1:12" x14ac:dyDescent="0.35">
      <c r="A1033" t="s">
        <v>104</v>
      </c>
      <c r="B1033" t="s">
        <v>322</v>
      </c>
      <c r="C1033" t="s">
        <v>750</v>
      </c>
      <c r="D1033">
        <v>0.53</v>
      </c>
      <c r="F1033" t="s">
        <v>1817</v>
      </c>
      <c r="H1033" t="s">
        <v>2842</v>
      </c>
      <c r="I1033" t="s">
        <v>2051</v>
      </c>
      <c r="K1033" t="s">
        <v>5037</v>
      </c>
      <c r="L1033" t="s">
        <v>5039</v>
      </c>
    </row>
    <row r="1034" spans="1:12" x14ac:dyDescent="0.35">
      <c r="A1034" t="s">
        <v>104</v>
      </c>
      <c r="B1034" t="s">
        <v>439</v>
      </c>
      <c r="C1034" t="s">
        <v>716</v>
      </c>
      <c r="D1034">
        <v>0.157</v>
      </c>
      <c r="F1034" t="s">
        <v>1818</v>
      </c>
      <c r="H1034" t="s">
        <v>3198</v>
      </c>
      <c r="I1034" t="s">
        <v>2329</v>
      </c>
      <c r="K1034" t="s">
        <v>5037</v>
      </c>
      <c r="L1034" t="s">
        <v>5039</v>
      </c>
    </row>
    <row r="1035" spans="1:12" x14ac:dyDescent="0.35">
      <c r="A1035" t="s">
        <v>104</v>
      </c>
      <c r="B1035" t="s">
        <v>439</v>
      </c>
      <c r="C1035" t="s">
        <v>750</v>
      </c>
      <c r="D1035">
        <v>2.9</v>
      </c>
      <c r="F1035" t="s">
        <v>1576</v>
      </c>
      <c r="H1035" t="s">
        <v>2842</v>
      </c>
      <c r="I1035" t="s">
        <v>4883</v>
      </c>
      <c r="K1035" t="s">
        <v>5037</v>
      </c>
      <c r="L1035" t="s">
        <v>5039</v>
      </c>
    </row>
    <row r="1036" spans="1:12" x14ac:dyDescent="0.35">
      <c r="A1036" t="s">
        <v>104</v>
      </c>
      <c r="B1036" t="s">
        <v>440</v>
      </c>
      <c r="C1036" t="s">
        <v>716</v>
      </c>
      <c r="D1036">
        <v>1.0999999999999999E-2</v>
      </c>
      <c r="F1036" t="s">
        <v>1612</v>
      </c>
      <c r="H1036" t="s">
        <v>3199</v>
      </c>
      <c r="I1036" t="s">
        <v>4884</v>
      </c>
      <c r="K1036" t="s">
        <v>5037</v>
      </c>
      <c r="L1036" t="s">
        <v>5039</v>
      </c>
    </row>
    <row r="1037" spans="1:12" x14ac:dyDescent="0.35">
      <c r="A1037" t="s">
        <v>104</v>
      </c>
      <c r="B1037" t="s">
        <v>440</v>
      </c>
      <c r="C1037" t="s">
        <v>750</v>
      </c>
      <c r="D1037">
        <v>0.36</v>
      </c>
      <c r="F1037" t="s">
        <v>1398</v>
      </c>
      <c r="H1037" t="s">
        <v>2842</v>
      </c>
      <c r="I1037" t="s">
        <v>4884</v>
      </c>
      <c r="K1037" t="s">
        <v>5037</v>
      </c>
      <c r="L1037" t="s">
        <v>5039</v>
      </c>
    </row>
    <row r="1038" spans="1:12" x14ac:dyDescent="0.35">
      <c r="A1038" t="s">
        <v>104</v>
      </c>
      <c r="B1038" t="s">
        <v>441</v>
      </c>
      <c r="C1038" t="s">
        <v>750</v>
      </c>
      <c r="D1038">
        <v>0.65</v>
      </c>
      <c r="F1038" t="s">
        <v>1819</v>
      </c>
      <c r="H1038" t="s">
        <v>2842</v>
      </c>
      <c r="I1038" t="s">
        <v>4881</v>
      </c>
      <c r="K1038" t="s">
        <v>5037</v>
      </c>
      <c r="L1038" t="s">
        <v>5039</v>
      </c>
    </row>
    <row r="1039" spans="1:12" x14ac:dyDescent="0.35">
      <c r="A1039" t="s">
        <v>104</v>
      </c>
      <c r="B1039" t="s">
        <v>340</v>
      </c>
      <c r="C1039" t="s">
        <v>750</v>
      </c>
      <c r="D1039">
        <v>0.81</v>
      </c>
      <c r="F1039" t="s">
        <v>1820</v>
      </c>
      <c r="H1039" t="s">
        <v>2842</v>
      </c>
      <c r="I1039" t="s">
        <v>4884</v>
      </c>
      <c r="K1039" t="s">
        <v>5037</v>
      </c>
      <c r="L1039" t="s">
        <v>5039</v>
      </c>
    </row>
    <row r="1040" spans="1:12" x14ac:dyDescent="0.35">
      <c r="A1040" t="s">
        <v>104</v>
      </c>
      <c r="B1040" t="s">
        <v>340</v>
      </c>
      <c r="C1040" t="s">
        <v>716</v>
      </c>
      <c r="D1040">
        <v>3.5000000000000003E-2</v>
      </c>
      <c r="F1040" t="s">
        <v>1341</v>
      </c>
      <c r="H1040" t="s">
        <v>3200</v>
      </c>
      <c r="I1040" t="s">
        <v>4884</v>
      </c>
      <c r="K1040" t="s">
        <v>5037</v>
      </c>
      <c r="L1040" t="s">
        <v>5039</v>
      </c>
    </row>
    <row r="1041" spans="1:12" x14ac:dyDescent="0.35">
      <c r="A1041" t="s">
        <v>104</v>
      </c>
      <c r="B1041" t="s">
        <v>341</v>
      </c>
      <c r="C1041" t="s">
        <v>750</v>
      </c>
      <c r="D1041">
        <v>1.7999999999999999E-2</v>
      </c>
      <c r="F1041" t="s">
        <v>1611</v>
      </c>
      <c r="H1041" t="s">
        <v>2842</v>
      </c>
      <c r="I1041" t="s">
        <v>4859</v>
      </c>
      <c r="K1041" t="s">
        <v>5037</v>
      </c>
      <c r="L1041" t="s">
        <v>5039</v>
      </c>
    </row>
    <row r="1042" spans="1:12" x14ac:dyDescent="0.35">
      <c r="A1042" t="s">
        <v>104</v>
      </c>
      <c r="B1042" t="s">
        <v>341</v>
      </c>
      <c r="C1042" t="s">
        <v>750</v>
      </c>
      <c r="D1042">
        <v>6.5000000000000002E-2</v>
      </c>
      <c r="F1042" t="s">
        <v>1455</v>
      </c>
      <c r="H1042" t="s">
        <v>2842</v>
      </c>
      <c r="I1042" t="s">
        <v>4859</v>
      </c>
      <c r="K1042" t="s">
        <v>5037</v>
      </c>
      <c r="L1042" t="s">
        <v>5039</v>
      </c>
    </row>
    <row r="1043" spans="1:12" x14ac:dyDescent="0.35">
      <c r="A1043" t="s">
        <v>104</v>
      </c>
      <c r="B1043" t="s">
        <v>341</v>
      </c>
      <c r="C1043" t="s">
        <v>709</v>
      </c>
      <c r="D1043">
        <v>0.25</v>
      </c>
      <c r="F1043" t="s">
        <v>1403</v>
      </c>
      <c r="H1043" t="s">
        <v>3201</v>
      </c>
      <c r="I1043" t="s">
        <v>4859</v>
      </c>
      <c r="K1043" t="s">
        <v>5037</v>
      </c>
      <c r="L1043" t="s">
        <v>5039</v>
      </c>
    </row>
    <row r="1044" spans="1:12" x14ac:dyDescent="0.35">
      <c r="A1044" t="s">
        <v>104</v>
      </c>
      <c r="B1044" t="s">
        <v>341</v>
      </c>
      <c r="C1044" t="s">
        <v>750</v>
      </c>
      <c r="D1044">
        <v>7.0999999999999994E-2</v>
      </c>
      <c r="F1044" t="s">
        <v>1485</v>
      </c>
      <c r="H1044" t="s">
        <v>2842</v>
      </c>
      <c r="I1044" t="s">
        <v>4898</v>
      </c>
      <c r="K1044" t="s">
        <v>5037</v>
      </c>
      <c r="L1044" t="s">
        <v>5039</v>
      </c>
    </row>
    <row r="1045" spans="1:12" x14ac:dyDescent="0.35">
      <c r="A1045" t="s">
        <v>104</v>
      </c>
      <c r="B1045" t="s">
        <v>341</v>
      </c>
      <c r="C1045" t="s">
        <v>716</v>
      </c>
      <c r="D1045">
        <v>1.2500000000000001E-2</v>
      </c>
      <c r="F1045" t="s">
        <v>1262</v>
      </c>
      <c r="H1045" t="s">
        <v>3202</v>
      </c>
      <c r="I1045" t="s">
        <v>4898</v>
      </c>
      <c r="K1045" t="s">
        <v>5037</v>
      </c>
      <c r="L1045" t="s">
        <v>5039</v>
      </c>
    </row>
    <row r="1046" spans="1:12" x14ac:dyDescent="0.35">
      <c r="A1046" t="s">
        <v>104</v>
      </c>
      <c r="B1046" t="s">
        <v>442</v>
      </c>
      <c r="C1046" t="s">
        <v>716</v>
      </c>
      <c r="D1046">
        <v>4.5999999999999999E-2</v>
      </c>
      <c r="F1046" t="s">
        <v>1821</v>
      </c>
      <c r="I1046" t="s">
        <v>1454</v>
      </c>
      <c r="K1046" t="s">
        <v>5037</v>
      </c>
      <c r="L1046" t="s">
        <v>5039</v>
      </c>
    </row>
    <row r="1047" spans="1:12" x14ac:dyDescent="0.35">
      <c r="A1047" t="s">
        <v>104</v>
      </c>
      <c r="B1047" t="s">
        <v>442</v>
      </c>
      <c r="C1047" t="s">
        <v>751</v>
      </c>
      <c r="D1047">
        <v>2.1</v>
      </c>
      <c r="F1047" t="s">
        <v>1399</v>
      </c>
      <c r="I1047" t="s">
        <v>1454</v>
      </c>
      <c r="K1047" t="s">
        <v>5037</v>
      </c>
      <c r="L1047" t="s">
        <v>5039</v>
      </c>
    </row>
    <row r="1048" spans="1:12" x14ac:dyDescent="0.35">
      <c r="A1048" t="s">
        <v>104</v>
      </c>
      <c r="B1048" t="s">
        <v>443</v>
      </c>
      <c r="C1048" t="s">
        <v>751</v>
      </c>
      <c r="D1048">
        <v>0.35</v>
      </c>
      <c r="F1048" t="s">
        <v>1294</v>
      </c>
      <c r="I1048" t="s">
        <v>1526</v>
      </c>
      <c r="K1048" t="s">
        <v>5037</v>
      </c>
      <c r="L1048" t="s">
        <v>5039</v>
      </c>
    </row>
    <row r="1049" spans="1:12" x14ac:dyDescent="0.35">
      <c r="A1049" t="s">
        <v>104</v>
      </c>
      <c r="B1049" t="s">
        <v>443</v>
      </c>
      <c r="C1049" t="s">
        <v>716</v>
      </c>
      <c r="D1049">
        <v>9.9000000000000008E-3</v>
      </c>
      <c r="F1049" t="s">
        <v>1822</v>
      </c>
      <c r="I1049" t="s">
        <v>1526</v>
      </c>
      <c r="K1049" t="s">
        <v>5037</v>
      </c>
      <c r="L1049" t="s">
        <v>5039</v>
      </c>
    </row>
    <row r="1050" spans="1:12" x14ac:dyDescent="0.35">
      <c r="A1050" t="s">
        <v>104</v>
      </c>
      <c r="B1050" t="s">
        <v>357</v>
      </c>
      <c r="C1050" t="s">
        <v>751</v>
      </c>
      <c r="D1050">
        <v>2.6</v>
      </c>
      <c r="F1050" t="s">
        <v>1428</v>
      </c>
      <c r="H1050" t="s">
        <v>3157</v>
      </c>
      <c r="I1050" t="s">
        <v>1354</v>
      </c>
      <c r="K1050" t="s">
        <v>5037</v>
      </c>
      <c r="L1050" t="s">
        <v>5039</v>
      </c>
    </row>
    <row r="1051" spans="1:12" x14ac:dyDescent="0.35">
      <c r="A1051" t="s">
        <v>104</v>
      </c>
      <c r="B1051" t="s">
        <v>444</v>
      </c>
      <c r="C1051" t="s">
        <v>716</v>
      </c>
      <c r="D1051">
        <v>1.2E-2</v>
      </c>
      <c r="F1051" t="s">
        <v>1280</v>
      </c>
      <c r="I1051" t="s">
        <v>1526</v>
      </c>
      <c r="K1051" t="s">
        <v>5037</v>
      </c>
      <c r="L1051" t="s">
        <v>5039</v>
      </c>
    </row>
    <row r="1052" spans="1:12" x14ac:dyDescent="0.35">
      <c r="A1052" t="s">
        <v>104</v>
      </c>
      <c r="B1052" t="s">
        <v>444</v>
      </c>
      <c r="C1052" t="s">
        <v>751</v>
      </c>
      <c r="D1052">
        <v>0.46</v>
      </c>
      <c r="F1052" t="s">
        <v>1506</v>
      </c>
      <c r="I1052" t="s">
        <v>1526</v>
      </c>
      <c r="K1052" t="s">
        <v>5037</v>
      </c>
      <c r="L1052" t="s">
        <v>5039</v>
      </c>
    </row>
    <row r="1053" spans="1:12" x14ac:dyDescent="0.35">
      <c r="A1053" t="s">
        <v>104</v>
      </c>
      <c r="B1053" t="s">
        <v>445</v>
      </c>
      <c r="C1053" t="s">
        <v>750</v>
      </c>
      <c r="D1053">
        <v>0.05</v>
      </c>
      <c r="F1053" t="s">
        <v>1559</v>
      </c>
      <c r="H1053" t="s">
        <v>2842</v>
      </c>
      <c r="I1053" t="s">
        <v>2258</v>
      </c>
      <c r="K1053" t="s">
        <v>5037</v>
      </c>
      <c r="L1053" t="s">
        <v>5039</v>
      </c>
    </row>
    <row r="1054" spans="1:12" x14ac:dyDescent="0.35">
      <c r="A1054" t="s">
        <v>104</v>
      </c>
      <c r="B1054" t="s">
        <v>445</v>
      </c>
      <c r="C1054" t="s">
        <v>750</v>
      </c>
      <c r="D1054">
        <v>0.1</v>
      </c>
      <c r="F1054" t="s">
        <v>1309</v>
      </c>
      <c r="H1054" t="s">
        <v>2842</v>
      </c>
      <c r="I1054" t="s">
        <v>2258</v>
      </c>
      <c r="K1054" t="s">
        <v>5037</v>
      </c>
      <c r="L1054" t="s">
        <v>5039</v>
      </c>
    </row>
    <row r="1055" spans="1:12" x14ac:dyDescent="0.35">
      <c r="A1055" t="s">
        <v>104</v>
      </c>
      <c r="B1055" t="s">
        <v>445</v>
      </c>
      <c r="C1055" t="s">
        <v>716</v>
      </c>
      <c r="D1055">
        <v>1.7899999999999999E-3</v>
      </c>
      <c r="F1055" t="s">
        <v>1823</v>
      </c>
      <c r="H1055" t="s">
        <v>3203</v>
      </c>
      <c r="I1055" t="s">
        <v>2258</v>
      </c>
      <c r="K1055" t="s">
        <v>5037</v>
      </c>
      <c r="L1055" t="s">
        <v>5039</v>
      </c>
    </row>
    <row r="1056" spans="1:12" x14ac:dyDescent="0.35">
      <c r="A1056" t="s">
        <v>104</v>
      </c>
      <c r="B1056" t="s">
        <v>445</v>
      </c>
      <c r="C1056" t="s">
        <v>716</v>
      </c>
      <c r="D1056">
        <v>2.96E-3</v>
      </c>
      <c r="F1056" t="s">
        <v>1808</v>
      </c>
      <c r="H1056" t="s">
        <v>3204</v>
      </c>
      <c r="I1056" t="s">
        <v>2258</v>
      </c>
      <c r="K1056" t="s">
        <v>5037</v>
      </c>
      <c r="L1056" t="s">
        <v>5039</v>
      </c>
    </row>
    <row r="1057" spans="1:12" x14ac:dyDescent="0.35">
      <c r="A1057" t="s">
        <v>104</v>
      </c>
      <c r="B1057" t="s">
        <v>445</v>
      </c>
      <c r="C1057" t="s">
        <v>716</v>
      </c>
      <c r="D1057">
        <v>2.8300000000000001E-3</v>
      </c>
      <c r="F1057" t="s">
        <v>1824</v>
      </c>
      <c r="H1057" t="s">
        <v>3205</v>
      </c>
      <c r="I1057" t="s">
        <v>2258</v>
      </c>
      <c r="K1057" t="s">
        <v>5037</v>
      </c>
      <c r="L1057" t="s">
        <v>5039</v>
      </c>
    </row>
    <row r="1058" spans="1:12" x14ac:dyDescent="0.35">
      <c r="A1058" t="s">
        <v>104</v>
      </c>
      <c r="B1058" t="s">
        <v>445</v>
      </c>
      <c r="C1058" t="s">
        <v>716</v>
      </c>
      <c r="D1058">
        <v>2.0699999999999998E-3</v>
      </c>
      <c r="F1058" t="s">
        <v>1825</v>
      </c>
      <c r="H1058" t="s">
        <v>3206</v>
      </c>
      <c r="I1058" t="s">
        <v>2258</v>
      </c>
      <c r="K1058" t="s">
        <v>5037</v>
      </c>
      <c r="L1058" t="s">
        <v>5039</v>
      </c>
    </row>
    <row r="1059" spans="1:12" x14ac:dyDescent="0.35">
      <c r="A1059" t="s">
        <v>104</v>
      </c>
      <c r="B1059" t="s">
        <v>445</v>
      </c>
      <c r="C1059" t="s">
        <v>750</v>
      </c>
      <c r="D1059">
        <v>13.33</v>
      </c>
      <c r="F1059" t="s">
        <v>1826</v>
      </c>
      <c r="H1059" t="s">
        <v>2842</v>
      </c>
      <c r="I1059" t="s">
        <v>2258</v>
      </c>
      <c r="K1059" t="s">
        <v>5037</v>
      </c>
      <c r="L1059" t="s">
        <v>5039</v>
      </c>
    </row>
    <row r="1060" spans="1:12" x14ac:dyDescent="0.35">
      <c r="A1060" t="s">
        <v>104</v>
      </c>
      <c r="B1060" t="s">
        <v>445</v>
      </c>
      <c r="C1060" t="s">
        <v>716</v>
      </c>
      <c r="D1060">
        <v>1.8E-3</v>
      </c>
      <c r="F1060" t="s">
        <v>1288</v>
      </c>
      <c r="H1060" t="s">
        <v>3207</v>
      </c>
      <c r="I1060" t="s">
        <v>2258</v>
      </c>
      <c r="K1060" t="s">
        <v>5037</v>
      </c>
      <c r="L1060" t="s">
        <v>5039</v>
      </c>
    </row>
    <row r="1061" spans="1:12" x14ac:dyDescent="0.35">
      <c r="A1061" t="s">
        <v>104</v>
      </c>
      <c r="B1061" t="s">
        <v>446</v>
      </c>
      <c r="C1061" t="s">
        <v>750</v>
      </c>
      <c r="D1061">
        <v>0.44</v>
      </c>
      <c r="F1061" t="s">
        <v>1723</v>
      </c>
      <c r="H1061" t="s">
        <v>2842</v>
      </c>
      <c r="I1061" t="s">
        <v>4881</v>
      </c>
      <c r="K1061" t="s">
        <v>5037</v>
      </c>
      <c r="L1061" t="s">
        <v>5039</v>
      </c>
    </row>
    <row r="1062" spans="1:12" x14ac:dyDescent="0.35">
      <c r="A1062" t="s">
        <v>104</v>
      </c>
      <c r="B1062" t="s">
        <v>447</v>
      </c>
      <c r="C1062" t="s">
        <v>720</v>
      </c>
      <c r="D1062">
        <v>4.7E-2</v>
      </c>
      <c r="F1062" t="s">
        <v>1615</v>
      </c>
      <c r="H1062" t="s">
        <v>3208</v>
      </c>
      <c r="I1062" t="s">
        <v>4897</v>
      </c>
      <c r="K1062" t="s">
        <v>5037</v>
      </c>
      <c r="L1062" t="s">
        <v>5039</v>
      </c>
    </row>
    <row r="1063" spans="1:12" x14ac:dyDescent="0.35">
      <c r="A1063" t="s">
        <v>104</v>
      </c>
      <c r="B1063" t="s">
        <v>447</v>
      </c>
      <c r="C1063" t="s">
        <v>716</v>
      </c>
      <c r="D1063">
        <v>6.4000000000000001E-2</v>
      </c>
      <c r="F1063" t="s">
        <v>1827</v>
      </c>
      <c r="H1063" t="s">
        <v>3208</v>
      </c>
      <c r="I1063" t="s">
        <v>4897</v>
      </c>
      <c r="K1063" t="s">
        <v>5037</v>
      </c>
      <c r="L1063" t="s">
        <v>5039</v>
      </c>
    </row>
    <row r="1064" spans="1:12" x14ac:dyDescent="0.35">
      <c r="A1064" t="s">
        <v>104</v>
      </c>
      <c r="B1064" t="s">
        <v>447</v>
      </c>
      <c r="C1064" t="s">
        <v>162</v>
      </c>
      <c r="D1064">
        <v>6</v>
      </c>
      <c r="F1064" t="s">
        <v>1766</v>
      </c>
      <c r="H1064" t="s">
        <v>3208</v>
      </c>
      <c r="I1064" t="s">
        <v>4897</v>
      </c>
      <c r="K1064" t="s">
        <v>5037</v>
      </c>
      <c r="L1064" t="s">
        <v>5039</v>
      </c>
    </row>
    <row r="1065" spans="1:12" x14ac:dyDescent="0.35">
      <c r="A1065" t="s">
        <v>104</v>
      </c>
      <c r="B1065" t="s">
        <v>448</v>
      </c>
      <c r="C1065" t="s">
        <v>751</v>
      </c>
      <c r="D1065">
        <v>4.5</v>
      </c>
      <c r="F1065" t="s">
        <v>1828</v>
      </c>
      <c r="I1065" t="s">
        <v>1526</v>
      </c>
      <c r="K1065" t="s">
        <v>5037</v>
      </c>
      <c r="L1065" t="s">
        <v>5039</v>
      </c>
    </row>
    <row r="1066" spans="1:12" x14ac:dyDescent="0.35">
      <c r="A1066" t="s">
        <v>104</v>
      </c>
      <c r="B1066" t="s">
        <v>448</v>
      </c>
      <c r="C1066" t="s">
        <v>716</v>
      </c>
      <c r="D1066">
        <v>4.7199999999999999E-2</v>
      </c>
      <c r="F1066" t="s">
        <v>1829</v>
      </c>
      <c r="I1066" t="s">
        <v>1526</v>
      </c>
      <c r="K1066" t="s">
        <v>5037</v>
      </c>
      <c r="L1066" t="s">
        <v>5039</v>
      </c>
    </row>
    <row r="1067" spans="1:12" x14ac:dyDescent="0.35">
      <c r="A1067" t="s">
        <v>104</v>
      </c>
      <c r="B1067" t="s">
        <v>449</v>
      </c>
      <c r="C1067" t="s">
        <v>716</v>
      </c>
      <c r="D1067">
        <v>3.3999999999999998E-3</v>
      </c>
      <c r="F1067" t="s">
        <v>1830</v>
      </c>
      <c r="H1067" t="s">
        <v>3209</v>
      </c>
      <c r="I1067" t="s">
        <v>2253</v>
      </c>
      <c r="K1067" t="s">
        <v>5037</v>
      </c>
      <c r="L1067" t="s">
        <v>5039</v>
      </c>
    </row>
    <row r="1068" spans="1:12" x14ac:dyDescent="0.35">
      <c r="A1068" t="s">
        <v>104</v>
      </c>
      <c r="B1068" t="s">
        <v>450</v>
      </c>
      <c r="C1068" t="s">
        <v>751</v>
      </c>
      <c r="D1068">
        <v>1.08</v>
      </c>
      <c r="F1068" t="s">
        <v>1831</v>
      </c>
      <c r="H1068" t="s">
        <v>3210</v>
      </c>
      <c r="I1068" t="s">
        <v>1383</v>
      </c>
      <c r="K1068" t="s">
        <v>5037</v>
      </c>
      <c r="L1068" t="s">
        <v>5039</v>
      </c>
    </row>
    <row r="1069" spans="1:12" x14ac:dyDescent="0.35">
      <c r="A1069" t="s">
        <v>104</v>
      </c>
      <c r="B1069" t="s">
        <v>450</v>
      </c>
      <c r="C1069" t="s">
        <v>751</v>
      </c>
      <c r="D1069">
        <v>0.66600000000000004</v>
      </c>
      <c r="F1069" t="s">
        <v>1832</v>
      </c>
      <c r="H1069" t="s">
        <v>3211</v>
      </c>
      <c r="I1069" t="s">
        <v>1383</v>
      </c>
      <c r="K1069" t="s">
        <v>5037</v>
      </c>
      <c r="L1069" t="s">
        <v>5039</v>
      </c>
    </row>
    <row r="1070" spans="1:12" x14ac:dyDescent="0.35">
      <c r="A1070" t="s">
        <v>104</v>
      </c>
      <c r="B1070" t="s">
        <v>451</v>
      </c>
      <c r="C1070" t="s">
        <v>751</v>
      </c>
      <c r="D1070">
        <v>0.04</v>
      </c>
      <c r="F1070" t="s">
        <v>1334</v>
      </c>
      <c r="I1070" t="s">
        <v>1841</v>
      </c>
      <c r="K1070" t="s">
        <v>5037</v>
      </c>
      <c r="L1070" t="s">
        <v>5039</v>
      </c>
    </row>
    <row r="1071" spans="1:12" x14ac:dyDescent="0.35">
      <c r="A1071" t="s">
        <v>104</v>
      </c>
      <c r="B1071" t="s">
        <v>452</v>
      </c>
      <c r="C1071" t="s">
        <v>751</v>
      </c>
      <c r="D1071">
        <v>0.08</v>
      </c>
      <c r="F1071" t="s">
        <v>1402</v>
      </c>
      <c r="I1071" t="s">
        <v>1526</v>
      </c>
      <c r="K1071" t="s">
        <v>5037</v>
      </c>
      <c r="L1071" t="s">
        <v>5039</v>
      </c>
    </row>
    <row r="1072" spans="1:12" x14ac:dyDescent="0.35">
      <c r="A1072" t="s">
        <v>104</v>
      </c>
      <c r="B1072" t="s">
        <v>452</v>
      </c>
      <c r="C1072" t="s">
        <v>716</v>
      </c>
      <c r="D1072">
        <v>3.15E-3</v>
      </c>
      <c r="F1072" t="s">
        <v>1833</v>
      </c>
      <c r="I1072" t="s">
        <v>1526</v>
      </c>
      <c r="K1072" t="s">
        <v>5037</v>
      </c>
      <c r="L1072" t="s">
        <v>5039</v>
      </c>
    </row>
    <row r="1073" spans="1:12" x14ac:dyDescent="0.35">
      <c r="A1073" t="s">
        <v>104</v>
      </c>
      <c r="B1073" t="s">
        <v>353</v>
      </c>
      <c r="C1073" t="s">
        <v>750</v>
      </c>
      <c r="D1073">
        <v>3.41</v>
      </c>
      <c r="F1073" t="s">
        <v>1834</v>
      </c>
      <c r="H1073" t="s">
        <v>2842</v>
      </c>
      <c r="I1073" t="s">
        <v>1369</v>
      </c>
      <c r="K1073" t="s">
        <v>5037</v>
      </c>
      <c r="L1073" t="s">
        <v>5039</v>
      </c>
    </row>
    <row r="1074" spans="1:12" x14ac:dyDescent="0.35">
      <c r="A1074" t="s">
        <v>104</v>
      </c>
      <c r="B1074" t="s">
        <v>353</v>
      </c>
      <c r="C1074" t="s">
        <v>716</v>
      </c>
      <c r="D1074">
        <v>4.1500000000000002E-2</v>
      </c>
      <c r="F1074" t="s">
        <v>1835</v>
      </c>
      <c r="H1074" t="s">
        <v>3212</v>
      </c>
      <c r="I1074" t="s">
        <v>1369</v>
      </c>
      <c r="K1074" t="s">
        <v>5037</v>
      </c>
      <c r="L1074" t="s">
        <v>5039</v>
      </c>
    </row>
    <row r="1075" spans="1:12" x14ac:dyDescent="0.35">
      <c r="A1075" t="s">
        <v>104</v>
      </c>
      <c r="B1075" t="s">
        <v>453</v>
      </c>
      <c r="C1075" t="s">
        <v>716</v>
      </c>
      <c r="D1075">
        <v>0.38</v>
      </c>
      <c r="F1075" t="s">
        <v>1624</v>
      </c>
      <c r="H1075" t="s">
        <v>3213</v>
      </c>
      <c r="I1075" t="s">
        <v>4869</v>
      </c>
      <c r="K1075" t="s">
        <v>5037</v>
      </c>
      <c r="L1075" t="s">
        <v>5039</v>
      </c>
    </row>
    <row r="1076" spans="1:12" x14ac:dyDescent="0.35">
      <c r="A1076" t="s">
        <v>104</v>
      </c>
      <c r="B1076" t="s">
        <v>453</v>
      </c>
      <c r="C1076" t="s">
        <v>750</v>
      </c>
      <c r="D1076">
        <v>2.19</v>
      </c>
      <c r="F1076" t="s">
        <v>1836</v>
      </c>
      <c r="H1076" t="s">
        <v>2842</v>
      </c>
      <c r="I1076" t="s">
        <v>4869</v>
      </c>
      <c r="K1076" t="s">
        <v>5037</v>
      </c>
      <c r="L1076" t="s">
        <v>5039</v>
      </c>
    </row>
    <row r="1077" spans="1:12" x14ac:dyDescent="0.35">
      <c r="A1077" t="s">
        <v>104</v>
      </c>
      <c r="B1077" t="s">
        <v>454</v>
      </c>
      <c r="C1077" t="s">
        <v>716</v>
      </c>
      <c r="D1077">
        <v>0.1</v>
      </c>
      <c r="F1077" t="s">
        <v>1309</v>
      </c>
      <c r="H1077" t="s">
        <v>3214</v>
      </c>
      <c r="I1077" t="s">
        <v>4883</v>
      </c>
      <c r="K1077" t="s">
        <v>5037</v>
      </c>
      <c r="L1077" t="s">
        <v>5039</v>
      </c>
    </row>
    <row r="1078" spans="1:12" x14ac:dyDescent="0.35">
      <c r="A1078" t="s">
        <v>104</v>
      </c>
      <c r="B1078" t="s">
        <v>454</v>
      </c>
      <c r="C1078" t="s">
        <v>716</v>
      </c>
      <c r="D1078">
        <v>0.12</v>
      </c>
      <c r="F1078" t="s">
        <v>1473</v>
      </c>
      <c r="H1078" t="s">
        <v>3215</v>
      </c>
      <c r="I1078" t="s">
        <v>4883</v>
      </c>
      <c r="K1078" t="s">
        <v>5037</v>
      </c>
      <c r="L1078" t="s">
        <v>5039</v>
      </c>
    </row>
    <row r="1079" spans="1:12" x14ac:dyDescent="0.35">
      <c r="A1079" t="s">
        <v>104</v>
      </c>
      <c r="B1079" t="s">
        <v>454</v>
      </c>
      <c r="C1079" t="s">
        <v>750</v>
      </c>
      <c r="D1079">
        <v>1.5</v>
      </c>
      <c r="F1079" t="s">
        <v>1426</v>
      </c>
      <c r="H1079" t="s">
        <v>2842</v>
      </c>
      <c r="I1079" t="s">
        <v>4883</v>
      </c>
      <c r="K1079" t="s">
        <v>5037</v>
      </c>
      <c r="L1079" t="s">
        <v>5039</v>
      </c>
    </row>
    <row r="1080" spans="1:12" x14ac:dyDescent="0.35">
      <c r="A1080" t="s">
        <v>104</v>
      </c>
      <c r="B1080" t="s">
        <v>454</v>
      </c>
      <c r="C1080" t="s">
        <v>716</v>
      </c>
      <c r="D1080">
        <v>3.5999999999999997E-2</v>
      </c>
      <c r="F1080" t="s">
        <v>1837</v>
      </c>
      <c r="H1080" t="s">
        <v>3216</v>
      </c>
      <c r="I1080" t="s">
        <v>4883</v>
      </c>
      <c r="K1080" t="s">
        <v>5037</v>
      </c>
      <c r="L1080" t="s">
        <v>5039</v>
      </c>
    </row>
    <row r="1081" spans="1:12" x14ac:dyDescent="0.35">
      <c r="A1081" t="s">
        <v>104</v>
      </c>
      <c r="B1081" t="s">
        <v>454</v>
      </c>
      <c r="C1081" t="s">
        <v>716</v>
      </c>
      <c r="D1081">
        <v>7.4999999999999997E-2</v>
      </c>
      <c r="F1081" t="s">
        <v>1460</v>
      </c>
      <c r="H1081" t="s">
        <v>3217</v>
      </c>
      <c r="I1081" t="s">
        <v>4883</v>
      </c>
      <c r="K1081" t="s">
        <v>5037</v>
      </c>
      <c r="L1081" t="s">
        <v>5039</v>
      </c>
    </row>
    <row r="1082" spans="1:12" x14ac:dyDescent="0.35">
      <c r="A1082" t="s">
        <v>104</v>
      </c>
      <c r="B1082" t="s">
        <v>454</v>
      </c>
      <c r="C1082" t="s">
        <v>750</v>
      </c>
      <c r="D1082">
        <v>1.4</v>
      </c>
      <c r="F1082" t="s">
        <v>1469</v>
      </c>
      <c r="H1082" t="s">
        <v>2842</v>
      </c>
      <c r="I1082" t="s">
        <v>4883</v>
      </c>
      <c r="K1082" t="s">
        <v>5037</v>
      </c>
      <c r="L1082" t="s">
        <v>5039</v>
      </c>
    </row>
    <row r="1083" spans="1:12" x14ac:dyDescent="0.35">
      <c r="A1083" t="s">
        <v>104</v>
      </c>
      <c r="B1083" t="s">
        <v>455</v>
      </c>
      <c r="C1083" t="s">
        <v>751</v>
      </c>
      <c r="D1083">
        <v>1.1000000000000001</v>
      </c>
      <c r="F1083" t="s">
        <v>1505</v>
      </c>
      <c r="H1083" t="s">
        <v>3218</v>
      </c>
      <c r="I1083" t="s">
        <v>1584</v>
      </c>
      <c r="K1083" t="s">
        <v>5037</v>
      </c>
      <c r="L1083" t="s">
        <v>5039</v>
      </c>
    </row>
    <row r="1084" spans="1:12" x14ac:dyDescent="0.35">
      <c r="A1084" t="s">
        <v>104</v>
      </c>
      <c r="B1084" t="s">
        <v>175</v>
      </c>
      <c r="C1084" t="s">
        <v>751</v>
      </c>
      <c r="D1084">
        <v>0.6</v>
      </c>
      <c r="F1084" t="s">
        <v>1519</v>
      </c>
      <c r="H1084" t="s">
        <v>3219</v>
      </c>
      <c r="I1084" t="s">
        <v>1389</v>
      </c>
      <c r="K1084" t="s">
        <v>5037</v>
      </c>
      <c r="L1084" t="s">
        <v>5039</v>
      </c>
    </row>
    <row r="1085" spans="1:12" x14ac:dyDescent="0.35">
      <c r="A1085" t="s">
        <v>104</v>
      </c>
      <c r="B1085" t="s">
        <v>175</v>
      </c>
      <c r="C1085" t="s">
        <v>716</v>
      </c>
      <c r="D1085">
        <v>4.0000000000000001E-3</v>
      </c>
      <c r="F1085" t="s">
        <v>1838</v>
      </c>
      <c r="H1085" t="s">
        <v>3220</v>
      </c>
      <c r="I1085" t="s">
        <v>4871</v>
      </c>
      <c r="K1085" t="s">
        <v>5037</v>
      </c>
      <c r="L1085" t="s">
        <v>5039</v>
      </c>
    </row>
    <row r="1086" spans="1:12" x14ac:dyDescent="0.35">
      <c r="A1086" t="s">
        <v>104</v>
      </c>
      <c r="B1086" t="s">
        <v>175</v>
      </c>
      <c r="C1086" t="s">
        <v>720</v>
      </c>
      <c r="D1086">
        <v>2E-3</v>
      </c>
      <c r="F1086" t="s">
        <v>1286</v>
      </c>
      <c r="I1086" t="s">
        <v>1387</v>
      </c>
      <c r="K1086" t="s">
        <v>5037</v>
      </c>
      <c r="L1086" t="s">
        <v>5039</v>
      </c>
    </row>
    <row r="1087" spans="1:12" x14ac:dyDescent="0.35">
      <c r="A1087" t="s">
        <v>104</v>
      </c>
      <c r="B1087" t="s">
        <v>175</v>
      </c>
      <c r="C1087" t="s">
        <v>750</v>
      </c>
      <c r="D1087">
        <v>7</v>
      </c>
      <c r="F1087" t="s">
        <v>1335</v>
      </c>
      <c r="H1087" t="s">
        <v>2842</v>
      </c>
      <c r="I1087" t="s">
        <v>4885</v>
      </c>
      <c r="K1087" t="s">
        <v>5037</v>
      </c>
      <c r="L1087" t="s">
        <v>5039</v>
      </c>
    </row>
    <row r="1088" spans="1:12" x14ac:dyDescent="0.35">
      <c r="A1088" t="s">
        <v>104</v>
      </c>
      <c r="B1088" t="s">
        <v>175</v>
      </c>
      <c r="C1088" t="s">
        <v>716</v>
      </c>
      <c r="D1088">
        <v>5.0000000000000001E-3</v>
      </c>
      <c r="F1088" t="s">
        <v>1264</v>
      </c>
      <c r="H1088" t="s">
        <v>3221</v>
      </c>
      <c r="I1088" t="s">
        <v>4871</v>
      </c>
      <c r="K1088" t="s">
        <v>5037</v>
      </c>
      <c r="L1088" t="s">
        <v>5039</v>
      </c>
    </row>
    <row r="1089" spans="1:12" x14ac:dyDescent="0.35">
      <c r="A1089" t="s">
        <v>104</v>
      </c>
      <c r="B1089" t="s">
        <v>175</v>
      </c>
      <c r="C1089" t="s">
        <v>750</v>
      </c>
      <c r="D1089">
        <v>2</v>
      </c>
      <c r="F1089" t="s">
        <v>1372</v>
      </c>
      <c r="H1089" t="s">
        <v>2842</v>
      </c>
      <c r="I1089" t="s">
        <v>4885</v>
      </c>
      <c r="K1089" t="s">
        <v>5037</v>
      </c>
      <c r="L1089" t="s">
        <v>5039</v>
      </c>
    </row>
    <row r="1090" spans="1:12" x14ac:dyDescent="0.35">
      <c r="A1090" t="s">
        <v>104</v>
      </c>
      <c r="B1090" t="s">
        <v>175</v>
      </c>
      <c r="C1090" t="s">
        <v>716</v>
      </c>
      <c r="D1090">
        <v>8.9999999999999993E-3</v>
      </c>
      <c r="F1090" t="s">
        <v>1546</v>
      </c>
      <c r="H1090" t="s">
        <v>3222</v>
      </c>
      <c r="I1090" t="s">
        <v>4871</v>
      </c>
      <c r="K1090" t="s">
        <v>5037</v>
      </c>
      <c r="L1090" t="s">
        <v>5039</v>
      </c>
    </row>
    <row r="1091" spans="1:12" x14ac:dyDescent="0.35">
      <c r="A1091" t="s">
        <v>104</v>
      </c>
      <c r="B1091" t="s">
        <v>175</v>
      </c>
      <c r="C1091" t="s">
        <v>751</v>
      </c>
      <c r="D1091">
        <v>0.12</v>
      </c>
      <c r="F1091" t="s">
        <v>1473</v>
      </c>
      <c r="H1091" t="s">
        <v>3223</v>
      </c>
      <c r="I1091" t="s">
        <v>1449</v>
      </c>
      <c r="K1091" t="s">
        <v>5037</v>
      </c>
      <c r="L1091" t="s">
        <v>5039</v>
      </c>
    </row>
    <row r="1092" spans="1:12" x14ac:dyDescent="0.35">
      <c r="A1092" t="s">
        <v>104</v>
      </c>
      <c r="B1092" t="s">
        <v>175</v>
      </c>
      <c r="C1092" t="s">
        <v>709</v>
      </c>
      <c r="D1092">
        <v>0.9</v>
      </c>
      <c r="F1092" t="s">
        <v>1556</v>
      </c>
      <c r="H1092" t="s">
        <v>3224</v>
      </c>
      <c r="I1092" t="s">
        <v>4885</v>
      </c>
      <c r="K1092" t="s">
        <v>5037</v>
      </c>
      <c r="L1092" t="s">
        <v>5039</v>
      </c>
    </row>
    <row r="1093" spans="1:12" x14ac:dyDescent="0.35">
      <c r="A1093" t="s">
        <v>104</v>
      </c>
      <c r="B1093" t="s">
        <v>175</v>
      </c>
      <c r="C1093" t="s">
        <v>709</v>
      </c>
      <c r="D1093">
        <v>4.5999999999999996</v>
      </c>
      <c r="F1093" t="s">
        <v>1468</v>
      </c>
      <c r="I1093" t="s">
        <v>1449</v>
      </c>
      <c r="K1093" t="s">
        <v>5037</v>
      </c>
      <c r="L1093" t="s">
        <v>5039</v>
      </c>
    </row>
    <row r="1094" spans="1:12" x14ac:dyDescent="0.35">
      <c r="A1094" t="s">
        <v>104</v>
      </c>
      <c r="B1094" t="s">
        <v>175</v>
      </c>
      <c r="C1094" t="s">
        <v>750</v>
      </c>
      <c r="D1094">
        <v>8</v>
      </c>
      <c r="F1094" t="s">
        <v>1373</v>
      </c>
      <c r="H1094" t="s">
        <v>2842</v>
      </c>
      <c r="I1094" t="s">
        <v>4885</v>
      </c>
      <c r="K1094" t="s">
        <v>5037</v>
      </c>
      <c r="L1094" t="s">
        <v>5039</v>
      </c>
    </row>
    <row r="1095" spans="1:12" x14ac:dyDescent="0.35">
      <c r="A1095" t="s">
        <v>104</v>
      </c>
      <c r="B1095" t="s">
        <v>175</v>
      </c>
      <c r="C1095" t="s">
        <v>750</v>
      </c>
      <c r="D1095">
        <v>24</v>
      </c>
      <c r="F1095" t="s">
        <v>1839</v>
      </c>
      <c r="H1095" t="s">
        <v>2842</v>
      </c>
      <c r="I1095" t="s">
        <v>4885</v>
      </c>
      <c r="K1095" t="s">
        <v>5037</v>
      </c>
      <c r="L1095" t="s">
        <v>5039</v>
      </c>
    </row>
    <row r="1096" spans="1:12" x14ac:dyDescent="0.35">
      <c r="A1096" t="s">
        <v>104</v>
      </c>
      <c r="B1096" t="s">
        <v>175</v>
      </c>
      <c r="C1096" t="s">
        <v>716</v>
      </c>
      <c r="D1096">
        <v>2.5999999999999999E-3</v>
      </c>
      <c r="F1096" t="s">
        <v>1592</v>
      </c>
      <c r="H1096" t="s">
        <v>3225</v>
      </c>
      <c r="I1096" t="s">
        <v>4872</v>
      </c>
      <c r="K1096" t="s">
        <v>5037</v>
      </c>
      <c r="L1096" t="s">
        <v>5039</v>
      </c>
    </row>
    <row r="1097" spans="1:12" x14ac:dyDescent="0.35">
      <c r="A1097" t="s">
        <v>104</v>
      </c>
      <c r="B1097" t="s">
        <v>175</v>
      </c>
      <c r="C1097" t="s">
        <v>716</v>
      </c>
      <c r="D1097">
        <v>0.14000000000000001</v>
      </c>
      <c r="F1097" t="s">
        <v>1361</v>
      </c>
      <c r="H1097" t="s">
        <v>3226</v>
      </c>
      <c r="I1097" t="s">
        <v>4885</v>
      </c>
      <c r="K1097" t="s">
        <v>5037</v>
      </c>
      <c r="L1097" t="s">
        <v>5039</v>
      </c>
    </row>
    <row r="1098" spans="1:12" x14ac:dyDescent="0.35">
      <c r="A1098" t="s">
        <v>104</v>
      </c>
      <c r="B1098" t="s">
        <v>175</v>
      </c>
      <c r="C1098" t="s">
        <v>709</v>
      </c>
      <c r="D1098">
        <v>7.1</v>
      </c>
      <c r="F1098" t="s">
        <v>1532</v>
      </c>
      <c r="H1098" t="s">
        <v>3227</v>
      </c>
      <c r="I1098" t="s">
        <v>4885</v>
      </c>
      <c r="K1098" t="s">
        <v>5037</v>
      </c>
      <c r="L1098" t="s">
        <v>5039</v>
      </c>
    </row>
    <row r="1099" spans="1:12" x14ac:dyDescent="0.35">
      <c r="A1099" t="s">
        <v>104</v>
      </c>
      <c r="B1099" t="s">
        <v>175</v>
      </c>
      <c r="C1099" t="s">
        <v>709</v>
      </c>
      <c r="D1099">
        <v>20</v>
      </c>
      <c r="F1099" t="s">
        <v>1458</v>
      </c>
      <c r="H1099" t="s">
        <v>3228</v>
      </c>
      <c r="I1099" t="s">
        <v>4885</v>
      </c>
      <c r="K1099" t="s">
        <v>5037</v>
      </c>
      <c r="L1099" t="s">
        <v>5039</v>
      </c>
    </row>
    <row r="1100" spans="1:12" x14ac:dyDescent="0.35">
      <c r="A1100" t="s">
        <v>104</v>
      </c>
      <c r="B1100" t="s">
        <v>175</v>
      </c>
      <c r="C1100" t="s">
        <v>750</v>
      </c>
      <c r="D1100">
        <v>1.8</v>
      </c>
      <c r="F1100" t="s">
        <v>1375</v>
      </c>
      <c r="H1100" t="s">
        <v>2842</v>
      </c>
      <c r="I1100" t="s">
        <v>4885</v>
      </c>
      <c r="K1100" t="s">
        <v>5037</v>
      </c>
      <c r="L1100" t="s">
        <v>5039</v>
      </c>
    </row>
    <row r="1101" spans="1:12" x14ac:dyDescent="0.35">
      <c r="A1101" t="s">
        <v>104</v>
      </c>
      <c r="B1101" t="s">
        <v>175</v>
      </c>
      <c r="C1101" t="s">
        <v>709</v>
      </c>
      <c r="D1101">
        <v>10</v>
      </c>
      <c r="F1101" t="s">
        <v>1533</v>
      </c>
      <c r="H1101" t="s">
        <v>3229</v>
      </c>
      <c r="I1101" t="s">
        <v>4885</v>
      </c>
      <c r="K1101" t="s">
        <v>5037</v>
      </c>
      <c r="L1101" t="s">
        <v>5039</v>
      </c>
    </row>
    <row r="1102" spans="1:12" x14ac:dyDescent="0.35">
      <c r="A1102" t="s">
        <v>104</v>
      </c>
      <c r="B1102" t="s">
        <v>175</v>
      </c>
      <c r="C1102" t="s">
        <v>750</v>
      </c>
      <c r="D1102">
        <v>10</v>
      </c>
      <c r="F1102" t="s">
        <v>1533</v>
      </c>
      <c r="H1102" t="s">
        <v>2842</v>
      </c>
      <c r="I1102" t="s">
        <v>4885</v>
      </c>
      <c r="K1102" t="s">
        <v>5037</v>
      </c>
      <c r="L1102" t="s">
        <v>5039</v>
      </c>
    </row>
    <row r="1103" spans="1:12" x14ac:dyDescent="0.35">
      <c r="A1103" t="s">
        <v>104</v>
      </c>
      <c r="B1103" t="s">
        <v>175</v>
      </c>
      <c r="C1103" t="s">
        <v>716</v>
      </c>
      <c r="D1103">
        <v>4.1999999999999997E-3</v>
      </c>
      <c r="F1103" t="s">
        <v>1291</v>
      </c>
      <c r="H1103" t="s">
        <v>3230</v>
      </c>
      <c r="I1103" t="s">
        <v>4871</v>
      </c>
      <c r="K1103" t="s">
        <v>5037</v>
      </c>
      <c r="L1103" t="s">
        <v>5039</v>
      </c>
    </row>
    <row r="1104" spans="1:12" x14ac:dyDescent="0.35">
      <c r="A1104" t="s">
        <v>104</v>
      </c>
      <c r="B1104" t="s">
        <v>175</v>
      </c>
      <c r="C1104" t="s">
        <v>709</v>
      </c>
      <c r="D1104">
        <v>1.5</v>
      </c>
      <c r="F1104" t="s">
        <v>1426</v>
      </c>
      <c r="H1104" t="s">
        <v>3231</v>
      </c>
      <c r="I1104" t="s">
        <v>4885</v>
      </c>
      <c r="K1104" t="s">
        <v>5037</v>
      </c>
      <c r="L1104" t="s">
        <v>5039</v>
      </c>
    </row>
    <row r="1105" spans="1:12" x14ac:dyDescent="0.35">
      <c r="A1105" t="s">
        <v>104</v>
      </c>
      <c r="B1105" t="s">
        <v>175</v>
      </c>
      <c r="C1105" t="s">
        <v>716</v>
      </c>
      <c r="D1105">
        <v>3</v>
      </c>
      <c r="F1105" t="s">
        <v>1368</v>
      </c>
      <c r="H1105" t="s">
        <v>3232</v>
      </c>
      <c r="I1105" t="s">
        <v>4885</v>
      </c>
      <c r="K1105" t="s">
        <v>5037</v>
      </c>
      <c r="L1105" t="s">
        <v>5039</v>
      </c>
    </row>
    <row r="1106" spans="1:12" x14ac:dyDescent="0.35">
      <c r="A1106" t="s">
        <v>104</v>
      </c>
      <c r="B1106" t="s">
        <v>175</v>
      </c>
      <c r="C1106" t="s">
        <v>750</v>
      </c>
      <c r="D1106">
        <v>0.84</v>
      </c>
      <c r="F1106" t="s">
        <v>1673</v>
      </c>
      <c r="H1106" t="s">
        <v>2842</v>
      </c>
      <c r="I1106" t="s">
        <v>4871</v>
      </c>
      <c r="K1106" t="s">
        <v>5037</v>
      </c>
      <c r="L1106" t="s">
        <v>5039</v>
      </c>
    </row>
    <row r="1107" spans="1:12" x14ac:dyDescent="0.35">
      <c r="A1107" t="s">
        <v>104</v>
      </c>
      <c r="B1107" t="s">
        <v>175</v>
      </c>
      <c r="C1107" t="s">
        <v>750</v>
      </c>
      <c r="D1107">
        <v>0.89</v>
      </c>
      <c r="F1107" t="s">
        <v>1840</v>
      </c>
      <c r="H1107" t="s">
        <v>2842</v>
      </c>
      <c r="I1107" t="s">
        <v>4871</v>
      </c>
      <c r="K1107" t="s">
        <v>5037</v>
      </c>
      <c r="L1107" t="s">
        <v>5039</v>
      </c>
    </row>
    <row r="1108" spans="1:12" x14ac:dyDescent="0.35">
      <c r="A1108" t="s">
        <v>104</v>
      </c>
      <c r="B1108" t="s">
        <v>175</v>
      </c>
      <c r="C1108" t="s">
        <v>750</v>
      </c>
      <c r="D1108">
        <v>4</v>
      </c>
      <c r="F1108" t="s">
        <v>1379</v>
      </c>
      <c r="H1108" t="s">
        <v>2842</v>
      </c>
      <c r="I1108" t="s">
        <v>4885</v>
      </c>
      <c r="K1108" t="s">
        <v>5037</v>
      </c>
      <c r="L1108" t="s">
        <v>5039</v>
      </c>
    </row>
    <row r="1109" spans="1:12" x14ac:dyDescent="0.35">
      <c r="A1109" t="s">
        <v>104</v>
      </c>
      <c r="B1109" t="s">
        <v>175</v>
      </c>
      <c r="C1109" t="s">
        <v>162</v>
      </c>
      <c r="D1109">
        <v>5.8</v>
      </c>
      <c r="F1109" t="s">
        <v>1733</v>
      </c>
      <c r="H1109" t="s">
        <v>3233</v>
      </c>
      <c r="I1109" t="s">
        <v>2334</v>
      </c>
      <c r="K1109" t="s">
        <v>5037</v>
      </c>
      <c r="L1109" t="s">
        <v>5039</v>
      </c>
    </row>
    <row r="1110" spans="1:12" x14ac:dyDescent="0.35">
      <c r="A1110" t="s">
        <v>104</v>
      </c>
      <c r="B1110" t="s">
        <v>175</v>
      </c>
      <c r="C1110" t="s">
        <v>716</v>
      </c>
      <c r="D1110">
        <v>3.7000000000000002E-3</v>
      </c>
      <c r="F1110" t="s">
        <v>1292</v>
      </c>
      <c r="H1110" t="s">
        <v>3234</v>
      </c>
      <c r="I1110" t="s">
        <v>4871</v>
      </c>
      <c r="K1110" t="s">
        <v>5037</v>
      </c>
      <c r="L1110" t="s">
        <v>5039</v>
      </c>
    </row>
    <row r="1111" spans="1:12" x14ac:dyDescent="0.35">
      <c r="A1111" t="s">
        <v>104</v>
      </c>
      <c r="B1111" t="s">
        <v>175</v>
      </c>
      <c r="C1111" t="s">
        <v>716</v>
      </c>
      <c r="D1111">
        <v>12</v>
      </c>
      <c r="F1111" t="s">
        <v>1450</v>
      </c>
      <c r="H1111" t="s">
        <v>3228</v>
      </c>
      <c r="I1111" t="s">
        <v>4885</v>
      </c>
      <c r="K1111" t="s">
        <v>5037</v>
      </c>
      <c r="L1111" t="s">
        <v>5039</v>
      </c>
    </row>
    <row r="1112" spans="1:12" x14ac:dyDescent="0.35">
      <c r="A1112" t="s">
        <v>104</v>
      </c>
      <c r="B1112" t="s">
        <v>175</v>
      </c>
      <c r="C1112" t="s">
        <v>750</v>
      </c>
      <c r="D1112">
        <v>3.7</v>
      </c>
      <c r="F1112" t="s">
        <v>1380</v>
      </c>
      <c r="H1112" t="s">
        <v>2842</v>
      </c>
      <c r="I1112" t="s">
        <v>4885</v>
      </c>
      <c r="K1112" t="s">
        <v>5037</v>
      </c>
      <c r="L1112" t="s">
        <v>5039</v>
      </c>
    </row>
    <row r="1113" spans="1:12" x14ac:dyDescent="0.35">
      <c r="A1113" t="s">
        <v>104</v>
      </c>
      <c r="B1113" t="s">
        <v>175</v>
      </c>
      <c r="C1113" t="s">
        <v>716</v>
      </c>
      <c r="D1113">
        <v>0.36</v>
      </c>
      <c r="F1113" t="s">
        <v>1398</v>
      </c>
      <c r="H1113" t="s">
        <v>3235</v>
      </c>
      <c r="I1113" t="s">
        <v>4885</v>
      </c>
      <c r="K1113" t="s">
        <v>5037</v>
      </c>
      <c r="L1113" t="s">
        <v>5039</v>
      </c>
    </row>
    <row r="1114" spans="1:12" x14ac:dyDescent="0.35">
      <c r="A1114" t="s">
        <v>104</v>
      </c>
      <c r="B1114" t="s">
        <v>175</v>
      </c>
      <c r="C1114" t="s">
        <v>709</v>
      </c>
      <c r="D1114">
        <v>17</v>
      </c>
      <c r="F1114" t="s">
        <v>1383</v>
      </c>
      <c r="H1114" t="s">
        <v>3236</v>
      </c>
      <c r="I1114" t="s">
        <v>4885</v>
      </c>
      <c r="K1114" t="s">
        <v>5037</v>
      </c>
      <c r="L1114" t="s">
        <v>5039</v>
      </c>
    </row>
    <row r="1115" spans="1:12" x14ac:dyDescent="0.35">
      <c r="A1115" t="s">
        <v>104</v>
      </c>
      <c r="B1115" t="s">
        <v>175</v>
      </c>
      <c r="C1115" t="s">
        <v>716</v>
      </c>
      <c r="D1115">
        <v>17</v>
      </c>
      <c r="F1115" t="s">
        <v>1383</v>
      </c>
      <c r="H1115" t="s">
        <v>3229</v>
      </c>
      <c r="I1115" t="s">
        <v>4885</v>
      </c>
      <c r="K1115" t="s">
        <v>5037</v>
      </c>
      <c r="L1115" t="s">
        <v>5039</v>
      </c>
    </row>
    <row r="1116" spans="1:12" x14ac:dyDescent="0.35">
      <c r="A1116" t="s">
        <v>104</v>
      </c>
      <c r="B1116" t="s">
        <v>175</v>
      </c>
      <c r="C1116" t="s">
        <v>162</v>
      </c>
      <c r="D1116">
        <v>4.8</v>
      </c>
      <c r="F1116" t="s">
        <v>1567</v>
      </c>
      <c r="I1116" t="s">
        <v>1387</v>
      </c>
      <c r="K1116" t="s">
        <v>5037</v>
      </c>
      <c r="L1116" t="s">
        <v>5039</v>
      </c>
    </row>
    <row r="1117" spans="1:12" x14ac:dyDescent="0.35">
      <c r="A1117" t="s">
        <v>104</v>
      </c>
      <c r="B1117" t="s">
        <v>175</v>
      </c>
      <c r="C1117" t="s">
        <v>709</v>
      </c>
      <c r="D1117">
        <v>11</v>
      </c>
      <c r="F1117" t="s">
        <v>1841</v>
      </c>
      <c r="H1117" t="s">
        <v>3237</v>
      </c>
      <c r="I1117" t="s">
        <v>4885</v>
      </c>
      <c r="K1117" t="s">
        <v>5037</v>
      </c>
      <c r="L1117" t="s">
        <v>5039</v>
      </c>
    </row>
    <row r="1118" spans="1:12" x14ac:dyDescent="0.35">
      <c r="A1118" t="s">
        <v>104</v>
      </c>
      <c r="B1118" t="s">
        <v>175</v>
      </c>
      <c r="C1118" t="s">
        <v>750</v>
      </c>
      <c r="D1118">
        <v>11</v>
      </c>
      <c r="F1118" t="s">
        <v>1841</v>
      </c>
      <c r="H1118" t="s">
        <v>2842</v>
      </c>
      <c r="I1118" t="s">
        <v>4885</v>
      </c>
      <c r="K1118" t="s">
        <v>5037</v>
      </c>
      <c r="L1118" t="s">
        <v>5039</v>
      </c>
    </row>
    <row r="1119" spans="1:12" x14ac:dyDescent="0.35">
      <c r="A1119" t="s">
        <v>104</v>
      </c>
      <c r="B1119" t="s">
        <v>175</v>
      </c>
      <c r="C1119" t="s">
        <v>750</v>
      </c>
      <c r="D1119">
        <v>0.97</v>
      </c>
      <c r="F1119" t="s">
        <v>1719</v>
      </c>
      <c r="H1119" t="s">
        <v>2842</v>
      </c>
      <c r="I1119" t="s">
        <v>4871</v>
      </c>
      <c r="K1119" t="s">
        <v>5037</v>
      </c>
      <c r="L1119" t="s">
        <v>5039</v>
      </c>
    </row>
    <row r="1120" spans="1:12" x14ac:dyDescent="0.35">
      <c r="A1120" t="s">
        <v>104</v>
      </c>
      <c r="B1120" t="s">
        <v>175</v>
      </c>
      <c r="C1120" t="s">
        <v>709</v>
      </c>
      <c r="D1120">
        <v>1.6</v>
      </c>
      <c r="F1120" t="s">
        <v>1328</v>
      </c>
      <c r="H1120" t="s">
        <v>3238</v>
      </c>
      <c r="I1120" t="s">
        <v>4885</v>
      </c>
      <c r="K1120" t="s">
        <v>5037</v>
      </c>
      <c r="L1120" t="s">
        <v>5039</v>
      </c>
    </row>
    <row r="1121" spans="1:12" x14ac:dyDescent="0.35">
      <c r="A1121" t="s">
        <v>104</v>
      </c>
      <c r="B1121" t="s">
        <v>175</v>
      </c>
      <c r="C1121" t="s">
        <v>720</v>
      </c>
      <c r="D1121">
        <v>5.3E-3</v>
      </c>
      <c r="F1121" t="s">
        <v>1842</v>
      </c>
      <c r="I1121" t="s">
        <v>1449</v>
      </c>
      <c r="K1121" t="s">
        <v>5037</v>
      </c>
      <c r="L1121" t="s">
        <v>5039</v>
      </c>
    </row>
    <row r="1122" spans="1:12" x14ac:dyDescent="0.35">
      <c r="A1122" t="s">
        <v>104</v>
      </c>
      <c r="B1122" t="s">
        <v>175</v>
      </c>
      <c r="C1122" t="s">
        <v>709</v>
      </c>
      <c r="D1122">
        <v>5</v>
      </c>
      <c r="F1122" t="s">
        <v>1477</v>
      </c>
      <c r="H1122" t="s">
        <v>3239</v>
      </c>
      <c r="I1122" t="s">
        <v>4885</v>
      </c>
      <c r="K1122" t="s">
        <v>5037</v>
      </c>
      <c r="L1122" t="s">
        <v>5039</v>
      </c>
    </row>
    <row r="1123" spans="1:12" x14ac:dyDescent="0.35">
      <c r="A1123" t="s">
        <v>104</v>
      </c>
      <c r="B1123" t="s">
        <v>175</v>
      </c>
      <c r="C1123" t="s">
        <v>716</v>
      </c>
      <c r="D1123">
        <v>5</v>
      </c>
      <c r="F1123" t="s">
        <v>1477</v>
      </c>
      <c r="H1123" t="s">
        <v>3231</v>
      </c>
      <c r="I1123" t="s">
        <v>4885</v>
      </c>
      <c r="K1123" t="s">
        <v>5037</v>
      </c>
      <c r="L1123" t="s">
        <v>5039</v>
      </c>
    </row>
    <row r="1124" spans="1:12" x14ac:dyDescent="0.35">
      <c r="A1124" t="s">
        <v>104</v>
      </c>
      <c r="B1124" t="s">
        <v>175</v>
      </c>
      <c r="C1124" t="s">
        <v>750</v>
      </c>
      <c r="D1124">
        <v>5</v>
      </c>
      <c r="F1124" t="s">
        <v>1477</v>
      </c>
      <c r="H1124" t="s">
        <v>2842</v>
      </c>
      <c r="I1124" t="s">
        <v>4885</v>
      </c>
      <c r="K1124" t="s">
        <v>5037</v>
      </c>
      <c r="L1124" t="s">
        <v>5039</v>
      </c>
    </row>
    <row r="1125" spans="1:12" x14ac:dyDescent="0.35">
      <c r="A1125" t="s">
        <v>104</v>
      </c>
      <c r="B1125" t="s">
        <v>175</v>
      </c>
      <c r="C1125" t="s">
        <v>716</v>
      </c>
      <c r="D1125">
        <v>1.39E-3</v>
      </c>
      <c r="F1125" t="s">
        <v>1843</v>
      </c>
      <c r="I1125" t="s">
        <v>1387</v>
      </c>
      <c r="K1125" t="s">
        <v>5037</v>
      </c>
      <c r="L1125" t="s">
        <v>5039</v>
      </c>
    </row>
    <row r="1126" spans="1:12" x14ac:dyDescent="0.35">
      <c r="A1126" t="s">
        <v>104</v>
      </c>
      <c r="B1126" t="s">
        <v>175</v>
      </c>
      <c r="C1126" t="s">
        <v>716</v>
      </c>
      <c r="D1126">
        <v>7.1999999999999998E-3</v>
      </c>
      <c r="F1126" t="s">
        <v>1844</v>
      </c>
      <c r="H1126" t="s">
        <v>3240</v>
      </c>
      <c r="I1126" t="s">
        <v>4871</v>
      </c>
      <c r="K1126" t="s">
        <v>5037</v>
      </c>
      <c r="L1126" t="s">
        <v>5039</v>
      </c>
    </row>
    <row r="1127" spans="1:12" x14ac:dyDescent="0.35">
      <c r="A1127" t="s">
        <v>104</v>
      </c>
      <c r="B1127" t="s">
        <v>175</v>
      </c>
      <c r="C1127" t="s">
        <v>709</v>
      </c>
      <c r="D1127">
        <v>14</v>
      </c>
      <c r="F1127" t="s">
        <v>1467</v>
      </c>
      <c r="H1127" t="s">
        <v>3241</v>
      </c>
      <c r="I1127" t="s">
        <v>4885</v>
      </c>
      <c r="K1127" t="s">
        <v>5037</v>
      </c>
      <c r="L1127" t="s">
        <v>5039</v>
      </c>
    </row>
    <row r="1128" spans="1:12" x14ac:dyDescent="0.35">
      <c r="A1128" t="s">
        <v>104</v>
      </c>
      <c r="B1128" t="s">
        <v>175</v>
      </c>
      <c r="C1128" t="s">
        <v>716</v>
      </c>
      <c r="D1128">
        <v>3.8999999999999998E-3</v>
      </c>
      <c r="F1128" t="s">
        <v>1845</v>
      </c>
      <c r="H1128" t="s">
        <v>3242</v>
      </c>
      <c r="I1128" t="s">
        <v>4871</v>
      </c>
      <c r="K1128" t="s">
        <v>5037</v>
      </c>
      <c r="L1128" t="s">
        <v>5039</v>
      </c>
    </row>
    <row r="1129" spans="1:12" x14ac:dyDescent="0.35">
      <c r="A1129" t="s">
        <v>104</v>
      </c>
      <c r="B1129" t="s">
        <v>175</v>
      </c>
      <c r="C1129" t="s">
        <v>716</v>
      </c>
      <c r="D1129">
        <v>4.7999999999999996E-3</v>
      </c>
      <c r="F1129" t="s">
        <v>1846</v>
      </c>
      <c r="H1129" t="s">
        <v>3243</v>
      </c>
      <c r="I1129" t="s">
        <v>4871</v>
      </c>
      <c r="K1129" t="s">
        <v>5037</v>
      </c>
      <c r="L1129" t="s">
        <v>5039</v>
      </c>
    </row>
    <row r="1130" spans="1:12" x14ac:dyDescent="0.35">
      <c r="A1130" t="s">
        <v>104</v>
      </c>
      <c r="B1130" t="s">
        <v>175</v>
      </c>
      <c r="C1130" t="s">
        <v>750</v>
      </c>
      <c r="D1130">
        <v>5.6</v>
      </c>
      <c r="F1130" t="s">
        <v>1847</v>
      </c>
      <c r="H1130" t="s">
        <v>2842</v>
      </c>
      <c r="I1130" t="s">
        <v>4885</v>
      </c>
      <c r="K1130" t="s">
        <v>5037</v>
      </c>
      <c r="L1130" t="s">
        <v>5039</v>
      </c>
    </row>
    <row r="1131" spans="1:12" x14ac:dyDescent="0.35">
      <c r="A1131" t="s">
        <v>104</v>
      </c>
      <c r="B1131" t="s">
        <v>175</v>
      </c>
      <c r="C1131" t="s">
        <v>750</v>
      </c>
      <c r="D1131">
        <v>0.24</v>
      </c>
      <c r="F1131" t="s">
        <v>1488</v>
      </c>
      <c r="H1131" t="s">
        <v>2842</v>
      </c>
      <c r="I1131" t="s">
        <v>2334</v>
      </c>
      <c r="K1131" t="s">
        <v>5037</v>
      </c>
      <c r="L1131" t="s">
        <v>5039</v>
      </c>
    </row>
    <row r="1132" spans="1:12" x14ac:dyDescent="0.35">
      <c r="A1132" t="s">
        <v>104</v>
      </c>
      <c r="B1132" t="s">
        <v>175</v>
      </c>
      <c r="C1132" t="s">
        <v>716</v>
      </c>
      <c r="D1132">
        <v>0.76</v>
      </c>
      <c r="F1132" t="s">
        <v>1750</v>
      </c>
      <c r="H1132" t="s">
        <v>3244</v>
      </c>
      <c r="I1132" t="s">
        <v>4885</v>
      </c>
      <c r="K1132" t="s">
        <v>5037</v>
      </c>
      <c r="L1132" t="s">
        <v>5039</v>
      </c>
    </row>
    <row r="1133" spans="1:12" x14ac:dyDescent="0.35">
      <c r="A1133" t="s">
        <v>104</v>
      </c>
      <c r="B1133" t="s">
        <v>175</v>
      </c>
      <c r="C1133" t="s">
        <v>716</v>
      </c>
      <c r="D1133">
        <v>6</v>
      </c>
      <c r="F1133" t="s">
        <v>1766</v>
      </c>
      <c r="H1133" t="s">
        <v>3245</v>
      </c>
      <c r="I1133" t="s">
        <v>4885</v>
      </c>
      <c r="K1133" t="s">
        <v>5037</v>
      </c>
      <c r="L1133" t="s">
        <v>5039</v>
      </c>
    </row>
    <row r="1134" spans="1:12" x14ac:dyDescent="0.35">
      <c r="A1134" t="s">
        <v>104</v>
      </c>
      <c r="B1134" t="s">
        <v>175</v>
      </c>
      <c r="C1134" t="s">
        <v>750</v>
      </c>
      <c r="D1134">
        <v>6</v>
      </c>
      <c r="F1134" t="s">
        <v>1766</v>
      </c>
      <c r="H1134" t="s">
        <v>2842</v>
      </c>
      <c r="I1134" t="s">
        <v>4885</v>
      </c>
      <c r="K1134" t="s">
        <v>5037</v>
      </c>
      <c r="L1134" t="s">
        <v>5039</v>
      </c>
    </row>
    <row r="1135" spans="1:12" x14ac:dyDescent="0.35">
      <c r="A1135" t="s">
        <v>104</v>
      </c>
      <c r="B1135" t="s">
        <v>175</v>
      </c>
      <c r="C1135" t="s">
        <v>716</v>
      </c>
      <c r="D1135">
        <v>29</v>
      </c>
      <c r="F1135" t="s">
        <v>1509</v>
      </c>
      <c r="H1135" t="s">
        <v>3246</v>
      </c>
      <c r="I1135" t="s">
        <v>4885</v>
      </c>
      <c r="K1135" t="s">
        <v>5037</v>
      </c>
      <c r="L1135" t="s">
        <v>5039</v>
      </c>
    </row>
    <row r="1136" spans="1:12" x14ac:dyDescent="0.35">
      <c r="A1136" t="s">
        <v>104</v>
      </c>
      <c r="B1136" t="s">
        <v>175</v>
      </c>
      <c r="C1136" t="s">
        <v>750</v>
      </c>
      <c r="D1136">
        <v>0.68</v>
      </c>
      <c r="F1136" t="s">
        <v>1735</v>
      </c>
      <c r="H1136" t="s">
        <v>2842</v>
      </c>
      <c r="I1136" t="s">
        <v>4871</v>
      </c>
      <c r="K1136" t="s">
        <v>5037</v>
      </c>
      <c r="L1136" t="s">
        <v>5039</v>
      </c>
    </row>
    <row r="1137" spans="1:12" x14ac:dyDescent="0.35">
      <c r="A1137" t="s">
        <v>104</v>
      </c>
      <c r="B1137" t="s">
        <v>175</v>
      </c>
      <c r="C1137" t="s">
        <v>750</v>
      </c>
      <c r="D1137">
        <v>36</v>
      </c>
      <c r="F1137" t="s">
        <v>1848</v>
      </c>
      <c r="H1137" t="s">
        <v>2842</v>
      </c>
      <c r="I1137" t="s">
        <v>4885</v>
      </c>
      <c r="K1137" t="s">
        <v>5037</v>
      </c>
      <c r="L1137" t="s">
        <v>5039</v>
      </c>
    </row>
    <row r="1138" spans="1:12" x14ac:dyDescent="0.35">
      <c r="A1138" t="s">
        <v>104</v>
      </c>
      <c r="B1138" t="s">
        <v>175</v>
      </c>
      <c r="C1138" t="s">
        <v>750</v>
      </c>
      <c r="D1138">
        <v>0.98</v>
      </c>
      <c r="F1138" t="s">
        <v>1849</v>
      </c>
      <c r="H1138" t="s">
        <v>2842</v>
      </c>
      <c r="I1138" t="s">
        <v>4871</v>
      </c>
      <c r="K1138" t="s">
        <v>5037</v>
      </c>
      <c r="L1138" t="s">
        <v>5039</v>
      </c>
    </row>
    <row r="1139" spans="1:12" x14ac:dyDescent="0.35">
      <c r="A1139" t="s">
        <v>104</v>
      </c>
      <c r="B1139" t="s">
        <v>175</v>
      </c>
      <c r="C1139" t="s">
        <v>750</v>
      </c>
      <c r="D1139">
        <v>1.03</v>
      </c>
      <c r="F1139" t="s">
        <v>1850</v>
      </c>
      <c r="H1139" t="s">
        <v>2842</v>
      </c>
      <c r="I1139" t="s">
        <v>4871</v>
      </c>
      <c r="K1139" t="s">
        <v>5037</v>
      </c>
      <c r="L1139" t="s">
        <v>5039</v>
      </c>
    </row>
    <row r="1140" spans="1:12" x14ac:dyDescent="0.35">
      <c r="A1140" t="s">
        <v>104</v>
      </c>
      <c r="B1140" t="s">
        <v>175</v>
      </c>
      <c r="C1140" t="s">
        <v>750</v>
      </c>
      <c r="D1140">
        <v>0.92</v>
      </c>
      <c r="F1140" t="s">
        <v>1491</v>
      </c>
      <c r="H1140" t="s">
        <v>2842</v>
      </c>
      <c r="I1140" t="s">
        <v>4871</v>
      </c>
      <c r="K1140" t="s">
        <v>5037</v>
      </c>
      <c r="L1140" t="s">
        <v>5039</v>
      </c>
    </row>
    <row r="1141" spans="1:12" x14ac:dyDescent="0.35">
      <c r="A1141" t="s">
        <v>104</v>
      </c>
      <c r="B1141" t="s">
        <v>175</v>
      </c>
      <c r="C1141" t="s">
        <v>709</v>
      </c>
      <c r="D1141">
        <v>11.5</v>
      </c>
      <c r="F1141" t="s">
        <v>1741</v>
      </c>
      <c r="H1141" t="s">
        <v>3225</v>
      </c>
      <c r="I1141" t="s">
        <v>4872</v>
      </c>
      <c r="K1141" t="s">
        <v>5037</v>
      </c>
      <c r="L1141" t="s">
        <v>5039</v>
      </c>
    </row>
    <row r="1142" spans="1:12" x14ac:dyDescent="0.35">
      <c r="A1142" t="s">
        <v>104</v>
      </c>
      <c r="B1142" t="s">
        <v>175</v>
      </c>
      <c r="C1142" t="s">
        <v>709</v>
      </c>
      <c r="D1142">
        <v>13</v>
      </c>
      <c r="F1142" t="s">
        <v>1454</v>
      </c>
      <c r="H1142" t="s">
        <v>3244</v>
      </c>
      <c r="I1142" t="s">
        <v>4885</v>
      </c>
      <c r="K1142" t="s">
        <v>5037</v>
      </c>
      <c r="L1142" t="s">
        <v>5039</v>
      </c>
    </row>
    <row r="1143" spans="1:12" x14ac:dyDescent="0.35">
      <c r="A1143" t="s">
        <v>104</v>
      </c>
      <c r="B1143" t="s">
        <v>175</v>
      </c>
      <c r="C1143" t="s">
        <v>709</v>
      </c>
      <c r="D1143">
        <v>18</v>
      </c>
      <c r="F1143" t="s">
        <v>1389</v>
      </c>
      <c r="H1143" t="s">
        <v>3226</v>
      </c>
      <c r="I1143" t="s">
        <v>4885</v>
      </c>
      <c r="K1143" t="s">
        <v>5037</v>
      </c>
      <c r="L1143" t="s">
        <v>5039</v>
      </c>
    </row>
    <row r="1144" spans="1:12" x14ac:dyDescent="0.35">
      <c r="A1144" t="s">
        <v>104</v>
      </c>
      <c r="B1144" t="s">
        <v>175</v>
      </c>
      <c r="C1144" t="s">
        <v>709</v>
      </c>
      <c r="D1144">
        <v>6.5</v>
      </c>
      <c r="F1144" t="s">
        <v>1419</v>
      </c>
      <c r="H1144" t="s">
        <v>3247</v>
      </c>
      <c r="I1144" t="s">
        <v>4885</v>
      </c>
      <c r="K1144" t="s">
        <v>5037</v>
      </c>
      <c r="L1144" t="s">
        <v>5039</v>
      </c>
    </row>
    <row r="1145" spans="1:12" x14ac:dyDescent="0.35">
      <c r="A1145" t="s">
        <v>104</v>
      </c>
      <c r="B1145" t="s">
        <v>175</v>
      </c>
      <c r="C1145" t="s">
        <v>752</v>
      </c>
      <c r="D1145">
        <v>23</v>
      </c>
      <c r="F1145" t="s">
        <v>1851</v>
      </c>
      <c r="I1145" t="s">
        <v>1968</v>
      </c>
      <c r="K1145" t="s">
        <v>5037</v>
      </c>
      <c r="L1145" t="s">
        <v>5039</v>
      </c>
    </row>
    <row r="1146" spans="1:12" x14ac:dyDescent="0.35">
      <c r="A1146" t="s">
        <v>104</v>
      </c>
      <c r="B1146" t="s">
        <v>175</v>
      </c>
      <c r="C1146" t="s">
        <v>162</v>
      </c>
      <c r="D1146">
        <v>5.9</v>
      </c>
      <c r="F1146" t="s">
        <v>1852</v>
      </c>
      <c r="I1146" t="s">
        <v>1449</v>
      </c>
      <c r="K1146" t="s">
        <v>5037</v>
      </c>
      <c r="L1146" t="s">
        <v>5039</v>
      </c>
    </row>
    <row r="1147" spans="1:12" x14ac:dyDescent="0.35">
      <c r="A1147" t="s">
        <v>104</v>
      </c>
      <c r="B1147" t="s">
        <v>175</v>
      </c>
      <c r="C1147" t="s">
        <v>162</v>
      </c>
      <c r="D1147">
        <v>7.2</v>
      </c>
      <c r="F1147" t="s">
        <v>1853</v>
      </c>
      <c r="I1147" t="s">
        <v>1968</v>
      </c>
      <c r="K1147" t="s">
        <v>5037</v>
      </c>
      <c r="L1147" t="s">
        <v>5039</v>
      </c>
    </row>
    <row r="1148" spans="1:12" x14ac:dyDescent="0.35">
      <c r="A1148" t="s">
        <v>104</v>
      </c>
      <c r="B1148" t="s">
        <v>175</v>
      </c>
      <c r="C1148" t="s">
        <v>750</v>
      </c>
      <c r="D1148">
        <v>4.9000000000000004</v>
      </c>
      <c r="F1148" t="s">
        <v>1669</v>
      </c>
      <c r="H1148" t="s">
        <v>2842</v>
      </c>
      <c r="I1148" t="s">
        <v>4885</v>
      </c>
      <c r="K1148" t="s">
        <v>5037</v>
      </c>
      <c r="L1148" t="s">
        <v>5039</v>
      </c>
    </row>
    <row r="1149" spans="1:12" x14ac:dyDescent="0.35">
      <c r="A1149" t="s">
        <v>104</v>
      </c>
      <c r="B1149" t="s">
        <v>175</v>
      </c>
      <c r="C1149" t="s">
        <v>752</v>
      </c>
      <c r="D1149">
        <v>13.3</v>
      </c>
      <c r="F1149" t="s">
        <v>1631</v>
      </c>
      <c r="I1149" t="s">
        <v>1387</v>
      </c>
      <c r="K1149" t="s">
        <v>5037</v>
      </c>
      <c r="L1149" t="s">
        <v>5039</v>
      </c>
    </row>
    <row r="1150" spans="1:12" x14ac:dyDescent="0.35">
      <c r="A1150" t="s">
        <v>104</v>
      </c>
      <c r="B1150" t="s">
        <v>175</v>
      </c>
      <c r="C1150" t="s">
        <v>716</v>
      </c>
      <c r="D1150">
        <v>9.1999999999999998E-3</v>
      </c>
      <c r="F1150" t="s">
        <v>1854</v>
      </c>
      <c r="I1150" t="s">
        <v>1449</v>
      </c>
      <c r="K1150" t="s">
        <v>5037</v>
      </c>
      <c r="L1150" t="s">
        <v>5039</v>
      </c>
    </row>
    <row r="1151" spans="1:12" x14ac:dyDescent="0.35">
      <c r="A1151" t="s">
        <v>104</v>
      </c>
      <c r="B1151" t="s">
        <v>175</v>
      </c>
      <c r="C1151" t="s">
        <v>750</v>
      </c>
      <c r="D1151">
        <v>7.3</v>
      </c>
      <c r="F1151" t="s">
        <v>1670</v>
      </c>
      <c r="H1151" t="s">
        <v>2842</v>
      </c>
      <c r="I1151" t="s">
        <v>4885</v>
      </c>
      <c r="K1151" t="s">
        <v>5037</v>
      </c>
      <c r="L1151" t="s">
        <v>5039</v>
      </c>
    </row>
    <row r="1152" spans="1:12" x14ac:dyDescent="0.35">
      <c r="A1152" t="s">
        <v>104</v>
      </c>
      <c r="B1152" t="s">
        <v>175</v>
      </c>
      <c r="C1152" t="s">
        <v>752</v>
      </c>
      <c r="D1152">
        <v>27.9</v>
      </c>
      <c r="F1152" t="s">
        <v>1855</v>
      </c>
      <c r="I1152" t="s">
        <v>1449</v>
      </c>
      <c r="K1152" t="s">
        <v>5037</v>
      </c>
      <c r="L1152" t="s">
        <v>5039</v>
      </c>
    </row>
    <row r="1153" spans="1:12" x14ac:dyDescent="0.35">
      <c r="A1153" t="s">
        <v>104</v>
      </c>
      <c r="B1153" t="s">
        <v>175</v>
      </c>
      <c r="C1153" t="s">
        <v>709</v>
      </c>
      <c r="D1153">
        <v>18.600000000000001</v>
      </c>
      <c r="F1153" t="s">
        <v>1856</v>
      </c>
      <c r="H1153" t="s">
        <v>3248</v>
      </c>
      <c r="I1153" t="s">
        <v>4899</v>
      </c>
      <c r="K1153" t="s">
        <v>5037</v>
      </c>
      <c r="L1153" t="s">
        <v>5039</v>
      </c>
    </row>
    <row r="1154" spans="1:12" x14ac:dyDescent="0.35">
      <c r="A1154" t="s">
        <v>104</v>
      </c>
      <c r="B1154" t="s">
        <v>175</v>
      </c>
      <c r="C1154" t="s">
        <v>751</v>
      </c>
      <c r="D1154">
        <v>0.216</v>
      </c>
      <c r="F1154" t="s">
        <v>1857</v>
      </c>
      <c r="I1154" t="s">
        <v>1387</v>
      </c>
      <c r="K1154" t="s">
        <v>5037</v>
      </c>
      <c r="L1154" t="s">
        <v>5039</v>
      </c>
    </row>
    <row r="1155" spans="1:12" x14ac:dyDescent="0.35">
      <c r="A1155" t="s">
        <v>104</v>
      </c>
      <c r="B1155" t="s">
        <v>175</v>
      </c>
      <c r="C1155" t="s">
        <v>716</v>
      </c>
      <c r="D1155">
        <v>116</v>
      </c>
      <c r="F1155" t="s">
        <v>1858</v>
      </c>
      <c r="H1155" t="s">
        <v>3247</v>
      </c>
      <c r="I1155" t="s">
        <v>4885</v>
      </c>
      <c r="K1155" t="s">
        <v>5037</v>
      </c>
      <c r="L1155" t="s">
        <v>5039</v>
      </c>
    </row>
    <row r="1156" spans="1:12" x14ac:dyDescent="0.35">
      <c r="A1156" t="s">
        <v>104</v>
      </c>
      <c r="B1156" t="s">
        <v>175</v>
      </c>
      <c r="C1156" t="s">
        <v>709</v>
      </c>
      <c r="D1156">
        <v>18.350000000000001</v>
      </c>
      <c r="F1156" t="s">
        <v>1859</v>
      </c>
      <c r="H1156" t="s">
        <v>3249</v>
      </c>
      <c r="I1156" t="s">
        <v>4885</v>
      </c>
      <c r="K1156" t="s">
        <v>5037</v>
      </c>
      <c r="L1156" t="s">
        <v>5039</v>
      </c>
    </row>
    <row r="1157" spans="1:12" x14ac:dyDescent="0.35">
      <c r="A1157" t="s">
        <v>104</v>
      </c>
      <c r="B1157" t="s">
        <v>175</v>
      </c>
      <c r="C1157" t="s">
        <v>751</v>
      </c>
      <c r="D1157">
        <v>0.96</v>
      </c>
      <c r="F1157" t="s">
        <v>1415</v>
      </c>
      <c r="H1157" t="s">
        <v>3250</v>
      </c>
      <c r="I1157" t="s">
        <v>1449</v>
      </c>
      <c r="K1157" t="s">
        <v>5037</v>
      </c>
      <c r="L1157" t="s">
        <v>5039</v>
      </c>
    </row>
    <row r="1158" spans="1:12" x14ac:dyDescent="0.35">
      <c r="A1158" t="s">
        <v>104</v>
      </c>
      <c r="B1158" t="s">
        <v>175</v>
      </c>
      <c r="C1158" t="s">
        <v>750</v>
      </c>
      <c r="D1158">
        <v>5.5</v>
      </c>
      <c r="F1158" t="s">
        <v>1860</v>
      </c>
      <c r="H1158" t="s">
        <v>2842</v>
      </c>
      <c r="I1158" t="s">
        <v>2360</v>
      </c>
      <c r="K1158" t="s">
        <v>5037</v>
      </c>
      <c r="L1158" t="s">
        <v>5039</v>
      </c>
    </row>
    <row r="1159" spans="1:12" x14ac:dyDescent="0.35">
      <c r="A1159" t="s">
        <v>104</v>
      </c>
      <c r="B1159" t="s">
        <v>175</v>
      </c>
      <c r="C1159" t="s">
        <v>750</v>
      </c>
      <c r="D1159">
        <v>0.9</v>
      </c>
      <c r="F1159" t="s">
        <v>1556</v>
      </c>
      <c r="H1159" t="s">
        <v>2842</v>
      </c>
      <c r="I1159" t="s">
        <v>4885</v>
      </c>
      <c r="K1159" t="s">
        <v>5037</v>
      </c>
      <c r="L1159" t="s">
        <v>5039</v>
      </c>
    </row>
    <row r="1160" spans="1:12" x14ac:dyDescent="0.35">
      <c r="A1160" t="s">
        <v>104</v>
      </c>
      <c r="B1160" t="s">
        <v>175</v>
      </c>
      <c r="C1160" t="s">
        <v>716</v>
      </c>
      <c r="D1160">
        <v>3.0999999999999999E-3</v>
      </c>
      <c r="F1160" t="s">
        <v>1775</v>
      </c>
      <c r="H1160" t="s">
        <v>3251</v>
      </c>
      <c r="I1160" t="s">
        <v>1353</v>
      </c>
      <c r="K1160" t="s">
        <v>5037</v>
      </c>
      <c r="L1160" t="s">
        <v>5039</v>
      </c>
    </row>
    <row r="1161" spans="1:12" x14ac:dyDescent="0.35">
      <c r="A1161" t="s">
        <v>104</v>
      </c>
      <c r="B1161" t="s">
        <v>175</v>
      </c>
      <c r="C1161" t="s">
        <v>750</v>
      </c>
      <c r="D1161">
        <v>1.2</v>
      </c>
      <c r="F1161" t="s">
        <v>1421</v>
      </c>
      <c r="H1161" t="s">
        <v>2842</v>
      </c>
      <c r="I1161" t="s">
        <v>4885</v>
      </c>
      <c r="K1161" t="s">
        <v>5037</v>
      </c>
      <c r="L1161" t="s">
        <v>5039</v>
      </c>
    </row>
    <row r="1162" spans="1:12" x14ac:dyDescent="0.35">
      <c r="A1162" t="s">
        <v>104</v>
      </c>
      <c r="B1162" t="s">
        <v>175</v>
      </c>
      <c r="C1162" t="s">
        <v>750</v>
      </c>
      <c r="D1162">
        <v>0.4</v>
      </c>
      <c r="F1162" t="s">
        <v>1315</v>
      </c>
      <c r="H1162" t="s">
        <v>2842</v>
      </c>
      <c r="I1162" t="s">
        <v>4885</v>
      </c>
      <c r="K1162" t="s">
        <v>5037</v>
      </c>
      <c r="L1162" t="s">
        <v>5039</v>
      </c>
    </row>
    <row r="1163" spans="1:12" x14ac:dyDescent="0.35">
      <c r="A1163" t="s">
        <v>104</v>
      </c>
      <c r="B1163" t="s">
        <v>175</v>
      </c>
      <c r="C1163" t="s">
        <v>750</v>
      </c>
      <c r="D1163">
        <v>3</v>
      </c>
      <c r="F1163" t="s">
        <v>1368</v>
      </c>
      <c r="H1163" t="s">
        <v>2842</v>
      </c>
      <c r="I1163" t="s">
        <v>4885</v>
      </c>
      <c r="K1163" t="s">
        <v>5037</v>
      </c>
      <c r="L1163" t="s">
        <v>5039</v>
      </c>
    </row>
    <row r="1164" spans="1:12" x14ac:dyDescent="0.35">
      <c r="A1164" t="s">
        <v>104</v>
      </c>
      <c r="B1164" t="s">
        <v>175</v>
      </c>
      <c r="C1164" t="s">
        <v>750</v>
      </c>
      <c r="D1164">
        <v>0.95</v>
      </c>
      <c r="F1164" t="s">
        <v>1630</v>
      </c>
      <c r="H1164" t="s">
        <v>2842</v>
      </c>
      <c r="I1164" t="s">
        <v>4871</v>
      </c>
      <c r="K1164" t="s">
        <v>5037</v>
      </c>
      <c r="L1164" t="s">
        <v>5039</v>
      </c>
    </row>
    <row r="1165" spans="1:12" x14ac:dyDescent="0.35">
      <c r="A1165" t="s">
        <v>104</v>
      </c>
      <c r="B1165" t="s">
        <v>175</v>
      </c>
      <c r="C1165" t="s">
        <v>716</v>
      </c>
      <c r="D1165">
        <v>5.3E-3</v>
      </c>
      <c r="F1165" t="s">
        <v>1842</v>
      </c>
      <c r="H1165" t="s">
        <v>3248</v>
      </c>
      <c r="I1165" t="s">
        <v>4899</v>
      </c>
      <c r="K1165" t="s">
        <v>5037</v>
      </c>
      <c r="L1165" t="s">
        <v>5039</v>
      </c>
    </row>
    <row r="1166" spans="1:12" x14ac:dyDescent="0.35">
      <c r="A1166" t="s">
        <v>104</v>
      </c>
      <c r="B1166" t="s">
        <v>175</v>
      </c>
      <c r="C1166" t="s">
        <v>750</v>
      </c>
      <c r="D1166">
        <v>0.49</v>
      </c>
      <c r="F1166" t="s">
        <v>1724</v>
      </c>
      <c r="H1166" t="s">
        <v>2842</v>
      </c>
      <c r="I1166" t="s">
        <v>4871</v>
      </c>
      <c r="K1166" t="s">
        <v>5037</v>
      </c>
      <c r="L1166" t="s">
        <v>5039</v>
      </c>
    </row>
    <row r="1167" spans="1:12" x14ac:dyDescent="0.35">
      <c r="A1167" t="s">
        <v>104</v>
      </c>
      <c r="B1167" t="s">
        <v>175</v>
      </c>
      <c r="C1167" t="s">
        <v>716</v>
      </c>
      <c r="D1167">
        <v>3.0000000000000001E-3</v>
      </c>
      <c r="F1167" t="s">
        <v>1279</v>
      </c>
      <c r="H1167" t="s">
        <v>3252</v>
      </c>
      <c r="I1167" t="s">
        <v>4859</v>
      </c>
      <c r="K1167" t="s">
        <v>5037</v>
      </c>
      <c r="L1167" t="s">
        <v>5039</v>
      </c>
    </row>
    <row r="1168" spans="1:12" x14ac:dyDescent="0.35">
      <c r="A1168" t="s">
        <v>104</v>
      </c>
      <c r="B1168" t="s">
        <v>175</v>
      </c>
      <c r="C1168" t="s">
        <v>716</v>
      </c>
      <c r="D1168">
        <v>2E-3</v>
      </c>
      <c r="F1168" t="s">
        <v>1286</v>
      </c>
      <c r="H1168" t="s">
        <v>3238</v>
      </c>
      <c r="I1168" t="s">
        <v>4885</v>
      </c>
      <c r="K1168" t="s">
        <v>5037</v>
      </c>
      <c r="L1168" t="s">
        <v>5039</v>
      </c>
    </row>
    <row r="1169" spans="1:12" x14ac:dyDescent="0.35">
      <c r="A1169" t="s">
        <v>104</v>
      </c>
      <c r="B1169" t="s">
        <v>175</v>
      </c>
      <c r="C1169" t="s">
        <v>750</v>
      </c>
      <c r="D1169">
        <v>1.1000000000000001</v>
      </c>
      <c r="F1169" t="s">
        <v>1505</v>
      </c>
      <c r="H1169" t="s">
        <v>2842</v>
      </c>
      <c r="I1169" t="s">
        <v>4871</v>
      </c>
      <c r="K1169" t="s">
        <v>5037</v>
      </c>
      <c r="L1169" t="s">
        <v>5039</v>
      </c>
    </row>
    <row r="1170" spans="1:12" x14ac:dyDescent="0.35">
      <c r="A1170" t="s">
        <v>104</v>
      </c>
      <c r="B1170" t="s">
        <v>175</v>
      </c>
      <c r="C1170" t="s">
        <v>716</v>
      </c>
      <c r="D1170">
        <v>0.03</v>
      </c>
      <c r="F1170" t="s">
        <v>1266</v>
      </c>
      <c r="H1170" t="s">
        <v>3253</v>
      </c>
      <c r="I1170" t="s">
        <v>1584</v>
      </c>
      <c r="K1170" t="s">
        <v>5037</v>
      </c>
      <c r="L1170" t="s">
        <v>5039</v>
      </c>
    </row>
    <row r="1171" spans="1:12" x14ac:dyDescent="0.35">
      <c r="A1171" t="s">
        <v>104</v>
      </c>
      <c r="B1171" t="s">
        <v>175</v>
      </c>
      <c r="C1171" t="s">
        <v>750</v>
      </c>
      <c r="D1171">
        <v>1</v>
      </c>
      <c r="F1171" t="s">
        <v>1317</v>
      </c>
      <c r="H1171" t="s">
        <v>2842</v>
      </c>
      <c r="I1171" t="s">
        <v>4885</v>
      </c>
      <c r="K1171" t="s">
        <v>5037</v>
      </c>
      <c r="L1171" t="s">
        <v>5039</v>
      </c>
    </row>
    <row r="1172" spans="1:12" x14ac:dyDescent="0.35">
      <c r="A1172" t="s">
        <v>104</v>
      </c>
      <c r="B1172" t="s">
        <v>175</v>
      </c>
      <c r="C1172" t="s">
        <v>716</v>
      </c>
      <c r="D1172">
        <v>1.2999999999999999E-2</v>
      </c>
      <c r="F1172" t="s">
        <v>1861</v>
      </c>
      <c r="H1172" t="s">
        <v>3254</v>
      </c>
      <c r="I1172" t="s">
        <v>2050</v>
      </c>
      <c r="K1172" t="s">
        <v>5037</v>
      </c>
      <c r="L1172" t="s">
        <v>5039</v>
      </c>
    </row>
    <row r="1173" spans="1:12" x14ac:dyDescent="0.35">
      <c r="A1173" t="s">
        <v>104</v>
      </c>
      <c r="B1173" t="s">
        <v>334</v>
      </c>
      <c r="C1173" t="s">
        <v>750</v>
      </c>
      <c r="D1173">
        <v>0.67</v>
      </c>
      <c r="F1173" t="s">
        <v>1478</v>
      </c>
      <c r="H1173" t="s">
        <v>2842</v>
      </c>
      <c r="I1173" t="s">
        <v>1461</v>
      </c>
      <c r="K1173" t="s">
        <v>5037</v>
      </c>
      <c r="L1173" t="s">
        <v>5039</v>
      </c>
    </row>
    <row r="1174" spans="1:12" x14ac:dyDescent="0.35">
      <c r="A1174" t="s">
        <v>104</v>
      </c>
      <c r="B1174" t="s">
        <v>334</v>
      </c>
      <c r="C1174" t="s">
        <v>716</v>
      </c>
      <c r="D1174">
        <v>2.8E-3</v>
      </c>
      <c r="F1174" t="s">
        <v>1344</v>
      </c>
      <c r="H1174" t="s">
        <v>3255</v>
      </c>
      <c r="I1174" t="s">
        <v>1461</v>
      </c>
      <c r="K1174" t="s">
        <v>5037</v>
      </c>
      <c r="L1174" t="s">
        <v>5039</v>
      </c>
    </row>
    <row r="1175" spans="1:12" x14ac:dyDescent="0.35">
      <c r="A1175" t="s">
        <v>104</v>
      </c>
      <c r="B1175" t="s">
        <v>380</v>
      </c>
      <c r="C1175" t="s">
        <v>751</v>
      </c>
      <c r="D1175">
        <v>0.14000000000000001</v>
      </c>
      <c r="F1175" t="s">
        <v>1361</v>
      </c>
      <c r="H1175" t="s">
        <v>3256</v>
      </c>
      <c r="I1175" t="s">
        <v>1367</v>
      </c>
      <c r="K1175" t="s">
        <v>5037</v>
      </c>
      <c r="L1175" t="s">
        <v>5039</v>
      </c>
    </row>
    <row r="1176" spans="1:12" x14ac:dyDescent="0.35">
      <c r="A1176" t="s">
        <v>104</v>
      </c>
      <c r="B1176" t="s">
        <v>380</v>
      </c>
      <c r="C1176" t="s">
        <v>162</v>
      </c>
      <c r="D1176">
        <v>10</v>
      </c>
      <c r="F1176" t="s">
        <v>1533</v>
      </c>
      <c r="H1176" t="s">
        <v>3256</v>
      </c>
      <c r="I1176" t="s">
        <v>1367</v>
      </c>
      <c r="K1176" t="s">
        <v>5037</v>
      </c>
      <c r="L1176" t="s">
        <v>5039</v>
      </c>
    </row>
    <row r="1177" spans="1:12" x14ac:dyDescent="0.35">
      <c r="A1177" t="s">
        <v>104</v>
      </c>
      <c r="B1177" t="s">
        <v>380</v>
      </c>
      <c r="C1177" t="s">
        <v>162</v>
      </c>
      <c r="D1177">
        <v>25</v>
      </c>
      <c r="F1177" t="s">
        <v>1387</v>
      </c>
      <c r="H1177" t="s">
        <v>3257</v>
      </c>
      <c r="I1177" t="s">
        <v>1367</v>
      </c>
      <c r="K1177" t="s">
        <v>5037</v>
      </c>
      <c r="L1177" t="s">
        <v>5039</v>
      </c>
    </row>
    <row r="1178" spans="1:12" x14ac:dyDescent="0.35">
      <c r="A1178" t="s">
        <v>104</v>
      </c>
      <c r="B1178" t="s">
        <v>380</v>
      </c>
      <c r="C1178" t="s">
        <v>751</v>
      </c>
      <c r="D1178">
        <v>1.25</v>
      </c>
      <c r="F1178" t="s">
        <v>1522</v>
      </c>
      <c r="H1178" t="s">
        <v>3257</v>
      </c>
      <c r="I1178" t="s">
        <v>1367</v>
      </c>
      <c r="K1178" t="s">
        <v>5037</v>
      </c>
      <c r="L1178" t="s">
        <v>5039</v>
      </c>
    </row>
    <row r="1179" spans="1:12" x14ac:dyDescent="0.35">
      <c r="A1179" t="s">
        <v>104</v>
      </c>
      <c r="B1179" t="s">
        <v>380</v>
      </c>
      <c r="C1179" t="s">
        <v>716</v>
      </c>
      <c r="D1179">
        <v>1.1800000000000001E-3</v>
      </c>
      <c r="F1179" t="s">
        <v>1862</v>
      </c>
      <c r="H1179" t="s">
        <v>3256</v>
      </c>
      <c r="I1179" t="s">
        <v>1367</v>
      </c>
      <c r="K1179" t="s">
        <v>5037</v>
      </c>
      <c r="L1179" t="s">
        <v>5039</v>
      </c>
    </row>
    <row r="1180" spans="1:12" x14ac:dyDescent="0.35">
      <c r="A1180" t="s">
        <v>104</v>
      </c>
      <c r="B1180" t="s">
        <v>380</v>
      </c>
      <c r="C1180" t="s">
        <v>716</v>
      </c>
      <c r="D1180">
        <v>1.8799999999999999E-3</v>
      </c>
      <c r="F1180" t="s">
        <v>1863</v>
      </c>
      <c r="H1180" t="s">
        <v>3257</v>
      </c>
      <c r="I1180" t="s">
        <v>1367</v>
      </c>
      <c r="K1180" t="s">
        <v>5037</v>
      </c>
      <c r="L1180" t="s">
        <v>5039</v>
      </c>
    </row>
    <row r="1181" spans="1:12" x14ac:dyDescent="0.35">
      <c r="A1181" t="s">
        <v>104</v>
      </c>
      <c r="B1181" t="s">
        <v>340</v>
      </c>
      <c r="C1181" t="s">
        <v>750</v>
      </c>
      <c r="D1181">
        <v>2.6</v>
      </c>
      <c r="F1181" t="s">
        <v>1428</v>
      </c>
      <c r="H1181" t="s">
        <v>2842</v>
      </c>
      <c r="I1181" t="s">
        <v>4863</v>
      </c>
      <c r="K1181" t="s">
        <v>5037</v>
      </c>
      <c r="L1181" t="s">
        <v>5039</v>
      </c>
    </row>
    <row r="1182" spans="1:12" x14ac:dyDescent="0.35">
      <c r="A1182" t="s">
        <v>104</v>
      </c>
      <c r="B1182" t="s">
        <v>340</v>
      </c>
      <c r="C1182" t="s">
        <v>716</v>
      </c>
      <c r="D1182">
        <v>7.9000000000000001E-2</v>
      </c>
      <c r="F1182" t="s">
        <v>1730</v>
      </c>
      <c r="H1182" t="s">
        <v>3258</v>
      </c>
      <c r="I1182" t="s">
        <v>4863</v>
      </c>
      <c r="K1182" t="s">
        <v>5037</v>
      </c>
      <c r="L1182" t="s">
        <v>5039</v>
      </c>
    </row>
    <row r="1183" spans="1:12" x14ac:dyDescent="0.35">
      <c r="A1183" t="s">
        <v>105</v>
      </c>
      <c r="B1183" t="s">
        <v>456</v>
      </c>
      <c r="C1183" t="s">
        <v>753</v>
      </c>
      <c r="D1183">
        <v>2.46</v>
      </c>
      <c r="F1183" t="s">
        <v>1864</v>
      </c>
      <c r="H1183" t="s">
        <v>3259</v>
      </c>
      <c r="I1183" t="s">
        <v>1477</v>
      </c>
      <c r="K1183" t="s">
        <v>5037</v>
      </c>
      <c r="L1183" t="s">
        <v>5039</v>
      </c>
    </row>
    <row r="1184" spans="1:12" x14ac:dyDescent="0.35">
      <c r="A1184" t="s">
        <v>105</v>
      </c>
      <c r="B1184" t="s">
        <v>456</v>
      </c>
      <c r="C1184" t="s">
        <v>704</v>
      </c>
      <c r="D1184">
        <v>1.42</v>
      </c>
      <c r="F1184" t="s">
        <v>1865</v>
      </c>
      <c r="H1184" t="s">
        <v>3260</v>
      </c>
      <c r="I1184" t="s">
        <v>1477</v>
      </c>
      <c r="K1184" t="s">
        <v>5037</v>
      </c>
      <c r="L1184" t="s">
        <v>5039</v>
      </c>
    </row>
    <row r="1185" spans="1:12" x14ac:dyDescent="0.35">
      <c r="A1185" t="s">
        <v>105</v>
      </c>
      <c r="B1185" t="s">
        <v>456</v>
      </c>
      <c r="C1185" t="s">
        <v>698</v>
      </c>
      <c r="D1185">
        <v>2.0099999999999998</v>
      </c>
      <c r="F1185" t="s">
        <v>1866</v>
      </c>
      <c r="H1185" t="s">
        <v>3260</v>
      </c>
      <c r="I1185" t="s">
        <v>1477</v>
      </c>
      <c r="K1185" t="s">
        <v>5037</v>
      </c>
      <c r="L1185" t="s">
        <v>5039</v>
      </c>
    </row>
    <row r="1186" spans="1:12" x14ac:dyDescent="0.35">
      <c r="A1186" t="s">
        <v>105</v>
      </c>
      <c r="B1186" t="s">
        <v>456</v>
      </c>
      <c r="C1186" t="s">
        <v>695</v>
      </c>
      <c r="D1186">
        <v>2.0099999999999998</v>
      </c>
      <c r="F1186" t="s">
        <v>1866</v>
      </c>
      <c r="H1186" t="s">
        <v>3260</v>
      </c>
      <c r="I1186" t="s">
        <v>1477</v>
      </c>
      <c r="K1186" t="s">
        <v>5037</v>
      </c>
      <c r="L1186" t="s">
        <v>5039</v>
      </c>
    </row>
    <row r="1187" spans="1:12" x14ac:dyDescent="0.35">
      <c r="A1187" t="s">
        <v>105</v>
      </c>
      <c r="B1187" t="s">
        <v>456</v>
      </c>
      <c r="C1187" t="s">
        <v>164</v>
      </c>
      <c r="D1187">
        <v>11.93</v>
      </c>
      <c r="F1187" t="s">
        <v>1867</v>
      </c>
      <c r="H1187" t="s">
        <v>3260</v>
      </c>
      <c r="I1187" t="s">
        <v>1477</v>
      </c>
      <c r="K1187" t="s">
        <v>5037</v>
      </c>
      <c r="L1187" t="s">
        <v>5039</v>
      </c>
    </row>
    <row r="1188" spans="1:12" x14ac:dyDescent="0.35">
      <c r="A1188" t="s">
        <v>105</v>
      </c>
      <c r="B1188" t="s">
        <v>312</v>
      </c>
      <c r="C1188" t="s">
        <v>736</v>
      </c>
      <c r="D1188">
        <v>2.5</v>
      </c>
      <c r="F1188" t="s">
        <v>1406</v>
      </c>
      <c r="H1188" t="s">
        <v>3261</v>
      </c>
      <c r="I1188" t="s">
        <v>1317</v>
      </c>
      <c r="K1188" t="s">
        <v>5037</v>
      </c>
      <c r="L1188" t="s">
        <v>5039</v>
      </c>
    </row>
    <row r="1189" spans="1:12" x14ac:dyDescent="0.35">
      <c r="A1189" t="s">
        <v>105</v>
      </c>
      <c r="B1189" t="s">
        <v>312</v>
      </c>
      <c r="C1189" t="s">
        <v>753</v>
      </c>
      <c r="D1189">
        <v>4.2</v>
      </c>
      <c r="F1189" t="s">
        <v>1868</v>
      </c>
      <c r="H1189" t="s">
        <v>3262</v>
      </c>
      <c r="I1189" t="s">
        <v>1317</v>
      </c>
      <c r="K1189" t="s">
        <v>5037</v>
      </c>
      <c r="L1189" t="s">
        <v>5039</v>
      </c>
    </row>
    <row r="1190" spans="1:12" x14ac:dyDescent="0.35">
      <c r="A1190" t="s">
        <v>105</v>
      </c>
      <c r="B1190" t="s">
        <v>312</v>
      </c>
      <c r="C1190" t="s">
        <v>754</v>
      </c>
      <c r="D1190">
        <v>2.85</v>
      </c>
      <c r="F1190" t="s">
        <v>1869</v>
      </c>
      <c r="H1190" t="s">
        <v>3261</v>
      </c>
      <c r="I1190" t="s">
        <v>1317</v>
      </c>
      <c r="K1190" t="s">
        <v>5037</v>
      </c>
      <c r="L1190" t="s">
        <v>5039</v>
      </c>
    </row>
    <row r="1191" spans="1:12" x14ac:dyDescent="0.35">
      <c r="A1191" t="s">
        <v>105</v>
      </c>
      <c r="B1191" t="s">
        <v>312</v>
      </c>
      <c r="C1191" t="s">
        <v>755</v>
      </c>
      <c r="D1191">
        <v>1.77</v>
      </c>
      <c r="F1191" t="s">
        <v>1870</v>
      </c>
      <c r="H1191" t="s">
        <v>3261</v>
      </c>
      <c r="I1191" t="s">
        <v>1317</v>
      </c>
      <c r="K1191" t="s">
        <v>5037</v>
      </c>
      <c r="L1191" t="s">
        <v>5039</v>
      </c>
    </row>
    <row r="1192" spans="1:12" x14ac:dyDescent="0.35">
      <c r="A1192" t="s">
        <v>105</v>
      </c>
      <c r="B1192" t="s">
        <v>312</v>
      </c>
      <c r="C1192" t="s">
        <v>698</v>
      </c>
      <c r="D1192">
        <v>7.44</v>
      </c>
      <c r="F1192" t="s">
        <v>1871</v>
      </c>
      <c r="H1192" t="s">
        <v>3263</v>
      </c>
      <c r="I1192" t="s">
        <v>1317</v>
      </c>
      <c r="K1192" t="s">
        <v>5037</v>
      </c>
      <c r="L1192" t="s">
        <v>5039</v>
      </c>
    </row>
    <row r="1193" spans="1:12" x14ac:dyDescent="0.35">
      <c r="A1193" t="s">
        <v>105</v>
      </c>
      <c r="B1193" t="s">
        <v>312</v>
      </c>
      <c r="C1193" t="s">
        <v>164</v>
      </c>
      <c r="D1193">
        <v>9.5299999999999994</v>
      </c>
      <c r="F1193" t="s">
        <v>1872</v>
      </c>
      <c r="H1193" t="s">
        <v>3261</v>
      </c>
      <c r="I1193" t="s">
        <v>1317</v>
      </c>
      <c r="K1193" t="s">
        <v>5037</v>
      </c>
      <c r="L1193" t="s">
        <v>5039</v>
      </c>
    </row>
    <row r="1194" spans="1:12" x14ac:dyDescent="0.35">
      <c r="A1194" t="s">
        <v>105</v>
      </c>
      <c r="B1194" t="s">
        <v>178</v>
      </c>
      <c r="C1194" t="s">
        <v>753</v>
      </c>
      <c r="D1194">
        <v>4.4999999999999998E-2</v>
      </c>
      <c r="F1194" t="s">
        <v>1290</v>
      </c>
      <c r="H1194" t="s">
        <v>3264</v>
      </c>
      <c r="I1194" t="s">
        <v>1372</v>
      </c>
      <c r="K1194" t="s">
        <v>5037</v>
      </c>
      <c r="L1194" t="s">
        <v>5039</v>
      </c>
    </row>
    <row r="1195" spans="1:12" x14ac:dyDescent="0.35">
      <c r="A1195" t="s">
        <v>105</v>
      </c>
      <c r="B1195" t="s">
        <v>178</v>
      </c>
      <c r="C1195" t="s">
        <v>165</v>
      </c>
      <c r="D1195">
        <v>0.93</v>
      </c>
      <c r="F1195" t="s">
        <v>1558</v>
      </c>
      <c r="H1195" t="s">
        <v>3265</v>
      </c>
      <c r="I1195" t="s">
        <v>1372</v>
      </c>
      <c r="K1195" t="s">
        <v>5037</v>
      </c>
      <c r="L1195" t="s">
        <v>5039</v>
      </c>
    </row>
    <row r="1196" spans="1:12" x14ac:dyDescent="0.35">
      <c r="A1196" t="s">
        <v>106</v>
      </c>
      <c r="B1196" t="s">
        <v>179</v>
      </c>
      <c r="C1196" t="s">
        <v>163</v>
      </c>
      <c r="D1196">
        <v>0.06</v>
      </c>
      <c r="F1196" t="s">
        <v>1370</v>
      </c>
      <c r="I1196" t="s">
        <v>1372</v>
      </c>
      <c r="K1196" t="s">
        <v>5037</v>
      </c>
      <c r="L1196" t="s">
        <v>5039</v>
      </c>
    </row>
    <row r="1197" spans="1:12" x14ac:dyDescent="0.35">
      <c r="A1197" t="s">
        <v>106</v>
      </c>
      <c r="B1197" t="s">
        <v>179</v>
      </c>
      <c r="C1197" t="s">
        <v>690</v>
      </c>
      <c r="D1197">
        <v>22.2</v>
      </c>
      <c r="F1197" t="s">
        <v>1873</v>
      </c>
      <c r="I1197" t="s">
        <v>1372</v>
      </c>
      <c r="K1197" t="s">
        <v>5037</v>
      </c>
      <c r="L1197" t="s">
        <v>5039</v>
      </c>
    </row>
    <row r="1198" spans="1:12" x14ac:dyDescent="0.35">
      <c r="A1198" t="s">
        <v>107</v>
      </c>
      <c r="B1198" t="s">
        <v>314</v>
      </c>
      <c r="C1198" t="s">
        <v>164</v>
      </c>
      <c r="D1198">
        <v>0.97</v>
      </c>
      <c r="F1198" t="s">
        <v>1719</v>
      </c>
      <c r="H1198" t="s">
        <v>3266</v>
      </c>
      <c r="I1198" t="s">
        <v>1369</v>
      </c>
      <c r="K1198" t="s">
        <v>5037</v>
      </c>
      <c r="L1198" t="s">
        <v>5039</v>
      </c>
    </row>
    <row r="1199" spans="1:12" x14ac:dyDescent="0.35">
      <c r="A1199" t="s">
        <v>107</v>
      </c>
      <c r="B1199" t="s">
        <v>314</v>
      </c>
      <c r="C1199" t="s">
        <v>164</v>
      </c>
      <c r="D1199">
        <v>0.91</v>
      </c>
      <c r="F1199" t="s">
        <v>1874</v>
      </c>
      <c r="H1199" t="s">
        <v>3267</v>
      </c>
      <c r="I1199" t="s">
        <v>1369</v>
      </c>
      <c r="K1199" t="s">
        <v>5037</v>
      </c>
      <c r="L1199" t="s">
        <v>5039</v>
      </c>
    </row>
    <row r="1200" spans="1:12" x14ac:dyDescent="0.35">
      <c r="A1200" t="s">
        <v>107</v>
      </c>
      <c r="B1200" t="s">
        <v>314</v>
      </c>
      <c r="C1200" t="s">
        <v>164</v>
      </c>
      <c r="D1200">
        <v>0.92</v>
      </c>
      <c r="F1200" t="s">
        <v>1491</v>
      </c>
      <c r="H1200" t="s">
        <v>3268</v>
      </c>
      <c r="I1200" t="s">
        <v>1369</v>
      </c>
      <c r="K1200" t="s">
        <v>5037</v>
      </c>
      <c r="L1200" t="s">
        <v>5039</v>
      </c>
    </row>
    <row r="1201" spans="1:12" x14ac:dyDescent="0.35">
      <c r="A1201" t="s">
        <v>107</v>
      </c>
      <c r="B1201" t="s">
        <v>432</v>
      </c>
      <c r="C1201" t="s">
        <v>690</v>
      </c>
      <c r="D1201">
        <v>0.19</v>
      </c>
      <c r="F1201" t="s">
        <v>1538</v>
      </c>
      <c r="I1201" t="s">
        <v>2327</v>
      </c>
      <c r="K1201" t="s">
        <v>5037</v>
      </c>
      <c r="L1201" t="s">
        <v>5039</v>
      </c>
    </row>
    <row r="1202" spans="1:12" x14ac:dyDescent="0.35">
      <c r="A1202" t="s">
        <v>107</v>
      </c>
      <c r="B1202" t="s">
        <v>432</v>
      </c>
      <c r="C1202" t="s">
        <v>756</v>
      </c>
      <c r="D1202">
        <v>0.19</v>
      </c>
      <c r="F1202" t="s">
        <v>1538</v>
      </c>
      <c r="I1202" t="s">
        <v>1461</v>
      </c>
      <c r="K1202" t="s">
        <v>5037</v>
      </c>
      <c r="L1202" t="s">
        <v>5039</v>
      </c>
    </row>
    <row r="1203" spans="1:12" x14ac:dyDescent="0.35">
      <c r="A1203" t="s">
        <v>107</v>
      </c>
      <c r="B1203" t="s">
        <v>432</v>
      </c>
      <c r="C1203" t="s">
        <v>757</v>
      </c>
      <c r="D1203">
        <v>6.36</v>
      </c>
      <c r="F1203" t="s">
        <v>1875</v>
      </c>
      <c r="I1203" t="s">
        <v>1461</v>
      </c>
      <c r="K1203" t="s">
        <v>5037</v>
      </c>
      <c r="L1203" t="s">
        <v>5039</v>
      </c>
    </row>
    <row r="1204" spans="1:12" x14ac:dyDescent="0.35">
      <c r="A1204" t="s">
        <v>107</v>
      </c>
      <c r="B1204" t="s">
        <v>432</v>
      </c>
      <c r="C1204" t="s">
        <v>164</v>
      </c>
      <c r="D1204">
        <v>10.4</v>
      </c>
      <c r="F1204" t="s">
        <v>1876</v>
      </c>
      <c r="I1204" t="s">
        <v>2327</v>
      </c>
      <c r="K1204" t="s">
        <v>5037</v>
      </c>
      <c r="L1204" t="s">
        <v>5039</v>
      </c>
    </row>
    <row r="1205" spans="1:12" x14ac:dyDescent="0.35">
      <c r="A1205" t="s">
        <v>107</v>
      </c>
      <c r="B1205" t="s">
        <v>432</v>
      </c>
      <c r="C1205" t="s">
        <v>757</v>
      </c>
      <c r="D1205">
        <v>10.4</v>
      </c>
      <c r="F1205" t="s">
        <v>1876</v>
      </c>
      <c r="H1205" t="s">
        <v>3269</v>
      </c>
      <c r="I1205" t="s">
        <v>1461</v>
      </c>
      <c r="K1205" t="s">
        <v>5037</v>
      </c>
      <c r="L1205" t="s">
        <v>5039</v>
      </c>
    </row>
    <row r="1206" spans="1:12" x14ac:dyDescent="0.35">
      <c r="A1206" t="s">
        <v>107</v>
      </c>
      <c r="B1206" t="s">
        <v>178</v>
      </c>
      <c r="C1206" t="s">
        <v>758</v>
      </c>
      <c r="D1206">
        <v>7</v>
      </c>
      <c r="F1206" t="s">
        <v>1335</v>
      </c>
      <c r="H1206" t="s">
        <v>3270</v>
      </c>
      <c r="I1206" t="s">
        <v>4898</v>
      </c>
      <c r="K1206" t="s">
        <v>5037</v>
      </c>
      <c r="L1206" t="s">
        <v>5039</v>
      </c>
    </row>
    <row r="1207" spans="1:12" x14ac:dyDescent="0.35">
      <c r="A1207" t="s">
        <v>107</v>
      </c>
      <c r="B1207" t="s">
        <v>178</v>
      </c>
      <c r="C1207" t="s">
        <v>758</v>
      </c>
      <c r="D1207">
        <v>9.1</v>
      </c>
      <c r="F1207" t="s">
        <v>1877</v>
      </c>
      <c r="H1207" t="s">
        <v>3271</v>
      </c>
      <c r="I1207" t="s">
        <v>4898</v>
      </c>
      <c r="K1207" t="s">
        <v>5037</v>
      </c>
      <c r="L1207" t="s">
        <v>5039</v>
      </c>
    </row>
    <row r="1208" spans="1:12" x14ac:dyDescent="0.35">
      <c r="A1208" t="s">
        <v>107</v>
      </c>
      <c r="B1208" t="s">
        <v>178</v>
      </c>
      <c r="C1208" t="s">
        <v>758</v>
      </c>
      <c r="D1208">
        <v>8.5</v>
      </c>
      <c r="F1208" t="s">
        <v>1528</v>
      </c>
      <c r="H1208" t="s">
        <v>3272</v>
      </c>
      <c r="I1208" t="s">
        <v>4898</v>
      </c>
      <c r="K1208" t="s">
        <v>5037</v>
      </c>
      <c r="L1208" t="s">
        <v>5039</v>
      </c>
    </row>
    <row r="1209" spans="1:12" x14ac:dyDescent="0.35">
      <c r="A1209" t="s">
        <v>107</v>
      </c>
      <c r="B1209" t="s">
        <v>178</v>
      </c>
      <c r="C1209" t="s">
        <v>166</v>
      </c>
      <c r="D1209">
        <v>42</v>
      </c>
      <c r="F1209" t="s">
        <v>1878</v>
      </c>
      <c r="H1209" t="s">
        <v>3271</v>
      </c>
      <c r="I1209" t="s">
        <v>4898</v>
      </c>
      <c r="K1209" t="s">
        <v>5037</v>
      </c>
      <c r="L1209" t="s">
        <v>5039</v>
      </c>
    </row>
    <row r="1210" spans="1:12" x14ac:dyDescent="0.35">
      <c r="A1210" t="s">
        <v>107</v>
      </c>
      <c r="B1210" t="s">
        <v>178</v>
      </c>
      <c r="C1210" t="s">
        <v>758</v>
      </c>
      <c r="D1210">
        <v>13.9</v>
      </c>
      <c r="F1210" t="s">
        <v>1879</v>
      </c>
      <c r="H1210" t="s">
        <v>3273</v>
      </c>
      <c r="I1210" t="s">
        <v>4898</v>
      </c>
      <c r="K1210" t="s">
        <v>5037</v>
      </c>
      <c r="L1210" t="s">
        <v>5039</v>
      </c>
    </row>
    <row r="1211" spans="1:12" x14ac:dyDescent="0.35">
      <c r="A1211" t="s">
        <v>107</v>
      </c>
      <c r="B1211" t="s">
        <v>178</v>
      </c>
      <c r="C1211" t="s">
        <v>758</v>
      </c>
      <c r="D1211">
        <v>11.2</v>
      </c>
      <c r="F1211" t="s">
        <v>1880</v>
      </c>
      <c r="H1211" t="s">
        <v>3274</v>
      </c>
      <c r="I1211" t="s">
        <v>4898</v>
      </c>
      <c r="K1211" t="s">
        <v>5037</v>
      </c>
      <c r="L1211" t="s">
        <v>5039</v>
      </c>
    </row>
    <row r="1212" spans="1:12" x14ac:dyDescent="0.35">
      <c r="A1212" t="s">
        <v>107</v>
      </c>
      <c r="B1212" t="s">
        <v>178</v>
      </c>
      <c r="C1212" t="s">
        <v>756</v>
      </c>
      <c r="D1212">
        <v>39.200000000000003</v>
      </c>
      <c r="F1212" t="s">
        <v>1881</v>
      </c>
      <c r="H1212" t="s">
        <v>3273</v>
      </c>
      <c r="I1212" t="s">
        <v>4898</v>
      </c>
      <c r="K1212" t="s">
        <v>5037</v>
      </c>
      <c r="L1212" t="s">
        <v>5039</v>
      </c>
    </row>
    <row r="1213" spans="1:12" x14ac:dyDescent="0.35">
      <c r="A1213" t="s">
        <v>107</v>
      </c>
      <c r="B1213" t="s">
        <v>178</v>
      </c>
      <c r="C1213" t="s">
        <v>166</v>
      </c>
      <c r="D1213">
        <v>25.3</v>
      </c>
      <c r="F1213" t="s">
        <v>1882</v>
      </c>
      <c r="H1213" t="s">
        <v>3270</v>
      </c>
      <c r="I1213" t="s">
        <v>4898</v>
      </c>
      <c r="K1213" t="s">
        <v>5037</v>
      </c>
      <c r="L1213" t="s">
        <v>5039</v>
      </c>
    </row>
    <row r="1214" spans="1:12" x14ac:dyDescent="0.35">
      <c r="A1214" t="s">
        <v>107</v>
      </c>
      <c r="B1214" t="s">
        <v>178</v>
      </c>
      <c r="C1214" t="s">
        <v>756</v>
      </c>
      <c r="D1214">
        <v>46.1</v>
      </c>
      <c r="F1214" t="s">
        <v>1883</v>
      </c>
      <c r="H1214" t="s">
        <v>3274</v>
      </c>
      <c r="I1214" t="s">
        <v>4898</v>
      </c>
      <c r="K1214" t="s">
        <v>5037</v>
      </c>
      <c r="L1214" t="s">
        <v>5039</v>
      </c>
    </row>
    <row r="1215" spans="1:12" x14ac:dyDescent="0.35">
      <c r="A1215" t="s">
        <v>107</v>
      </c>
      <c r="B1215" t="s">
        <v>178</v>
      </c>
      <c r="C1215" t="s">
        <v>166</v>
      </c>
      <c r="D1215">
        <v>31.6</v>
      </c>
      <c r="F1215" t="s">
        <v>1884</v>
      </c>
      <c r="H1215" t="s">
        <v>3274</v>
      </c>
      <c r="I1215" t="s">
        <v>4898</v>
      </c>
      <c r="K1215" t="s">
        <v>5037</v>
      </c>
      <c r="L1215" t="s">
        <v>5039</v>
      </c>
    </row>
    <row r="1216" spans="1:12" x14ac:dyDescent="0.35">
      <c r="A1216" t="s">
        <v>107</v>
      </c>
      <c r="B1216" t="s">
        <v>178</v>
      </c>
      <c r="C1216" t="s">
        <v>166</v>
      </c>
      <c r="D1216">
        <v>40.299999999999997</v>
      </c>
      <c r="F1216" t="s">
        <v>1885</v>
      </c>
      <c r="H1216" t="s">
        <v>3272</v>
      </c>
      <c r="I1216" t="s">
        <v>4898</v>
      </c>
      <c r="K1216" t="s">
        <v>5037</v>
      </c>
      <c r="L1216" t="s">
        <v>5039</v>
      </c>
    </row>
    <row r="1217" spans="1:12" x14ac:dyDescent="0.35">
      <c r="A1217" t="s">
        <v>107</v>
      </c>
      <c r="B1217" t="s">
        <v>178</v>
      </c>
      <c r="C1217" t="s">
        <v>756</v>
      </c>
      <c r="D1217">
        <v>57.3</v>
      </c>
      <c r="F1217" t="s">
        <v>1886</v>
      </c>
      <c r="H1217" t="s">
        <v>3272</v>
      </c>
      <c r="I1217" t="s">
        <v>4898</v>
      </c>
      <c r="K1217" t="s">
        <v>5037</v>
      </c>
      <c r="L1217" t="s">
        <v>5039</v>
      </c>
    </row>
    <row r="1218" spans="1:12" x14ac:dyDescent="0.35">
      <c r="A1218" t="s">
        <v>107</v>
      </c>
      <c r="B1218" t="s">
        <v>178</v>
      </c>
      <c r="C1218" t="s">
        <v>756</v>
      </c>
      <c r="D1218">
        <v>4</v>
      </c>
      <c r="F1218" t="s">
        <v>1379</v>
      </c>
      <c r="H1218" t="s">
        <v>3270</v>
      </c>
      <c r="I1218" t="s">
        <v>4898</v>
      </c>
      <c r="K1218" t="s">
        <v>5037</v>
      </c>
      <c r="L1218" t="s">
        <v>5039</v>
      </c>
    </row>
    <row r="1219" spans="1:12" x14ac:dyDescent="0.35">
      <c r="A1219" t="s">
        <v>107</v>
      </c>
      <c r="B1219" t="s">
        <v>178</v>
      </c>
      <c r="C1219" t="s">
        <v>166</v>
      </c>
      <c r="D1219">
        <v>37.5</v>
      </c>
      <c r="F1219" t="s">
        <v>1887</v>
      </c>
      <c r="H1219" t="s">
        <v>3273</v>
      </c>
      <c r="I1219" t="s">
        <v>4898</v>
      </c>
      <c r="K1219" t="s">
        <v>5037</v>
      </c>
      <c r="L1219" t="s">
        <v>5039</v>
      </c>
    </row>
    <row r="1220" spans="1:12" x14ac:dyDescent="0.35">
      <c r="A1220" t="s">
        <v>107</v>
      </c>
      <c r="B1220" t="s">
        <v>178</v>
      </c>
      <c r="C1220" t="s">
        <v>756</v>
      </c>
      <c r="D1220">
        <v>46.9</v>
      </c>
      <c r="F1220" t="s">
        <v>1888</v>
      </c>
      <c r="H1220" t="s">
        <v>3271</v>
      </c>
      <c r="I1220" t="s">
        <v>4898</v>
      </c>
      <c r="K1220" t="s">
        <v>5037</v>
      </c>
      <c r="L1220" t="s">
        <v>5039</v>
      </c>
    </row>
    <row r="1221" spans="1:12" x14ac:dyDescent="0.35">
      <c r="A1221" t="s">
        <v>107</v>
      </c>
      <c r="B1221" t="s">
        <v>354</v>
      </c>
      <c r="C1221" t="s">
        <v>166</v>
      </c>
      <c r="D1221">
        <v>45</v>
      </c>
      <c r="F1221" t="s">
        <v>1889</v>
      </c>
      <c r="H1221" t="s">
        <v>3275</v>
      </c>
      <c r="I1221" t="s">
        <v>1393</v>
      </c>
      <c r="K1221" t="s">
        <v>5037</v>
      </c>
      <c r="L1221" t="s">
        <v>5039</v>
      </c>
    </row>
    <row r="1222" spans="1:12" x14ac:dyDescent="0.35">
      <c r="A1222" t="s">
        <v>107</v>
      </c>
      <c r="B1222" t="s">
        <v>354</v>
      </c>
      <c r="C1222" t="s">
        <v>164</v>
      </c>
      <c r="D1222">
        <v>1.3</v>
      </c>
      <c r="F1222" t="s">
        <v>1358</v>
      </c>
      <c r="H1222" t="s">
        <v>3276</v>
      </c>
      <c r="I1222" t="s">
        <v>2258</v>
      </c>
      <c r="K1222" t="s">
        <v>5037</v>
      </c>
      <c r="L1222" t="s">
        <v>5039</v>
      </c>
    </row>
    <row r="1223" spans="1:12" x14ac:dyDescent="0.35">
      <c r="A1223" t="s">
        <v>107</v>
      </c>
      <c r="B1223" t="s">
        <v>354</v>
      </c>
      <c r="C1223" t="s">
        <v>166</v>
      </c>
      <c r="D1223">
        <v>7</v>
      </c>
      <c r="F1223" t="s">
        <v>1335</v>
      </c>
      <c r="H1223" t="s">
        <v>3277</v>
      </c>
      <c r="I1223" t="s">
        <v>2258</v>
      </c>
      <c r="K1223" t="s">
        <v>5037</v>
      </c>
      <c r="L1223" t="s">
        <v>5039</v>
      </c>
    </row>
    <row r="1224" spans="1:12" x14ac:dyDescent="0.35">
      <c r="A1224" t="s">
        <v>107</v>
      </c>
      <c r="B1224" t="s">
        <v>354</v>
      </c>
      <c r="C1224" t="s">
        <v>166</v>
      </c>
      <c r="D1224">
        <v>2.1999999999999999E-2</v>
      </c>
      <c r="F1224" t="s">
        <v>1890</v>
      </c>
      <c r="H1224" t="s">
        <v>3278</v>
      </c>
      <c r="I1224" t="s">
        <v>1393</v>
      </c>
      <c r="K1224" t="s">
        <v>5037</v>
      </c>
      <c r="L1224" t="s">
        <v>5039</v>
      </c>
    </row>
    <row r="1225" spans="1:12" x14ac:dyDescent="0.35">
      <c r="A1225" t="s">
        <v>107</v>
      </c>
      <c r="B1225" t="s">
        <v>354</v>
      </c>
      <c r="C1225" t="s">
        <v>166</v>
      </c>
      <c r="D1225">
        <v>7.0000000000000007E-2</v>
      </c>
      <c r="F1225" t="s">
        <v>1456</v>
      </c>
      <c r="I1225" t="s">
        <v>1390</v>
      </c>
      <c r="K1225" t="s">
        <v>5037</v>
      </c>
      <c r="L1225" t="s">
        <v>5039</v>
      </c>
    </row>
    <row r="1226" spans="1:12" x14ac:dyDescent="0.35">
      <c r="A1226" t="s">
        <v>107</v>
      </c>
      <c r="B1226" t="s">
        <v>354</v>
      </c>
      <c r="C1226" t="s">
        <v>166</v>
      </c>
      <c r="D1226">
        <v>0.11</v>
      </c>
      <c r="F1226" t="s">
        <v>1295</v>
      </c>
      <c r="H1226" t="s">
        <v>3279</v>
      </c>
      <c r="I1226" t="s">
        <v>2258</v>
      </c>
      <c r="K1226" t="s">
        <v>5037</v>
      </c>
      <c r="L1226" t="s">
        <v>5039</v>
      </c>
    </row>
    <row r="1227" spans="1:12" x14ac:dyDescent="0.35">
      <c r="A1227" t="s">
        <v>107</v>
      </c>
      <c r="B1227" t="s">
        <v>354</v>
      </c>
      <c r="C1227" t="s">
        <v>164</v>
      </c>
      <c r="D1227">
        <v>1</v>
      </c>
      <c r="F1227" t="s">
        <v>1317</v>
      </c>
      <c r="H1227" t="s">
        <v>3280</v>
      </c>
      <c r="I1227" t="s">
        <v>1393</v>
      </c>
      <c r="K1227" t="s">
        <v>5037</v>
      </c>
      <c r="L1227" t="s">
        <v>5039</v>
      </c>
    </row>
    <row r="1228" spans="1:12" x14ac:dyDescent="0.35">
      <c r="A1228" t="s">
        <v>107</v>
      </c>
      <c r="B1228" t="s">
        <v>354</v>
      </c>
      <c r="C1228" t="s">
        <v>166</v>
      </c>
      <c r="D1228">
        <v>2</v>
      </c>
      <c r="F1228" t="s">
        <v>1372</v>
      </c>
      <c r="H1228" t="s">
        <v>3281</v>
      </c>
      <c r="I1228" t="s">
        <v>1393</v>
      </c>
      <c r="K1228" t="s">
        <v>5037</v>
      </c>
      <c r="L1228" t="s">
        <v>5039</v>
      </c>
    </row>
    <row r="1229" spans="1:12" x14ac:dyDescent="0.35">
      <c r="A1229" t="s">
        <v>107</v>
      </c>
      <c r="B1229" t="s">
        <v>354</v>
      </c>
      <c r="C1229" t="s">
        <v>166</v>
      </c>
      <c r="D1229">
        <v>0.14000000000000001</v>
      </c>
      <c r="F1229" t="s">
        <v>1361</v>
      </c>
      <c r="H1229" t="s">
        <v>3282</v>
      </c>
      <c r="I1229" t="s">
        <v>2258</v>
      </c>
      <c r="K1229" t="s">
        <v>5037</v>
      </c>
      <c r="L1229" t="s">
        <v>5039</v>
      </c>
    </row>
    <row r="1230" spans="1:12" x14ac:dyDescent="0.35">
      <c r="A1230" t="s">
        <v>107</v>
      </c>
      <c r="B1230" t="s">
        <v>354</v>
      </c>
      <c r="C1230" t="s">
        <v>166</v>
      </c>
      <c r="D1230">
        <v>1.4</v>
      </c>
      <c r="F1230" t="s">
        <v>1469</v>
      </c>
      <c r="H1230" t="s">
        <v>3283</v>
      </c>
      <c r="I1230" t="s">
        <v>1359</v>
      </c>
      <c r="K1230" t="s">
        <v>5037</v>
      </c>
      <c r="L1230" t="s">
        <v>5039</v>
      </c>
    </row>
    <row r="1231" spans="1:12" x14ac:dyDescent="0.35">
      <c r="A1231" t="s">
        <v>107</v>
      </c>
      <c r="B1231" t="s">
        <v>354</v>
      </c>
      <c r="C1231" t="s">
        <v>759</v>
      </c>
      <c r="D1231">
        <v>20</v>
      </c>
      <c r="F1231" t="s">
        <v>1458</v>
      </c>
      <c r="H1231" t="s">
        <v>3284</v>
      </c>
      <c r="I1231" t="s">
        <v>2258</v>
      </c>
      <c r="K1231" t="s">
        <v>5037</v>
      </c>
      <c r="L1231" t="s">
        <v>5039</v>
      </c>
    </row>
    <row r="1232" spans="1:12" x14ac:dyDescent="0.35">
      <c r="A1232" t="s">
        <v>107</v>
      </c>
      <c r="B1232" t="s">
        <v>354</v>
      </c>
      <c r="C1232" t="s">
        <v>760</v>
      </c>
      <c r="D1232">
        <v>10</v>
      </c>
      <c r="F1232" t="s">
        <v>1533</v>
      </c>
      <c r="I1232" t="s">
        <v>1390</v>
      </c>
      <c r="K1232" t="s">
        <v>5037</v>
      </c>
      <c r="L1232" t="s">
        <v>5039</v>
      </c>
    </row>
    <row r="1233" spans="1:12" x14ac:dyDescent="0.35">
      <c r="A1233" t="s">
        <v>107</v>
      </c>
      <c r="B1233" t="s">
        <v>354</v>
      </c>
      <c r="C1233" t="s">
        <v>761</v>
      </c>
      <c r="D1233">
        <v>10</v>
      </c>
      <c r="F1233" t="s">
        <v>1533</v>
      </c>
      <c r="H1233" t="s">
        <v>3285</v>
      </c>
      <c r="I1233" t="s">
        <v>1393</v>
      </c>
      <c r="K1233" t="s">
        <v>5037</v>
      </c>
      <c r="L1233" t="s">
        <v>5039</v>
      </c>
    </row>
    <row r="1234" spans="1:12" x14ac:dyDescent="0.35">
      <c r="A1234" t="s">
        <v>107</v>
      </c>
      <c r="B1234" t="s">
        <v>354</v>
      </c>
      <c r="C1234" t="s">
        <v>166</v>
      </c>
      <c r="D1234">
        <v>0.32</v>
      </c>
      <c r="F1234" t="s">
        <v>1470</v>
      </c>
      <c r="H1234" t="s">
        <v>3286</v>
      </c>
      <c r="I1234" t="s">
        <v>1393</v>
      </c>
      <c r="K1234" t="s">
        <v>5037</v>
      </c>
      <c r="L1234" t="s">
        <v>5039</v>
      </c>
    </row>
    <row r="1235" spans="1:12" x14ac:dyDescent="0.35">
      <c r="A1235" t="s">
        <v>107</v>
      </c>
      <c r="B1235" t="s">
        <v>354</v>
      </c>
      <c r="C1235" t="s">
        <v>166</v>
      </c>
      <c r="D1235">
        <v>1.2</v>
      </c>
      <c r="F1235" t="s">
        <v>1421</v>
      </c>
      <c r="H1235" t="s">
        <v>3287</v>
      </c>
      <c r="I1235" t="s">
        <v>1393</v>
      </c>
      <c r="K1235" t="s">
        <v>5037</v>
      </c>
      <c r="L1235" t="s">
        <v>5039</v>
      </c>
    </row>
    <row r="1236" spans="1:12" x14ac:dyDescent="0.35">
      <c r="A1236" t="s">
        <v>107</v>
      </c>
      <c r="B1236" t="s">
        <v>354</v>
      </c>
      <c r="C1236" t="s">
        <v>164</v>
      </c>
      <c r="D1236">
        <v>0.89</v>
      </c>
      <c r="F1236" t="s">
        <v>1840</v>
      </c>
      <c r="H1236" t="s">
        <v>3288</v>
      </c>
      <c r="I1236" t="s">
        <v>1393</v>
      </c>
      <c r="K1236" t="s">
        <v>5037</v>
      </c>
      <c r="L1236" t="s">
        <v>5039</v>
      </c>
    </row>
    <row r="1237" spans="1:12" x14ac:dyDescent="0.35">
      <c r="A1237" t="s">
        <v>107</v>
      </c>
      <c r="B1237" t="s">
        <v>354</v>
      </c>
      <c r="C1237" t="s">
        <v>166</v>
      </c>
      <c r="D1237">
        <v>7.0999999999999994E-2</v>
      </c>
      <c r="F1237" t="s">
        <v>1485</v>
      </c>
      <c r="H1237" t="s">
        <v>3289</v>
      </c>
      <c r="I1237" t="s">
        <v>1393</v>
      </c>
      <c r="K1237" t="s">
        <v>5037</v>
      </c>
      <c r="L1237" t="s">
        <v>5039</v>
      </c>
    </row>
    <row r="1238" spans="1:12" x14ac:dyDescent="0.35">
      <c r="A1238" t="s">
        <v>107</v>
      </c>
      <c r="B1238" t="s">
        <v>354</v>
      </c>
      <c r="C1238" t="s">
        <v>166</v>
      </c>
      <c r="D1238">
        <v>2.8</v>
      </c>
      <c r="F1238" t="s">
        <v>1504</v>
      </c>
      <c r="H1238" t="s">
        <v>3284</v>
      </c>
      <c r="I1238" t="s">
        <v>2258</v>
      </c>
      <c r="K1238" t="s">
        <v>5037</v>
      </c>
      <c r="L1238" t="s">
        <v>5039</v>
      </c>
    </row>
    <row r="1239" spans="1:12" x14ac:dyDescent="0.35">
      <c r="A1239" t="s">
        <v>107</v>
      </c>
      <c r="B1239" t="s">
        <v>354</v>
      </c>
      <c r="C1239" t="s">
        <v>756</v>
      </c>
      <c r="D1239">
        <v>0.69</v>
      </c>
      <c r="F1239" t="s">
        <v>1754</v>
      </c>
      <c r="I1239" t="s">
        <v>1390</v>
      </c>
      <c r="K1239" t="s">
        <v>5037</v>
      </c>
      <c r="L1239" t="s">
        <v>5039</v>
      </c>
    </row>
    <row r="1240" spans="1:12" x14ac:dyDescent="0.35">
      <c r="A1240" t="s">
        <v>107</v>
      </c>
      <c r="B1240" t="s">
        <v>354</v>
      </c>
      <c r="C1240" t="s">
        <v>164</v>
      </c>
      <c r="D1240">
        <v>1.1000000000000001</v>
      </c>
      <c r="F1240" t="s">
        <v>1505</v>
      </c>
      <c r="H1240" t="s">
        <v>3290</v>
      </c>
      <c r="I1240" t="s">
        <v>1393</v>
      </c>
      <c r="K1240" t="s">
        <v>5037</v>
      </c>
      <c r="L1240" t="s">
        <v>5039</v>
      </c>
    </row>
    <row r="1241" spans="1:12" x14ac:dyDescent="0.35">
      <c r="A1241" t="s">
        <v>107</v>
      </c>
      <c r="B1241" t="s">
        <v>354</v>
      </c>
      <c r="C1241" t="s">
        <v>762</v>
      </c>
      <c r="D1241">
        <v>5.4</v>
      </c>
      <c r="F1241" t="s">
        <v>1384</v>
      </c>
      <c r="H1241" t="s">
        <v>3291</v>
      </c>
      <c r="I1241" t="s">
        <v>1359</v>
      </c>
      <c r="K1241" t="s">
        <v>5037</v>
      </c>
      <c r="L1241" t="s">
        <v>5039</v>
      </c>
    </row>
    <row r="1242" spans="1:12" x14ac:dyDescent="0.35">
      <c r="A1242" t="s">
        <v>107</v>
      </c>
      <c r="B1242" t="s">
        <v>354</v>
      </c>
      <c r="C1242" t="s">
        <v>761</v>
      </c>
      <c r="D1242">
        <v>14</v>
      </c>
      <c r="F1242" t="s">
        <v>1467</v>
      </c>
      <c r="H1242" t="s">
        <v>3292</v>
      </c>
      <c r="I1242" t="s">
        <v>1393</v>
      </c>
      <c r="K1242" t="s">
        <v>5037</v>
      </c>
      <c r="L1242" t="s">
        <v>5039</v>
      </c>
    </row>
    <row r="1243" spans="1:12" x14ac:dyDescent="0.35">
      <c r="A1243" t="s">
        <v>107</v>
      </c>
      <c r="B1243" t="s">
        <v>354</v>
      </c>
      <c r="C1243" t="s">
        <v>164</v>
      </c>
      <c r="D1243">
        <v>0.61</v>
      </c>
      <c r="F1243" t="s">
        <v>1891</v>
      </c>
      <c r="H1243" t="s">
        <v>3279</v>
      </c>
      <c r="I1243" t="s">
        <v>2258</v>
      </c>
      <c r="K1243" t="s">
        <v>5037</v>
      </c>
      <c r="L1243" t="s">
        <v>5039</v>
      </c>
    </row>
    <row r="1244" spans="1:12" x14ac:dyDescent="0.35">
      <c r="A1244" t="s">
        <v>107</v>
      </c>
      <c r="B1244" t="s">
        <v>354</v>
      </c>
      <c r="C1244" t="s">
        <v>759</v>
      </c>
      <c r="D1244">
        <v>150</v>
      </c>
      <c r="F1244" t="s">
        <v>1892</v>
      </c>
      <c r="H1244" t="s">
        <v>3293</v>
      </c>
      <c r="I1244" t="s">
        <v>2258</v>
      </c>
      <c r="K1244" t="s">
        <v>5037</v>
      </c>
      <c r="L1244" t="s">
        <v>5039</v>
      </c>
    </row>
    <row r="1245" spans="1:12" x14ac:dyDescent="0.35">
      <c r="A1245" t="s">
        <v>107</v>
      </c>
      <c r="B1245" t="s">
        <v>354</v>
      </c>
      <c r="C1245" t="s">
        <v>758</v>
      </c>
      <c r="D1245">
        <v>0.24</v>
      </c>
      <c r="F1245" t="s">
        <v>1488</v>
      </c>
      <c r="I1245" t="s">
        <v>1390</v>
      </c>
      <c r="K1245" t="s">
        <v>5037</v>
      </c>
      <c r="L1245" t="s">
        <v>5039</v>
      </c>
    </row>
    <row r="1246" spans="1:12" x14ac:dyDescent="0.35">
      <c r="A1246" t="s">
        <v>107</v>
      </c>
      <c r="B1246" t="s">
        <v>354</v>
      </c>
      <c r="C1246" t="s">
        <v>760</v>
      </c>
      <c r="D1246">
        <v>10.4</v>
      </c>
      <c r="F1246" t="s">
        <v>1876</v>
      </c>
      <c r="I1246" t="s">
        <v>1390</v>
      </c>
      <c r="K1246" t="s">
        <v>5037</v>
      </c>
      <c r="L1246" t="s">
        <v>5039</v>
      </c>
    </row>
    <row r="1247" spans="1:12" x14ac:dyDescent="0.35">
      <c r="A1247" t="s">
        <v>107</v>
      </c>
      <c r="B1247" t="s">
        <v>354</v>
      </c>
      <c r="C1247" t="s">
        <v>758</v>
      </c>
      <c r="D1247">
        <v>2.6</v>
      </c>
      <c r="F1247" t="s">
        <v>1428</v>
      </c>
      <c r="H1247" t="s">
        <v>3294</v>
      </c>
      <c r="I1247" t="s">
        <v>1359</v>
      </c>
      <c r="K1247" t="s">
        <v>5037</v>
      </c>
      <c r="L1247" t="s">
        <v>5039</v>
      </c>
    </row>
    <row r="1248" spans="1:12" x14ac:dyDescent="0.35">
      <c r="A1248" t="s">
        <v>107</v>
      </c>
      <c r="B1248" t="s">
        <v>354</v>
      </c>
      <c r="C1248" t="s">
        <v>761</v>
      </c>
      <c r="D1248">
        <v>6</v>
      </c>
      <c r="F1248" t="s">
        <v>1766</v>
      </c>
      <c r="H1248" t="s">
        <v>3295</v>
      </c>
      <c r="I1248" t="s">
        <v>1393</v>
      </c>
      <c r="K1248" t="s">
        <v>5037</v>
      </c>
      <c r="L1248" t="s">
        <v>5039</v>
      </c>
    </row>
    <row r="1249" spans="1:12" x14ac:dyDescent="0.35">
      <c r="A1249" t="s">
        <v>107</v>
      </c>
      <c r="B1249" t="s">
        <v>354</v>
      </c>
      <c r="C1249" t="s">
        <v>761</v>
      </c>
      <c r="D1249">
        <v>15</v>
      </c>
      <c r="F1249" t="s">
        <v>1489</v>
      </c>
      <c r="H1249" t="s">
        <v>3296</v>
      </c>
      <c r="I1249" t="s">
        <v>1393</v>
      </c>
      <c r="K1249" t="s">
        <v>5037</v>
      </c>
      <c r="L1249" t="s">
        <v>5039</v>
      </c>
    </row>
    <row r="1250" spans="1:12" x14ac:dyDescent="0.35">
      <c r="A1250" t="s">
        <v>107</v>
      </c>
      <c r="B1250" t="s">
        <v>354</v>
      </c>
      <c r="C1250" t="s">
        <v>761</v>
      </c>
      <c r="D1250">
        <v>34</v>
      </c>
      <c r="F1250" t="s">
        <v>1584</v>
      </c>
      <c r="H1250" t="s">
        <v>3284</v>
      </c>
      <c r="I1250" t="s">
        <v>2258</v>
      </c>
      <c r="K1250" t="s">
        <v>5037</v>
      </c>
      <c r="L1250" t="s">
        <v>5039</v>
      </c>
    </row>
    <row r="1251" spans="1:12" x14ac:dyDescent="0.35">
      <c r="A1251" t="s">
        <v>107</v>
      </c>
      <c r="B1251" t="s">
        <v>354</v>
      </c>
      <c r="C1251" t="s">
        <v>761</v>
      </c>
      <c r="D1251">
        <v>56</v>
      </c>
      <c r="F1251" t="s">
        <v>1516</v>
      </c>
      <c r="H1251" t="s">
        <v>3297</v>
      </c>
      <c r="I1251" t="s">
        <v>2258</v>
      </c>
      <c r="K1251" t="s">
        <v>5037</v>
      </c>
      <c r="L1251" t="s">
        <v>5039</v>
      </c>
    </row>
    <row r="1252" spans="1:12" x14ac:dyDescent="0.35">
      <c r="A1252" t="s">
        <v>107</v>
      </c>
      <c r="B1252" t="s">
        <v>354</v>
      </c>
      <c r="C1252" t="s">
        <v>761</v>
      </c>
      <c r="D1252">
        <v>7.5</v>
      </c>
      <c r="F1252" t="s">
        <v>1464</v>
      </c>
      <c r="H1252" t="s">
        <v>3298</v>
      </c>
      <c r="I1252" t="s">
        <v>2258</v>
      </c>
      <c r="K1252" t="s">
        <v>5037</v>
      </c>
      <c r="L1252" t="s">
        <v>5039</v>
      </c>
    </row>
    <row r="1253" spans="1:12" x14ac:dyDescent="0.35">
      <c r="A1253" t="s">
        <v>107</v>
      </c>
      <c r="B1253" t="s">
        <v>354</v>
      </c>
      <c r="C1253" t="s">
        <v>761</v>
      </c>
      <c r="D1253">
        <v>18</v>
      </c>
      <c r="F1253" t="s">
        <v>1389</v>
      </c>
      <c r="H1253" t="s">
        <v>3299</v>
      </c>
      <c r="I1253" t="s">
        <v>1393</v>
      </c>
      <c r="K1253" t="s">
        <v>5037</v>
      </c>
      <c r="L1253" t="s">
        <v>5039</v>
      </c>
    </row>
    <row r="1254" spans="1:12" x14ac:dyDescent="0.35">
      <c r="A1254" t="s">
        <v>107</v>
      </c>
      <c r="B1254" t="s">
        <v>354</v>
      </c>
      <c r="C1254" t="s">
        <v>164</v>
      </c>
      <c r="D1254">
        <v>130</v>
      </c>
      <c r="F1254" t="s">
        <v>1893</v>
      </c>
      <c r="H1254" t="s">
        <v>3284</v>
      </c>
      <c r="I1254" t="s">
        <v>2258</v>
      </c>
      <c r="K1254" t="s">
        <v>5037</v>
      </c>
      <c r="L1254" t="s">
        <v>5039</v>
      </c>
    </row>
    <row r="1255" spans="1:12" x14ac:dyDescent="0.35">
      <c r="A1255" t="s">
        <v>107</v>
      </c>
      <c r="B1255" t="s">
        <v>354</v>
      </c>
      <c r="C1255" t="s">
        <v>758</v>
      </c>
      <c r="D1255">
        <v>5.9</v>
      </c>
      <c r="F1255" t="s">
        <v>1852</v>
      </c>
      <c r="H1255" t="s">
        <v>3300</v>
      </c>
      <c r="I1255" t="s">
        <v>1359</v>
      </c>
      <c r="K1255" t="s">
        <v>5037</v>
      </c>
      <c r="L1255" t="s">
        <v>5039</v>
      </c>
    </row>
    <row r="1256" spans="1:12" x14ac:dyDescent="0.35">
      <c r="A1256" t="s">
        <v>107</v>
      </c>
      <c r="B1256" t="s">
        <v>354</v>
      </c>
      <c r="C1256" t="s">
        <v>762</v>
      </c>
      <c r="D1256">
        <v>6.1</v>
      </c>
      <c r="F1256" t="s">
        <v>1894</v>
      </c>
      <c r="H1256" t="s">
        <v>3301</v>
      </c>
      <c r="I1256" t="s">
        <v>1359</v>
      </c>
      <c r="K1256" t="s">
        <v>5037</v>
      </c>
      <c r="L1256" t="s">
        <v>5039</v>
      </c>
    </row>
    <row r="1257" spans="1:12" x14ac:dyDescent="0.35">
      <c r="A1257" t="s">
        <v>107</v>
      </c>
      <c r="B1257" t="s">
        <v>354</v>
      </c>
      <c r="C1257" t="s">
        <v>164</v>
      </c>
      <c r="D1257">
        <v>5.2</v>
      </c>
      <c r="F1257" t="s">
        <v>1511</v>
      </c>
      <c r="H1257" t="s">
        <v>3282</v>
      </c>
      <c r="I1257" t="s">
        <v>2258</v>
      </c>
      <c r="K1257" t="s">
        <v>5037</v>
      </c>
      <c r="L1257" t="s">
        <v>5039</v>
      </c>
    </row>
    <row r="1258" spans="1:12" x14ac:dyDescent="0.35">
      <c r="A1258" t="s">
        <v>107</v>
      </c>
      <c r="B1258" t="s">
        <v>354</v>
      </c>
      <c r="C1258" t="s">
        <v>761</v>
      </c>
      <c r="D1258">
        <v>9.4</v>
      </c>
      <c r="F1258" t="s">
        <v>1895</v>
      </c>
      <c r="H1258" t="s">
        <v>3302</v>
      </c>
      <c r="I1258" t="s">
        <v>1393</v>
      </c>
      <c r="K1258" t="s">
        <v>5037</v>
      </c>
      <c r="L1258" t="s">
        <v>5039</v>
      </c>
    </row>
    <row r="1259" spans="1:12" x14ac:dyDescent="0.35">
      <c r="A1259" t="s">
        <v>107</v>
      </c>
      <c r="B1259" t="s">
        <v>354</v>
      </c>
      <c r="C1259" t="s">
        <v>761</v>
      </c>
      <c r="D1259">
        <v>380</v>
      </c>
      <c r="F1259" t="s">
        <v>1896</v>
      </c>
      <c r="H1259" t="s">
        <v>3303</v>
      </c>
      <c r="I1259" t="s">
        <v>2258</v>
      </c>
      <c r="K1259" t="s">
        <v>5037</v>
      </c>
      <c r="L1259" t="s">
        <v>5039</v>
      </c>
    </row>
    <row r="1260" spans="1:12" x14ac:dyDescent="0.35">
      <c r="A1260" t="s">
        <v>107</v>
      </c>
      <c r="B1260" t="s">
        <v>354</v>
      </c>
      <c r="C1260" t="s">
        <v>166</v>
      </c>
      <c r="D1260">
        <v>1.3</v>
      </c>
      <c r="F1260" t="s">
        <v>1358</v>
      </c>
      <c r="H1260" t="s">
        <v>3304</v>
      </c>
      <c r="I1260" t="s">
        <v>2258</v>
      </c>
      <c r="K1260" t="s">
        <v>5037</v>
      </c>
      <c r="L1260" t="s">
        <v>5039</v>
      </c>
    </row>
    <row r="1261" spans="1:12" x14ac:dyDescent="0.35">
      <c r="A1261" t="s">
        <v>107</v>
      </c>
      <c r="B1261" t="s">
        <v>354</v>
      </c>
      <c r="C1261" t="s">
        <v>166</v>
      </c>
      <c r="D1261">
        <v>0.1</v>
      </c>
      <c r="F1261" t="s">
        <v>1309</v>
      </c>
      <c r="H1261" t="s">
        <v>3305</v>
      </c>
      <c r="I1261" t="s">
        <v>2327</v>
      </c>
      <c r="K1261" t="s">
        <v>5037</v>
      </c>
      <c r="L1261" t="s">
        <v>5039</v>
      </c>
    </row>
    <row r="1262" spans="1:12" x14ac:dyDescent="0.35">
      <c r="A1262" t="s">
        <v>107</v>
      </c>
      <c r="B1262" t="s">
        <v>354</v>
      </c>
      <c r="C1262" t="s">
        <v>164</v>
      </c>
      <c r="D1262">
        <v>1.7</v>
      </c>
      <c r="F1262" t="s">
        <v>1416</v>
      </c>
      <c r="H1262" t="s">
        <v>3306</v>
      </c>
      <c r="I1262" t="s">
        <v>2327</v>
      </c>
      <c r="K1262" t="s">
        <v>5037</v>
      </c>
      <c r="L1262" t="s">
        <v>5039</v>
      </c>
    </row>
    <row r="1263" spans="1:12" x14ac:dyDescent="0.35">
      <c r="A1263" t="s">
        <v>107</v>
      </c>
      <c r="B1263" t="s">
        <v>354</v>
      </c>
      <c r="C1263" t="s">
        <v>164</v>
      </c>
      <c r="D1263">
        <v>0.24</v>
      </c>
      <c r="F1263" t="s">
        <v>1488</v>
      </c>
      <c r="H1263" t="s">
        <v>3307</v>
      </c>
      <c r="I1263" t="s">
        <v>1393</v>
      </c>
      <c r="K1263" t="s">
        <v>5037</v>
      </c>
      <c r="L1263" t="s">
        <v>5039</v>
      </c>
    </row>
    <row r="1264" spans="1:12" x14ac:dyDescent="0.35">
      <c r="A1264" t="s">
        <v>107</v>
      </c>
      <c r="B1264" t="s">
        <v>354</v>
      </c>
      <c r="C1264" t="s">
        <v>164</v>
      </c>
      <c r="D1264">
        <v>11</v>
      </c>
      <c r="F1264" t="s">
        <v>1841</v>
      </c>
      <c r="H1264" t="s">
        <v>3308</v>
      </c>
      <c r="I1264" t="s">
        <v>1393</v>
      </c>
      <c r="K1264" t="s">
        <v>5037</v>
      </c>
      <c r="L1264" t="s">
        <v>5039</v>
      </c>
    </row>
    <row r="1265" spans="1:12" x14ac:dyDescent="0.35">
      <c r="A1265" t="s">
        <v>107</v>
      </c>
      <c r="B1265" t="s">
        <v>457</v>
      </c>
      <c r="C1265" t="s">
        <v>166</v>
      </c>
      <c r="D1265">
        <v>0.16</v>
      </c>
      <c r="F1265" t="s">
        <v>1573</v>
      </c>
      <c r="I1265" t="s">
        <v>4900</v>
      </c>
      <c r="K1265" t="s">
        <v>5037</v>
      </c>
      <c r="L1265" t="s">
        <v>5039</v>
      </c>
    </row>
    <row r="1266" spans="1:12" x14ac:dyDescent="0.35">
      <c r="A1266" t="s">
        <v>107</v>
      </c>
      <c r="B1266" t="s">
        <v>457</v>
      </c>
      <c r="C1266" t="s">
        <v>690</v>
      </c>
      <c r="D1266">
        <v>0.15</v>
      </c>
      <c r="F1266" t="s">
        <v>1269</v>
      </c>
      <c r="I1266" t="s">
        <v>2327</v>
      </c>
      <c r="K1266" t="s">
        <v>5037</v>
      </c>
      <c r="L1266" t="s">
        <v>5039</v>
      </c>
    </row>
    <row r="1267" spans="1:12" x14ac:dyDescent="0.35">
      <c r="A1267" t="s">
        <v>107</v>
      </c>
      <c r="B1267" t="s">
        <v>457</v>
      </c>
      <c r="C1267" t="s">
        <v>756</v>
      </c>
      <c r="D1267">
        <v>0.15</v>
      </c>
      <c r="F1267" t="s">
        <v>1269</v>
      </c>
      <c r="I1267" t="s">
        <v>1367</v>
      </c>
      <c r="K1267" t="s">
        <v>5037</v>
      </c>
      <c r="L1267" t="s">
        <v>5039</v>
      </c>
    </row>
    <row r="1268" spans="1:12" x14ac:dyDescent="0.35">
      <c r="A1268" t="s">
        <v>107</v>
      </c>
      <c r="B1268" t="s">
        <v>320</v>
      </c>
      <c r="C1268" t="s">
        <v>690</v>
      </c>
      <c r="D1268">
        <v>0.06</v>
      </c>
      <c r="F1268" t="s">
        <v>1370</v>
      </c>
      <c r="H1268" t="s">
        <v>3309</v>
      </c>
      <c r="I1268" t="s">
        <v>1969</v>
      </c>
      <c r="K1268" t="s">
        <v>5037</v>
      </c>
      <c r="L1268" t="s">
        <v>5039</v>
      </c>
    </row>
    <row r="1269" spans="1:12" x14ac:dyDescent="0.35">
      <c r="A1269" t="s">
        <v>107</v>
      </c>
      <c r="B1269" t="s">
        <v>320</v>
      </c>
      <c r="C1269" t="s">
        <v>166</v>
      </c>
      <c r="D1269">
        <v>0.87</v>
      </c>
      <c r="F1269" t="s">
        <v>1897</v>
      </c>
      <c r="H1269" t="s">
        <v>3310</v>
      </c>
      <c r="I1269" t="s">
        <v>4901</v>
      </c>
      <c r="K1269" t="s">
        <v>5037</v>
      </c>
      <c r="L1269" t="s">
        <v>5039</v>
      </c>
    </row>
    <row r="1270" spans="1:12" x14ac:dyDescent="0.35">
      <c r="A1270" t="s">
        <v>107</v>
      </c>
      <c r="B1270" t="s">
        <v>320</v>
      </c>
      <c r="C1270" t="s">
        <v>757</v>
      </c>
      <c r="D1270">
        <v>0.32</v>
      </c>
      <c r="F1270" t="s">
        <v>1470</v>
      </c>
      <c r="H1270" t="s">
        <v>3309</v>
      </c>
      <c r="I1270" t="s">
        <v>1969</v>
      </c>
      <c r="K1270" t="s">
        <v>5037</v>
      </c>
      <c r="L1270" t="s">
        <v>5039</v>
      </c>
    </row>
    <row r="1271" spans="1:12" x14ac:dyDescent="0.35">
      <c r="A1271" t="s">
        <v>107</v>
      </c>
      <c r="B1271" t="s">
        <v>320</v>
      </c>
      <c r="C1271" t="s">
        <v>690</v>
      </c>
      <c r="D1271">
        <v>0.27</v>
      </c>
      <c r="F1271" t="s">
        <v>1738</v>
      </c>
      <c r="H1271" t="s">
        <v>3311</v>
      </c>
      <c r="I1271" t="s">
        <v>4901</v>
      </c>
      <c r="K1271" t="s">
        <v>5037</v>
      </c>
      <c r="L1271" t="s">
        <v>5039</v>
      </c>
    </row>
    <row r="1272" spans="1:12" x14ac:dyDescent="0.35">
      <c r="A1272" t="s">
        <v>107</v>
      </c>
      <c r="B1272" t="s">
        <v>320</v>
      </c>
      <c r="C1272" t="s">
        <v>166</v>
      </c>
      <c r="D1272">
        <v>5</v>
      </c>
      <c r="F1272" t="s">
        <v>1477</v>
      </c>
      <c r="H1272" t="s">
        <v>3312</v>
      </c>
      <c r="I1272" t="s">
        <v>4901</v>
      </c>
      <c r="K1272" t="s">
        <v>5037</v>
      </c>
      <c r="L1272" t="s">
        <v>5039</v>
      </c>
    </row>
    <row r="1273" spans="1:12" x14ac:dyDescent="0.35">
      <c r="A1273" t="s">
        <v>107</v>
      </c>
      <c r="B1273" t="s">
        <v>320</v>
      </c>
      <c r="C1273" t="s">
        <v>164</v>
      </c>
      <c r="D1273">
        <v>0.48</v>
      </c>
      <c r="F1273" t="s">
        <v>1508</v>
      </c>
      <c r="H1273" t="s">
        <v>3310</v>
      </c>
      <c r="I1273" t="s">
        <v>4901</v>
      </c>
      <c r="K1273" t="s">
        <v>5037</v>
      </c>
      <c r="L1273" t="s">
        <v>5039</v>
      </c>
    </row>
    <row r="1274" spans="1:12" x14ac:dyDescent="0.35">
      <c r="A1274" t="s">
        <v>107</v>
      </c>
      <c r="B1274" t="s">
        <v>320</v>
      </c>
      <c r="C1274" t="s">
        <v>763</v>
      </c>
      <c r="D1274">
        <v>21.74</v>
      </c>
      <c r="F1274" t="s">
        <v>1898</v>
      </c>
      <c r="H1274" t="s">
        <v>3309</v>
      </c>
      <c r="I1274" t="s">
        <v>1969</v>
      </c>
      <c r="K1274" t="s">
        <v>5037</v>
      </c>
      <c r="L1274" t="s">
        <v>5039</v>
      </c>
    </row>
    <row r="1275" spans="1:12" x14ac:dyDescent="0.35">
      <c r="A1275" t="s">
        <v>107</v>
      </c>
      <c r="B1275" t="s">
        <v>320</v>
      </c>
      <c r="C1275" t="s">
        <v>764</v>
      </c>
      <c r="D1275">
        <v>774.39</v>
      </c>
      <c r="F1275" t="s">
        <v>1899</v>
      </c>
      <c r="H1275" t="s">
        <v>3309</v>
      </c>
      <c r="I1275" t="s">
        <v>1969</v>
      </c>
      <c r="K1275" t="s">
        <v>5037</v>
      </c>
      <c r="L1275" t="s">
        <v>5039</v>
      </c>
    </row>
    <row r="1276" spans="1:12" x14ac:dyDescent="0.35">
      <c r="A1276" t="s">
        <v>107</v>
      </c>
      <c r="B1276" t="s">
        <v>320</v>
      </c>
      <c r="C1276" t="s">
        <v>765</v>
      </c>
      <c r="D1276">
        <v>80.44</v>
      </c>
      <c r="F1276" t="s">
        <v>1900</v>
      </c>
      <c r="H1276" t="s">
        <v>3309</v>
      </c>
      <c r="I1276" t="s">
        <v>1969</v>
      </c>
      <c r="K1276" t="s">
        <v>5037</v>
      </c>
      <c r="L1276" t="s">
        <v>5039</v>
      </c>
    </row>
    <row r="1277" spans="1:12" x14ac:dyDescent="0.35">
      <c r="A1277" t="s">
        <v>107</v>
      </c>
      <c r="B1277" t="s">
        <v>320</v>
      </c>
      <c r="C1277" t="s">
        <v>755</v>
      </c>
      <c r="D1277">
        <v>143.53</v>
      </c>
      <c r="F1277" t="s">
        <v>1901</v>
      </c>
      <c r="H1277" t="s">
        <v>3309</v>
      </c>
      <c r="I1277" t="s">
        <v>1969</v>
      </c>
      <c r="K1277" t="s">
        <v>5037</v>
      </c>
      <c r="L1277" t="s">
        <v>5039</v>
      </c>
    </row>
    <row r="1278" spans="1:12" x14ac:dyDescent="0.35">
      <c r="A1278" t="s">
        <v>107</v>
      </c>
      <c r="B1278" t="s">
        <v>320</v>
      </c>
      <c r="C1278" t="s">
        <v>165</v>
      </c>
      <c r="D1278">
        <v>92.65</v>
      </c>
      <c r="F1278" t="s">
        <v>1902</v>
      </c>
      <c r="H1278" t="s">
        <v>3309</v>
      </c>
      <c r="I1278" t="s">
        <v>1969</v>
      </c>
      <c r="K1278" t="s">
        <v>5037</v>
      </c>
      <c r="L1278" t="s">
        <v>5039</v>
      </c>
    </row>
    <row r="1279" spans="1:12" x14ac:dyDescent="0.35">
      <c r="A1279" t="s">
        <v>107</v>
      </c>
      <c r="B1279" t="s">
        <v>320</v>
      </c>
      <c r="C1279" t="s">
        <v>766</v>
      </c>
      <c r="D1279">
        <v>116.3</v>
      </c>
      <c r="F1279" t="s">
        <v>1903</v>
      </c>
      <c r="H1279" t="s">
        <v>3309</v>
      </c>
      <c r="I1279" t="s">
        <v>1969</v>
      </c>
      <c r="K1279" t="s">
        <v>5037</v>
      </c>
      <c r="L1279" t="s">
        <v>5039</v>
      </c>
    </row>
    <row r="1280" spans="1:12" x14ac:dyDescent="0.35">
      <c r="A1280" t="s">
        <v>107</v>
      </c>
      <c r="B1280" t="s">
        <v>320</v>
      </c>
      <c r="C1280" t="s">
        <v>161</v>
      </c>
      <c r="D1280">
        <v>49.36</v>
      </c>
      <c r="F1280" t="s">
        <v>1904</v>
      </c>
      <c r="H1280" t="s">
        <v>3309</v>
      </c>
      <c r="I1280" t="s">
        <v>1969</v>
      </c>
      <c r="K1280" t="s">
        <v>5037</v>
      </c>
      <c r="L1280" t="s">
        <v>5039</v>
      </c>
    </row>
    <row r="1281" spans="1:12" x14ac:dyDescent="0.35">
      <c r="A1281" t="s">
        <v>107</v>
      </c>
      <c r="B1281" t="s">
        <v>320</v>
      </c>
      <c r="C1281" t="s">
        <v>164</v>
      </c>
      <c r="D1281">
        <v>1755.4</v>
      </c>
      <c r="F1281" t="s">
        <v>1905</v>
      </c>
      <c r="H1281" t="s">
        <v>3309</v>
      </c>
      <c r="I1281" t="s">
        <v>1969</v>
      </c>
      <c r="K1281" t="s">
        <v>5037</v>
      </c>
      <c r="L1281" t="s">
        <v>5039</v>
      </c>
    </row>
    <row r="1282" spans="1:12" x14ac:dyDescent="0.35">
      <c r="A1282" t="s">
        <v>107</v>
      </c>
      <c r="B1282" t="s">
        <v>320</v>
      </c>
      <c r="C1282" t="s">
        <v>164</v>
      </c>
      <c r="D1282">
        <v>1.6</v>
      </c>
      <c r="F1282" t="s">
        <v>1328</v>
      </c>
      <c r="H1282" t="s">
        <v>3313</v>
      </c>
      <c r="I1282" t="s">
        <v>1393</v>
      </c>
      <c r="K1282" t="s">
        <v>5037</v>
      </c>
      <c r="L1282" t="s">
        <v>5039</v>
      </c>
    </row>
    <row r="1283" spans="1:12" x14ac:dyDescent="0.35">
      <c r="A1283" t="s">
        <v>107</v>
      </c>
      <c r="B1283" t="s">
        <v>320</v>
      </c>
      <c r="C1283" t="s">
        <v>690</v>
      </c>
      <c r="D1283">
        <v>0.22</v>
      </c>
      <c r="F1283" t="s">
        <v>1438</v>
      </c>
      <c r="H1283" t="s">
        <v>3314</v>
      </c>
      <c r="I1283" t="s">
        <v>2323</v>
      </c>
      <c r="K1283" t="s">
        <v>5037</v>
      </c>
      <c r="L1283" t="s">
        <v>5039</v>
      </c>
    </row>
    <row r="1284" spans="1:12" x14ac:dyDescent="0.35">
      <c r="A1284" t="s">
        <v>107</v>
      </c>
      <c r="B1284" t="s">
        <v>458</v>
      </c>
      <c r="C1284" t="s">
        <v>761</v>
      </c>
      <c r="D1284">
        <v>0.31</v>
      </c>
      <c r="F1284" t="s">
        <v>1714</v>
      </c>
      <c r="I1284" t="s">
        <v>2327</v>
      </c>
      <c r="K1284" t="s">
        <v>5037</v>
      </c>
      <c r="L1284" t="s">
        <v>5039</v>
      </c>
    </row>
    <row r="1285" spans="1:12" x14ac:dyDescent="0.35">
      <c r="A1285" t="s">
        <v>107</v>
      </c>
      <c r="B1285" t="s">
        <v>458</v>
      </c>
      <c r="C1285" t="s">
        <v>767</v>
      </c>
      <c r="D1285">
        <v>0.31</v>
      </c>
      <c r="F1285" t="s">
        <v>1714</v>
      </c>
      <c r="I1285" t="s">
        <v>1851</v>
      </c>
      <c r="K1285" t="s">
        <v>5037</v>
      </c>
      <c r="L1285" t="s">
        <v>5039</v>
      </c>
    </row>
    <row r="1286" spans="1:12" x14ac:dyDescent="0.35">
      <c r="A1286" t="s">
        <v>107</v>
      </c>
      <c r="B1286" t="s">
        <v>458</v>
      </c>
      <c r="C1286" t="s">
        <v>690</v>
      </c>
      <c r="D1286">
        <v>0.41</v>
      </c>
      <c r="F1286" t="s">
        <v>1555</v>
      </c>
      <c r="I1286" t="s">
        <v>2327</v>
      </c>
      <c r="K1286" t="s">
        <v>5037</v>
      </c>
      <c r="L1286" t="s">
        <v>5039</v>
      </c>
    </row>
    <row r="1287" spans="1:12" x14ac:dyDescent="0.35">
      <c r="A1287" t="s">
        <v>107</v>
      </c>
      <c r="B1287" t="s">
        <v>458</v>
      </c>
      <c r="C1287" t="s">
        <v>756</v>
      </c>
      <c r="D1287">
        <v>0.41</v>
      </c>
      <c r="F1287" t="s">
        <v>1555</v>
      </c>
      <c r="I1287" t="s">
        <v>1851</v>
      </c>
      <c r="K1287" t="s">
        <v>5037</v>
      </c>
      <c r="L1287" t="s">
        <v>5039</v>
      </c>
    </row>
    <row r="1288" spans="1:12" x14ac:dyDescent="0.35">
      <c r="A1288" t="s">
        <v>107</v>
      </c>
      <c r="B1288" t="s">
        <v>458</v>
      </c>
      <c r="C1288" t="s">
        <v>166</v>
      </c>
      <c r="D1288">
        <v>1.41</v>
      </c>
      <c r="F1288" t="s">
        <v>1906</v>
      </c>
      <c r="I1288" t="s">
        <v>4902</v>
      </c>
      <c r="K1288" t="s">
        <v>5037</v>
      </c>
      <c r="L1288" t="s">
        <v>5039</v>
      </c>
    </row>
    <row r="1289" spans="1:12" x14ac:dyDescent="0.35">
      <c r="A1289" t="s">
        <v>107</v>
      </c>
      <c r="B1289" t="s">
        <v>458</v>
      </c>
      <c r="C1289" t="s">
        <v>164</v>
      </c>
      <c r="D1289">
        <v>0.94</v>
      </c>
      <c r="F1289" t="s">
        <v>1651</v>
      </c>
      <c r="I1289" t="s">
        <v>2327</v>
      </c>
      <c r="K1289" t="s">
        <v>5037</v>
      </c>
      <c r="L1289" t="s">
        <v>5039</v>
      </c>
    </row>
    <row r="1290" spans="1:12" x14ac:dyDescent="0.35">
      <c r="A1290" t="s">
        <v>107</v>
      </c>
      <c r="B1290" t="s">
        <v>458</v>
      </c>
      <c r="C1290" t="s">
        <v>758</v>
      </c>
      <c r="D1290">
        <v>0.94</v>
      </c>
      <c r="F1290" t="s">
        <v>1651</v>
      </c>
      <c r="I1290" t="s">
        <v>1851</v>
      </c>
      <c r="K1290" t="s">
        <v>5037</v>
      </c>
      <c r="L1290" t="s">
        <v>5039</v>
      </c>
    </row>
    <row r="1291" spans="1:12" x14ac:dyDescent="0.35">
      <c r="A1291" t="s">
        <v>107</v>
      </c>
      <c r="B1291" t="s">
        <v>459</v>
      </c>
      <c r="C1291" t="s">
        <v>690</v>
      </c>
      <c r="D1291">
        <v>0.4</v>
      </c>
      <c r="F1291" t="s">
        <v>1315</v>
      </c>
      <c r="I1291" t="s">
        <v>2327</v>
      </c>
      <c r="K1291" t="s">
        <v>5037</v>
      </c>
      <c r="L1291" t="s">
        <v>5039</v>
      </c>
    </row>
    <row r="1292" spans="1:12" x14ac:dyDescent="0.35">
      <c r="A1292" t="s">
        <v>107</v>
      </c>
      <c r="B1292" t="s">
        <v>352</v>
      </c>
      <c r="C1292" t="s">
        <v>690</v>
      </c>
      <c r="D1292">
        <v>1.1E-4</v>
      </c>
      <c r="F1292" t="s">
        <v>1907</v>
      </c>
      <c r="H1292" t="s">
        <v>3315</v>
      </c>
      <c r="I1292" t="s">
        <v>4867</v>
      </c>
      <c r="K1292" t="s">
        <v>5037</v>
      </c>
      <c r="L1292" t="s">
        <v>5039</v>
      </c>
    </row>
    <row r="1293" spans="1:12" x14ac:dyDescent="0.35">
      <c r="A1293" t="s">
        <v>107</v>
      </c>
      <c r="B1293" t="s">
        <v>352</v>
      </c>
      <c r="C1293" t="s">
        <v>166</v>
      </c>
      <c r="D1293">
        <v>1.9000000000000001E-4</v>
      </c>
      <c r="F1293" t="s">
        <v>1908</v>
      </c>
      <c r="H1293" t="s">
        <v>3316</v>
      </c>
      <c r="I1293" t="s">
        <v>4867</v>
      </c>
      <c r="K1293" t="s">
        <v>5037</v>
      </c>
      <c r="L1293" t="s">
        <v>5039</v>
      </c>
    </row>
    <row r="1294" spans="1:12" x14ac:dyDescent="0.35">
      <c r="A1294" t="s">
        <v>107</v>
      </c>
      <c r="B1294" t="s">
        <v>352</v>
      </c>
      <c r="C1294" t="s">
        <v>166</v>
      </c>
      <c r="D1294">
        <v>2.4000000000000001E-4</v>
      </c>
      <c r="F1294" t="s">
        <v>1333</v>
      </c>
      <c r="H1294" t="s">
        <v>3317</v>
      </c>
      <c r="I1294" t="s">
        <v>4867</v>
      </c>
      <c r="K1294" t="s">
        <v>5037</v>
      </c>
      <c r="L1294" t="s">
        <v>5039</v>
      </c>
    </row>
    <row r="1295" spans="1:12" x14ac:dyDescent="0.35">
      <c r="A1295" t="s">
        <v>107</v>
      </c>
      <c r="B1295" t="s">
        <v>352</v>
      </c>
      <c r="C1295" t="s">
        <v>166</v>
      </c>
      <c r="D1295">
        <v>2.5000000000000001E-4</v>
      </c>
      <c r="F1295" t="s">
        <v>1480</v>
      </c>
      <c r="H1295" t="s">
        <v>3318</v>
      </c>
      <c r="I1295" t="s">
        <v>4867</v>
      </c>
      <c r="K1295" t="s">
        <v>5037</v>
      </c>
      <c r="L1295" t="s">
        <v>5039</v>
      </c>
    </row>
    <row r="1296" spans="1:12" x14ac:dyDescent="0.35">
      <c r="A1296" t="s">
        <v>107</v>
      </c>
      <c r="B1296" t="s">
        <v>352</v>
      </c>
      <c r="C1296" t="s">
        <v>164</v>
      </c>
      <c r="D1296">
        <v>4.0000000000000001E-3</v>
      </c>
      <c r="F1296" t="s">
        <v>1838</v>
      </c>
      <c r="H1296" t="s">
        <v>3319</v>
      </c>
      <c r="I1296" t="s">
        <v>4867</v>
      </c>
      <c r="K1296" t="s">
        <v>5037</v>
      </c>
      <c r="L1296" t="s">
        <v>5039</v>
      </c>
    </row>
    <row r="1297" spans="1:12" x14ac:dyDescent="0.35">
      <c r="A1297" t="s">
        <v>107</v>
      </c>
      <c r="B1297" t="s">
        <v>352</v>
      </c>
      <c r="C1297" t="s">
        <v>166</v>
      </c>
      <c r="D1297">
        <v>1.3999999999999999E-4</v>
      </c>
      <c r="F1297" t="s">
        <v>1761</v>
      </c>
      <c r="H1297" t="s">
        <v>3320</v>
      </c>
      <c r="I1297" t="s">
        <v>4867</v>
      </c>
      <c r="K1297" t="s">
        <v>5037</v>
      </c>
      <c r="L1297" t="s">
        <v>5039</v>
      </c>
    </row>
    <row r="1298" spans="1:12" x14ac:dyDescent="0.35">
      <c r="A1298" t="s">
        <v>107</v>
      </c>
      <c r="B1298" t="s">
        <v>352</v>
      </c>
      <c r="C1298" t="s">
        <v>690</v>
      </c>
      <c r="D1298">
        <v>1.3999999999999999E-4</v>
      </c>
      <c r="F1298" t="s">
        <v>1761</v>
      </c>
      <c r="H1298" t="s">
        <v>3321</v>
      </c>
      <c r="I1298" t="s">
        <v>4867</v>
      </c>
      <c r="K1298" t="s">
        <v>5037</v>
      </c>
      <c r="L1298" t="s">
        <v>5039</v>
      </c>
    </row>
    <row r="1299" spans="1:12" x14ac:dyDescent="0.35">
      <c r="A1299" t="s">
        <v>107</v>
      </c>
      <c r="B1299" t="s">
        <v>352</v>
      </c>
      <c r="C1299" t="s">
        <v>758</v>
      </c>
      <c r="D1299">
        <v>0.5</v>
      </c>
      <c r="F1299" t="s">
        <v>1440</v>
      </c>
      <c r="I1299" t="s">
        <v>1368</v>
      </c>
      <c r="K1299" t="s">
        <v>5037</v>
      </c>
      <c r="L1299" t="s">
        <v>5039</v>
      </c>
    </row>
    <row r="1300" spans="1:12" x14ac:dyDescent="0.35">
      <c r="A1300" t="s">
        <v>107</v>
      </c>
      <c r="B1300" t="s">
        <v>352</v>
      </c>
      <c r="C1300" t="s">
        <v>758</v>
      </c>
      <c r="D1300">
        <v>1.7</v>
      </c>
      <c r="F1300" t="s">
        <v>1416</v>
      </c>
      <c r="H1300" t="s">
        <v>3322</v>
      </c>
      <c r="I1300" t="s">
        <v>1317</v>
      </c>
      <c r="K1300" t="s">
        <v>5037</v>
      </c>
      <c r="L1300" t="s">
        <v>5039</v>
      </c>
    </row>
    <row r="1301" spans="1:12" x14ac:dyDescent="0.35">
      <c r="A1301" t="s">
        <v>107</v>
      </c>
      <c r="B1301" t="s">
        <v>352</v>
      </c>
      <c r="C1301" t="s">
        <v>756</v>
      </c>
      <c r="D1301">
        <v>0.09</v>
      </c>
      <c r="F1301" t="s">
        <v>1310</v>
      </c>
      <c r="I1301" t="s">
        <v>1368</v>
      </c>
      <c r="K1301" t="s">
        <v>5037</v>
      </c>
      <c r="L1301" t="s">
        <v>5039</v>
      </c>
    </row>
    <row r="1302" spans="1:12" x14ac:dyDescent="0.35">
      <c r="A1302" t="s">
        <v>107</v>
      </c>
      <c r="B1302" t="s">
        <v>352</v>
      </c>
      <c r="C1302" t="s">
        <v>166</v>
      </c>
      <c r="D1302">
        <v>1E-4</v>
      </c>
      <c r="F1302" t="s">
        <v>1289</v>
      </c>
      <c r="H1302" t="s">
        <v>3323</v>
      </c>
      <c r="I1302" t="s">
        <v>4867</v>
      </c>
      <c r="K1302" t="s">
        <v>5037</v>
      </c>
      <c r="L1302" t="s">
        <v>5039</v>
      </c>
    </row>
    <row r="1303" spans="1:12" x14ac:dyDescent="0.35">
      <c r="A1303" t="s">
        <v>107</v>
      </c>
      <c r="B1303" t="s">
        <v>352</v>
      </c>
      <c r="C1303" t="s">
        <v>690</v>
      </c>
      <c r="D1303">
        <v>1E-4</v>
      </c>
      <c r="F1303" t="s">
        <v>1289</v>
      </c>
      <c r="H1303" t="s">
        <v>3324</v>
      </c>
      <c r="I1303" t="s">
        <v>4867</v>
      </c>
      <c r="K1303" t="s">
        <v>5037</v>
      </c>
      <c r="L1303" t="s">
        <v>5039</v>
      </c>
    </row>
    <row r="1304" spans="1:12" x14ac:dyDescent="0.35">
      <c r="A1304" t="s">
        <v>107</v>
      </c>
      <c r="B1304" t="s">
        <v>352</v>
      </c>
      <c r="C1304" t="s">
        <v>166</v>
      </c>
      <c r="D1304">
        <v>4.6000000000000001E-4</v>
      </c>
      <c r="F1304" t="s">
        <v>1909</v>
      </c>
      <c r="H1304" t="s">
        <v>3325</v>
      </c>
      <c r="I1304" t="s">
        <v>4867</v>
      </c>
      <c r="K1304" t="s">
        <v>5037</v>
      </c>
      <c r="L1304" t="s">
        <v>5039</v>
      </c>
    </row>
    <row r="1305" spans="1:12" x14ac:dyDescent="0.35">
      <c r="A1305" t="s">
        <v>107</v>
      </c>
      <c r="B1305" t="s">
        <v>352</v>
      </c>
      <c r="C1305" t="s">
        <v>166</v>
      </c>
      <c r="D1305">
        <v>0.01</v>
      </c>
      <c r="F1305" t="s">
        <v>1376</v>
      </c>
      <c r="I1305" t="s">
        <v>1368</v>
      </c>
      <c r="K1305" t="s">
        <v>5037</v>
      </c>
      <c r="L1305" t="s">
        <v>5039</v>
      </c>
    </row>
    <row r="1306" spans="1:12" x14ac:dyDescent="0.35">
      <c r="A1306" t="s">
        <v>107</v>
      </c>
      <c r="B1306" t="s">
        <v>352</v>
      </c>
      <c r="C1306" t="s">
        <v>164</v>
      </c>
      <c r="D1306">
        <v>3.2000000000000002E-3</v>
      </c>
      <c r="F1306" t="s">
        <v>1339</v>
      </c>
      <c r="H1306" t="s">
        <v>3326</v>
      </c>
      <c r="I1306" t="s">
        <v>4867</v>
      </c>
      <c r="K1306" t="s">
        <v>5037</v>
      </c>
      <c r="L1306" t="s">
        <v>5039</v>
      </c>
    </row>
    <row r="1307" spans="1:12" x14ac:dyDescent="0.35">
      <c r="A1307" t="s">
        <v>107</v>
      </c>
      <c r="B1307" t="s">
        <v>352</v>
      </c>
      <c r="C1307" t="s">
        <v>164</v>
      </c>
      <c r="D1307">
        <v>5.3E-3</v>
      </c>
      <c r="F1307" t="s">
        <v>1842</v>
      </c>
      <c r="H1307" t="s">
        <v>3318</v>
      </c>
      <c r="I1307" t="s">
        <v>4867</v>
      </c>
      <c r="K1307" t="s">
        <v>5037</v>
      </c>
      <c r="L1307" t="s">
        <v>5039</v>
      </c>
    </row>
    <row r="1308" spans="1:12" x14ac:dyDescent="0.35">
      <c r="A1308" t="s">
        <v>107</v>
      </c>
      <c r="B1308" t="s">
        <v>352</v>
      </c>
      <c r="C1308" t="s">
        <v>166</v>
      </c>
      <c r="D1308">
        <v>5.2999999999999998E-4</v>
      </c>
      <c r="F1308" t="s">
        <v>1910</v>
      </c>
      <c r="H1308" t="s">
        <v>3326</v>
      </c>
      <c r="I1308" t="s">
        <v>4867</v>
      </c>
      <c r="K1308" t="s">
        <v>5037</v>
      </c>
      <c r="L1308" t="s">
        <v>5039</v>
      </c>
    </row>
    <row r="1309" spans="1:12" x14ac:dyDescent="0.35">
      <c r="A1309" t="s">
        <v>107</v>
      </c>
      <c r="B1309" t="s">
        <v>352</v>
      </c>
      <c r="C1309" t="s">
        <v>164</v>
      </c>
      <c r="D1309">
        <v>3.8999999999999998E-3</v>
      </c>
      <c r="F1309" t="s">
        <v>1845</v>
      </c>
      <c r="H1309" t="s">
        <v>3320</v>
      </c>
      <c r="I1309" t="s">
        <v>4867</v>
      </c>
      <c r="K1309" t="s">
        <v>5037</v>
      </c>
      <c r="L1309" t="s">
        <v>5039</v>
      </c>
    </row>
    <row r="1310" spans="1:12" x14ac:dyDescent="0.35">
      <c r="A1310" t="s">
        <v>107</v>
      </c>
      <c r="B1310" t="s">
        <v>352</v>
      </c>
      <c r="C1310" t="s">
        <v>164</v>
      </c>
      <c r="D1310">
        <v>5.1000000000000004E-3</v>
      </c>
      <c r="F1310" t="s">
        <v>1911</v>
      </c>
      <c r="H1310" t="s">
        <v>3327</v>
      </c>
      <c r="I1310" t="s">
        <v>4867</v>
      </c>
      <c r="K1310" t="s">
        <v>5037</v>
      </c>
      <c r="L1310" t="s">
        <v>5039</v>
      </c>
    </row>
    <row r="1311" spans="1:12" x14ac:dyDescent="0.35">
      <c r="A1311" t="s">
        <v>107</v>
      </c>
      <c r="B1311" t="s">
        <v>352</v>
      </c>
      <c r="C1311" t="s">
        <v>690</v>
      </c>
      <c r="D1311">
        <v>1.6000000000000001E-4</v>
      </c>
      <c r="F1311" t="s">
        <v>1912</v>
      </c>
      <c r="H1311" t="s">
        <v>3317</v>
      </c>
      <c r="I1311" t="s">
        <v>4867</v>
      </c>
      <c r="K1311" t="s">
        <v>5037</v>
      </c>
      <c r="L1311" t="s">
        <v>5039</v>
      </c>
    </row>
    <row r="1312" spans="1:12" x14ac:dyDescent="0.35">
      <c r="A1312" t="s">
        <v>107</v>
      </c>
      <c r="B1312" t="s">
        <v>352</v>
      </c>
      <c r="C1312" t="s">
        <v>164</v>
      </c>
      <c r="D1312">
        <v>4.1000000000000003E-3</v>
      </c>
      <c r="F1312" t="s">
        <v>1913</v>
      </c>
      <c r="H1312" t="s">
        <v>3317</v>
      </c>
      <c r="I1312" t="s">
        <v>4867</v>
      </c>
      <c r="K1312" t="s">
        <v>5037</v>
      </c>
      <c r="L1312" t="s">
        <v>5039</v>
      </c>
    </row>
    <row r="1313" spans="1:12" x14ac:dyDescent="0.35">
      <c r="A1313" t="s">
        <v>107</v>
      </c>
      <c r="B1313" t="s">
        <v>352</v>
      </c>
      <c r="C1313" t="s">
        <v>756</v>
      </c>
      <c r="D1313">
        <v>0.1</v>
      </c>
      <c r="F1313" t="s">
        <v>1309</v>
      </c>
      <c r="H1313" t="s">
        <v>3328</v>
      </c>
      <c r="I1313" t="s">
        <v>1317</v>
      </c>
      <c r="K1313" t="s">
        <v>5037</v>
      </c>
      <c r="L1313" t="s">
        <v>5039</v>
      </c>
    </row>
    <row r="1314" spans="1:12" x14ac:dyDescent="0.35">
      <c r="A1314" t="s">
        <v>107</v>
      </c>
      <c r="B1314" t="s">
        <v>352</v>
      </c>
      <c r="C1314" t="s">
        <v>758</v>
      </c>
      <c r="D1314">
        <v>0.7</v>
      </c>
      <c r="F1314" t="s">
        <v>1378</v>
      </c>
      <c r="H1314" t="s">
        <v>3329</v>
      </c>
      <c r="I1314" t="s">
        <v>1317</v>
      </c>
      <c r="K1314" t="s">
        <v>5037</v>
      </c>
      <c r="L1314" t="s">
        <v>5039</v>
      </c>
    </row>
    <row r="1315" spans="1:12" x14ac:dyDescent="0.35">
      <c r="A1315" t="s">
        <v>107</v>
      </c>
      <c r="B1315" t="s">
        <v>352</v>
      </c>
      <c r="C1315" t="s">
        <v>760</v>
      </c>
      <c r="D1315">
        <v>1.3</v>
      </c>
      <c r="F1315" t="s">
        <v>1358</v>
      </c>
      <c r="H1315" t="s">
        <v>3330</v>
      </c>
      <c r="I1315" t="s">
        <v>1317</v>
      </c>
      <c r="K1315" t="s">
        <v>5037</v>
      </c>
      <c r="L1315" t="s">
        <v>5039</v>
      </c>
    </row>
    <row r="1316" spans="1:12" x14ac:dyDescent="0.35">
      <c r="A1316" t="s">
        <v>107</v>
      </c>
      <c r="B1316" t="s">
        <v>352</v>
      </c>
      <c r="C1316" t="s">
        <v>756</v>
      </c>
      <c r="D1316">
        <v>0.2</v>
      </c>
      <c r="F1316" t="s">
        <v>1371</v>
      </c>
      <c r="H1316" t="s">
        <v>3331</v>
      </c>
      <c r="I1316" t="s">
        <v>1943</v>
      </c>
      <c r="K1316" t="s">
        <v>5037</v>
      </c>
      <c r="L1316" t="s">
        <v>5039</v>
      </c>
    </row>
    <row r="1317" spans="1:12" x14ac:dyDescent="0.35">
      <c r="A1317" t="s">
        <v>107</v>
      </c>
      <c r="B1317" t="s">
        <v>352</v>
      </c>
      <c r="C1317" t="s">
        <v>760</v>
      </c>
      <c r="D1317">
        <v>1.4</v>
      </c>
      <c r="F1317" t="s">
        <v>1469</v>
      </c>
      <c r="H1317" t="s">
        <v>3332</v>
      </c>
      <c r="I1317" t="s">
        <v>1317</v>
      </c>
      <c r="K1317" t="s">
        <v>5037</v>
      </c>
      <c r="L1317" t="s">
        <v>5039</v>
      </c>
    </row>
    <row r="1318" spans="1:12" x14ac:dyDescent="0.35">
      <c r="A1318" t="s">
        <v>107</v>
      </c>
      <c r="B1318" t="s">
        <v>171</v>
      </c>
      <c r="C1318" t="s">
        <v>166</v>
      </c>
      <c r="D1318">
        <v>0.78</v>
      </c>
      <c r="F1318" t="s">
        <v>1442</v>
      </c>
      <c r="H1318" t="s">
        <v>3333</v>
      </c>
      <c r="I1318" t="s">
        <v>4903</v>
      </c>
      <c r="K1318" t="s">
        <v>5037</v>
      </c>
      <c r="L1318" t="s">
        <v>5039</v>
      </c>
    </row>
    <row r="1319" spans="1:12" x14ac:dyDescent="0.35">
      <c r="A1319" t="s">
        <v>107</v>
      </c>
      <c r="B1319" t="s">
        <v>171</v>
      </c>
      <c r="C1319" t="s">
        <v>690</v>
      </c>
      <c r="D1319">
        <v>1.41</v>
      </c>
      <c r="F1319" t="s">
        <v>1906</v>
      </c>
      <c r="H1319" t="s">
        <v>3334</v>
      </c>
      <c r="I1319" t="s">
        <v>4903</v>
      </c>
      <c r="K1319" t="s">
        <v>5037</v>
      </c>
      <c r="L1319" t="s">
        <v>5039</v>
      </c>
    </row>
    <row r="1320" spans="1:12" x14ac:dyDescent="0.35">
      <c r="A1320" t="s">
        <v>107</v>
      </c>
      <c r="B1320" t="s">
        <v>171</v>
      </c>
      <c r="C1320" t="s">
        <v>690</v>
      </c>
      <c r="D1320">
        <v>2.7</v>
      </c>
      <c r="F1320" t="s">
        <v>1557</v>
      </c>
      <c r="H1320" t="s">
        <v>3335</v>
      </c>
      <c r="I1320" t="s">
        <v>4903</v>
      </c>
      <c r="K1320" t="s">
        <v>5037</v>
      </c>
      <c r="L1320" t="s">
        <v>5039</v>
      </c>
    </row>
    <row r="1321" spans="1:12" x14ac:dyDescent="0.35">
      <c r="A1321" t="s">
        <v>107</v>
      </c>
      <c r="B1321" t="s">
        <v>171</v>
      </c>
      <c r="C1321" t="s">
        <v>166</v>
      </c>
      <c r="D1321">
        <v>1.07</v>
      </c>
      <c r="F1321" t="s">
        <v>1713</v>
      </c>
      <c r="H1321" t="s">
        <v>3336</v>
      </c>
      <c r="I1321" t="s">
        <v>4903</v>
      </c>
      <c r="K1321" t="s">
        <v>5037</v>
      </c>
      <c r="L1321" t="s">
        <v>5039</v>
      </c>
    </row>
    <row r="1322" spans="1:12" x14ac:dyDescent="0.35">
      <c r="A1322" t="s">
        <v>107</v>
      </c>
      <c r="B1322" t="s">
        <v>171</v>
      </c>
      <c r="C1322" t="s">
        <v>164</v>
      </c>
      <c r="D1322">
        <v>0.68</v>
      </c>
      <c r="F1322" t="s">
        <v>1735</v>
      </c>
      <c r="H1322" t="s">
        <v>3334</v>
      </c>
      <c r="I1322" t="s">
        <v>4903</v>
      </c>
      <c r="K1322" t="s">
        <v>5037</v>
      </c>
      <c r="L1322" t="s">
        <v>5039</v>
      </c>
    </row>
    <row r="1323" spans="1:12" x14ac:dyDescent="0.35">
      <c r="A1323" t="s">
        <v>107</v>
      </c>
      <c r="B1323" t="s">
        <v>171</v>
      </c>
      <c r="C1323" t="s">
        <v>690</v>
      </c>
      <c r="D1323">
        <v>1.73</v>
      </c>
      <c r="F1323" t="s">
        <v>1914</v>
      </c>
      <c r="H1323" t="s">
        <v>3337</v>
      </c>
      <c r="I1323" t="s">
        <v>4903</v>
      </c>
      <c r="K1323" t="s">
        <v>5037</v>
      </c>
      <c r="L1323" t="s">
        <v>5039</v>
      </c>
    </row>
    <row r="1324" spans="1:12" x14ac:dyDescent="0.35">
      <c r="A1324" t="s">
        <v>107</v>
      </c>
      <c r="B1324" t="s">
        <v>171</v>
      </c>
      <c r="C1324" t="s">
        <v>166</v>
      </c>
      <c r="D1324">
        <v>0.88</v>
      </c>
      <c r="F1324" t="s">
        <v>1915</v>
      </c>
      <c r="H1324" t="s">
        <v>3338</v>
      </c>
      <c r="I1324" t="s">
        <v>4903</v>
      </c>
      <c r="K1324" t="s">
        <v>5037</v>
      </c>
      <c r="L1324" t="s">
        <v>5039</v>
      </c>
    </row>
    <row r="1325" spans="1:12" x14ac:dyDescent="0.35">
      <c r="A1325" t="s">
        <v>107</v>
      </c>
      <c r="B1325" t="s">
        <v>171</v>
      </c>
      <c r="C1325" t="s">
        <v>164</v>
      </c>
      <c r="D1325">
        <v>0.96</v>
      </c>
      <c r="F1325" t="s">
        <v>1415</v>
      </c>
      <c r="H1325" t="s">
        <v>3339</v>
      </c>
      <c r="I1325" t="s">
        <v>4903</v>
      </c>
      <c r="K1325" t="s">
        <v>5037</v>
      </c>
      <c r="L1325" t="s">
        <v>5039</v>
      </c>
    </row>
    <row r="1326" spans="1:12" x14ac:dyDescent="0.35">
      <c r="A1326" t="s">
        <v>107</v>
      </c>
      <c r="B1326" t="s">
        <v>171</v>
      </c>
      <c r="C1326" t="s">
        <v>166</v>
      </c>
      <c r="D1326">
        <v>1.68</v>
      </c>
      <c r="F1326" t="s">
        <v>1740</v>
      </c>
      <c r="H1326" t="s">
        <v>3340</v>
      </c>
      <c r="I1326" t="s">
        <v>4903</v>
      </c>
      <c r="K1326" t="s">
        <v>5037</v>
      </c>
      <c r="L1326" t="s">
        <v>5039</v>
      </c>
    </row>
    <row r="1327" spans="1:12" x14ac:dyDescent="0.35">
      <c r="A1327" t="s">
        <v>107</v>
      </c>
      <c r="B1327" t="s">
        <v>171</v>
      </c>
      <c r="C1327" t="s">
        <v>690</v>
      </c>
      <c r="D1327">
        <v>1.91</v>
      </c>
      <c r="F1327" t="s">
        <v>1585</v>
      </c>
      <c r="H1327" t="s">
        <v>3341</v>
      </c>
      <c r="I1327" t="s">
        <v>4903</v>
      </c>
      <c r="K1327" t="s">
        <v>5037</v>
      </c>
      <c r="L1327" t="s">
        <v>5039</v>
      </c>
    </row>
    <row r="1328" spans="1:12" x14ac:dyDescent="0.35">
      <c r="A1328" t="s">
        <v>107</v>
      </c>
      <c r="B1328" t="s">
        <v>171</v>
      </c>
      <c r="C1328" t="s">
        <v>768</v>
      </c>
      <c r="D1328">
        <v>15.7</v>
      </c>
      <c r="F1328" t="s">
        <v>1916</v>
      </c>
      <c r="H1328" t="s">
        <v>3334</v>
      </c>
      <c r="I1328" t="s">
        <v>4903</v>
      </c>
      <c r="K1328" t="s">
        <v>5037</v>
      </c>
      <c r="L1328" t="s">
        <v>5039</v>
      </c>
    </row>
    <row r="1329" spans="1:12" x14ac:dyDescent="0.35">
      <c r="A1329" t="s">
        <v>107</v>
      </c>
      <c r="B1329" t="s">
        <v>171</v>
      </c>
      <c r="C1329" t="s">
        <v>164</v>
      </c>
      <c r="D1329">
        <v>1.51</v>
      </c>
      <c r="F1329" t="s">
        <v>1917</v>
      </c>
      <c r="H1329" t="s">
        <v>3342</v>
      </c>
      <c r="I1329" t="s">
        <v>4903</v>
      </c>
      <c r="K1329" t="s">
        <v>5037</v>
      </c>
      <c r="L1329" t="s">
        <v>5039</v>
      </c>
    </row>
    <row r="1330" spans="1:12" x14ac:dyDescent="0.35">
      <c r="A1330" t="s">
        <v>107</v>
      </c>
      <c r="B1330" t="s">
        <v>171</v>
      </c>
      <c r="C1330" t="s">
        <v>164</v>
      </c>
      <c r="D1330">
        <v>3.12</v>
      </c>
      <c r="F1330" t="s">
        <v>1918</v>
      </c>
      <c r="H1330" t="s">
        <v>3341</v>
      </c>
      <c r="I1330" t="s">
        <v>4903</v>
      </c>
      <c r="K1330" t="s">
        <v>5037</v>
      </c>
      <c r="L1330" t="s">
        <v>5039</v>
      </c>
    </row>
    <row r="1331" spans="1:12" x14ac:dyDescent="0.35">
      <c r="A1331" t="s">
        <v>107</v>
      </c>
      <c r="B1331" t="s">
        <v>460</v>
      </c>
      <c r="C1331" t="s">
        <v>690</v>
      </c>
      <c r="D1331">
        <v>7.0000000000000007E-2</v>
      </c>
      <c r="F1331" t="s">
        <v>1456</v>
      </c>
      <c r="I1331" t="s">
        <v>4876</v>
      </c>
      <c r="K1331" t="s">
        <v>5037</v>
      </c>
      <c r="L1331" t="s">
        <v>5039</v>
      </c>
    </row>
    <row r="1332" spans="1:12" x14ac:dyDescent="0.35">
      <c r="A1332" t="s">
        <v>107</v>
      </c>
      <c r="B1332" t="s">
        <v>460</v>
      </c>
      <c r="C1332" t="s">
        <v>166</v>
      </c>
      <c r="D1332">
        <v>3.1</v>
      </c>
      <c r="F1332" t="s">
        <v>1374</v>
      </c>
      <c r="I1332" t="s">
        <v>4876</v>
      </c>
      <c r="K1332" t="s">
        <v>5037</v>
      </c>
      <c r="L1332" t="s">
        <v>5039</v>
      </c>
    </row>
    <row r="1333" spans="1:12" x14ac:dyDescent="0.35">
      <c r="A1333" t="s">
        <v>107</v>
      </c>
      <c r="B1333" t="s">
        <v>460</v>
      </c>
      <c r="C1333" t="s">
        <v>164</v>
      </c>
      <c r="D1333">
        <v>2.2999999999999998</v>
      </c>
      <c r="F1333" t="s">
        <v>1453</v>
      </c>
      <c r="H1333" t="s">
        <v>3343</v>
      </c>
      <c r="I1333" t="s">
        <v>4904</v>
      </c>
      <c r="K1333" t="s">
        <v>5037</v>
      </c>
      <c r="L1333" t="s">
        <v>5039</v>
      </c>
    </row>
    <row r="1334" spans="1:12" x14ac:dyDescent="0.35">
      <c r="A1334" t="s">
        <v>107</v>
      </c>
      <c r="B1334" t="s">
        <v>461</v>
      </c>
      <c r="C1334" t="s">
        <v>690</v>
      </c>
      <c r="D1334">
        <v>0.25</v>
      </c>
      <c r="F1334" t="s">
        <v>1403</v>
      </c>
      <c r="H1334" t="s">
        <v>3344</v>
      </c>
      <c r="I1334" t="s">
        <v>4905</v>
      </c>
      <c r="K1334" t="s">
        <v>5037</v>
      </c>
      <c r="L1334" t="s">
        <v>5039</v>
      </c>
    </row>
    <row r="1335" spans="1:12" x14ac:dyDescent="0.35">
      <c r="A1335" t="s">
        <v>107</v>
      </c>
      <c r="B1335" t="s">
        <v>461</v>
      </c>
      <c r="C1335" t="s">
        <v>690</v>
      </c>
      <c r="D1335">
        <v>0.28000000000000003</v>
      </c>
      <c r="F1335" t="s">
        <v>1732</v>
      </c>
      <c r="H1335" t="s">
        <v>3345</v>
      </c>
      <c r="I1335" t="s">
        <v>4905</v>
      </c>
      <c r="K1335" t="s">
        <v>5037</v>
      </c>
      <c r="L1335" t="s">
        <v>5039</v>
      </c>
    </row>
    <row r="1336" spans="1:12" x14ac:dyDescent="0.35">
      <c r="A1336" t="s">
        <v>107</v>
      </c>
      <c r="B1336" t="s">
        <v>461</v>
      </c>
      <c r="C1336" t="s">
        <v>166</v>
      </c>
      <c r="D1336">
        <v>1.37</v>
      </c>
      <c r="F1336" t="s">
        <v>1720</v>
      </c>
      <c r="H1336" t="s">
        <v>3345</v>
      </c>
      <c r="I1336" t="s">
        <v>4905</v>
      </c>
      <c r="K1336" t="s">
        <v>5037</v>
      </c>
      <c r="L1336" t="s">
        <v>5039</v>
      </c>
    </row>
    <row r="1337" spans="1:12" x14ac:dyDescent="0.35">
      <c r="A1337" t="s">
        <v>107</v>
      </c>
      <c r="B1337" t="s">
        <v>461</v>
      </c>
      <c r="C1337" t="s">
        <v>164</v>
      </c>
      <c r="D1337">
        <v>1.57</v>
      </c>
      <c r="F1337" t="s">
        <v>1919</v>
      </c>
      <c r="H1337" t="s">
        <v>3344</v>
      </c>
      <c r="I1337" t="s">
        <v>4905</v>
      </c>
      <c r="K1337" t="s">
        <v>5037</v>
      </c>
      <c r="L1337" t="s">
        <v>5039</v>
      </c>
    </row>
    <row r="1338" spans="1:12" x14ac:dyDescent="0.35">
      <c r="A1338" t="s">
        <v>107</v>
      </c>
      <c r="B1338" t="s">
        <v>461</v>
      </c>
      <c r="C1338" t="s">
        <v>164</v>
      </c>
      <c r="D1338">
        <v>1.6</v>
      </c>
      <c r="F1338" t="s">
        <v>1328</v>
      </c>
      <c r="H1338" t="s">
        <v>3345</v>
      </c>
      <c r="I1338" t="s">
        <v>4905</v>
      </c>
      <c r="K1338" t="s">
        <v>5037</v>
      </c>
      <c r="L1338" t="s">
        <v>5039</v>
      </c>
    </row>
    <row r="1339" spans="1:12" x14ac:dyDescent="0.35">
      <c r="A1339" t="s">
        <v>107</v>
      </c>
      <c r="B1339" t="s">
        <v>462</v>
      </c>
      <c r="C1339" t="s">
        <v>166</v>
      </c>
      <c r="D1339">
        <v>0.59</v>
      </c>
      <c r="F1339" t="s">
        <v>1483</v>
      </c>
      <c r="I1339" t="s">
        <v>4876</v>
      </c>
      <c r="K1339" t="s">
        <v>5037</v>
      </c>
      <c r="L1339" t="s">
        <v>5039</v>
      </c>
    </row>
    <row r="1340" spans="1:12" x14ac:dyDescent="0.35">
      <c r="A1340" t="s">
        <v>107</v>
      </c>
      <c r="B1340" t="s">
        <v>462</v>
      </c>
      <c r="C1340" t="s">
        <v>690</v>
      </c>
      <c r="D1340">
        <v>0.14000000000000001</v>
      </c>
      <c r="F1340" t="s">
        <v>1361</v>
      </c>
      <c r="H1340" t="s">
        <v>3346</v>
      </c>
      <c r="I1340" t="s">
        <v>2334</v>
      </c>
      <c r="K1340" t="s">
        <v>5037</v>
      </c>
      <c r="L1340" t="s">
        <v>5039</v>
      </c>
    </row>
    <row r="1341" spans="1:12" x14ac:dyDescent="0.35">
      <c r="A1341" t="s">
        <v>107</v>
      </c>
      <c r="B1341" t="s">
        <v>394</v>
      </c>
      <c r="C1341" t="s">
        <v>758</v>
      </c>
      <c r="D1341">
        <v>0.75</v>
      </c>
      <c r="F1341" t="s">
        <v>1475</v>
      </c>
      <c r="H1341" t="s">
        <v>3347</v>
      </c>
      <c r="I1341" t="s">
        <v>4906</v>
      </c>
      <c r="K1341" t="s">
        <v>5037</v>
      </c>
      <c r="L1341" t="s">
        <v>5039</v>
      </c>
    </row>
    <row r="1342" spans="1:12" x14ac:dyDescent="0.35">
      <c r="A1342" t="s">
        <v>107</v>
      </c>
      <c r="B1342" t="s">
        <v>394</v>
      </c>
      <c r="C1342" t="s">
        <v>756</v>
      </c>
      <c r="D1342">
        <v>0.53</v>
      </c>
      <c r="F1342" t="s">
        <v>1817</v>
      </c>
      <c r="H1342" t="s">
        <v>3347</v>
      </c>
      <c r="I1342" t="s">
        <v>4906</v>
      </c>
      <c r="K1342" t="s">
        <v>5037</v>
      </c>
      <c r="L1342" t="s">
        <v>5039</v>
      </c>
    </row>
    <row r="1343" spans="1:12" x14ac:dyDescent="0.35">
      <c r="A1343" t="s">
        <v>107</v>
      </c>
      <c r="B1343" t="s">
        <v>394</v>
      </c>
      <c r="C1343" t="s">
        <v>166</v>
      </c>
      <c r="D1343">
        <v>0.92</v>
      </c>
      <c r="F1343" t="s">
        <v>1491</v>
      </c>
      <c r="H1343" t="s">
        <v>3347</v>
      </c>
      <c r="I1343" t="s">
        <v>4906</v>
      </c>
      <c r="K1343" t="s">
        <v>5037</v>
      </c>
      <c r="L1343" t="s">
        <v>5039</v>
      </c>
    </row>
    <row r="1344" spans="1:12" x14ac:dyDescent="0.35">
      <c r="A1344" t="s">
        <v>107</v>
      </c>
      <c r="B1344" t="s">
        <v>463</v>
      </c>
      <c r="C1344" t="s">
        <v>166</v>
      </c>
      <c r="D1344">
        <v>0.06</v>
      </c>
      <c r="F1344" t="s">
        <v>1370</v>
      </c>
      <c r="H1344" t="s">
        <v>3348</v>
      </c>
      <c r="I1344" t="s">
        <v>4907</v>
      </c>
      <c r="K1344" t="s">
        <v>5037</v>
      </c>
      <c r="L1344" t="s">
        <v>5039</v>
      </c>
    </row>
    <row r="1345" spans="1:12" x14ac:dyDescent="0.35">
      <c r="A1345" t="s">
        <v>107</v>
      </c>
      <c r="B1345" t="s">
        <v>463</v>
      </c>
      <c r="C1345" t="s">
        <v>756</v>
      </c>
      <c r="D1345">
        <v>0.14699999999999999</v>
      </c>
      <c r="F1345" t="s">
        <v>1920</v>
      </c>
      <c r="H1345" t="s">
        <v>3349</v>
      </c>
      <c r="I1345" t="s">
        <v>4907</v>
      </c>
      <c r="K1345" t="s">
        <v>5037</v>
      </c>
      <c r="L1345" t="s">
        <v>5039</v>
      </c>
    </row>
    <row r="1346" spans="1:12" x14ac:dyDescent="0.35">
      <c r="A1346" t="s">
        <v>107</v>
      </c>
      <c r="B1346" t="s">
        <v>463</v>
      </c>
      <c r="C1346" t="s">
        <v>756</v>
      </c>
      <c r="D1346">
        <v>0.16600000000000001</v>
      </c>
      <c r="F1346" t="s">
        <v>1921</v>
      </c>
      <c r="H1346" t="s">
        <v>3350</v>
      </c>
      <c r="I1346" t="s">
        <v>4907</v>
      </c>
      <c r="K1346" t="s">
        <v>5037</v>
      </c>
      <c r="L1346" t="s">
        <v>5039</v>
      </c>
    </row>
    <row r="1347" spans="1:12" x14ac:dyDescent="0.35">
      <c r="A1347" t="s">
        <v>107</v>
      </c>
      <c r="B1347" t="s">
        <v>463</v>
      </c>
      <c r="C1347" t="s">
        <v>756</v>
      </c>
      <c r="D1347">
        <v>0.26</v>
      </c>
      <c r="F1347" t="s">
        <v>1447</v>
      </c>
      <c r="H1347" t="s">
        <v>3351</v>
      </c>
      <c r="I1347" t="s">
        <v>4907</v>
      </c>
      <c r="K1347" t="s">
        <v>5037</v>
      </c>
      <c r="L1347" t="s">
        <v>5039</v>
      </c>
    </row>
    <row r="1348" spans="1:12" x14ac:dyDescent="0.35">
      <c r="A1348" t="s">
        <v>107</v>
      </c>
      <c r="B1348" t="s">
        <v>463</v>
      </c>
      <c r="C1348" t="s">
        <v>166</v>
      </c>
      <c r="D1348">
        <v>6.5000000000000002E-2</v>
      </c>
      <c r="F1348" t="s">
        <v>1455</v>
      </c>
      <c r="H1348" t="s">
        <v>3352</v>
      </c>
      <c r="I1348" t="s">
        <v>4907</v>
      </c>
      <c r="K1348" t="s">
        <v>5037</v>
      </c>
      <c r="L1348" t="s">
        <v>5039</v>
      </c>
    </row>
    <row r="1349" spans="1:12" x14ac:dyDescent="0.35">
      <c r="A1349" t="s">
        <v>107</v>
      </c>
      <c r="B1349" t="s">
        <v>463</v>
      </c>
      <c r="C1349" t="s">
        <v>756</v>
      </c>
      <c r="D1349">
        <v>1</v>
      </c>
      <c r="F1349" t="s">
        <v>1317</v>
      </c>
      <c r="H1349" t="s">
        <v>3353</v>
      </c>
      <c r="I1349" t="s">
        <v>4907</v>
      </c>
      <c r="K1349" t="s">
        <v>5037</v>
      </c>
      <c r="L1349" t="s">
        <v>5039</v>
      </c>
    </row>
    <row r="1350" spans="1:12" x14ac:dyDescent="0.35">
      <c r="A1350" t="s">
        <v>107</v>
      </c>
      <c r="B1350" t="s">
        <v>463</v>
      </c>
      <c r="C1350" t="s">
        <v>758</v>
      </c>
      <c r="D1350">
        <v>24</v>
      </c>
      <c r="F1350" t="s">
        <v>1839</v>
      </c>
      <c r="H1350" t="s">
        <v>3349</v>
      </c>
      <c r="I1350" t="s">
        <v>4907</v>
      </c>
      <c r="K1350" t="s">
        <v>5037</v>
      </c>
      <c r="L1350" t="s">
        <v>5039</v>
      </c>
    </row>
    <row r="1351" spans="1:12" x14ac:dyDescent="0.35">
      <c r="A1351" t="s">
        <v>107</v>
      </c>
      <c r="B1351" t="s">
        <v>463</v>
      </c>
      <c r="C1351" t="s">
        <v>758</v>
      </c>
      <c r="D1351">
        <v>2</v>
      </c>
      <c r="F1351" t="s">
        <v>1372</v>
      </c>
      <c r="H1351" t="s">
        <v>3354</v>
      </c>
      <c r="I1351" t="s">
        <v>4907</v>
      </c>
      <c r="K1351" t="s">
        <v>5037</v>
      </c>
      <c r="L1351" t="s">
        <v>5039</v>
      </c>
    </row>
    <row r="1352" spans="1:12" x14ac:dyDescent="0.35">
      <c r="A1352" t="s">
        <v>107</v>
      </c>
      <c r="B1352" t="s">
        <v>463</v>
      </c>
      <c r="C1352" t="s">
        <v>166</v>
      </c>
      <c r="D1352">
        <v>6.6000000000000003E-2</v>
      </c>
      <c r="F1352" t="s">
        <v>1623</v>
      </c>
      <c r="H1352" t="s">
        <v>3354</v>
      </c>
      <c r="I1352" t="s">
        <v>4907</v>
      </c>
      <c r="K1352" t="s">
        <v>5037</v>
      </c>
      <c r="L1352" t="s">
        <v>5039</v>
      </c>
    </row>
    <row r="1353" spans="1:12" x14ac:dyDescent="0.35">
      <c r="A1353" t="s">
        <v>107</v>
      </c>
      <c r="B1353" t="s">
        <v>463</v>
      </c>
      <c r="C1353" t="s">
        <v>756</v>
      </c>
      <c r="D1353">
        <v>0.13800000000000001</v>
      </c>
      <c r="F1353" t="s">
        <v>1922</v>
      </c>
      <c r="H1353" t="s">
        <v>3354</v>
      </c>
      <c r="I1353" t="s">
        <v>4907</v>
      </c>
      <c r="K1353" t="s">
        <v>5037</v>
      </c>
      <c r="L1353" t="s">
        <v>5039</v>
      </c>
    </row>
    <row r="1354" spans="1:12" x14ac:dyDescent="0.35">
      <c r="A1354" t="s">
        <v>107</v>
      </c>
      <c r="B1354" t="s">
        <v>463</v>
      </c>
      <c r="C1354" t="s">
        <v>756</v>
      </c>
      <c r="D1354">
        <v>0.161</v>
      </c>
      <c r="F1354" t="s">
        <v>1923</v>
      </c>
      <c r="H1354" t="s">
        <v>3348</v>
      </c>
      <c r="I1354" t="s">
        <v>4907</v>
      </c>
      <c r="K1354" t="s">
        <v>5037</v>
      </c>
      <c r="L1354" t="s">
        <v>5039</v>
      </c>
    </row>
    <row r="1355" spans="1:12" x14ac:dyDescent="0.35">
      <c r="A1355" t="s">
        <v>107</v>
      </c>
      <c r="B1355" t="s">
        <v>463</v>
      </c>
      <c r="C1355" t="s">
        <v>756</v>
      </c>
      <c r="D1355">
        <v>0.17100000000000001</v>
      </c>
      <c r="F1355" t="s">
        <v>1636</v>
      </c>
      <c r="H1355" t="s">
        <v>3355</v>
      </c>
      <c r="I1355" t="s">
        <v>4907</v>
      </c>
      <c r="K1355" t="s">
        <v>5037</v>
      </c>
      <c r="L1355" t="s">
        <v>5039</v>
      </c>
    </row>
    <row r="1356" spans="1:12" x14ac:dyDescent="0.35">
      <c r="A1356" t="s">
        <v>107</v>
      </c>
      <c r="B1356" t="s">
        <v>463</v>
      </c>
      <c r="C1356" t="s">
        <v>164</v>
      </c>
      <c r="D1356">
        <v>22</v>
      </c>
      <c r="F1356" t="s">
        <v>1449</v>
      </c>
      <c r="I1356" t="s">
        <v>1752</v>
      </c>
      <c r="K1356" t="s">
        <v>5037</v>
      </c>
      <c r="L1356" t="s">
        <v>5039</v>
      </c>
    </row>
    <row r="1357" spans="1:12" x14ac:dyDescent="0.35">
      <c r="A1357" t="s">
        <v>107</v>
      </c>
      <c r="B1357" t="s">
        <v>463</v>
      </c>
      <c r="C1357" t="s">
        <v>758</v>
      </c>
      <c r="D1357">
        <v>22</v>
      </c>
      <c r="F1357" t="s">
        <v>1449</v>
      </c>
      <c r="H1357" t="s">
        <v>3355</v>
      </c>
      <c r="I1357" t="s">
        <v>4907</v>
      </c>
      <c r="K1357" t="s">
        <v>5037</v>
      </c>
      <c r="L1357" t="s">
        <v>5039</v>
      </c>
    </row>
    <row r="1358" spans="1:12" x14ac:dyDescent="0.35">
      <c r="A1358" t="s">
        <v>107</v>
      </c>
      <c r="B1358" t="s">
        <v>463</v>
      </c>
      <c r="C1358" t="s">
        <v>166</v>
      </c>
      <c r="D1358">
        <v>8.2000000000000003E-2</v>
      </c>
      <c r="F1358" t="s">
        <v>1924</v>
      </c>
      <c r="H1358" t="s">
        <v>3351</v>
      </c>
      <c r="I1358" t="s">
        <v>4907</v>
      </c>
      <c r="K1358" t="s">
        <v>5037</v>
      </c>
      <c r="L1358" t="s">
        <v>5039</v>
      </c>
    </row>
    <row r="1359" spans="1:12" x14ac:dyDescent="0.35">
      <c r="A1359" t="s">
        <v>107</v>
      </c>
      <c r="B1359" t="s">
        <v>463</v>
      </c>
      <c r="C1359" t="s">
        <v>758</v>
      </c>
      <c r="D1359">
        <v>77</v>
      </c>
      <c r="F1359" t="s">
        <v>1571</v>
      </c>
      <c r="H1359" t="s">
        <v>3350</v>
      </c>
      <c r="I1359" t="s">
        <v>4907</v>
      </c>
      <c r="K1359" t="s">
        <v>5037</v>
      </c>
      <c r="L1359" t="s">
        <v>5039</v>
      </c>
    </row>
    <row r="1360" spans="1:12" x14ac:dyDescent="0.35">
      <c r="A1360" t="s">
        <v>107</v>
      </c>
      <c r="B1360" t="s">
        <v>463</v>
      </c>
      <c r="C1360" t="s">
        <v>166</v>
      </c>
      <c r="D1360">
        <v>6.9000000000000006E-2</v>
      </c>
      <c r="F1360" t="s">
        <v>1619</v>
      </c>
      <c r="H1360" t="s">
        <v>3349</v>
      </c>
      <c r="I1360" t="s">
        <v>4907</v>
      </c>
      <c r="K1360" t="s">
        <v>5037</v>
      </c>
      <c r="L1360" t="s">
        <v>5039</v>
      </c>
    </row>
    <row r="1361" spans="1:12" x14ac:dyDescent="0.35">
      <c r="A1361" t="s">
        <v>107</v>
      </c>
      <c r="B1361" t="s">
        <v>463</v>
      </c>
      <c r="C1361" t="s">
        <v>690</v>
      </c>
      <c r="D1361">
        <v>0.156</v>
      </c>
      <c r="F1361" t="s">
        <v>1925</v>
      </c>
      <c r="I1361" t="s">
        <v>1752</v>
      </c>
      <c r="K1361" t="s">
        <v>5037</v>
      </c>
      <c r="L1361" t="s">
        <v>5039</v>
      </c>
    </row>
    <row r="1362" spans="1:12" x14ac:dyDescent="0.35">
      <c r="A1362" t="s">
        <v>107</v>
      </c>
      <c r="B1362" t="s">
        <v>463</v>
      </c>
      <c r="C1362" t="s">
        <v>758</v>
      </c>
      <c r="D1362">
        <v>28.9</v>
      </c>
      <c r="F1362" t="s">
        <v>1926</v>
      </c>
      <c r="H1362" t="s">
        <v>3348</v>
      </c>
      <c r="I1362" t="s">
        <v>4907</v>
      </c>
      <c r="K1362" t="s">
        <v>5037</v>
      </c>
      <c r="L1362" t="s">
        <v>5039</v>
      </c>
    </row>
    <row r="1363" spans="1:12" x14ac:dyDescent="0.35">
      <c r="A1363" t="s">
        <v>107</v>
      </c>
      <c r="B1363" t="s">
        <v>463</v>
      </c>
      <c r="C1363" t="s">
        <v>166</v>
      </c>
      <c r="D1363">
        <v>0.622</v>
      </c>
      <c r="F1363" t="s">
        <v>1927</v>
      </c>
      <c r="H1363" t="s">
        <v>3353</v>
      </c>
      <c r="I1363" t="s">
        <v>4907</v>
      </c>
      <c r="K1363" t="s">
        <v>5037</v>
      </c>
      <c r="L1363" t="s">
        <v>5039</v>
      </c>
    </row>
    <row r="1364" spans="1:12" x14ac:dyDescent="0.35">
      <c r="A1364" t="s">
        <v>107</v>
      </c>
      <c r="B1364" t="s">
        <v>463</v>
      </c>
      <c r="C1364" t="s">
        <v>758</v>
      </c>
      <c r="D1364">
        <v>34.700000000000003</v>
      </c>
      <c r="F1364" t="s">
        <v>1928</v>
      </c>
      <c r="H1364" t="s">
        <v>3351</v>
      </c>
      <c r="I1364" t="s">
        <v>4907</v>
      </c>
      <c r="K1364" t="s">
        <v>5037</v>
      </c>
      <c r="L1364" t="s">
        <v>5039</v>
      </c>
    </row>
    <row r="1365" spans="1:12" x14ac:dyDescent="0.35">
      <c r="A1365" t="s">
        <v>107</v>
      </c>
      <c r="B1365" t="s">
        <v>463</v>
      </c>
      <c r="C1365" t="s">
        <v>758</v>
      </c>
      <c r="D1365">
        <v>229</v>
      </c>
      <c r="F1365" t="s">
        <v>1929</v>
      </c>
      <c r="H1365" t="s">
        <v>3353</v>
      </c>
      <c r="I1365" t="s">
        <v>4907</v>
      </c>
      <c r="K1365" t="s">
        <v>5037</v>
      </c>
      <c r="L1365" t="s">
        <v>5039</v>
      </c>
    </row>
    <row r="1366" spans="1:12" x14ac:dyDescent="0.35">
      <c r="A1366" t="s">
        <v>107</v>
      </c>
      <c r="B1366" t="s">
        <v>175</v>
      </c>
      <c r="C1366" t="s">
        <v>758</v>
      </c>
      <c r="D1366">
        <v>0.03</v>
      </c>
      <c r="F1366" t="s">
        <v>1266</v>
      </c>
      <c r="I1366" t="s">
        <v>1518</v>
      </c>
      <c r="K1366" t="s">
        <v>5037</v>
      </c>
      <c r="L1366" t="s">
        <v>5039</v>
      </c>
    </row>
    <row r="1367" spans="1:12" x14ac:dyDescent="0.35">
      <c r="A1367" t="s">
        <v>107</v>
      </c>
      <c r="B1367" t="s">
        <v>175</v>
      </c>
      <c r="C1367" t="s">
        <v>756</v>
      </c>
      <c r="D1367">
        <v>0.05</v>
      </c>
      <c r="F1367" t="s">
        <v>1559</v>
      </c>
      <c r="H1367" t="s">
        <v>3356</v>
      </c>
      <c r="I1367" t="s">
        <v>4908</v>
      </c>
      <c r="K1367" t="s">
        <v>5037</v>
      </c>
      <c r="L1367" t="s">
        <v>5039</v>
      </c>
    </row>
    <row r="1368" spans="1:12" x14ac:dyDescent="0.35">
      <c r="A1368" t="s">
        <v>107</v>
      </c>
      <c r="B1368" t="s">
        <v>175</v>
      </c>
      <c r="C1368" t="s">
        <v>756</v>
      </c>
      <c r="D1368">
        <v>0.16</v>
      </c>
      <c r="F1368" t="s">
        <v>1573</v>
      </c>
      <c r="H1368" t="s">
        <v>3357</v>
      </c>
      <c r="I1368" t="s">
        <v>4908</v>
      </c>
      <c r="K1368" t="s">
        <v>5037</v>
      </c>
      <c r="L1368" t="s">
        <v>5039</v>
      </c>
    </row>
    <row r="1369" spans="1:12" x14ac:dyDescent="0.35">
      <c r="A1369" t="s">
        <v>107</v>
      </c>
      <c r="B1369" t="s">
        <v>175</v>
      </c>
      <c r="C1369" t="s">
        <v>166</v>
      </c>
      <c r="D1369">
        <v>0.3</v>
      </c>
      <c r="F1369" t="s">
        <v>1401</v>
      </c>
      <c r="H1369" t="s">
        <v>3358</v>
      </c>
      <c r="I1369" t="s">
        <v>4908</v>
      </c>
      <c r="K1369" t="s">
        <v>5037</v>
      </c>
      <c r="L1369" t="s">
        <v>5039</v>
      </c>
    </row>
    <row r="1370" spans="1:12" x14ac:dyDescent="0.35">
      <c r="A1370" t="s">
        <v>107</v>
      </c>
      <c r="B1370" t="s">
        <v>175</v>
      </c>
      <c r="C1370" t="s">
        <v>166</v>
      </c>
      <c r="D1370">
        <v>0.26</v>
      </c>
      <c r="F1370" t="s">
        <v>1447</v>
      </c>
      <c r="H1370" t="s">
        <v>3359</v>
      </c>
      <c r="I1370" t="s">
        <v>4908</v>
      </c>
      <c r="K1370" t="s">
        <v>5037</v>
      </c>
      <c r="L1370" t="s">
        <v>5039</v>
      </c>
    </row>
    <row r="1371" spans="1:12" x14ac:dyDescent="0.35">
      <c r="A1371" t="s">
        <v>107</v>
      </c>
      <c r="B1371" t="s">
        <v>175</v>
      </c>
      <c r="C1371" t="s">
        <v>759</v>
      </c>
      <c r="D1371">
        <v>1.3</v>
      </c>
      <c r="F1371" t="s">
        <v>1358</v>
      </c>
      <c r="H1371" t="s">
        <v>3360</v>
      </c>
      <c r="I1371" t="s">
        <v>1569</v>
      </c>
      <c r="K1371" t="s">
        <v>5037</v>
      </c>
      <c r="L1371" t="s">
        <v>5039</v>
      </c>
    </row>
    <row r="1372" spans="1:12" x14ac:dyDescent="0.35">
      <c r="A1372" t="s">
        <v>107</v>
      </c>
      <c r="B1372" t="s">
        <v>175</v>
      </c>
      <c r="C1372" t="s">
        <v>769</v>
      </c>
      <c r="D1372">
        <v>1.3</v>
      </c>
      <c r="F1372" t="s">
        <v>1358</v>
      </c>
      <c r="H1372" t="s">
        <v>3361</v>
      </c>
      <c r="I1372" t="s">
        <v>4875</v>
      </c>
      <c r="K1372" t="s">
        <v>5037</v>
      </c>
      <c r="L1372" t="s">
        <v>5039</v>
      </c>
    </row>
    <row r="1373" spans="1:12" x14ac:dyDescent="0.35">
      <c r="A1373" t="s">
        <v>107</v>
      </c>
      <c r="B1373" t="s">
        <v>175</v>
      </c>
      <c r="C1373" t="s">
        <v>166</v>
      </c>
      <c r="D1373">
        <v>0.5</v>
      </c>
      <c r="F1373" t="s">
        <v>1440</v>
      </c>
      <c r="H1373" t="s">
        <v>3362</v>
      </c>
      <c r="I1373" t="s">
        <v>4908</v>
      </c>
      <c r="K1373" t="s">
        <v>5037</v>
      </c>
      <c r="L1373" t="s">
        <v>5039</v>
      </c>
    </row>
    <row r="1374" spans="1:12" x14ac:dyDescent="0.35">
      <c r="A1374" t="s">
        <v>107</v>
      </c>
      <c r="B1374" t="s">
        <v>175</v>
      </c>
      <c r="C1374" t="s">
        <v>690</v>
      </c>
      <c r="D1374">
        <v>0.5</v>
      </c>
      <c r="F1374" t="s">
        <v>1440</v>
      </c>
      <c r="H1374" t="s">
        <v>3363</v>
      </c>
      <c r="I1374" t="s">
        <v>1510</v>
      </c>
      <c r="K1374" t="s">
        <v>5037</v>
      </c>
      <c r="L1374" t="s">
        <v>5039</v>
      </c>
    </row>
    <row r="1375" spans="1:12" x14ac:dyDescent="0.35">
      <c r="A1375" t="s">
        <v>107</v>
      </c>
      <c r="B1375" t="s">
        <v>175</v>
      </c>
      <c r="C1375" t="s">
        <v>770</v>
      </c>
      <c r="D1375">
        <v>1.7</v>
      </c>
      <c r="F1375" t="s">
        <v>1416</v>
      </c>
      <c r="H1375" t="s">
        <v>3364</v>
      </c>
      <c r="I1375" t="s">
        <v>1510</v>
      </c>
      <c r="K1375" t="s">
        <v>5037</v>
      </c>
      <c r="L1375" t="s">
        <v>5039</v>
      </c>
    </row>
    <row r="1376" spans="1:12" x14ac:dyDescent="0.35">
      <c r="A1376" t="s">
        <v>107</v>
      </c>
      <c r="B1376" t="s">
        <v>175</v>
      </c>
      <c r="C1376" t="s">
        <v>756</v>
      </c>
      <c r="D1376">
        <v>7.0000000000000007E-2</v>
      </c>
      <c r="F1376" t="s">
        <v>1456</v>
      </c>
      <c r="H1376" t="s">
        <v>3365</v>
      </c>
      <c r="I1376" t="s">
        <v>4908</v>
      </c>
      <c r="K1376" t="s">
        <v>5037</v>
      </c>
      <c r="L1376" t="s">
        <v>5039</v>
      </c>
    </row>
    <row r="1377" spans="1:12" x14ac:dyDescent="0.35">
      <c r="A1377" t="s">
        <v>107</v>
      </c>
      <c r="B1377" t="s">
        <v>175</v>
      </c>
      <c r="C1377" t="s">
        <v>166</v>
      </c>
      <c r="D1377">
        <v>0.4</v>
      </c>
      <c r="F1377" t="s">
        <v>1315</v>
      </c>
      <c r="H1377" t="s">
        <v>3366</v>
      </c>
      <c r="I1377" t="s">
        <v>2327</v>
      </c>
      <c r="K1377" t="s">
        <v>5037</v>
      </c>
      <c r="L1377" t="s">
        <v>5039</v>
      </c>
    </row>
    <row r="1378" spans="1:12" x14ac:dyDescent="0.35">
      <c r="A1378" t="s">
        <v>107</v>
      </c>
      <c r="B1378" t="s">
        <v>175</v>
      </c>
      <c r="C1378" t="s">
        <v>756</v>
      </c>
      <c r="D1378">
        <v>0.12</v>
      </c>
      <c r="F1378" t="s">
        <v>1473</v>
      </c>
      <c r="H1378" t="s">
        <v>3367</v>
      </c>
      <c r="I1378" t="s">
        <v>4908</v>
      </c>
      <c r="K1378" t="s">
        <v>5037</v>
      </c>
      <c r="L1378" t="s">
        <v>5039</v>
      </c>
    </row>
    <row r="1379" spans="1:12" x14ac:dyDescent="0.35">
      <c r="A1379" t="s">
        <v>107</v>
      </c>
      <c r="B1379" t="s">
        <v>175</v>
      </c>
      <c r="C1379" t="s">
        <v>761</v>
      </c>
      <c r="D1379">
        <v>0.25</v>
      </c>
      <c r="F1379" t="s">
        <v>1403</v>
      </c>
      <c r="H1379" t="s">
        <v>3368</v>
      </c>
      <c r="I1379" t="s">
        <v>1889</v>
      </c>
      <c r="K1379" t="s">
        <v>5037</v>
      </c>
      <c r="L1379" t="s">
        <v>5039</v>
      </c>
    </row>
    <row r="1380" spans="1:12" x14ac:dyDescent="0.35">
      <c r="A1380" t="s">
        <v>107</v>
      </c>
      <c r="B1380" t="s">
        <v>175</v>
      </c>
      <c r="C1380" t="s">
        <v>758</v>
      </c>
      <c r="D1380">
        <v>0.9</v>
      </c>
      <c r="F1380" t="s">
        <v>1556</v>
      </c>
      <c r="H1380" t="s">
        <v>3369</v>
      </c>
      <c r="I1380" t="s">
        <v>2050</v>
      </c>
      <c r="K1380" t="s">
        <v>5037</v>
      </c>
      <c r="L1380" t="s">
        <v>5039</v>
      </c>
    </row>
    <row r="1381" spans="1:12" x14ac:dyDescent="0.35">
      <c r="A1381" t="s">
        <v>107</v>
      </c>
      <c r="B1381" t="s">
        <v>175</v>
      </c>
      <c r="C1381" t="s">
        <v>758</v>
      </c>
      <c r="D1381">
        <v>2.2000000000000002</v>
      </c>
      <c r="F1381" t="s">
        <v>1417</v>
      </c>
      <c r="H1381" t="s">
        <v>3370</v>
      </c>
      <c r="I1381" t="s">
        <v>4875</v>
      </c>
      <c r="K1381" t="s">
        <v>5037</v>
      </c>
      <c r="L1381" t="s">
        <v>5039</v>
      </c>
    </row>
    <row r="1382" spans="1:12" x14ac:dyDescent="0.35">
      <c r="A1382" t="s">
        <v>107</v>
      </c>
      <c r="B1382" t="s">
        <v>175</v>
      </c>
      <c r="C1382" t="s">
        <v>760</v>
      </c>
      <c r="D1382">
        <v>0.14000000000000001</v>
      </c>
      <c r="F1382" t="s">
        <v>1361</v>
      </c>
      <c r="I1382" t="s">
        <v>1518</v>
      </c>
      <c r="K1382" t="s">
        <v>5037</v>
      </c>
      <c r="L1382" t="s">
        <v>5039</v>
      </c>
    </row>
    <row r="1383" spans="1:12" x14ac:dyDescent="0.35">
      <c r="A1383" t="s">
        <v>107</v>
      </c>
      <c r="B1383" t="s">
        <v>175</v>
      </c>
      <c r="C1383" t="s">
        <v>690</v>
      </c>
      <c r="D1383">
        <v>0.8</v>
      </c>
      <c r="F1383" t="s">
        <v>1319</v>
      </c>
      <c r="H1383" t="s">
        <v>3371</v>
      </c>
      <c r="I1383" t="s">
        <v>1510</v>
      </c>
      <c r="K1383" t="s">
        <v>5037</v>
      </c>
      <c r="L1383" t="s">
        <v>5039</v>
      </c>
    </row>
    <row r="1384" spans="1:12" x14ac:dyDescent="0.35">
      <c r="A1384" t="s">
        <v>107</v>
      </c>
      <c r="B1384" t="s">
        <v>175</v>
      </c>
      <c r="C1384" t="s">
        <v>164</v>
      </c>
      <c r="D1384">
        <v>1.8</v>
      </c>
      <c r="F1384" t="s">
        <v>1375</v>
      </c>
      <c r="H1384" t="s">
        <v>3360</v>
      </c>
      <c r="I1384" t="s">
        <v>1569</v>
      </c>
      <c r="K1384" t="s">
        <v>5037</v>
      </c>
      <c r="L1384" t="s">
        <v>5039</v>
      </c>
    </row>
    <row r="1385" spans="1:12" x14ac:dyDescent="0.35">
      <c r="A1385" t="s">
        <v>107</v>
      </c>
      <c r="B1385" t="s">
        <v>175</v>
      </c>
      <c r="C1385" t="s">
        <v>758</v>
      </c>
      <c r="D1385">
        <v>0.23</v>
      </c>
      <c r="F1385" t="s">
        <v>1362</v>
      </c>
      <c r="H1385" t="s">
        <v>3361</v>
      </c>
      <c r="I1385" t="s">
        <v>4875</v>
      </c>
      <c r="K1385" t="s">
        <v>5037</v>
      </c>
      <c r="L1385" t="s">
        <v>5039</v>
      </c>
    </row>
    <row r="1386" spans="1:12" x14ac:dyDescent="0.35">
      <c r="A1386" t="s">
        <v>107</v>
      </c>
      <c r="B1386" t="s">
        <v>175</v>
      </c>
      <c r="C1386" t="s">
        <v>756</v>
      </c>
      <c r="D1386">
        <v>0.08</v>
      </c>
      <c r="F1386" t="s">
        <v>1402</v>
      </c>
      <c r="H1386" t="s">
        <v>3372</v>
      </c>
      <c r="I1386" t="s">
        <v>4908</v>
      </c>
      <c r="K1386" t="s">
        <v>5037</v>
      </c>
      <c r="L1386" t="s">
        <v>5039</v>
      </c>
    </row>
    <row r="1387" spans="1:12" x14ac:dyDescent="0.35">
      <c r="A1387" t="s">
        <v>107</v>
      </c>
      <c r="B1387" t="s">
        <v>175</v>
      </c>
      <c r="C1387" t="s">
        <v>166</v>
      </c>
      <c r="D1387">
        <v>0.82</v>
      </c>
      <c r="F1387" t="s">
        <v>1930</v>
      </c>
      <c r="H1387" t="s">
        <v>3373</v>
      </c>
      <c r="I1387" t="s">
        <v>4908</v>
      </c>
      <c r="K1387" t="s">
        <v>5037</v>
      </c>
      <c r="L1387" t="s">
        <v>5039</v>
      </c>
    </row>
    <row r="1388" spans="1:12" x14ac:dyDescent="0.35">
      <c r="A1388" t="s">
        <v>107</v>
      </c>
      <c r="B1388" t="s">
        <v>175</v>
      </c>
      <c r="C1388" t="s">
        <v>758</v>
      </c>
      <c r="D1388">
        <v>0.77</v>
      </c>
      <c r="F1388" t="s">
        <v>1484</v>
      </c>
      <c r="H1388" t="s">
        <v>3373</v>
      </c>
      <c r="I1388" t="s">
        <v>4908</v>
      </c>
      <c r="K1388" t="s">
        <v>5037</v>
      </c>
      <c r="L1388" t="s">
        <v>5039</v>
      </c>
    </row>
    <row r="1389" spans="1:12" x14ac:dyDescent="0.35">
      <c r="A1389" t="s">
        <v>107</v>
      </c>
      <c r="B1389" t="s">
        <v>175</v>
      </c>
      <c r="C1389" t="s">
        <v>690</v>
      </c>
      <c r="D1389">
        <v>0.13</v>
      </c>
      <c r="F1389" t="s">
        <v>1466</v>
      </c>
      <c r="H1389" t="s">
        <v>3374</v>
      </c>
      <c r="I1389" t="s">
        <v>2327</v>
      </c>
      <c r="K1389" t="s">
        <v>5037</v>
      </c>
      <c r="L1389" t="s">
        <v>5039</v>
      </c>
    </row>
    <row r="1390" spans="1:12" x14ac:dyDescent="0.35">
      <c r="A1390" t="s">
        <v>107</v>
      </c>
      <c r="B1390" t="s">
        <v>175</v>
      </c>
      <c r="C1390" t="s">
        <v>758</v>
      </c>
      <c r="D1390">
        <v>0.65</v>
      </c>
      <c r="F1390" t="s">
        <v>1819</v>
      </c>
      <c r="H1390" t="s">
        <v>3375</v>
      </c>
      <c r="I1390" t="s">
        <v>4908</v>
      </c>
      <c r="K1390" t="s">
        <v>5037</v>
      </c>
      <c r="L1390" t="s">
        <v>5039</v>
      </c>
    </row>
    <row r="1391" spans="1:12" x14ac:dyDescent="0.35">
      <c r="A1391" t="s">
        <v>107</v>
      </c>
      <c r="B1391" t="s">
        <v>175</v>
      </c>
      <c r="C1391" t="s">
        <v>769</v>
      </c>
      <c r="D1391">
        <v>0.86</v>
      </c>
      <c r="F1391" t="s">
        <v>1486</v>
      </c>
      <c r="H1391" t="s">
        <v>3376</v>
      </c>
      <c r="I1391" t="s">
        <v>4875</v>
      </c>
      <c r="K1391" t="s">
        <v>5037</v>
      </c>
      <c r="L1391" t="s">
        <v>5039</v>
      </c>
    </row>
    <row r="1392" spans="1:12" x14ac:dyDescent="0.35">
      <c r="A1392" t="s">
        <v>107</v>
      </c>
      <c r="B1392" t="s">
        <v>175</v>
      </c>
      <c r="C1392" t="s">
        <v>761</v>
      </c>
      <c r="D1392">
        <v>2.2999999999999998</v>
      </c>
      <c r="F1392" t="s">
        <v>1453</v>
      </c>
      <c r="I1392" t="s">
        <v>2327</v>
      </c>
      <c r="K1392" t="s">
        <v>5037</v>
      </c>
      <c r="L1392" t="s">
        <v>5039</v>
      </c>
    </row>
    <row r="1393" spans="1:12" x14ac:dyDescent="0.35">
      <c r="A1393" t="s">
        <v>107</v>
      </c>
      <c r="B1393" t="s">
        <v>175</v>
      </c>
      <c r="C1393" t="s">
        <v>758</v>
      </c>
      <c r="D1393">
        <v>0.63</v>
      </c>
      <c r="F1393" t="s">
        <v>1931</v>
      </c>
      <c r="H1393" t="s">
        <v>3368</v>
      </c>
      <c r="I1393" t="s">
        <v>1889</v>
      </c>
      <c r="K1393" t="s">
        <v>5037</v>
      </c>
      <c r="L1393" t="s">
        <v>5039</v>
      </c>
    </row>
    <row r="1394" spans="1:12" x14ac:dyDescent="0.35">
      <c r="A1394" t="s">
        <v>107</v>
      </c>
      <c r="B1394" t="s">
        <v>175</v>
      </c>
      <c r="C1394" t="s">
        <v>770</v>
      </c>
      <c r="D1394">
        <v>5</v>
      </c>
      <c r="F1394" t="s">
        <v>1477</v>
      </c>
      <c r="H1394" t="s">
        <v>3377</v>
      </c>
      <c r="I1394" t="s">
        <v>2050</v>
      </c>
      <c r="K1394" t="s">
        <v>5037</v>
      </c>
      <c r="L1394" t="s">
        <v>5039</v>
      </c>
    </row>
    <row r="1395" spans="1:12" x14ac:dyDescent="0.35">
      <c r="A1395" t="s">
        <v>107</v>
      </c>
      <c r="B1395" t="s">
        <v>175</v>
      </c>
      <c r="C1395" t="s">
        <v>758</v>
      </c>
      <c r="D1395">
        <v>1.38</v>
      </c>
      <c r="F1395" t="s">
        <v>1932</v>
      </c>
      <c r="H1395" t="s">
        <v>3378</v>
      </c>
      <c r="I1395" t="s">
        <v>4908</v>
      </c>
      <c r="K1395" t="s">
        <v>5037</v>
      </c>
      <c r="L1395" t="s">
        <v>5039</v>
      </c>
    </row>
    <row r="1396" spans="1:12" x14ac:dyDescent="0.35">
      <c r="A1396" t="s">
        <v>107</v>
      </c>
      <c r="B1396" t="s">
        <v>175</v>
      </c>
      <c r="C1396" t="s">
        <v>164</v>
      </c>
      <c r="D1396">
        <v>3.5</v>
      </c>
      <c r="F1396" t="s">
        <v>1451</v>
      </c>
      <c r="H1396" t="s">
        <v>3379</v>
      </c>
      <c r="I1396" t="s">
        <v>1510</v>
      </c>
      <c r="K1396" t="s">
        <v>5037</v>
      </c>
      <c r="L1396" t="s">
        <v>5039</v>
      </c>
    </row>
    <row r="1397" spans="1:12" x14ac:dyDescent="0.35">
      <c r="A1397" t="s">
        <v>107</v>
      </c>
      <c r="B1397" t="s">
        <v>175</v>
      </c>
      <c r="C1397" t="s">
        <v>770</v>
      </c>
      <c r="D1397">
        <v>3.4</v>
      </c>
      <c r="F1397" t="s">
        <v>1706</v>
      </c>
      <c r="H1397" t="s">
        <v>3380</v>
      </c>
      <c r="I1397" t="s">
        <v>1510</v>
      </c>
      <c r="K1397" t="s">
        <v>5037</v>
      </c>
      <c r="L1397" t="s">
        <v>5039</v>
      </c>
    </row>
    <row r="1398" spans="1:12" x14ac:dyDescent="0.35">
      <c r="A1398" t="s">
        <v>107</v>
      </c>
      <c r="B1398" t="s">
        <v>175</v>
      </c>
      <c r="C1398" t="s">
        <v>166</v>
      </c>
      <c r="D1398">
        <v>0.44</v>
      </c>
      <c r="F1398" t="s">
        <v>1723</v>
      </c>
      <c r="H1398" t="s">
        <v>3365</v>
      </c>
      <c r="I1398" t="s">
        <v>4908</v>
      </c>
      <c r="K1398" t="s">
        <v>5037</v>
      </c>
      <c r="L1398" t="s">
        <v>5039</v>
      </c>
    </row>
    <row r="1399" spans="1:12" x14ac:dyDescent="0.35">
      <c r="A1399" t="s">
        <v>107</v>
      </c>
      <c r="B1399" t="s">
        <v>175</v>
      </c>
      <c r="C1399" t="s">
        <v>758</v>
      </c>
      <c r="D1399">
        <v>0.44</v>
      </c>
      <c r="F1399" t="s">
        <v>1723</v>
      </c>
      <c r="H1399" t="s">
        <v>3357</v>
      </c>
      <c r="I1399" t="s">
        <v>4908</v>
      </c>
      <c r="K1399" t="s">
        <v>5037</v>
      </c>
      <c r="L1399" t="s">
        <v>5039</v>
      </c>
    </row>
    <row r="1400" spans="1:12" x14ac:dyDescent="0.35">
      <c r="A1400" t="s">
        <v>107</v>
      </c>
      <c r="B1400" t="s">
        <v>175</v>
      </c>
      <c r="C1400" t="s">
        <v>758</v>
      </c>
      <c r="D1400">
        <v>0.68</v>
      </c>
      <c r="F1400" t="s">
        <v>1735</v>
      </c>
      <c r="H1400" t="s">
        <v>3372</v>
      </c>
      <c r="I1400" t="s">
        <v>4908</v>
      </c>
      <c r="K1400" t="s">
        <v>5037</v>
      </c>
      <c r="L1400" t="s">
        <v>5039</v>
      </c>
    </row>
    <row r="1401" spans="1:12" x14ac:dyDescent="0.35">
      <c r="A1401" t="s">
        <v>107</v>
      </c>
      <c r="B1401" t="s">
        <v>175</v>
      </c>
      <c r="C1401" t="s">
        <v>758</v>
      </c>
      <c r="D1401">
        <v>0.46</v>
      </c>
      <c r="F1401" t="s">
        <v>1506</v>
      </c>
      <c r="H1401" t="s">
        <v>3365</v>
      </c>
      <c r="I1401" t="s">
        <v>4908</v>
      </c>
      <c r="K1401" t="s">
        <v>5037</v>
      </c>
      <c r="L1401" t="s">
        <v>5039</v>
      </c>
    </row>
    <row r="1402" spans="1:12" x14ac:dyDescent="0.35">
      <c r="A1402" t="s">
        <v>107</v>
      </c>
      <c r="B1402" t="s">
        <v>175</v>
      </c>
      <c r="C1402" t="s">
        <v>770</v>
      </c>
      <c r="D1402">
        <v>3.6</v>
      </c>
      <c r="F1402" t="s">
        <v>1391</v>
      </c>
      <c r="H1402" t="s">
        <v>3381</v>
      </c>
      <c r="I1402" t="s">
        <v>2050</v>
      </c>
      <c r="K1402" t="s">
        <v>5037</v>
      </c>
      <c r="L1402" t="s">
        <v>5039</v>
      </c>
    </row>
    <row r="1403" spans="1:12" x14ac:dyDescent="0.35">
      <c r="A1403" t="s">
        <v>107</v>
      </c>
      <c r="B1403" t="s">
        <v>175</v>
      </c>
      <c r="C1403" t="s">
        <v>164</v>
      </c>
      <c r="D1403">
        <v>3.2</v>
      </c>
      <c r="F1403" t="s">
        <v>1465</v>
      </c>
      <c r="H1403" t="s">
        <v>3374</v>
      </c>
      <c r="I1403" t="s">
        <v>2327</v>
      </c>
      <c r="K1403" t="s">
        <v>5037</v>
      </c>
      <c r="L1403" t="s">
        <v>5039</v>
      </c>
    </row>
    <row r="1404" spans="1:12" x14ac:dyDescent="0.35">
      <c r="A1404" t="s">
        <v>107</v>
      </c>
      <c r="B1404" t="s">
        <v>175</v>
      </c>
      <c r="C1404" t="s">
        <v>166</v>
      </c>
      <c r="D1404">
        <v>4.47</v>
      </c>
      <c r="F1404" t="s">
        <v>1933</v>
      </c>
      <c r="H1404" t="s">
        <v>3356</v>
      </c>
      <c r="I1404" t="s">
        <v>4908</v>
      </c>
      <c r="K1404" t="s">
        <v>5037</v>
      </c>
      <c r="L1404" t="s">
        <v>5039</v>
      </c>
    </row>
    <row r="1405" spans="1:12" x14ac:dyDescent="0.35">
      <c r="A1405" t="s">
        <v>107</v>
      </c>
      <c r="B1405" t="s">
        <v>175</v>
      </c>
      <c r="C1405" t="s">
        <v>758</v>
      </c>
      <c r="D1405">
        <v>1.1399999999999999</v>
      </c>
      <c r="F1405" t="s">
        <v>1934</v>
      </c>
      <c r="H1405" t="s">
        <v>3382</v>
      </c>
      <c r="I1405" t="s">
        <v>4908</v>
      </c>
      <c r="K1405" t="s">
        <v>5037</v>
      </c>
      <c r="L1405" t="s">
        <v>5039</v>
      </c>
    </row>
    <row r="1406" spans="1:12" x14ac:dyDescent="0.35">
      <c r="A1406" t="s">
        <v>107</v>
      </c>
      <c r="B1406" t="s">
        <v>175</v>
      </c>
      <c r="C1406" t="s">
        <v>761</v>
      </c>
      <c r="D1406">
        <v>2.39</v>
      </c>
      <c r="F1406" t="s">
        <v>1725</v>
      </c>
      <c r="H1406" t="s">
        <v>3383</v>
      </c>
      <c r="I1406" t="s">
        <v>1889</v>
      </c>
      <c r="K1406" t="s">
        <v>5037</v>
      </c>
      <c r="L1406" t="s">
        <v>5039</v>
      </c>
    </row>
    <row r="1407" spans="1:12" x14ac:dyDescent="0.35">
      <c r="A1407" t="s">
        <v>107</v>
      </c>
      <c r="B1407" t="s">
        <v>175</v>
      </c>
      <c r="C1407" t="s">
        <v>166</v>
      </c>
      <c r="D1407">
        <v>3.57</v>
      </c>
      <c r="F1407" t="s">
        <v>1935</v>
      </c>
      <c r="H1407" t="s">
        <v>3372</v>
      </c>
      <c r="I1407" t="s">
        <v>4908</v>
      </c>
      <c r="K1407" t="s">
        <v>5037</v>
      </c>
      <c r="L1407" t="s">
        <v>5039</v>
      </c>
    </row>
    <row r="1408" spans="1:12" x14ac:dyDescent="0.35">
      <c r="A1408" t="s">
        <v>107</v>
      </c>
      <c r="B1408" t="s">
        <v>175</v>
      </c>
      <c r="C1408" t="s">
        <v>166</v>
      </c>
      <c r="D1408">
        <v>2.68</v>
      </c>
      <c r="F1408" t="s">
        <v>1769</v>
      </c>
      <c r="H1408" t="s">
        <v>3384</v>
      </c>
      <c r="I1408" t="s">
        <v>4908</v>
      </c>
      <c r="K1408" t="s">
        <v>5037</v>
      </c>
      <c r="L1408" t="s">
        <v>5039</v>
      </c>
    </row>
    <row r="1409" spans="1:12" x14ac:dyDescent="0.35">
      <c r="A1409" t="s">
        <v>107</v>
      </c>
      <c r="B1409" t="s">
        <v>175</v>
      </c>
      <c r="C1409" t="s">
        <v>758</v>
      </c>
      <c r="D1409">
        <v>7.16</v>
      </c>
      <c r="F1409" t="s">
        <v>1936</v>
      </c>
      <c r="H1409" t="s">
        <v>3385</v>
      </c>
      <c r="I1409" t="s">
        <v>1889</v>
      </c>
      <c r="K1409" t="s">
        <v>5037</v>
      </c>
      <c r="L1409" t="s">
        <v>5039</v>
      </c>
    </row>
    <row r="1410" spans="1:12" x14ac:dyDescent="0.35">
      <c r="A1410" t="s">
        <v>107</v>
      </c>
      <c r="B1410" t="s">
        <v>175</v>
      </c>
      <c r="C1410" t="s">
        <v>164</v>
      </c>
      <c r="D1410">
        <v>1.9</v>
      </c>
      <c r="F1410" t="s">
        <v>1503</v>
      </c>
      <c r="H1410" t="s">
        <v>3386</v>
      </c>
      <c r="I1410" t="s">
        <v>2327</v>
      </c>
      <c r="K1410" t="s">
        <v>5037</v>
      </c>
      <c r="L1410" t="s">
        <v>5039</v>
      </c>
    </row>
    <row r="1411" spans="1:12" x14ac:dyDescent="0.35">
      <c r="A1411" t="s">
        <v>107</v>
      </c>
      <c r="B1411" t="s">
        <v>175</v>
      </c>
      <c r="C1411" t="s">
        <v>756</v>
      </c>
      <c r="D1411">
        <v>0.17</v>
      </c>
      <c r="F1411" t="s">
        <v>1409</v>
      </c>
      <c r="H1411" t="s">
        <v>3387</v>
      </c>
      <c r="I1411" t="s">
        <v>4909</v>
      </c>
      <c r="K1411" t="s">
        <v>5037</v>
      </c>
      <c r="L1411" t="s">
        <v>5039</v>
      </c>
    </row>
    <row r="1412" spans="1:12" x14ac:dyDescent="0.35">
      <c r="A1412" t="s">
        <v>107</v>
      </c>
      <c r="B1412" t="s">
        <v>175</v>
      </c>
      <c r="C1412" t="s">
        <v>690</v>
      </c>
      <c r="D1412">
        <v>0.1</v>
      </c>
      <c r="F1412" t="s">
        <v>1309</v>
      </c>
      <c r="H1412" t="s">
        <v>3388</v>
      </c>
      <c r="I1412" t="s">
        <v>2327</v>
      </c>
      <c r="K1412" t="s">
        <v>5037</v>
      </c>
      <c r="L1412" t="s">
        <v>5039</v>
      </c>
    </row>
    <row r="1413" spans="1:12" x14ac:dyDescent="0.35">
      <c r="A1413" t="s">
        <v>107</v>
      </c>
      <c r="B1413" t="s">
        <v>175</v>
      </c>
      <c r="C1413" t="s">
        <v>164</v>
      </c>
      <c r="D1413">
        <v>0.7</v>
      </c>
      <c r="F1413" t="s">
        <v>1378</v>
      </c>
      <c r="H1413" t="s">
        <v>3389</v>
      </c>
      <c r="I1413" t="s">
        <v>2327</v>
      </c>
      <c r="K1413" t="s">
        <v>5037</v>
      </c>
      <c r="L1413" t="s">
        <v>5039</v>
      </c>
    </row>
    <row r="1414" spans="1:12" x14ac:dyDescent="0.35">
      <c r="A1414" t="s">
        <v>107</v>
      </c>
      <c r="B1414" t="s">
        <v>464</v>
      </c>
      <c r="C1414" t="s">
        <v>166</v>
      </c>
      <c r="D1414">
        <v>0.23</v>
      </c>
      <c r="F1414" t="s">
        <v>1362</v>
      </c>
      <c r="H1414" t="s">
        <v>3346</v>
      </c>
      <c r="I1414" t="s">
        <v>2334</v>
      </c>
      <c r="K1414" t="s">
        <v>5037</v>
      </c>
      <c r="L1414" t="s">
        <v>5039</v>
      </c>
    </row>
    <row r="1415" spans="1:12" x14ac:dyDescent="0.35">
      <c r="A1415" t="s">
        <v>107</v>
      </c>
      <c r="B1415" t="s">
        <v>464</v>
      </c>
      <c r="C1415" t="s">
        <v>164</v>
      </c>
      <c r="D1415">
        <v>0.82</v>
      </c>
      <c r="F1415" t="s">
        <v>1930</v>
      </c>
      <c r="H1415" t="s">
        <v>3346</v>
      </c>
      <c r="I1415" t="s">
        <v>2334</v>
      </c>
      <c r="K1415" t="s">
        <v>5037</v>
      </c>
      <c r="L1415" t="s">
        <v>5039</v>
      </c>
    </row>
    <row r="1416" spans="1:12" x14ac:dyDescent="0.35">
      <c r="A1416" t="s">
        <v>107</v>
      </c>
      <c r="B1416" t="s">
        <v>465</v>
      </c>
      <c r="C1416" t="s">
        <v>166</v>
      </c>
      <c r="D1416">
        <v>0.25</v>
      </c>
      <c r="F1416" t="s">
        <v>1403</v>
      </c>
      <c r="H1416" t="s">
        <v>3390</v>
      </c>
      <c r="I1416" t="s">
        <v>2323</v>
      </c>
      <c r="K1416" t="s">
        <v>5037</v>
      </c>
      <c r="L1416" t="s">
        <v>5039</v>
      </c>
    </row>
    <row r="1417" spans="1:12" x14ac:dyDescent="0.35">
      <c r="A1417" t="s">
        <v>107</v>
      </c>
      <c r="B1417" t="s">
        <v>465</v>
      </c>
      <c r="C1417" t="s">
        <v>756</v>
      </c>
      <c r="D1417">
        <v>0.22</v>
      </c>
      <c r="F1417" t="s">
        <v>1438</v>
      </c>
      <c r="H1417" t="s">
        <v>3391</v>
      </c>
      <c r="I1417" t="s">
        <v>2323</v>
      </c>
      <c r="K1417" t="s">
        <v>5037</v>
      </c>
      <c r="L1417" t="s">
        <v>5039</v>
      </c>
    </row>
    <row r="1418" spans="1:12" x14ac:dyDescent="0.35">
      <c r="A1418" t="s">
        <v>107</v>
      </c>
      <c r="B1418" t="s">
        <v>465</v>
      </c>
      <c r="C1418" t="s">
        <v>164</v>
      </c>
      <c r="D1418">
        <v>5.3</v>
      </c>
      <c r="F1418" t="s">
        <v>1671</v>
      </c>
      <c r="H1418" t="s">
        <v>3392</v>
      </c>
      <c r="I1418" t="s">
        <v>2323</v>
      </c>
      <c r="K1418" t="s">
        <v>5037</v>
      </c>
      <c r="L1418" t="s">
        <v>5039</v>
      </c>
    </row>
    <row r="1419" spans="1:12" x14ac:dyDescent="0.35">
      <c r="A1419" t="s">
        <v>107</v>
      </c>
      <c r="B1419" t="s">
        <v>465</v>
      </c>
      <c r="C1419" t="s">
        <v>758</v>
      </c>
      <c r="D1419">
        <v>5.3</v>
      </c>
      <c r="F1419" t="s">
        <v>1671</v>
      </c>
      <c r="H1419" t="s">
        <v>3391</v>
      </c>
      <c r="I1419" t="s">
        <v>2323</v>
      </c>
      <c r="K1419" t="s">
        <v>5037</v>
      </c>
      <c r="L1419" t="s">
        <v>5039</v>
      </c>
    </row>
    <row r="1420" spans="1:12" x14ac:dyDescent="0.35">
      <c r="A1420" t="s">
        <v>107</v>
      </c>
      <c r="B1420" t="s">
        <v>317</v>
      </c>
      <c r="C1420" t="s">
        <v>166</v>
      </c>
      <c r="D1420">
        <v>0.08</v>
      </c>
      <c r="F1420" t="s">
        <v>1402</v>
      </c>
      <c r="H1420" t="s">
        <v>3393</v>
      </c>
      <c r="I1420" t="s">
        <v>4909</v>
      </c>
      <c r="K1420" t="s">
        <v>5037</v>
      </c>
      <c r="L1420" t="s">
        <v>5039</v>
      </c>
    </row>
    <row r="1421" spans="1:12" x14ac:dyDescent="0.35">
      <c r="A1421" t="s">
        <v>107</v>
      </c>
      <c r="B1421" t="s">
        <v>317</v>
      </c>
      <c r="C1421" t="s">
        <v>758</v>
      </c>
      <c r="D1421">
        <v>1.93</v>
      </c>
      <c r="F1421" t="s">
        <v>1937</v>
      </c>
      <c r="H1421" t="s">
        <v>3394</v>
      </c>
      <c r="I1421" t="s">
        <v>4909</v>
      </c>
      <c r="K1421" t="s">
        <v>5037</v>
      </c>
      <c r="L1421" t="s">
        <v>5039</v>
      </c>
    </row>
    <row r="1422" spans="1:12" x14ac:dyDescent="0.35">
      <c r="A1422" t="s">
        <v>107</v>
      </c>
      <c r="B1422" t="s">
        <v>317</v>
      </c>
      <c r="C1422" t="s">
        <v>758</v>
      </c>
      <c r="D1422">
        <v>1.21</v>
      </c>
      <c r="F1422" t="s">
        <v>1938</v>
      </c>
      <c r="H1422" t="s">
        <v>3393</v>
      </c>
      <c r="I1422" t="s">
        <v>4909</v>
      </c>
      <c r="K1422" t="s">
        <v>5037</v>
      </c>
      <c r="L1422" t="s">
        <v>5039</v>
      </c>
    </row>
    <row r="1423" spans="1:12" x14ac:dyDescent="0.35">
      <c r="A1423" t="s">
        <v>107</v>
      </c>
      <c r="B1423" t="s">
        <v>317</v>
      </c>
      <c r="C1423" t="s">
        <v>758</v>
      </c>
      <c r="D1423">
        <v>2.15</v>
      </c>
      <c r="F1423" t="s">
        <v>1939</v>
      </c>
      <c r="H1423" t="s">
        <v>3395</v>
      </c>
      <c r="I1423" t="s">
        <v>4909</v>
      </c>
      <c r="K1423" t="s">
        <v>5037</v>
      </c>
      <c r="L1423" t="s">
        <v>5039</v>
      </c>
    </row>
    <row r="1424" spans="1:12" x14ac:dyDescent="0.35">
      <c r="A1424" t="s">
        <v>107</v>
      </c>
      <c r="B1424" t="s">
        <v>353</v>
      </c>
      <c r="C1424" t="s">
        <v>761</v>
      </c>
      <c r="D1424">
        <v>1.3</v>
      </c>
      <c r="F1424" t="s">
        <v>1358</v>
      </c>
      <c r="I1424" t="s">
        <v>2327</v>
      </c>
      <c r="K1424" t="s">
        <v>5037</v>
      </c>
      <c r="L1424" t="s">
        <v>5039</v>
      </c>
    </row>
    <row r="1425" spans="1:12" x14ac:dyDescent="0.35">
      <c r="A1425" t="s">
        <v>107</v>
      </c>
      <c r="B1425" t="s">
        <v>353</v>
      </c>
      <c r="C1425" t="s">
        <v>690</v>
      </c>
      <c r="D1425">
        <v>0.09</v>
      </c>
      <c r="F1425" t="s">
        <v>1310</v>
      </c>
      <c r="H1425" t="s">
        <v>3396</v>
      </c>
      <c r="I1425" t="s">
        <v>2327</v>
      </c>
      <c r="K1425" t="s">
        <v>5037</v>
      </c>
      <c r="L1425" t="s">
        <v>5039</v>
      </c>
    </row>
    <row r="1426" spans="1:12" x14ac:dyDescent="0.35">
      <c r="A1426" t="s">
        <v>107</v>
      </c>
      <c r="B1426" t="s">
        <v>353</v>
      </c>
      <c r="C1426" t="s">
        <v>164</v>
      </c>
      <c r="D1426">
        <v>0.5</v>
      </c>
      <c r="F1426" t="s">
        <v>1440</v>
      </c>
      <c r="H1426" t="s">
        <v>3397</v>
      </c>
      <c r="I1426" t="s">
        <v>2327</v>
      </c>
      <c r="K1426" t="s">
        <v>5037</v>
      </c>
      <c r="L1426" t="s">
        <v>5039</v>
      </c>
    </row>
    <row r="1427" spans="1:12" x14ac:dyDescent="0.35">
      <c r="A1427" t="s">
        <v>107</v>
      </c>
      <c r="B1427" t="s">
        <v>179</v>
      </c>
      <c r="C1427" t="s">
        <v>761</v>
      </c>
      <c r="D1427">
        <v>1</v>
      </c>
      <c r="F1427" t="s">
        <v>1317</v>
      </c>
      <c r="I1427" t="s">
        <v>2327</v>
      </c>
      <c r="K1427" t="s">
        <v>5037</v>
      </c>
      <c r="L1427" t="s">
        <v>5039</v>
      </c>
    </row>
    <row r="1428" spans="1:12" x14ac:dyDescent="0.35">
      <c r="A1428" t="s">
        <v>107</v>
      </c>
      <c r="B1428" t="s">
        <v>179</v>
      </c>
      <c r="C1428" t="s">
        <v>770</v>
      </c>
      <c r="D1428">
        <v>0.8</v>
      </c>
      <c r="F1428" t="s">
        <v>1319</v>
      </c>
      <c r="H1428" t="s">
        <v>3343</v>
      </c>
      <c r="I1428" t="s">
        <v>4904</v>
      </c>
      <c r="K1428" t="s">
        <v>5037</v>
      </c>
      <c r="L1428" t="s">
        <v>5039</v>
      </c>
    </row>
    <row r="1429" spans="1:12" x14ac:dyDescent="0.35">
      <c r="A1429" t="s">
        <v>107</v>
      </c>
      <c r="B1429" t="s">
        <v>328</v>
      </c>
      <c r="C1429" t="s">
        <v>771</v>
      </c>
      <c r="D1429">
        <v>0.3</v>
      </c>
      <c r="F1429" t="s">
        <v>1401</v>
      </c>
      <c r="H1429" t="s">
        <v>3398</v>
      </c>
      <c r="I1429" t="s">
        <v>1705</v>
      </c>
      <c r="K1429" t="s">
        <v>5037</v>
      </c>
      <c r="L1429" t="s">
        <v>5039</v>
      </c>
    </row>
    <row r="1430" spans="1:12" x14ac:dyDescent="0.35">
      <c r="A1430" t="s">
        <v>107</v>
      </c>
      <c r="B1430" t="s">
        <v>328</v>
      </c>
      <c r="C1430" t="s">
        <v>756</v>
      </c>
      <c r="D1430">
        <v>0.3</v>
      </c>
      <c r="F1430" t="s">
        <v>1401</v>
      </c>
      <c r="I1430" t="s">
        <v>4910</v>
      </c>
      <c r="K1430" t="s">
        <v>5037</v>
      </c>
      <c r="L1430" t="s">
        <v>5039</v>
      </c>
    </row>
    <row r="1431" spans="1:12" x14ac:dyDescent="0.35">
      <c r="A1431" t="s">
        <v>107</v>
      </c>
      <c r="B1431" t="s">
        <v>328</v>
      </c>
      <c r="C1431" t="s">
        <v>760</v>
      </c>
      <c r="D1431">
        <v>0.8</v>
      </c>
      <c r="F1431" t="s">
        <v>1319</v>
      </c>
      <c r="H1431" t="s">
        <v>3399</v>
      </c>
      <c r="I1431" t="s">
        <v>1943</v>
      </c>
      <c r="K1431" t="s">
        <v>5037</v>
      </c>
      <c r="L1431" t="s">
        <v>5039</v>
      </c>
    </row>
    <row r="1432" spans="1:12" x14ac:dyDescent="0.35">
      <c r="A1432" t="s">
        <v>107</v>
      </c>
      <c r="B1432" t="s">
        <v>328</v>
      </c>
      <c r="C1432" t="s">
        <v>760</v>
      </c>
      <c r="D1432">
        <v>1.5</v>
      </c>
      <c r="F1432" t="s">
        <v>1426</v>
      </c>
      <c r="H1432" t="s">
        <v>3400</v>
      </c>
      <c r="I1432" t="s">
        <v>2364</v>
      </c>
      <c r="K1432" t="s">
        <v>5037</v>
      </c>
      <c r="L1432" t="s">
        <v>5039</v>
      </c>
    </row>
    <row r="1433" spans="1:12" x14ac:dyDescent="0.35">
      <c r="A1433" t="s">
        <v>107</v>
      </c>
      <c r="B1433" t="s">
        <v>328</v>
      </c>
      <c r="C1433" t="s">
        <v>166</v>
      </c>
      <c r="D1433">
        <v>0.35</v>
      </c>
      <c r="F1433" t="s">
        <v>1294</v>
      </c>
      <c r="I1433" t="s">
        <v>1335</v>
      </c>
      <c r="K1433" t="s">
        <v>5037</v>
      </c>
      <c r="L1433" t="s">
        <v>5039</v>
      </c>
    </row>
    <row r="1434" spans="1:12" x14ac:dyDescent="0.35">
      <c r="A1434" t="s">
        <v>107</v>
      </c>
      <c r="B1434" t="s">
        <v>328</v>
      </c>
      <c r="C1434" t="s">
        <v>758</v>
      </c>
      <c r="D1434">
        <v>1.6</v>
      </c>
      <c r="F1434" t="s">
        <v>1328</v>
      </c>
      <c r="I1434" t="s">
        <v>4911</v>
      </c>
      <c r="K1434" t="s">
        <v>5037</v>
      </c>
      <c r="L1434" t="s">
        <v>5039</v>
      </c>
    </row>
    <row r="1435" spans="1:12" x14ac:dyDescent="0.35">
      <c r="A1435" t="s">
        <v>107</v>
      </c>
      <c r="B1435" t="s">
        <v>328</v>
      </c>
      <c r="C1435" t="s">
        <v>772</v>
      </c>
      <c r="D1435">
        <v>0.75</v>
      </c>
      <c r="F1435" t="s">
        <v>1475</v>
      </c>
      <c r="H1435" t="s">
        <v>3401</v>
      </c>
      <c r="I1435" t="s">
        <v>1705</v>
      </c>
      <c r="K1435" t="s">
        <v>5037</v>
      </c>
      <c r="L1435" t="s">
        <v>5039</v>
      </c>
    </row>
    <row r="1436" spans="1:12" x14ac:dyDescent="0.35">
      <c r="A1436" t="s">
        <v>107</v>
      </c>
      <c r="B1436" t="s">
        <v>328</v>
      </c>
      <c r="C1436" t="s">
        <v>164</v>
      </c>
      <c r="D1436">
        <v>18.2</v>
      </c>
      <c r="F1436" t="s">
        <v>1940</v>
      </c>
      <c r="H1436" t="s">
        <v>3402</v>
      </c>
      <c r="I1436" t="s">
        <v>4859</v>
      </c>
      <c r="K1436" t="s">
        <v>5037</v>
      </c>
      <c r="L1436" t="s">
        <v>5039</v>
      </c>
    </row>
    <row r="1437" spans="1:12" x14ac:dyDescent="0.35">
      <c r="A1437" t="s">
        <v>107</v>
      </c>
      <c r="B1437" t="s">
        <v>328</v>
      </c>
      <c r="C1437" t="s">
        <v>758</v>
      </c>
      <c r="D1437">
        <v>18.2</v>
      </c>
      <c r="F1437" t="s">
        <v>1940</v>
      </c>
      <c r="H1437" t="s">
        <v>3399</v>
      </c>
      <c r="I1437" t="s">
        <v>1943</v>
      </c>
      <c r="K1437" t="s">
        <v>5037</v>
      </c>
      <c r="L1437" t="s">
        <v>5039</v>
      </c>
    </row>
    <row r="1438" spans="1:12" x14ac:dyDescent="0.35">
      <c r="A1438" t="s">
        <v>107</v>
      </c>
      <c r="B1438" t="s">
        <v>328</v>
      </c>
      <c r="C1438" t="s">
        <v>772</v>
      </c>
      <c r="D1438">
        <v>1.38</v>
      </c>
      <c r="F1438" t="s">
        <v>1932</v>
      </c>
      <c r="H1438" t="s">
        <v>3403</v>
      </c>
      <c r="I1438" t="s">
        <v>1705</v>
      </c>
      <c r="K1438" t="s">
        <v>5037</v>
      </c>
      <c r="L1438" t="s">
        <v>5039</v>
      </c>
    </row>
    <row r="1439" spans="1:12" x14ac:dyDescent="0.35">
      <c r="A1439" t="s">
        <v>107</v>
      </c>
      <c r="B1439" t="s">
        <v>328</v>
      </c>
      <c r="C1439" t="s">
        <v>757</v>
      </c>
      <c r="D1439">
        <v>2.9</v>
      </c>
      <c r="F1439" t="s">
        <v>1576</v>
      </c>
      <c r="H1439" t="s">
        <v>3404</v>
      </c>
      <c r="I1439" t="s">
        <v>2364</v>
      </c>
      <c r="K1439" t="s">
        <v>5037</v>
      </c>
      <c r="L1439" t="s">
        <v>5039</v>
      </c>
    </row>
    <row r="1440" spans="1:12" x14ac:dyDescent="0.35">
      <c r="A1440" t="s">
        <v>107</v>
      </c>
      <c r="B1440" t="s">
        <v>328</v>
      </c>
      <c r="C1440" t="s">
        <v>760</v>
      </c>
      <c r="D1440">
        <v>1</v>
      </c>
      <c r="F1440" t="s">
        <v>1317</v>
      </c>
      <c r="H1440" t="s">
        <v>3405</v>
      </c>
      <c r="I1440" t="s">
        <v>1367</v>
      </c>
      <c r="K1440" t="s">
        <v>5037</v>
      </c>
      <c r="L1440" t="s">
        <v>5039</v>
      </c>
    </row>
    <row r="1441" spans="1:12" x14ac:dyDescent="0.35">
      <c r="A1441" t="s">
        <v>107</v>
      </c>
      <c r="B1441" t="s">
        <v>328</v>
      </c>
      <c r="C1441" t="s">
        <v>758</v>
      </c>
      <c r="D1441">
        <v>1.2</v>
      </c>
      <c r="F1441" t="s">
        <v>1421</v>
      </c>
      <c r="H1441" t="s">
        <v>3406</v>
      </c>
      <c r="I1441" t="s">
        <v>4912</v>
      </c>
      <c r="K1441" t="s">
        <v>5037</v>
      </c>
      <c r="L1441" t="s">
        <v>5039</v>
      </c>
    </row>
    <row r="1442" spans="1:12" x14ac:dyDescent="0.35">
      <c r="A1442" t="s">
        <v>107</v>
      </c>
      <c r="B1442" t="s">
        <v>328</v>
      </c>
      <c r="C1442" t="s">
        <v>166</v>
      </c>
      <c r="D1442">
        <v>0.2</v>
      </c>
      <c r="F1442" t="s">
        <v>1371</v>
      </c>
      <c r="H1442" t="s">
        <v>3407</v>
      </c>
      <c r="I1442" t="s">
        <v>2327</v>
      </c>
      <c r="K1442" t="s">
        <v>5037</v>
      </c>
      <c r="L1442" t="s">
        <v>5039</v>
      </c>
    </row>
    <row r="1443" spans="1:12" x14ac:dyDescent="0.35">
      <c r="A1443" t="s">
        <v>107</v>
      </c>
      <c r="B1443" t="s">
        <v>328</v>
      </c>
      <c r="C1443" t="s">
        <v>164</v>
      </c>
      <c r="D1443">
        <v>1.4</v>
      </c>
      <c r="F1443" t="s">
        <v>1469</v>
      </c>
      <c r="H1443" t="s">
        <v>3408</v>
      </c>
      <c r="I1443" t="s">
        <v>4913</v>
      </c>
      <c r="K1443" t="s">
        <v>5037</v>
      </c>
      <c r="L1443" t="s">
        <v>5039</v>
      </c>
    </row>
    <row r="1444" spans="1:12" x14ac:dyDescent="0.35">
      <c r="A1444" t="s">
        <v>107</v>
      </c>
      <c r="B1444" t="s">
        <v>328</v>
      </c>
      <c r="C1444" t="s">
        <v>690</v>
      </c>
      <c r="D1444">
        <v>0.2</v>
      </c>
      <c r="F1444" t="s">
        <v>1371</v>
      </c>
      <c r="H1444" t="s">
        <v>3409</v>
      </c>
      <c r="I1444" t="s">
        <v>2327</v>
      </c>
      <c r="K1444" t="s">
        <v>5037</v>
      </c>
      <c r="L1444" t="s">
        <v>5039</v>
      </c>
    </row>
    <row r="1445" spans="1:12" x14ac:dyDescent="0.35">
      <c r="A1445" t="s">
        <v>107</v>
      </c>
      <c r="B1445" t="s">
        <v>354</v>
      </c>
      <c r="C1445" t="s">
        <v>166</v>
      </c>
      <c r="D1445">
        <v>0.71</v>
      </c>
      <c r="F1445" t="s">
        <v>1941</v>
      </c>
      <c r="I1445" t="s">
        <v>2327</v>
      </c>
      <c r="K1445" t="s">
        <v>5037</v>
      </c>
      <c r="L1445" t="s">
        <v>5039</v>
      </c>
    </row>
    <row r="1446" spans="1:12" x14ac:dyDescent="0.35">
      <c r="A1446" t="s">
        <v>107</v>
      </c>
      <c r="B1446" t="s">
        <v>354</v>
      </c>
      <c r="C1446" t="s">
        <v>690</v>
      </c>
      <c r="D1446">
        <v>0.69</v>
      </c>
      <c r="F1446" t="s">
        <v>1754</v>
      </c>
      <c r="I1446" t="s">
        <v>2327</v>
      </c>
      <c r="K1446" t="s">
        <v>5037</v>
      </c>
      <c r="L1446" t="s">
        <v>5039</v>
      </c>
    </row>
    <row r="1447" spans="1:12" x14ac:dyDescent="0.35">
      <c r="A1447" t="s">
        <v>107</v>
      </c>
      <c r="B1447" t="s">
        <v>178</v>
      </c>
      <c r="C1447" t="s">
        <v>690</v>
      </c>
      <c r="D1447">
        <v>0.34</v>
      </c>
      <c r="F1447" t="s">
        <v>1327</v>
      </c>
      <c r="H1447" t="s">
        <v>3410</v>
      </c>
      <c r="I1447" t="s">
        <v>4914</v>
      </c>
      <c r="K1447" t="s">
        <v>5037</v>
      </c>
      <c r="L1447" t="s">
        <v>5039</v>
      </c>
    </row>
    <row r="1448" spans="1:12" x14ac:dyDescent="0.35">
      <c r="A1448" t="s">
        <v>107</v>
      </c>
      <c r="B1448" t="s">
        <v>178</v>
      </c>
      <c r="C1448" t="s">
        <v>771</v>
      </c>
      <c r="D1448">
        <v>2.7</v>
      </c>
      <c r="F1448" t="s">
        <v>1557</v>
      </c>
      <c r="H1448" t="s">
        <v>3411</v>
      </c>
      <c r="I1448" t="s">
        <v>4899</v>
      </c>
      <c r="K1448" t="s">
        <v>5037</v>
      </c>
      <c r="L1448" t="s">
        <v>5039</v>
      </c>
    </row>
    <row r="1449" spans="1:12" x14ac:dyDescent="0.35">
      <c r="A1449" t="s">
        <v>107</v>
      </c>
      <c r="B1449" t="s">
        <v>178</v>
      </c>
      <c r="C1449" t="s">
        <v>772</v>
      </c>
      <c r="D1449">
        <v>9.1</v>
      </c>
      <c r="F1449" t="s">
        <v>1877</v>
      </c>
      <c r="H1449" t="s">
        <v>3411</v>
      </c>
      <c r="I1449" t="s">
        <v>4899</v>
      </c>
      <c r="K1449" t="s">
        <v>5037</v>
      </c>
      <c r="L1449" t="s">
        <v>5039</v>
      </c>
    </row>
    <row r="1450" spans="1:12" x14ac:dyDescent="0.35">
      <c r="A1450" t="s">
        <v>107</v>
      </c>
      <c r="B1450" t="s">
        <v>178</v>
      </c>
      <c r="C1450" t="s">
        <v>166</v>
      </c>
      <c r="D1450">
        <v>1.25</v>
      </c>
      <c r="F1450" t="s">
        <v>1522</v>
      </c>
      <c r="H1450" t="s">
        <v>3412</v>
      </c>
      <c r="I1450" t="s">
        <v>4914</v>
      </c>
      <c r="K1450" t="s">
        <v>5037</v>
      </c>
      <c r="L1450" t="s">
        <v>5039</v>
      </c>
    </row>
    <row r="1451" spans="1:12" x14ac:dyDescent="0.35">
      <c r="A1451" t="s">
        <v>107</v>
      </c>
      <c r="B1451" t="s">
        <v>178</v>
      </c>
      <c r="C1451" t="s">
        <v>164</v>
      </c>
      <c r="D1451">
        <v>6.64</v>
      </c>
      <c r="F1451" t="s">
        <v>1942</v>
      </c>
      <c r="H1451" t="s">
        <v>3410</v>
      </c>
      <c r="I1451" t="s">
        <v>4914</v>
      </c>
      <c r="K1451" t="s">
        <v>5037</v>
      </c>
      <c r="L1451" t="s">
        <v>5039</v>
      </c>
    </row>
    <row r="1452" spans="1:12" x14ac:dyDescent="0.35">
      <c r="A1452" t="s">
        <v>107</v>
      </c>
      <c r="B1452" t="s">
        <v>466</v>
      </c>
      <c r="C1452" t="s">
        <v>164</v>
      </c>
      <c r="D1452">
        <v>1.2</v>
      </c>
      <c r="F1452" t="s">
        <v>1421</v>
      </c>
      <c r="H1452" t="s">
        <v>3413</v>
      </c>
      <c r="I1452" t="s">
        <v>4861</v>
      </c>
      <c r="K1452" t="s">
        <v>5037</v>
      </c>
      <c r="L1452" t="s">
        <v>5039</v>
      </c>
    </row>
    <row r="1453" spans="1:12" x14ac:dyDescent="0.35">
      <c r="A1453" t="s">
        <v>107</v>
      </c>
      <c r="B1453" t="s">
        <v>175</v>
      </c>
      <c r="C1453" t="s">
        <v>770</v>
      </c>
      <c r="D1453">
        <v>1.4</v>
      </c>
      <c r="F1453" t="s">
        <v>1469</v>
      </c>
      <c r="H1453" t="s">
        <v>3414</v>
      </c>
      <c r="I1453" t="s">
        <v>4904</v>
      </c>
      <c r="K1453" t="s">
        <v>5037</v>
      </c>
      <c r="L1453" t="s">
        <v>5039</v>
      </c>
    </row>
    <row r="1454" spans="1:12" x14ac:dyDescent="0.35">
      <c r="A1454" t="s">
        <v>107</v>
      </c>
      <c r="B1454" t="s">
        <v>175</v>
      </c>
      <c r="C1454" t="s">
        <v>164</v>
      </c>
      <c r="D1454">
        <v>2.4</v>
      </c>
      <c r="F1454" t="s">
        <v>1433</v>
      </c>
      <c r="H1454" t="s">
        <v>3414</v>
      </c>
      <c r="I1454" t="s">
        <v>4904</v>
      </c>
      <c r="K1454" t="s">
        <v>5037</v>
      </c>
      <c r="L1454" t="s">
        <v>5039</v>
      </c>
    </row>
    <row r="1455" spans="1:12" x14ac:dyDescent="0.35">
      <c r="A1455" t="s">
        <v>107</v>
      </c>
      <c r="B1455" t="s">
        <v>467</v>
      </c>
      <c r="C1455" t="s">
        <v>166</v>
      </c>
      <c r="D1455">
        <v>7.4999999999999997E-2</v>
      </c>
      <c r="F1455" t="s">
        <v>1460</v>
      </c>
      <c r="I1455" t="s">
        <v>4915</v>
      </c>
      <c r="K1455" t="s">
        <v>5037</v>
      </c>
      <c r="L1455" t="s">
        <v>5039</v>
      </c>
    </row>
    <row r="1456" spans="1:12" x14ac:dyDescent="0.35">
      <c r="A1456" t="s">
        <v>107</v>
      </c>
      <c r="B1456" t="s">
        <v>467</v>
      </c>
      <c r="C1456" t="s">
        <v>164</v>
      </c>
      <c r="D1456">
        <v>33</v>
      </c>
      <c r="F1456" t="s">
        <v>1943</v>
      </c>
      <c r="I1456" t="s">
        <v>4915</v>
      </c>
      <c r="K1456" t="s">
        <v>5037</v>
      </c>
      <c r="L1456" t="s">
        <v>5039</v>
      </c>
    </row>
    <row r="1457" spans="1:12" x14ac:dyDescent="0.35">
      <c r="A1457" t="s">
        <v>107</v>
      </c>
      <c r="B1457" t="s">
        <v>467</v>
      </c>
      <c r="C1457" t="s">
        <v>690</v>
      </c>
      <c r="D1457">
        <v>0.39900000000000002</v>
      </c>
      <c r="F1457" t="s">
        <v>1944</v>
      </c>
      <c r="I1457" t="s">
        <v>4915</v>
      </c>
      <c r="K1457" t="s">
        <v>5037</v>
      </c>
      <c r="L1457" t="s">
        <v>5039</v>
      </c>
    </row>
    <row r="1458" spans="1:12" x14ac:dyDescent="0.35">
      <c r="A1458" t="s">
        <v>107</v>
      </c>
      <c r="B1458" t="s">
        <v>468</v>
      </c>
      <c r="C1458" t="s">
        <v>690</v>
      </c>
      <c r="D1458">
        <v>0.12</v>
      </c>
      <c r="F1458" t="s">
        <v>1473</v>
      </c>
      <c r="I1458" t="s">
        <v>4876</v>
      </c>
      <c r="K1458" t="s">
        <v>5037</v>
      </c>
      <c r="L1458" t="s">
        <v>5039</v>
      </c>
    </row>
    <row r="1459" spans="1:12" x14ac:dyDescent="0.35">
      <c r="A1459" t="s">
        <v>107</v>
      </c>
      <c r="B1459" t="s">
        <v>468</v>
      </c>
      <c r="C1459" t="s">
        <v>164</v>
      </c>
      <c r="D1459">
        <v>8.5</v>
      </c>
      <c r="F1459" t="s">
        <v>1528</v>
      </c>
      <c r="I1459" t="s">
        <v>4876</v>
      </c>
      <c r="K1459" t="s">
        <v>5037</v>
      </c>
      <c r="L1459" t="s">
        <v>5039</v>
      </c>
    </row>
    <row r="1460" spans="1:12" x14ac:dyDescent="0.35">
      <c r="A1460" t="s">
        <v>107</v>
      </c>
      <c r="B1460" t="s">
        <v>469</v>
      </c>
      <c r="C1460" t="s">
        <v>166</v>
      </c>
      <c r="D1460">
        <v>0.31</v>
      </c>
      <c r="F1460" t="s">
        <v>1714</v>
      </c>
      <c r="H1460" t="s">
        <v>3415</v>
      </c>
      <c r="I1460" t="s">
        <v>4889</v>
      </c>
      <c r="K1460" t="s">
        <v>5037</v>
      </c>
      <c r="L1460" t="s">
        <v>5039</v>
      </c>
    </row>
    <row r="1461" spans="1:12" x14ac:dyDescent="0.35">
      <c r="A1461" t="s">
        <v>107</v>
      </c>
      <c r="B1461" t="s">
        <v>469</v>
      </c>
      <c r="C1461" t="s">
        <v>166</v>
      </c>
      <c r="D1461">
        <v>0.14499999999999999</v>
      </c>
      <c r="F1461" t="s">
        <v>1650</v>
      </c>
      <c r="H1461" t="s">
        <v>3416</v>
      </c>
      <c r="I1461" t="s">
        <v>4889</v>
      </c>
      <c r="K1461" t="s">
        <v>5037</v>
      </c>
      <c r="L1461" t="s">
        <v>5039</v>
      </c>
    </row>
    <row r="1462" spans="1:12" x14ac:dyDescent="0.35">
      <c r="A1462" t="s">
        <v>107</v>
      </c>
      <c r="B1462" t="s">
        <v>469</v>
      </c>
      <c r="C1462" t="s">
        <v>690</v>
      </c>
      <c r="D1462">
        <v>5.8999999999999997E-2</v>
      </c>
      <c r="F1462" t="s">
        <v>1729</v>
      </c>
      <c r="H1462" t="s">
        <v>3416</v>
      </c>
      <c r="I1462" t="s">
        <v>4889</v>
      </c>
      <c r="K1462" t="s">
        <v>5037</v>
      </c>
      <c r="L1462" t="s">
        <v>5039</v>
      </c>
    </row>
    <row r="1463" spans="1:12" x14ac:dyDescent="0.35">
      <c r="A1463" t="s">
        <v>107</v>
      </c>
      <c r="B1463" t="s">
        <v>469</v>
      </c>
      <c r="C1463" t="s">
        <v>690</v>
      </c>
      <c r="D1463">
        <v>0.186</v>
      </c>
      <c r="F1463" t="s">
        <v>1945</v>
      </c>
      <c r="H1463" t="s">
        <v>3417</v>
      </c>
      <c r="I1463" t="s">
        <v>4889</v>
      </c>
      <c r="K1463" t="s">
        <v>5037</v>
      </c>
      <c r="L1463" t="s">
        <v>5039</v>
      </c>
    </row>
    <row r="1464" spans="1:12" x14ac:dyDescent="0.35">
      <c r="A1464" t="s">
        <v>107</v>
      </c>
      <c r="B1464" t="s">
        <v>469</v>
      </c>
      <c r="C1464" t="s">
        <v>690</v>
      </c>
      <c r="D1464">
        <v>1.95</v>
      </c>
      <c r="F1464" t="s">
        <v>1525</v>
      </c>
      <c r="H1464" t="s">
        <v>3418</v>
      </c>
      <c r="I1464" t="s">
        <v>4889</v>
      </c>
      <c r="K1464" t="s">
        <v>5037</v>
      </c>
      <c r="L1464" t="s">
        <v>5039</v>
      </c>
    </row>
    <row r="1465" spans="1:12" x14ac:dyDescent="0.35">
      <c r="A1465" t="s">
        <v>107</v>
      </c>
      <c r="B1465" t="s">
        <v>469</v>
      </c>
      <c r="C1465" t="s">
        <v>690</v>
      </c>
      <c r="D1465">
        <v>0.11600000000000001</v>
      </c>
      <c r="F1465" t="s">
        <v>1616</v>
      </c>
      <c r="H1465" t="s">
        <v>3419</v>
      </c>
      <c r="I1465" t="s">
        <v>4889</v>
      </c>
      <c r="K1465" t="s">
        <v>5037</v>
      </c>
      <c r="L1465" t="s">
        <v>5039</v>
      </c>
    </row>
    <row r="1466" spans="1:12" x14ac:dyDescent="0.35">
      <c r="A1466" t="s">
        <v>107</v>
      </c>
      <c r="B1466" t="s">
        <v>469</v>
      </c>
      <c r="C1466" t="s">
        <v>166</v>
      </c>
      <c r="D1466">
        <v>0.44500000000000001</v>
      </c>
      <c r="F1466" t="s">
        <v>1946</v>
      </c>
      <c r="H1466" t="s">
        <v>3418</v>
      </c>
      <c r="I1466" t="s">
        <v>4889</v>
      </c>
      <c r="K1466" t="s">
        <v>5037</v>
      </c>
      <c r="L1466" t="s">
        <v>5039</v>
      </c>
    </row>
    <row r="1467" spans="1:12" x14ac:dyDescent="0.35">
      <c r="A1467" t="s">
        <v>107</v>
      </c>
      <c r="B1467" t="s">
        <v>469</v>
      </c>
      <c r="C1467" t="s">
        <v>164</v>
      </c>
      <c r="D1467">
        <v>6.1</v>
      </c>
      <c r="F1467" t="s">
        <v>1894</v>
      </c>
      <c r="H1467" t="s">
        <v>3417</v>
      </c>
      <c r="I1467" t="s">
        <v>4889</v>
      </c>
      <c r="K1467" t="s">
        <v>5037</v>
      </c>
      <c r="L1467" t="s">
        <v>5039</v>
      </c>
    </row>
    <row r="1468" spans="1:12" x14ac:dyDescent="0.35">
      <c r="A1468" t="s">
        <v>107</v>
      </c>
      <c r="B1468" t="s">
        <v>469</v>
      </c>
      <c r="C1468" t="s">
        <v>164</v>
      </c>
      <c r="D1468">
        <v>1.18</v>
      </c>
      <c r="F1468" t="s">
        <v>1947</v>
      </c>
      <c r="H1468" t="s">
        <v>3419</v>
      </c>
      <c r="I1468" t="s">
        <v>4889</v>
      </c>
      <c r="K1468" t="s">
        <v>5037</v>
      </c>
      <c r="L1468" t="s">
        <v>5039</v>
      </c>
    </row>
    <row r="1469" spans="1:12" x14ac:dyDescent="0.35">
      <c r="A1469" t="s">
        <v>107</v>
      </c>
      <c r="B1469" t="s">
        <v>469</v>
      </c>
      <c r="C1469" t="s">
        <v>166</v>
      </c>
      <c r="D1469">
        <v>0.27900000000000003</v>
      </c>
      <c r="F1469" t="s">
        <v>1948</v>
      </c>
      <c r="H1469" t="s">
        <v>3419</v>
      </c>
      <c r="I1469" t="s">
        <v>4889</v>
      </c>
      <c r="K1469" t="s">
        <v>5037</v>
      </c>
      <c r="L1469" t="s">
        <v>5039</v>
      </c>
    </row>
    <row r="1470" spans="1:12" x14ac:dyDescent="0.35">
      <c r="A1470" t="s">
        <v>107</v>
      </c>
      <c r="B1470" t="s">
        <v>469</v>
      </c>
      <c r="C1470" t="s">
        <v>164</v>
      </c>
      <c r="D1470">
        <v>15.2</v>
      </c>
      <c r="F1470" t="s">
        <v>1949</v>
      </c>
      <c r="H1470" t="s">
        <v>3415</v>
      </c>
      <c r="I1470" t="s">
        <v>4889</v>
      </c>
      <c r="K1470" t="s">
        <v>5037</v>
      </c>
      <c r="L1470" t="s">
        <v>5039</v>
      </c>
    </row>
    <row r="1471" spans="1:12" x14ac:dyDescent="0.35">
      <c r="A1471" t="s">
        <v>107</v>
      </c>
      <c r="B1471" t="s">
        <v>469</v>
      </c>
      <c r="C1471" t="s">
        <v>164</v>
      </c>
      <c r="D1471">
        <v>0.95299999999999996</v>
      </c>
      <c r="F1471" t="s">
        <v>1950</v>
      </c>
      <c r="H1471" t="s">
        <v>3416</v>
      </c>
      <c r="I1471" t="s">
        <v>4889</v>
      </c>
      <c r="K1471" t="s">
        <v>5037</v>
      </c>
      <c r="L1471" t="s">
        <v>5039</v>
      </c>
    </row>
    <row r="1472" spans="1:12" x14ac:dyDescent="0.35">
      <c r="A1472" t="s">
        <v>107</v>
      </c>
      <c r="B1472" t="s">
        <v>469</v>
      </c>
      <c r="C1472" t="s">
        <v>166</v>
      </c>
      <c r="D1472">
        <v>0.35199999999999998</v>
      </c>
      <c r="F1472" t="s">
        <v>1951</v>
      </c>
      <c r="H1472" t="s">
        <v>3417</v>
      </c>
      <c r="I1472" t="s">
        <v>4889</v>
      </c>
      <c r="K1472" t="s">
        <v>5037</v>
      </c>
      <c r="L1472" t="s">
        <v>5039</v>
      </c>
    </row>
    <row r="1473" spans="1:12" x14ac:dyDescent="0.35">
      <c r="A1473" t="s">
        <v>107</v>
      </c>
      <c r="B1473" t="s">
        <v>469</v>
      </c>
      <c r="C1473" t="s">
        <v>164</v>
      </c>
      <c r="D1473">
        <v>3.76</v>
      </c>
      <c r="F1473" t="s">
        <v>1952</v>
      </c>
      <c r="H1473" t="s">
        <v>3420</v>
      </c>
      <c r="I1473" t="s">
        <v>4889</v>
      </c>
      <c r="K1473" t="s">
        <v>5037</v>
      </c>
      <c r="L1473" t="s">
        <v>5039</v>
      </c>
    </row>
    <row r="1474" spans="1:12" x14ac:dyDescent="0.35">
      <c r="A1474" t="s">
        <v>107</v>
      </c>
      <c r="B1474" t="s">
        <v>469</v>
      </c>
      <c r="C1474" t="s">
        <v>690</v>
      </c>
      <c r="D1474">
        <v>0.85699999999999998</v>
      </c>
      <c r="F1474" t="s">
        <v>1953</v>
      </c>
      <c r="H1474" t="s">
        <v>3420</v>
      </c>
      <c r="I1474" t="s">
        <v>4889</v>
      </c>
      <c r="K1474" t="s">
        <v>5037</v>
      </c>
      <c r="L1474" t="s">
        <v>5039</v>
      </c>
    </row>
    <row r="1475" spans="1:12" x14ac:dyDescent="0.35">
      <c r="A1475" t="s">
        <v>107</v>
      </c>
      <c r="B1475" t="s">
        <v>469</v>
      </c>
      <c r="C1475" t="s">
        <v>166</v>
      </c>
      <c r="D1475">
        <v>0.96899999999999997</v>
      </c>
      <c r="F1475" t="s">
        <v>1954</v>
      </c>
      <c r="H1475" t="s">
        <v>3420</v>
      </c>
      <c r="I1475" t="s">
        <v>4889</v>
      </c>
      <c r="K1475" t="s">
        <v>5037</v>
      </c>
      <c r="L1475" t="s">
        <v>5039</v>
      </c>
    </row>
    <row r="1476" spans="1:12" x14ac:dyDescent="0.35">
      <c r="A1476" t="s">
        <v>107</v>
      </c>
      <c r="B1476" t="s">
        <v>469</v>
      </c>
      <c r="C1476" t="s">
        <v>690</v>
      </c>
      <c r="D1476">
        <v>0.70699999999999996</v>
      </c>
      <c r="F1476" t="s">
        <v>1955</v>
      </c>
      <c r="H1476" t="s">
        <v>3415</v>
      </c>
      <c r="I1476" t="s">
        <v>4889</v>
      </c>
      <c r="K1476" t="s">
        <v>5037</v>
      </c>
      <c r="L1476" t="s">
        <v>5039</v>
      </c>
    </row>
    <row r="1477" spans="1:12" x14ac:dyDescent="0.35">
      <c r="A1477" t="s">
        <v>107</v>
      </c>
      <c r="B1477" t="s">
        <v>470</v>
      </c>
      <c r="C1477" t="s">
        <v>164</v>
      </c>
      <c r="D1477">
        <v>12</v>
      </c>
      <c r="F1477" t="s">
        <v>1450</v>
      </c>
      <c r="H1477" t="s">
        <v>3421</v>
      </c>
      <c r="I1477" t="s">
        <v>4916</v>
      </c>
      <c r="K1477" t="s">
        <v>5037</v>
      </c>
      <c r="L1477" t="s">
        <v>5039</v>
      </c>
    </row>
    <row r="1478" spans="1:12" x14ac:dyDescent="0.35">
      <c r="A1478" t="s">
        <v>107</v>
      </c>
      <c r="B1478" t="s">
        <v>470</v>
      </c>
      <c r="C1478" t="s">
        <v>166</v>
      </c>
      <c r="D1478">
        <v>0.19900000000000001</v>
      </c>
      <c r="F1478" t="s">
        <v>1956</v>
      </c>
      <c r="H1478" t="s">
        <v>3422</v>
      </c>
      <c r="I1478" t="s">
        <v>4916</v>
      </c>
      <c r="K1478" t="s">
        <v>5037</v>
      </c>
      <c r="L1478" t="s">
        <v>5039</v>
      </c>
    </row>
    <row r="1479" spans="1:12" x14ac:dyDescent="0.35">
      <c r="A1479" t="s">
        <v>107</v>
      </c>
      <c r="B1479" t="s">
        <v>471</v>
      </c>
      <c r="C1479" t="s">
        <v>166</v>
      </c>
      <c r="D1479">
        <v>0.38500000000000001</v>
      </c>
      <c r="F1479" t="s">
        <v>1957</v>
      </c>
      <c r="H1479" t="s">
        <v>3423</v>
      </c>
      <c r="I1479" t="s">
        <v>4916</v>
      </c>
      <c r="K1479" t="s">
        <v>5037</v>
      </c>
      <c r="L1479" t="s">
        <v>5039</v>
      </c>
    </row>
    <row r="1480" spans="1:12" x14ac:dyDescent="0.35">
      <c r="A1480" t="s">
        <v>107</v>
      </c>
      <c r="B1480" t="s">
        <v>471</v>
      </c>
      <c r="C1480" t="s">
        <v>690</v>
      </c>
      <c r="D1480">
        <v>0.05</v>
      </c>
      <c r="F1480" t="s">
        <v>1559</v>
      </c>
      <c r="H1480" t="s">
        <v>3424</v>
      </c>
      <c r="I1480" t="s">
        <v>4917</v>
      </c>
      <c r="K1480" t="s">
        <v>5037</v>
      </c>
      <c r="L1480" t="s">
        <v>5039</v>
      </c>
    </row>
    <row r="1481" spans="1:12" x14ac:dyDescent="0.35">
      <c r="A1481" t="s">
        <v>107</v>
      </c>
      <c r="B1481" t="s">
        <v>472</v>
      </c>
      <c r="C1481" t="s">
        <v>164</v>
      </c>
      <c r="D1481">
        <v>2.8</v>
      </c>
      <c r="F1481" t="s">
        <v>1504</v>
      </c>
      <c r="H1481" t="s">
        <v>3425</v>
      </c>
      <c r="I1481" t="s">
        <v>4917</v>
      </c>
      <c r="K1481" t="s">
        <v>5037</v>
      </c>
      <c r="L1481" t="s">
        <v>5039</v>
      </c>
    </row>
    <row r="1482" spans="1:12" x14ac:dyDescent="0.35">
      <c r="A1482" t="s">
        <v>107</v>
      </c>
      <c r="B1482" t="s">
        <v>472</v>
      </c>
      <c r="C1482" t="s">
        <v>166</v>
      </c>
      <c r="D1482">
        <v>9.2999999999999999E-2</v>
      </c>
      <c r="F1482" t="s">
        <v>1412</v>
      </c>
      <c r="H1482" t="s">
        <v>3425</v>
      </c>
      <c r="I1482" t="s">
        <v>4917</v>
      </c>
      <c r="K1482" t="s">
        <v>5037</v>
      </c>
      <c r="L1482" t="s">
        <v>5039</v>
      </c>
    </row>
    <row r="1483" spans="1:12" x14ac:dyDescent="0.35">
      <c r="A1483" t="s">
        <v>107</v>
      </c>
      <c r="B1483" t="s">
        <v>473</v>
      </c>
      <c r="C1483" t="s">
        <v>773</v>
      </c>
      <c r="D1483">
        <v>13.3</v>
      </c>
      <c r="F1483" t="s">
        <v>1631</v>
      </c>
      <c r="H1483" t="s">
        <v>2842</v>
      </c>
      <c r="I1483" t="s">
        <v>2327</v>
      </c>
      <c r="K1483" t="s">
        <v>5037</v>
      </c>
      <c r="L1483" t="s">
        <v>5039</v>
      </c>
    </row>
    <row r="1484" spans="1:12" x14ac:dyDescent="0.35">
      <c r="A1484" t="s">
        <v>107</v>
      </c>
      <c r="B1484" t="s">
        <v>473</v>
      </c>
      <c r="C1484" t="s">
        <v>774</v>
      </c>
      <c r="D1484">
        <v>7.3</v>
      </c>
      <c r="F1484" t="s">
        <v>1670</v>
      </c>
      <c r="H1484" t="s">
        <v>3426</v>
      </c>
      <c r="I1484" t="s">
        <v>2327</v>
      </c>
      <c r="K1484" t="s">
        <v>5037</v>
      </c>
      <c r="L1484" t="s">
        <v>5039</v>
      </c>
    </row>
    <row r="1485" spans="1:12" x14ac:dyDescent="0.35">
      <c r="A1485" t="s">
        <v>108</v>
      </c>
      <c r="B1485" t="s">
        <v>333</v>
      </c>
      <c r="C1485" t="s">
        <v>775</v>
      </c>
      <c r="D1485">
        <v>80</v>
      </c>
      <c r="F1485" t="s">
        <v>1705</v>
      </c>
      <c r="H1485" t="s">
        <v>3427</v>
      </c>
      <c r="I1485" t="s">
        <v>1841</v>
      </c>
      <c r="K1485" t="s">
        <v>5037</v>
      </c>
      <c r="L1485" t="s">
        <v>5039</v>
      </c>
    </row>
    <row r="1486" spans="1:12" x14ac:dyDescent="0.35">
      <c r="A1486" t="s">
        <v>108</v>
      </c>
      <c r="B1486" t="s">
        <v>474</v>
      </c>
      <c r="C1486" t="s">
        <v>776</v>
      </c>
      <c r="D1486">
        <v>9.0999999999999998E-2</v>
      </c>
      <c r="F1486" t="s">
        <v>1958</v>
      </c>
      <c r="I1486" t="s">
        <v>1766</v>
      </c>
      <c r="K1486" t="s">
        <v>5037</v>
      </c>
      <c r="L1486" t="s">
        <v>5039</v>
      </c>
    </row>
    <row r="1487" spans="1:12" x14ac:dyDescent="0.35">
      <c r="A1487" t="s">
        <v>108</v>
      </c>
      <c r="B1487" t="s">
        <v>474</v>
      </c>
      <c r="C1487" t="s">
        <v>166</v>
      </c>
      <c r="D1487">
        <v>0.17</v>
      </c>
      <c r="F1487" t="s">
        <v>1409</v>
      </c>
      <c r="H1487" t="s">
        <v>3428</v>
      </c>
      <c r="I1487" t="s">
        <v>2330</v>
      </c>
      <c r="K1487" t="s">
        <v>5037</v>
      </c>
      <c r="L1487" t="s">
        <v>5039</v>
      </c>
    </row>
    <row r="1488" spans="1:12" x14ac:dyDescent="0.35">
      <c r="A1488" t="s">
        <v>108</v>
      </c>
      <c r="B1488" t="s">
        <v>475</v>
      </c>
      <c r="C1488" t="s">
        <v>166</v>
      </c>
      <c r="D1488">
        <v>0.25</v>
      </c>
      <c r="F1488" t="s">
        <v>1403</v>
      </c>
      <c r="I1488" t="s">
        <v>1317</v>
      </c>
      <c r="K1488" t="s">
        <v>5037</v>
      </c>
      <c r="L1488" t="s">
        <v>5039</v>
      </c>
    </row>
    <row r="1489" spans="1:12" x14ac:dyDescent="0.35">
      <c r="A1489" t="s">
        <v>108</v>
      </c>
      <c r="B1489" t="s">
        <v>475</v>
      </c>
      <c r="C1489" t="s">
        <v>777</v>
      </c>
      <c r="D1489">
        <v>0.28000000000000003</v>
      </c>
      <c r="F1489" t="s">
        <v>1732</v>
      </c>
      <c r="I1489" t="s">
        <v>1317</v>
      </c>
      <c r="K1489" t="s">
        <v>5037</v>
      </c>
      <c r="L1489" t="s">
        <v>5039</v>
      </c>
    </row>
    <row r="1490" spans="1:12" x14ac:dyDescent="0.35">
      <c r="A1490" t="s">
        <v>108</v>
      </c>
      <c r="B1490" t="s">
        <v>475</v>
      </c>
      <c r="C1490" t="s">
        <v>778</v>
      </c>
      <c r="D1490">
        <v>0.19</v>
      </c>
      <c r="F1490" t="s">
        <v>1538</v>
      </c>
      <c r="I1490" t="s">
        <v>1317</v>
      </c>
      <c r="K1490" t="s">
        <v>5037</v>
      </c>
      <c r="L1490" t="s">
        <v>5039</v>
      </c>
    </row>
    <row r="1491" spans="1:12" x14ac:dyDescent="0.35">
      <c r="A1491" t="s">
        <v>108</v>
      </c>
      <c r="B1491" t="s">
        <v>475</v>
      </c>
      <c r="C1491" t="s">
        <v>779</v>
      </c>
      <c r="D1491">
        <v>0.22</v>
      </c>
      <c r="F1491" t="s">
        <v>1438</v>
      </c>
      <c r="I1491" t="s">
        <v>1317</v>
      </c>
      <c r="K1491" t="s">
        <v>5037</v>
      </c>
      <c r="L1491" t="s">
        <v>5039</v>
      </c>
    </row>
    <row r="1492" spans="1:12" x14ac:dyDescent="0.35">
      <c r="A1492" t="s">
        <v>108</v>
      </c>
      <c r="B1492" t="s">
        <v>475</v>
      </c>
      <c r="C1492" t="s">
        <v>780</v>
      </c>
      <c r="D1492">
        <v>0.35</v>
      </c>
      <c r="F1492" t="s">
        <v>1294</v>
      </c>
      <c r="I1492" t="s">
        <v>1317</v>
      </c>
      <c r="K1492" t="s">
        <v>5037</v>
      </c>
      <c r="L1492" t="s">
        <v>5039</v>
      </c>
    </row>
    <row r="1493" spans="1:12" x14ac:dyDescent="0.35">
      <c r="A1493" t="s">
        <v>108</v>
      </c>
      <c r="B1493" t="s">
        <v>475</v>
      </c>
      <c r="C1493" t="s">
        <v>781</v>
      </c>
      <c r="D1493">
        <v>14</v>
      </c>
      <c r="F1493" t="s">
        <v>1467</v>
      </c>
      <c r="I1493" t="s">
        <v>1317</v>
      </c>
      <c r="K1493" t="s">
        <v>5037</v>
      </c>
      <c r="L1493" t="s">
        <v>5039</v>
      </c>
    </row>
    <row r="1494" spans="1:12" x14ac:dyDescent="0.35">
      <c r="A1494" t="s">
        <v>108</v>
      </c>
      <c r="B1494" t="s">
        <v>476</v>
      </c>
      <c r="C1494" t="s">
        <v>166</v>
      </c>
      <c r="D1494">
        <v>0.45</v>
      </c>
      <c r="F1494" t="s">
        <v>1316</v>
      </c>
      <c r="I1494" t="s">
        <v>1851</v>
      </c>
      <c r="K1494" t="s">
        <v>5037</v>
      </c>
      <c r="L1494" t="s">
        <v>5039</v>
      </c>
    </row>
    <row r="1495" spans="1:12" x14ac:dyDescent="0.35">
      <c r="A1495" t="s">
        <v>108</v>
      </c>
      <c r="B1495" t="s">
        <v>476</v>
      </c>
      <c r="C1495" t="s">
        <v>778</v>
      </c>
      <c r="D1495">
        <v>0.67</v>
      </c>
      <c r="F1495" t="s">
        <v>1478</v>
      </c>
      <c r="I1495" t="s">
        <v>1851</v>
      </c>
      <c r="K1495" t="s">
        <v>5037</v>
      </c>
      <c r="L1495" t="s">
        <v>5039</v>
      </c>
    </row>
    <row r="1496" spans="1:12" x14ac:dyDescent="0.35">
      <c r="A1496" t="s">
        <v>108</v>
      </c>
      <c r="B1496" t="s">
        <v>476</v>
      </c>
      <c r="C1496" t="s">
        <v>780</v>
      </c>
      <c r="D1496">
        <v>0.27</v>
      </c>
      <c r="F1496" t="s">
        <v>1738</v>
      </c>
      <c r="I1496" t="s">
        <v>1851</v>
      </c>
      <c r="K1496" t="s">
        <v>5037</v>
      </c>
      <c r="L1496" t="s">
        <v>5039</v>
      </c>
    </row>
    <row r="1497" spans="1:12" x14ac:dyDescent="0.35">
      <c r="A1497" t="s">
        <v>108</v>
      </c>
      <c r="B1497" t="s">
        <v>459</v>
      </c>
      <c r="C1497" t="s">
        <v>780</v>
      </c>
      <c r="D1497">
        <v>0.3</v>
      </c>
      <c r="F1497" t="s">
        <v>1401</v>
      </c>
      <c r="I1497" t="s">
        <v>1379</v>
      </c>
      <c r="K1497" t="s">
        <v>5037</v>
      </c>
      <c r="L1497" t="s">
        <v>5039</v>
      </c>
    </row>
    <row r="1498" spans="1:12" x14ac:dyDescent="0.35">
      <c r="A1498" t="s">
        <v>108</v>
      </c>
      <c r="B1498" t="s">
        <v>459</v>
      </c>
      <c r="C1498" t="s">
        <v>166</v>
      </c>
      <c r="D1498">
        <v>0.48</v>
      </c>
      <c r="F1498" t="s">
        <v>1508</v>
      </c>
      <c r="I1498" t="s">
        <v>1379</v>
      </c>
      <c r="K1498" t="s">
        <v>5037</v>
      </c>
      <c r="L1498" t="s">
        <v>5039</v>
      </c>
    </row>
    <row r="1499" spans="1:12" x14ac:dyDescent="0.35">
      <c r="A1499" t="s">
        <v>108</v>
      </c>
      <c r="B1499" t="s">
        <v>171</v>
      </c>
      <c r="C1499" t="s">
        <v>766</v>
      </c>
      <c r="D1499">
        <v>0.5</v>
      </c>
      <c r="F1499" t="s">
        <v>1440</v>
      </c>
      <c r="H1499" t="s">
        <v>3429</v>
      </c>
      <c r="I1499" t="s">
        <v>4918</v>
      </c>
      <c r="K1499" t="s">
        <v>5037</v>
      </c>
      <c r="L1499" t="s">
        <v>5039</v>
      </c>
    </row>
    <row r="1500" spans="1:12" x14ac:dyDescent="0.35">
      <c r="A1500" t="s">
        <v>108</v>
      </c>
      <c r="B1500" t="s">
        <v>171</v>
      </c>
      <c r="C1500" t="s">
        <v>166</v>
      </c>
      <c r="D1500">
        <v>1.7</v>
      </c>
      <c r="F1500" t="s">
        <v>1416</v>
      </c>
      <c r="H1500" t="s">
        <v>3430</v>
      </c>
      <c r="I1500" t="s">
        <v>4918</v>
      </c>
      <c r="K1500" t="s">
        <v>5037</v>
      </c>
      <c r="L1500" t="s">
        <v>5039</v>
      </c>
    </row>
    <row r="1501" spans="1:12" x14ac:dyDescent="0.35">
      <c r="A1501" t="s">
        <v>108</v>
      </c>
      <c r="B1501" t="s">
        <v>171</v>
      </c>
      <c r="C1501" t="s">
        <v>782</v>
      </c>
      <c r="D1501">
        <v>1.2</v>
      </c>
      <c r="F1501" t="s">
        <v>1421</v>
      </c>
      <c r="H1501" t="s">
        <v>3431</v>
      </c>
      <c r="I1501" t="s">
        <v>4918</v>
      </c>
      <c r="K1501" t="s">
        <v>5037</v>
      </c>
      <c r="L1501" t="s">
        <v>5039</v>
      </c>
    </row>
    <row r="1502" spans="1:12" x14ac:dyDescent="0.35">
      <c r="A1502" t="s">
        <v>108</v>
      </c>
      <c r="B1502" t="s">
        <v>171</v>
      </c>
      <c r="C1502" t="s">
        <v>782</v>
      </c>
      <c r="D1502">
        <v>1.9</v>
      </c>
      <c r="F1502" t="s">
        <v>1503</v>
      </c>
      <c r="H1502" t="s">
        <v>3432</v>
      </c>
      <c r="I1502" t="s">
        <v>4918</v>
      </c>
      <c r="K1502" t="s">
        <v>5037</v>
      </c>
      <c r="L1502" t="s">
        <v>5039</v>
      </c>
    </row>
    <row r="1503" spans="1:12" x14ac:dyDescent="0.35">
      <c r="A1503" t="s">
        <v>108</v>
      </c>
      <c r="B1503" t="s">
        <v>171</v>
      </c>
      <c r="C1503" t="s">
        <v>766</v>
      </c>
      <c r="D1503">
        <v>0.38</v>
      </c>
      <c r="F1503" t="s">
        <v>1624</v>
      </c>
      <c r="H1503" t="s">
        <v>3433</v>
      </c>
      <c r="I1503" t="s">
        <v>4918</v>
      </c>
      <c r="K1503" t="s">
        <v>5037</v>
      </c>
      <c r="L1503" t="s">
        <v>5039</v>
      </c>
    </row>
    <row r="1504" spans="1:12" x14ac:dyDescent="0.35">
      <c r="A1504" t="s">
        <v>108</v>
      </c>
      <c r="B1504" t="s">
        <v>171</v>
      </c>
      <c r="C1504" t="s">
        <v>166</v>
      </c>
      <c r="D1504">
        <v>1.6</v>
      </c>
      <c r="F1504" t="s">
        <v>1328</v>
      </c>
      <c r="H1504" t="s">
        <v>3434</v>
      </c>
      <c r="I1504" t="s">
        <v>4918</v>
      </c>
      <c r="K1504" t="s">
        <v>5037</v>
      </c>
      <c r="L1504" t="s">
        <v>5039</v>
      </c>
    </row>
    <row r="1505" spans="1:12" x14ac:dyDescent="0.35">
      <c r="A1505" t="s">
        <v>108</v>
      </c>
      <c r="B1505" t="s">
        <v>171</v>
      </c>
      <c r="C1505" t="s">
        <v>782</v>
      </c>
      <c r="D1505">
        <v>1.93</v>
      </c>
      <c r="F1505" t="s">
        <v>1937</v>
      </c>
      <c r="H1505" t="s">
        <v>3435</v>
      </c>
      <c r="I1505" t="s">
        <v>4918</v>
      </c>
      <c r="K1505" t="s">
        <v>5037</v>
      </c>
      <c r="L1505" t="s">
        <v>5039</v>
      </c>
    </row>
    <row r="1506" spans="1:12" x14ac:dyDescent="0.35">
      <c r="A1506" t="s">
        <v>108</v>
      </c>
      <c r="B1506" t="s">
        <v>171</v>
      </c>
      <c r="C1506" t="s">
        <v>766</v>
      </c>
      <c r="D1506">
        <v>0.24</v>
      </c>
      <c r="F1506" t="s">
        <v>1488</v>
      </c>
      <c r="H1506" t="s">
        <v>3436</v>
      </c>
      <c r="I1506" t="s">
        <v>4918</v>
      </c>
      <c r="K1506" t="s">
        <v>5037</v>
      </c>
      <c r="L1506" t="s">
        <v>5039</v>
      </c>
    </row>
    <row r="1507" spans="1:12" x14ac:dyDescent="0.35">
      <c r="A1507" t="s">
        <v>108</v>
      </c>
      <c r="B1507" t="s">
        <v>171</v>
      </c>
      <c r="C1507" t="s">
        <v>766</v>
      </c>
      <c r="D1507">
        <v>0.48</v>
      </c>
      <c r="F1507" t="s">
        <v>1508</v>
      </c>
      <c r="H1507" t="s">
        <v>3437</v>
      </c>
      <c r="I1507" t="s">
        <v>4918</v>
      </c>
      <c r="K1507" t="s">
        <v>5037</v>
      </c>
      <c r="L1507" t="s">
        <v>5039</v>
      </c>
    </row>
    <row r="1508" spans="1:12" x14ac:dyDescent="0.35">
      <c r="A1508" t="s">
        <v>108</v>
      </c>
      <c r="B1508" t="s">
        <v>171</v>
      </c>
      <c r="C1508" t="s">
        <v>782</v>
      </c>
      <c r="D1508">
        <v>1.75</v>
      </c>
      <c r="F1508" t="s">
        <v>1523</v>
      </c>
      <c r="H1508" t="s">
        <v>3438</v>
      </c>
      <c r="I1508" t="s">
        <v>4918</v>
      </c>
      <c r="K1508" t="s">
        <v>5037</v>
      </c>
      <c r="L1508" t="s">
        <v>5039</v>
      </c>
    </row>
    <row r="1509" spans="1:12" x14ac:dyDescent="0.35">
      <c r="A1509" t="s">
        <v>108</v>
      </c>
      <c r="B1509" t="s">
        <v>171</v>
      </c>
      <c r="C1509" t="s">
        <v>166</v>
      </c>
      <c r="D1509">
        <v>1.22</v>
      </c>
      <c r="F1509" t="s">
        <v>1959</v>
      </c>
      <c r="H1509" t="s">
        <v>3436</v>
      </c>
      <c r="I1509" t="s">
        <v>4918</v>
      </c>
      <c r="K1509" t="s">
        <v>5037</v>
      </c>
      <c r="L1509" t="s">
        <v>5039</v>
      </c>
    </row>
    <row r="1510" spans="1:12" x14ac:dyDescent="0.35">
      <c r="A1510" t="s">
        <v>108</v>
      </c>
      <c r="B1510" t="s">
        <v>171</v>
      </c>
      <c r="C1510" t="s">
        <v>166</v>
      </c>
      <c r="D1510">
        <v>2.13</v>
      </c>
      <c r="F1510" t="s">
        <v>1960</v>
      </c>
      <c r="H1510" t="s">
        <v>3429</v>
      </c>
      <c r="I1510" t="s">
        <v>4918</v>
      </c>
      <c r="K1510" t="s">
        <v>5037</v>
      </c>
      <c r="L1510" t="s">
        <v>5039</v>
      </c>
    </row>
    <row r="1511" spans="1:12" x14ac:dyDescent="0.35">
      <c r="A1511" t="s">
        <v>108</v>
      </c>
      <c r="B1511" t="s">
        <v>394</v>
      </c>
      <c r="C1511" t="s">
        <v>778</v>
      </c>
      <c r="D1511">
        <v>0.43</v>
      </c>
      <c r="F1511" t="s">
        <v>1441</v>
      </c>
      <c r="H1511" t="s">
        <v>3439</v>
      </c>
      <c r="I1511" t="s">
        <v>2326</v>
      </c>
      <c r="K1511" t="s">
        <v>5037</v>
      </c>
      <c r="L1511" t="s">
        <v>5039</v>
      </c>
    </row>
    <row r="1512" spans="1:12" x14ac:dyDescent="0.35">
      <c r="A1512" t="s">
        <v>108</v>
      </c>
      <c r="B1512" t="s">
        <v>394</v>
      </c>
      <c r="C1512" t="s">
        <v>166</v>
      </c>
      <c r="D1512">
        <v>0.33</v>
      </c>
      <c r="F1512" t="s">
        <v>1397</v>
      </c>
      <c r="H1512" t="s">
        <v>3440</v>
      </c>
      <c r="I1512" t="s">
        <v>2326</v>
      </c>
      <c r="K1512" t="s">
        <v>5037</v>
      </c>
      <c r="L1512" t="s">
        <v>5039</v>
      </c>
    </row>
    <row r="1513" spans="1:12" x14ac:dyDescent="0.35">
      <c r="A1513" t="s">
        <v>108</v>
      </c>
      <c r="B1513" t="s">
        <v>394</v>
      </c>
      <c r="C1513" t="s">
        <v>769</v>
      </c>
      <c r="D1513">
        <v>8.3000000000000007</v>
      </c>
      <c r="F1513" t="s">
        <v>1382</v>
      </c>
      <c r="H1513" t="s">
        <v>3439</v>
      </c>
      <c r="I1513" t="s">
        <v>2326</v>
      </c>
      <c r="K1513" t="s">
        <v>5037</v>
      </c>
      <c r="L1513" t="s">
        <v>5039</v>
      </c>
    </row>
    <row r="1514" spans="1:12" x14ac:dyDescent="0.35">
      <c r="A1514" t="s">
        <v>108</v>
      </c>
      <c r="B1514" t="s">
        <v>463</v>
      </c>
      <c r="C1514" t="s">
        <v>783</v>
      </c>
      <c r="D1514">
        <v>7.5</v>
      </c>
      <c r="F1514" t="s">
        <v>1464</v>
      </c>
      <c r="H1514" t="s">
        <v>3441</v>
      </c>
      <c r="I1514" t="s">
        <v>2393</v>
      </c>
      <c r="K1514" t="s">
        <v>5037</v>
      </c>
      <c r="L1514" t="s">
        <v>5039</v>
      </c>
    </row>
    <row r="1515" spans="1:12" x14ac:dyDescent="0.35">
      <c r="A1515" t="s">
        <v>108</v>
      </c>
      <c r="B1515" t="s">
        <v>463</v>
      </c>
      <c r="C1515" t="s">
        <v>783</v>
      </c>
      <c r="D1515">
        <v>31</v>
      </c>
      <c r="F1515" t="s">
        <v>1390</v>
      </c>
      <c r="H1515" t="s">
        <v>3442</v>
      </c>
      <c r="I1515" t="s">
        <v>2393</v>
      </c>
      <c r="K1515" t="s">
        <v>5037</v>
      </c>
      <c r="L1515" t="s">
        <v>5039</v>
      </c>
    </row>
    <row r="1516" spans="1:12" x14ac:dyDescent="0.35">
      <c r="A1516" t="s">
        <v>108</v>
      </c>
      <c r="B1516" t="s">
        <v>463</v>
      </c>
      <c r="C1516" t="s">
        <v>778</v>
      </c>
      <c r="D1516">
        <v>28</v>
      </c>
      <c r="F1516" t="s">
        <v>1961</v>
      </c>
      <c r="H1516" t="s">
        <v>3443</v>
      </c>
      <c r="I1516" t="s">
        <v>2393</v>
      </c>
      <c r="K1516" t="s">
        <v>5037</v>
      </c>
      <c r="L1516" t="s">
        <v>5039</v>
      </c>
    </row>
    <row r="1517" spans="1:12" x14ac:dyDescent="0.35">
      <c r="A1517" t="s">
        <v>108</v>
      </c>
      <c r="B1517" t="s">
        <v>463</v>
      </c>
      <c r="C1517" t="s">
        <v>769</v>
      </c>
      <c r="D1517">
        <v>5.9</v>
      </c>
      <c r="F1517" t="s">
        <v>1852</v>
      </c>
      <c r="I1517" t="s">
        <v>4880</v>
      </c>
      <c r="K1517" t="s">
        <v>5037</v>
      </c>
      <c r="L1517" t="s">
        <v>5039</v>
      </c>
    </row>
    <row r="1518" spans="1:12" x14ac:dyDescent="0.35">
      <c r="A1518" t="s">
        <v>108</v>
      </c>
      <c r="B1518" t="s">
        <v>463</v>
      </c>
      <c r="C1518" t="s">
        <v>166</v>
      </c>
      <c r="D1518">
        <v>4.9000000000000004</v>
      </c>
      <c r="F1518" t="s">
        <v>1669</v>
      </c>
      <c r="H1518" t="s">
        <v>3444</v>
      </c>
      <c r="I1518" t="s">
        <v>2393</v>
      </c>
      <c r="K1518" t="s">
        <v>5037</v>
      </c>
      <c r="L1518" t="s">
        <v>5039</v>
      </c>
    </row>
    <row r="1519" spans="1:12" x14ac:dyDescent="0.35">
      <c r="A1519" t="s">
        <v>108</v>
      </c>
      <c r="B1519" t="s">
        <v>463</v>
      </c>
      <c r="C1519" t="s">
        <v>778</v>
      </c>
      <c r="D1519">
        <v>23.8</v>
      </c>
      <c r="F1519" t="s">
        <v>1962</v>
      </c>
      <c r="H1519" t="s">
        <v>3444</v>
      </c>
      <c r="I1519" t="s">
        <v>2393</v>
      </c>
      <c r="K1519" t="s">
        <v>5037</v>
      </c>
      <c r="L1519" t="s">
        <v>5039</v>
      </c>
    </row>
    <row r="1520" spans="1:12" x14ac:dyDescent="0.35">
      <c r="A1520" t="s">
        <v>108</v>
      </c>
      <c r="B1520" t="s">
        <v>463</v>
      </c>
      <c r="C1520" t="s">
        <v>166</v>
      </c>
      <c r="D1520">
        <v>13.4</v>
      </c>
      <c r="F1520" t="s">
        <v>1963</v>
      </c>
      <c r="H1520" t="s">
        <v>3445</v>
      </c>
      <c r="I1520" t="s">
        <v>2393</v>
      </c>
      <c r="K1520" t="s">
        <v>5037</v>
      </c>
      <c r="L1520" t="s">
        <v>5039</v>
      </c>
    </row>
    <row r="1521" spans="1:12" x14ac:dyDescent="0.35">
      <c r="A1521" t="s">
        <v>108</v>
      </c>
      <c r="B1521" t="s">
        <v>463</v>
      </c>
      <c r="C1521" t="s">
        <v>778</v>
      </c>
      <c r="D1521">
        <v>11.8</v>
      </c>
      <c r="F1521" t="s">
        <v>1749</v>
      </c>
      <c r="H1521" t="s">
        <v>3446</v>
      </c>
      <c r="I1521" t="s">
        <v>2393</v>
      </c>
      <c r="K1521" t="s">
        <v>5037</v>
      </c>
      <c r="L1521" t="s">
        <v>5039</v>
      </c>
    </row>
    <row r="1522" spans="1:12" x14ac:dyDescent="0.35">
      <c r="A1522" t="s">
        <v>108</v>
      </c>
      <c r="B1522" t="s">
        <v>463</v>
      </c>
      <c r="C1522" t="s">
        <v>166</v>
      </c>
      <c r="D1522">
        <v>0.624</v>
      </c>
      <c r="F1522" t="s">
        <v>1964</v>
      </c>
      <c r="H1522" t="s">
        <v>3447</v>
      </c>
      <c r="I1522" t="s">
        <v>2393</v>
      </c>
      <c r="K1522" t="s">
        <v>5037</v>
      </c>
      <c r="L1522" t="s">
        <v>5039</v>
      </c>
    </row>
    <row r="1523" spans="1:12" x14ac:dyDescent="0.35">
      <c r="A1523" t="s">
        <v>108</v>
      </c>
      <c r="B1523" t="s">
        <v>463</v>
      </c>
      <c r="C1523" t="s">
        <v>166</v>
      </c>
      <c r="D1523">
        <v>0.42</v>
      </c>
      <c r="F1523" t="s">
        <v>1629</v>
      </c>
      <c r="H1523" t="s">
        <v>3448</v>
      </c>
      <c r="I1523" t="s">
        <v>2393</v>
      </c>
      <c r="K1523" t="s">
        <v>5037</v>
      </c>
      <c r="L1523" t="s">
        <v>5039</v>
      </c>
    </row>
    <row r="1524" spans="1:12" x14ac:dyDescent="0.35">
      <c r="A1524" t="s">
        <v>108</v>
      </c>
      <c r="B1524" t="s">
        <v>463</v>
      </c>
      <c r="C1524" t="s">
        <v>778</v>
      </c>
      <c r="D1524">
        <v>6.3</v>
      </c>
      <c r="F1524" t="s">
        <v>1965</v>
      </c>
      <c r="H1524" t="s">
        <v>3449</v>
      </c>
      <c r="I1524" t="s">
        <v>1569</v>
      </c>
      <c r="K1524" t="s">
        <v>5037</v>
      </c>
      <c r="L1524" t="s">
        <v>5039</v>
      </c>
    </row>
    <row r="1525" spans="1:12" x14ac:dyDescent="0.35">
      <c r="A1525" t="s">
        <v>108</v>
      </c>
      <c r="B1525" t="s">
        <v>463</v>
      </c>
      <c r="C1525" t="s">
        <v>783</v>
      </c>
      <c r="D1525">
        <v>5.9</v>
      </c>
      <c r="F1525" t="s">
        <v>1852</v>
      </c>
      <c r="H1525" t="s">
        <v>3449</v>
      </c>
      <c r="I1525" t="s">
        <v>1569</v>
      </c>
      <c r="K1525" t="s">
        <v>5037</v>
      </c>
      <c r="L1525" t="s">
        <v>5039</v>
      </c>
    </row>
    <row r="1526" spans="1:12" x14ac:dyDescent="0.35">
      <c r="A1526" t="s">
        <v>108</v>
      </c>
      <c r="B1526" t="s">
        <v>465</v>
      </c>
      <c r="C1526" t="s">
        <v>778</v>
      </c>
      <c r="D1526">
        <v>0.09</v>
      </c>
      <c r="F1526" t="s">
        <v>1310</v>
      </c>
      <c r="H1526" t="s">
        <v>3450</v>
      </c>
      <c r="I1526" t="s">
        <v>1569</v>
      </c>
      <c r="K1526" t="s">
        <v>5037</v>
      </c>
      <c r="L1526" t="s">
        <v>5039</v>
      </c>
    </row>
    <row r="1527" spans="1:12" x14ac:dyDescent="0.35">
      <c r="A1527" t="s">
        <v>108</v>
      </c>
      <c r="B1527" t="s">
        <v>465</v>
      </c>
      <c r="C1527" t="s">
        <v>166</v>
      </c>
      <c r="D1527">
        <v>0.53</v>
      </c>
      <c r="F1527" t="s">
        <v>1817</v>
      </c>
      <c r="H1527" t="s">
        <v>3450</v>
      </c>
      <c r="I1527" t="s">
        <v>1569</v>
      </c>
      <c r="K1527" t="s">
        <v>5037</v>
      </c>
      <c r="L1527" t="s">
        <v>5039</v>
      </c>
    </row>
    <row r="1528" spans="1:12" x14ac:dyDescent="0.35">
      <c r="A1528" t="s">
        <v>108</v>
      </c>
      <c r="B1528" t="s">
        <v>465</v>
      </c>
      <c r="C1528" t="s">
        <v>783</v>
      </c>
      <c r="D1528">
        <v>81</v>
      </c>
      <c r="F1528" t="s">
        <v>1966</v>
      </c>
      <c r="H1528" t="s">
        <v>3450</v>
      </c>
      <c r="I1528" t="s">
        <v>1569</v>
      </c>
      <c r="K1528" t="s">
        <v>5037</v>
      </c>
      <c r="L1528" t="s">
        <v>5039</v>
      </c>
    </row>
    <row r="1529" spans="1:12" x14ac:dyDescent="0.35">
      <c r="A1529" t="s">
        <v>108</v>
      </c>
      <c r="B1529" t="s">
        <v>324</v>
      </c>
      <c r="C1529" t="s">
        <v>783</v>
      </c>
      <c r="D1529">
        <v>0.03</v>
      </c>
      <c r="F1529" t="s">
        <v>1266</v>
      </c>
      <c r="H1529" t="s">
        <v>3451</v>
      </c>
      <c r="I1529" t="s">
        <v>1516</v>
      </c>
      <c r="K1529" t="s">
        <v>5037</v>
      </c>
      <c r="L1529" t="s">
        <v>5039</v>
      </c>
    </row>
    <row r="1530" spans="1:12" x14ac:dyDescent="0.35">
      <c r="A1530" t="s">
        <v>108</v>
      </c>
      <c r="B1530" t="s">
        <v>324</v>
      </c>
      <c r="C1530" t="s">
        <v>778</v>
      </c>
      <c r="D1530">
        <v>0.18</v>
      </c>
      <c r="F1530" t="s">
        <v>1531</v>
      </c>
      <c r="H1530" t="s">
        <v>3452</v>
      </c>
      <c r="I1530" t="s">
        <v>1516</v>
      </c>
      <c r="K1530" t="s">
        <v>5037</v>
      </c>
      <c r="L1530" t="s">
        <v>5039</v>
      </c>
    </row>
    <row r="1531" spans="1:12" x14ac:dyDescent="0.35">
      <c r="A1531" t="s">
        <v>108</v>
      </c>
      <c r="B1531" t="s">
        <v>324</v>
      </c>
      <c r="C1531" t="s">
        <v>781</v>
      </c>
      <c r="D1531">
        <v>0.59199999999999997</v>
      </c>
      <c r="F1531" t="s">
        <v>1967</v>
      </c>
      <c r="H1531" t="s">
        <v>3452</v>
      </c>
      <c r="I1531" t="s">
        <v>1516</v>
      </c>
      <c r="K1531" t="s">
        <v>5037</v>
      </c>
      <c r="L1531" t="s">
        <v>5039</v>
      </c>
    </row>
    <row r="1532" spans="1:12" x14ac:dyDescent="0.35">
      <c r="A1532" t="s">
        <v>108</v>
      </c>
      <c r="B1532" t="s">
        <v>477</v>
      </c>
      <c r="C1532" t="s">
        <v>778</v>
      </c>
      <c r="D1532">
        <v>0.41</v>
      </c>
      <c r="F1532" t="s">
        <v>1555</v>
      </c>
      <c r="H1532" t="s">
        <v>3453</v>
      </c>
      <c r="I1532" t="s">
        <v>4919</v>
      </c>
      <c r="K1532" t="s">
        <v>5037</v>
      </c>
      <c r="L1532" t="s">
        <v>5039</v>
      </c>
    </row>
    <row r="1533" spans="1:12" x14ac:dyDescent="0.35">
      <c r="A1533" t="s">
        <v>108</v>
      </c>
      <c r="B1533" t="s">
        <v>477</v>
      </c>
      <c r="C1533" t="s">
        <v>166</v>
      </c>
      <c r="D1533">
        <v>0.95</v>
      </c>
      <c r="F1533" t="s">
        <v>1630</v>
      </c>
      <c r="H1533" t="s">
        <v>3453</v>
      </c>
      <c r="I1533" t="s">
        <v>4919</v>
      </c>
      <c r="K1533" t="s">
        <v>5037</v>
      </c>
      <c r="L1533" t="s">
        <v>5039</v>
      </c>
    </row>
    <row r="1534" spans="1:12" x14ac:dyDescent="0.35">
      <c r="A1534" t="s">
        <v>108</v>
      </c>
      <c r="B1534" t="s">
        <v>358</v>
      </c>
      <c r="C1534" t="s">
        <v>766</v>
      </c>
      <c r="D1534">
        <v>0.16</v>
      </c>
      <c r="F1534" t="s">
        <v>1573</v>
      </c>
      <c r="H1534" t="s">
        <v>3454</v>
      </c>
      <c r="I1534" t="s">
        <v>1516</v>
      </c>
      <c r="K1534" t="s">
        <v>5037</v>
      </c>
      <c r="L1534" t="s">
        <v>5039</v>
      </c>
    </row>
    <row r="1535" spans="1:12" x14ac:dyDescent="0.35">
      <c r="A1535" t="s">
        <v>108</v>
      </c>
      <c r="B1535" t="s">
        <v>358</v>
      </c>
      <c r="C1535" t="s">
        <v>783</v>
      </c>
      <c r="D1535">
        <v>0.18</v>
      </c>
      <c r="F1535" t="s">
        <v>1531</v>
      </c>
      <c r="H1535" t="s">
        <v>3454</v>
      </c>
      <c r="I1535" t="s">
        <v>1516</v>
      </c>
      <c r="K1535" t="s">
        <v>5037</v>
      </c>
      <c r="L1535" t="s">
        <v>5039</v>
      </c>
    </row>
    <row r="1536" spans="1:12" x14ac:dyDescent="0.35">
      <c r="A1536" t="s">
        <v>108</v>
      </c>
      <c r="B1536" t="s">
        <v>478</v>
      </c>
      <c r="C1536" t="s">
        <v>783</v>
      </c>
      <c r="D1536">
        <v>0.06</v>
      </c>
      <c r="F1536" t="s">
        <v>1370</v>
      </c>
      <c r="H1536" t="s">
        <v>3455</v>
      </c>
      <c r="I1536" t="s">
        <v>1516</v>
      </c>
      <c r="K1536" t="s">
        <v>5037</v>
      </c>
      <c r="L1536" t="s">
        <v>5039</v>
      </c>
    </row>
    <row r="1537" spans="1:12" x14ac:dyDescent="0.35">
      <c r="A1537" t="s">
        <v>108</v>
      </c>
      <c r="B1537" t="s">
        <v>478</v>
      </c>
      <c r="C1537" t="s">
        <v>781</v>
      </c>
      <c r="D1537">
        <v>0.32</v>
      </c>
      <c r="F1537" t="s">
        <v>1470</v>
      </c>
      <c r="H1537" t="s">
        <v>3456</v>
      </c>
      <c r="I1537" t="s">
        <v>1516</v>
      </c>
      <c r="K1537" t="s">
        <v>5037</v>
      </c>
      <c r="L1537" t="s">
        <v>5039</v>
      </c>
    </row>
    <row r="1538" spans="1:12" x14ac:dyDescent="0.35">
      <c r="A1538" t="s">
        <v>108</v>
      </c>
      <c r="B1538" t="s">
        <v>478</v>
      </c>
      <c r="C1538" t="s">
        <v>766</v>
      </c>
      <c r="D1538">
        <v>19</v>
      </c>
      <c r="F1538" t="s">
        <v>1968</v>
      </c>
      <c r="H1538" t="s">
        <v>3456</v>
      </c>
      <c r="I1538" t="s">
        <v>1516</v>
      </c>
      <c r="K1538" t="s">
        <v>5037</v>
      </c>
      <c r="L1538" t="s">
        <v>5039</v>
      </c>
    </row>
    <row r="1539" spans="1:12" x14ac:dyDescent="0.35">
      <c r="A1539" t="s">
        <v>108</v>
      </c>
      <c r="B1539" t="s">
        <v>358</v>
      </c>
      <c r="C1539" t="s">
        <v>783</v>
      </c>
      <c r="D1539">
        <v>0.1</v>
      </c>
      <c r="F1539" t="s">
        <v>1309</v>
      </c>
      <c r="H1539" t="s">
        <v>3457</v>
      </c>
      <c r="I1539" t="s">
        <v>1516</v>
      </c>
      <c r="K1539" t="s">
        <v>5037</v>
      </c>
      <c r="L1539" t="s">
        <v>5039</v>
      </c>
    </row>
    <row r="1540" spans="1:12" x14ac:dyDescent="0.35">
      <c r="A1540" t="s">
        <v>108</v>
      </c>
      <c r="B1540" t="s">
        <v>358</v>
      </c>
      <c r="C1540" t="s">
        <v>766</v>
      </c>
      <c r="D1540">
        <v>7.0000000000000007E-2</v>
      </c>
      <c r="F1540" t="s">
        <v>1456</v>
      </c>
      <c r="H1540" t="s">
        <v>3458</v>
      </c>
      <c r="I1540" t="s">
        <v>1516</v>
      </c>
      <c r="K1540" t="s">
        <v>5037</v>
      </c>
      <c r="L1540" t="s">
        <v>5039</v>
      </c>
    </row>
    <row r="1541" spans="1:12" x14ac:dyDescent="0.35">
      <c r="A1541" t="s">
        <v>108</v>
      </c>
      <c r="B1541" t="s">
        <v>358</v>
      </c>
      <c r="C1541" t="s">
        <v>781</v>
      </c>
      <c r="D1541">
        <v>170</v>
      </c>
      <c r="F1541" t="s">
        <v>1969</v>
      </c>
      <c r="H1541" t="s">
        <v>3458</v>
      </c>
      <c r="I1541" t="s">
        <v>1516</v>
      </c>
      <c r="K1541" t="s">
        <v>5037</v>
      </c>
      <c r="L1541" t="s">
        <v>5039</v>
      </c>
    </row>
    <row r="1542" spans="1:12" x14ac:dyDescent="0.35">
      <c r="A1542" t="s">
        <v>108</v>
      </c>
      <c r="B1542" t="s">
        <v>178</v>
      </c>
      <c r="C1542" t="s">
        <v>166</v>
      </c>
      <c r="D1542">
        <v>5.7000000000000002E-2</v>
      </c>
      <c r="F1542" t="s">
        <v>1530</v>
      </c>
      <c r="H1542" t="s">
        <v>3459</v>
      </c>
      <c r="I1542" t="s">
        <v>4861</v>
      </c>
      <c r="K1542" t="s">
        <v>5037</v>
      </c>
      <c r="L1542" t="s">
        <v>5039</v>
      </c>
    </row>
    <row r="1543" spans="1:12" x14ac:dyDescent="0.35">
      <c r="A1543" t="s">
        <v>108</v>
      </c>
      <c r="B1543" t="s">
        <v>178</v>
      </c>
      <c r="C1543" t="s">
        <v>166</v>
      </c>
      <c r="D1543">
        <v>8.8999999999999996E-2</v>
      </c>
      <c r="F1543" t="s">
        <v>1970</v>
      </c>
      <c r="H1543" t="s">
        <v>3460</v>
      </c>
      <c r="I1543" t="s">
        <v>2226</v>
      </c>
      <c r="K1543" t="s">
        <v>5037</v>
      </c>
      <c r="L1543" t="s">
        <v>5039</v>
      </c>
    </row>
    <row r="1544" spans="1:12" x14ac:dyDescent="0.35">
      <c r="A1544" t="s">
        <v>108</v>
      </c>
      <c r="B1544" t="s">
        <v>178</v>
      </c>
      <c r="C1544" t="s">
        <v>783</v>
      </c>
      <c r="D1544">
        <v>0.16600000000000001</v>
      </c>
      <c r="F1544" t="s">
        <v>1921</v>
      </c>
      <c r="H1544" t="s">
        <v>3461</v>
      </c>
      <c r="I1544" t="s">
        <v>2226</v>
      </c>
      <c r="K1544" t="s">
        <v>5037</v>
      </c>
      <c r="L1544" t="s">
        <v>5039</v>
      </c>
    </row>
    <row r="1545" spans="1:12" x14ac:dyDescent="0.35">
      <c r="A1545" t="s">
        <v>108</v>
      </c>
      <c r="B1545" t="s">
        <v>178</v>
      </c>
      <c r="C1545" t="s">
        <v>166</v>
      </c>
      <c r="D1545">
        <v>0.37</v>
      </c>
      <c r="F1545" t="s">
        <v>1481</v>
      </c>
      <c r="H1545" t="s">
        <v>3462</v>
      </c>
      <c r="I1545" t="s">
        <v>2226</v>
      </c>
      <c r="K1545" t="s">
        <v>5037</v>
      </c>
      <c r="L1545" t="s">
        <v>5039</v>
      </c>
    </row>
    <row r="1546" spans="1:12" x14ac:dyDescent="0.35">
      <c r="A1546" t="s">
        <v>108</v>
      </c>
      <c r="B1546" t="s">
        <v>178</v>
      </c>
      <c r="C1546" t="s">
        <v>166</v>
      </c>
      <c r="D1546">
        <v>0.19</v>
      </c>
      <c r="F1546" t="s">
        <v>1538</v>
      </c>
      <c r="H1546" t="s">
        <v>3463</v>
      </c>
      <c r="I1546" t="s">
        <v>2226</v>
      </c>
      <c r="K1546" t="s">
        <v>5037</v>
      </c>
      <c r="L1546" t="s">
        <v>5039</v>
      </c>
    </row>
    <row r="1547" spans="1:12" x14ac:dyDescent="0.35">
      <c r="A1547" t="s">
        <v>108</v>
      </c>
      <c r="B1547" t="s">
        <v>178</v>
      </c>
      <c r="C1547" t="s">
        <v>778</v>
      </c>
      <c r="D1547">
        <v>2.4</v>
      </c>
      <c r="F1547" t="s">
        <v>1433</v>
      </c>
      <c r="H1547" t="s">
        <v>3464</v>
      </c>
      <c r="I1547" t="s">
        <v>2226</v>
      </c>
      <c r="K1547" t="s">
        <v>5037</v>
      </c>
      <c r="L1547" t="s">
        <v>5039</v>
      </c>
    </row>
    <row r="1548" spans="1:12" x14ac:dyDescent="0.35">
      <c r="A1548" t="s">
        <v>108</v>
      </c>
      <c r="B1548" t="s">
        <v>178</v>
      </c>
      <c r="C1548" t="s">
        <v>166</v>
      </c>
      <c r="D1548">
        <v>0.125</v>
      </c>
      <c r="F1548" t="s">
        <v>1311</v>
      </c>
      <c r="H1548" t="s">
        <v>3465</v>
      </c>
      <c r="I1548" t="s">
        <v>2226</v>
      </c>
      <c r="K1548" t="s">
        <v>5037</v>
      </c>
      <c r="L1548" t="s">
        <v>5039</v>
      </c>
    </row>
    <row r="1549" spans="1:12" x14ac:dyDescent="0.35">
      <c r="A1549" t="s">
        <v>108</v>
      </c>
      <c r="B1549" t="s">
        <v>178</v>
      </c>
      <c r="C1549" t="s">
        <v>783</v>
      </c>
      <c r="D1549">
        <v>3.5000000000000003E-2</v>
      </c>
      <c r="F1549" t="s">
        <v>1341</v>
      </c>
      <c r="H1549" t="s">
        <v>3466</v>
      </c>
      <c r="I1549" t="s">
        <v>2226</v>
      </c>
      <c r="K1549" t="s">
        <v>5037</v>
      </c>
      <c r="L1549" t="s">
        <v>5039</v>
      </c>
    </row>
    <row r="1550" spans="1:12" x14ac:dyDescent="0.35">
      <c r="A1550" t="s">
        <v>108</v>
      </c>
      <c r="B1550" t="s">
        <v>178</v>
      </c>
      <c r="C1550" t="s">
        <v>783</v>
      </c>
      <c r="D1550">
        <v>0.14599999999999999</v>
      </c>
      <c r="F1550" t="s">
        <v>1971</v>
      </c>
      <c r="H1550" t="s">
        <v>3467</v>
      </c>
      <c r="I1550" t="s">
        <v>2226</v>
      </c>
      <c r="K1550" t="s">
        <v>5037</v>
      </c>
      <c r="L1550" t="s">
        <v>5039</v>
      </c>
    </row>
    <row r="1551" spans="1:12" x14ac:dyDescent="0.35">
      <c r="A1551" t="s">
        <v>108</v>
      </c>
      <c r="B1551" t="s">
        <v>178</v>
      </c>
      <c r="C1551" t="s">
        <v>166</v>
      </c>
      <c r="D1551">
        <v>0.34599999999999997</v>
      </c>
      <c r="F1551" t="s">
        <v>1972</v>
      </c>
      <c r="H1551" t="s">
        <v>3468</v>
      </c>
      <c r="I1551" t="s">
        <v>2226</v>
      </c>
      <c r="K1551" t="s">
        <v>5037</v>
      </c>
      <c r="L1551" t="s">
        <v>5039</v>
      </c>
    </row>
    <row r="1552" spans="1:12" x14ac:dyDescent="0.35">
      <c r="A1552" t="s">
        <v>108</v>
      </c>
      <c r="B1552" t="s">
        <v>178</v>
      </c>
      <c r="C1552" t="s">
        <v>783</v>
      </c>
      <c r="D1552">
        <v>3.9E-2</v>
      </c>
      <c r="F1552" t="s">
        <v>1407</v>
      </c>
      <c r="H1552" t="s">
        <v>3469</v>
      </c>
      <c r="I1552" t="s">
        <v>4861</v>
      </c>
      <c r="K1552" t="s">
        <v>5037</v>
      </c>
      <c r="L1552" t="s">
        <v>5039</v>
      </c>
    </row>
    <row r="1553" spans="1:12" x14ac:dyDescent="0.35">
      <c r="A1553" t="s">
        <v>108</v>
      </c>
      <c r="B1553" t="s">
        <v>178</v>
      </c>
      <c r="C1553" t="s">
        <v>166</v>
      </c>
      <c r="D1553">
        <v>0.17100000000000001</v>
      </c>
      <c r="F1553" t="s">
        <v>1636</v>
      </c>
      <c r="H1553" t="s">
        <v>3470</v>
      </c>
      <c r="I1553" t="s">
        <v>2226</v>
      </c>
      <c r="K1553" t="s">
        <v>5037</v>
      </c>
      <c r="L1553" t="s">
        <v>5039</v>
      </c>
    </row>
    <row r="1554" spans="1:12" x14ac:dyDescent="0.35">
      <c r="A1554" t="s">
        <v>108</v>
      </c>
      <c r="B1554" t="s">
        <v>178</v>
      </c>
      <c r="C1554" t="s">
        <v>778</v>
      </c>
      <c r="D1554">
        <v>3.41</v>
      </c>
      <c r="F1554" t="s">
        <v>1834</v>
      </c>
      <c r="H1554" t="s">
        <v>3471</v>
      </c>
      <c r="I1554" t="s">
        <v>2226</v>
      </c>
      <c r="K1554" t="s">
        <v>5037</v>
      </c>
      <c r="L1554" t="s">
        <v>5039</v>
      </c>
    </row>
    <row r="1555" spans="1:12" x14ac:dyDescent="0.35">
      <c r="A1555" t="s">
        <v>108</v>
      </c>
      <c r="B1555" t="s">
        <v>178</v>
      </c>
      <c r="C1555" t="s">
        <v>778</v>
      </c>
      <c r="D1555">
        <v>16.100000000000001</v>
      </c>
      <c r="F1555" t="s">
        <v>1973</v>
      </c>
      <c r="H1555" t="s">
        <v>3462</v>
      </c>
      <c r="I1555" t="s">
        <v>2226</v>
      </c>
      <c r="K1555" t="s">
        <v>5037</v>
      </c>
      <c r="L1555" t="s">
        <v>5039</v>
      </c>
    </row>
    <row r="1556" spans="1:12" x14ac:dyDescent="0.35">
      <c r="A1556" t="s">
        <v>108</v>
      </c>
      <c r="B1556" t="s">
        <v>178</v>
      </c>
      <c r="C1556" t="s">
        <v>783</v>
      </c>
      <c r="D1556">
        <v>3.6</v>
      </c>
      <c r="F1556" t="s">
        <v>1391</v>
      </c>
      <c r="H1556" t="s">
        <v>3472</v>
      </c>
      <c r="I1556" t="s">
        <v>2226</v>
      </c>
      <c r="K1556" t="s">
        <v>5037</v>
      </c>
      <c r="L1556" t="s">
        <v>5039</v>
      </c>
    </row>
    <row r="1557" spans="1:12" x14ac:dyDescent="0.35">
      <c r="A1557" t="s">
        <v>108</v>
      </c>
      <c r="B1557" t="s">
        <v>178</v>
      </c>
      <c r="C1557" t="s">
        <v>778</v>
      </c>
      <c r="D1557">
        <v>1.67</v>
      </c>
      <c r="F1557" t="s">
        <v>1974</v>
      </c>
      <c r="H1557" t="s">
        <v>3463</v>
      </c>
      <c r="I1557" t="s">
        <v>2226</v>
      </c>
      <c r="K1557" t="s">
        <v>5037</v>
      </c>
      <c r="L1557" t="s">
        <v>5039</v>
      </c>
    </row>
    <row r="1558" spans="1:12" x14ac:dyDescent="0.35">
      <c r="A1558" t="s">
        <v>108</v>
      </c>
      <c r="B1558" t="s">
        <v>178</v>
      </c>
      <c r="C1558" t="s">
        <v>166</v>
      </c>
      <c r="D1558">
        <v>0.11600000000000001</v>
      </c>
      <c r="F1558" t="s">
        <v>1616</v>
      </c>
      <c r="H1558" t="s">
        <v>3473</v>
      </c>
      <c r="I1558" t="s">
        <v>2226</v>
      </c>
      <c r="K1558" t="s">
        <v>5037</v>
      </c>
      <c r="L1558" t="s">
        <v>5039</v>
      </c>
    </row>
    <row r="1559" spans="1:12" x14ac:dyDescent="0.35">
      <c r="A1559" t="s">
        <v>108</v>
      </c>
      <c r="B1559" t="s">
        <v>178</v>
      </c>
      <c r="C1559" t="s">
        <v>778</v>
      </c>
      <c r="D1559">
        <v>1.18</v>
      </c>
      <c r="F1559" t="s">
        <v>1947</v>
      </c>
      <c r="H1559" t="s">
        <v>3474</v>
      </c>
      <c r="I1559" t="s">
        <v>2226</v>
      </c>
      <c r="K1559" t="s">
        <v>5037</v>
      </c>
      <c r="L1559" t="s">
        <v>5039</v>
      </c>
    </row>
    <row r="1560" spans="1:12" x14ac:dyDescent="0.35">
      <c r="A1560" t="s">
        <v>108</v>
      </c>
      <c r="B1560" t="s">
        <v>178</v>
      </c>
      <c r="C1560" t="s">
        <v>783</v>
      </c>
      <c r="D1560">
        <v>0.14299999999999999</v>
      </c>
      <c r="F1560" t="s">
        <v>1548</v>
      </c>
      <c r="H1560" t="s">
        <v>3475</v>
      </c>
      <c r="I1560" t="s">
        <v>2226</v>
      </c>
      <c r="K1560" t="s">
        <v>5037</v>
      </c>
      <c r="L1560" t="s">
        <v>5039</v>
      </c>
    </row>
    <row r="1561" spans="1:12" x14ac:dyDescent="0.35">
      <c r="A1561" t="s">
        <v>108</v>
      </c>
      <c r="B1561" t="s">
        <v>178</v>
      </c>
      <c r="C1561" t="s">
        <v>166</v>
      </c>
      <c r="D1561">
        <v>0.17499999999999999</v>
      </c>
      <c r="F1561" t="s">
        <v>1975</v>
      </c>
      <c r="H1561" t="s">
        <v>3476</v>
      </c>
      <c r="I1561" t="s">
        <v>2226</v>
      </c>
      <c r="K1561" t="s">
        <v>5037</v>
      </c>
      <c r="L1561" t="s">
        <v>5039</v>
      </c>
    </row>
    <row r="1562" spans="1:12" x14ac:dyDescent="0.35">
      <c r="A1562" t="s">
        <v>108</v>
      </c>
      <c r="B1562" t="s">
        <v>178</v>
      </c>
      <c r="C1562" t="s">
        <v>778</v>
      </c>
      <c r="D1562">
        <v>3.45</v>
      </c>
      <c r="F1562" t="s">
        <v>1976</v>
      </c>
      <c r="H1562" t="s">
        <v>3477</v>
      </c>
      <c r="I1562" t="s">
        <v>2226</v>
      </c>
      <c r="K1562" t="s">
        <v>5037</v>
      </c>
      <c r="L1562" t="s">
        <v>5039</v>
      </c>
    </row>
    <row r="1563" spans="1:12" x14ac:dyDescent="0.35">
      <c r="A1563" t="s">
        <v>108</v>
      </c>
      <c r="B1563" t="s">
        <v>178</v>
      </c>
      <c r="C1563" t="s">
        <v>783</v>
      </c>
      <c r="D1563">
        <v>0.129</v>
      </c>
      <c r="F1563" t="s">
        <v>1977</v>
      </c>
      <c r="H1563" t="s">
        <v>3478</v>
      </c>
      <c r="I1563" t="s">
        <v>2226</v>
      </c>
      <c r="K1563" t="s">
        <v>5037</v>
      </c>
      <c r="L1563" t="s">
        <v>5039</v>
      </c>
    </row>
    <row r="1564" spans="1:12" x14ac:dyDescent="0.35">
      <c r="A1564" t="s">
        <v>108</v>
      </c>
      <c r="B1564" t="s">
        <v>178</v>
      </c>
      <c r="C1564" t="s">
        <v>166</v>
      </c>
      <c r="D1564">
        <v>0.19400000000000001</v>
      </c>
      <c r="F1564" t="s">
        <v>1978</v>
      </c>
      <c r="H1564" t="s">
        <v>3479</v>
      </c>
      <c r="I1564" t="s">
        <v>2226</v>
      </c>
      <c r="K1564" t="s">
        <v>5037</v>
      </c>
      <c r="L1564" t="s">
        <v>5039</v>
      </c>
    </row>
    <row r="1565" spans="1:12" x14ac:dyDescent="0.35">
      <c r="A1565" t="s">
        <v>108</v>
      </c>
      <c r="B1565" t="s">
        <v>178</v>
      </c>
      <c r="C1565" t="s">
        <v>783</v>
      </c>
      <c r="D1565">
        <v>0.95399999999999996</v>
      </c>
      <c r="F1565" t="s">
        <v>1979</v>
      </c>
      <c r="H1565" t="s">
        <v>3480</v>
      </c>
      <c r="I1565" t="s">
        <v>2226</v>
      </c>
      <c r="K1565" t="s">
        <v>5037</v>
      </c>
      <c r="L1565" t="s">
        <v>5039</v>
      </c>
    </row>
    <row r="1566" spans="1:12" x14ac:dyDescent="0.35">
      <c r="A1566" t="s">
        <v>108</v>
      </c>
      <c r="B1566" t="s">
        <v>178</v>
      </c>
      <c r="C1566" t="s">
        <v>778</v>
      </c>
      <c r="D1566">
        <v>4.17</v>
      </c>
      <c r="F1566" t="s">
        <v>1980</v>
      </c>
      <c r="H1566" t="s">
        <v>3481</v>
      </c>
      <c r="I1566" t="s">
        <v>2226</v>
      </c>
      <c r="K1566" t="s">
        <v>5037</v>
      </c>
      <c r="L1566" t="s">
        <v>5039</v>
      </c>
    </row>
    <row r="1567" spans="1:12" x14ac:dyDescent="0.35">
      <c r="A1567" t="s">
        <v>108</v>
      </c>
      <c r="B1567" t="s">
        <v>178</v>
      </c>
      <c r="C1567" t="s">
        <v>778</v>
      </c>
      <c r="D1567">
        <v>2.16</v>
      </c>
      <c r="F1567" t="s">
        <v>1981</v>
      </c>
      <c r="H1567" t="s">
        <v>3482</v>
      </c>
      <c r="I1567" t="s">
        <v>2226</v>
      </c>
      <c r="K1567" t="s">
        <v>5037</v>
      </c>
      <c r="L1567" t="s">
        <v>5039</v>
      </c>
    </row>
    <row r="1568" spans="1:12" x14ac:dyDescent="0.35">
      <c r="A1568" t="s">
        <v>108</v>
      </c>
      <c r="B1568" t="s">
        <v>178</v>
      </c>
      <c r="C1568" t="s">
        <v>783</v>
      </c>
      <c r="D1568">
        <v>0.27300000000000002</v>
      </c>
      <c r="F1568" t="s">
        <v>1982</v>
      </c>
      <c r="H1568" t="s">
        <v>3483</v>
      </c>
      <c r="I1568" t="s">
        <v>2226</v>
      </c>
      <c r="K1568" t="s">
        <v>5037</v>
      </c>
      <c r="L1568" t="s">
        <v>5039</v>
      </c>
    </row>
    <row r="1569" spans="1:12" x14ac:dyDescent="0.35">
      <c r="A1569" t="s">
        <v>108</v>
      </c>
      <c r="B1569" t="s">
        <v>178</v>
      </c>
      <c r="C1569" t="s">
        <v>783</v>
      </c>
      <c r="D1569">
        <v>0.27100000000000002</v>
      </c>
      <c r="F1569" t="s">
        <v>1983</v>
      </c>
      <c r="H1569" t="s">
        <v>3484</v>
      </c>
      <c r="I1569" t="s">
        <v>2226</v>
      </c>
      <c r="K1569" t="s">
        <v>5037</v>
      </c>
      <c r="L1569" t="s">
        <v>5039</v>
      </c>
    </row>
    <row r="1570" spans="1:12" x14ac:dyDescent="0.35">
      <c r="A1570" t="s">
        <v>108</v>
      </c>
      <c r="B1570" t="s">
        <v>178</v>
      </c>
      <c r="C1570" t="s">
        <v>166</v>
      </c>
      <c r="D1570">
        <v>0.78500000000000003</v>
      </c>
      <c r="F1570" t="s">
        <v>1984</v>
      </c>
      <c r="H1570" t="s">
        <v>3485</v>
      </c>
      <c r="I1570" t="s">
        <v>2226</v>
      </c>
      <c r="K1570" t="s">
        <v>5037</v>
      </c>
      <c r="L1570" t="s">
        <v>5039</v>
      </c>
    </row>
    <row r="1571" spans="1:12" x14ac:dyDescent="0.35">
      <c r="A1571" t="s">
        <v>108</v>
      </c>
      <c r="B1571" t="s">
        <v>178</v>
      </c>
      <c r="C1571" t="s">
        <v>166</v>
      </c>
      <c r="D1571">
        <v>0.189</v>
      </c>
      <c r="F1571" t="s">
        <v>1985</v>
      </c>
      <c r="H1571" t="s">
        <v>3486</v>
      </c>
      <c r="I1571" t="s">
        <v>2226</v>
      </c>
      <c r="K1571" t="s">
        <v>5037</v>
      </c>
      <c r="L1571" t="s">
        <v>5039</v>
      </c>
    </row>
    <row r="1572" spans="1:12" x14ac:dyDescent="0.35">
      <c r="A1572" t="s">
        <v>108</v>
      </c>
      <c r="B1572" t="s">
        <v>178</v>
      </c>
      <c r="C1572" t="s">
        <v>778</v>
      </c>
      <c r="D1572">
        <v>6.59</v>
      </c>
      <c r="F1572" t="s">
        <v>1986</v>
      </c>
      <c r="H1572" t="s">
        <v>3487</v>
      </c>
      <c r="I1572" t="s">
        <v>2226</v>
      </c>
      <c r="K1572" t="s">
        <v>5037</v>
      </c>
      <c r="L1572" t="s">
        <v>5039</v>
      </c>
    </row>
    <row r="1573" spans="1:12" x14ac:dyDescent="0.35">
      <c r="A1573" t="s">
        <v>108</v>
      </c>
      <c r="B1573" t="s">
        <v>178</v>
      </c>
      <c r="C1573" t="s">
        <v>778</v>
      </c>
      <c r="D1573">
        <v>1.69</v>
      </c>
      <c r="F1573" t="s">
        <v>1987</v>
      </c>
      <c r="H1573" t="s">
        <v>3488</v>
      </c>
      <c r="I1573" t="s">
        <v>2226</v>
      </c>
      <c r="K1573" t="s">
        <v>5037</v>
      </c>
      <c r="L1573" t="s">
        <v>5039</v>
      </c>
    </row>
    <row r="1574" spans="1:12" x14ac:dyDescent="0.35">
      <c r="A1574" t="s">
        <v>108</v>
      </c>
      <c r="B1574" t="s">
        <v>178</v>
      </c>
      <c r="C1574" t="s">
        <v>783</v>
      </c>
      <c r="D1574">
        <v>3.34</v>
      </c>
      <c r="F1574" t="s">
        <v>1988</v>
      </c>
      <c r="H1574" t="s">
        <v>3489</v>
      </c>
      <c r="I1574" t="s">
        <v>2226</v>
      </c>
      <c r="K1574" t="s">
        <v>5037</v>
      </c>
      <c r="L1574" t="s">
        <v>5039</v>
      </c>
    </row>
    <row r="1575" spans="1:12" x14ac:dyDescent="0.35">
      <c r="A1575" t="s">
        <v>108</v>
      </c>
      <c r="B1575" t="s">
        <v>178</v>
      </c>
      <c r="C1575" t="s">
        <v>783</v>
      </c>
      <c r="D1575">
        <v>1.94</v>
      </c>
      <c r="F1575" t="s">
        <v>1989</v>
      </c>
      <c r="H1575" t="s">
        <v>3490</v>
      </c>
      <c r="I1575" t="s">
        <v>2226</v>
      </c>
      <c r="K1575" t="s">
        <v>5037</v>
      </c>
      <c r="L1575" t="s">
        <v>5039</v>
      </c>
    </row>
    <row r="1576" spans="1:12" x14ac:dyDescent="0.35">
      <c r="A1576" t="s">
        <v>108</v>
      </c>
      <c r="B1576" t="s">
        <v>178</v>
      </c>
      <c r="C1576" t="s">
        <v>783</v>
      </c>
      <c r="D1576">
        <v>0.42499999999999999</v>
      </c>
      <c r="F1576" t="s">
        <v>1990</v>
      </c>
      <c r="H1576" t="s">
        <v>3491</v>
      </c>
      <c r="I1576" t="s">
        <v>2226</v>
      </c>
      <c r="K1576" t="s">
        <v>5037</v>
      </c>
      <c r="L1576" t="s">
        <v>5039</v>
      </c>
    </row>
    <row r="1577" spans="1:12" x14ac:dyDescent="0.35">
      <c r="A1577" t="s">
        <v>108</v>
      </c>
      <c r="B1577" t="s">
        <v>178</v>
      </c>
      <c r="C1577" t="s">
        <v>166</v>
      </c>
      <c r="D1577">
        <v>0.69499999999999995</v>
      </c>
      <c r="F1577" t="s">
        <v>1991</v>
      </c>
      <c r="H1577" t="s">
        <v>3492</v>
      </c>
      <c r="I1577" t="s">
        <v>2226</v>
      </c>
      <c r="K1577" t="s">
        <v>5037</v>
      </c>
      <c r="L1577" t="s">
        <v>5039</v>
      </c>
    </row>
    <row r="1578" spans="1:12" x14ac:dyDescent="0.35">
      <c r="A1578" t="s">
        <v>108</v>
      </c>
      <c r="B1578" t="s">
        <v>178</v>
      </c>
      <c r="C1578" t="s">
        <v>778</v>
      </c>
      <c r="D1578">
        <v>4.04</v>
      </c>
      <c r="F1578" t="s">
        <v>1992</v>
      </c>
      <c r="H1578" t="s">
        <v>3493</v>
      </c>
      <c r="I1578" t="s">
        <v>2226</v>
      </c>
      <c r="K1578" t="s">
        <v>5037</v>
      </c>
      <c r="L1578" t="s">
        <v>5039</v>
      </c>
    </row>
    <row r="1579" spans="1:12" x14ac:dyDescent="0.35">
      <c r="A1579" t="s">
        <v>108</v>
      </c>
      <c r="B1579" t="s">
        <v>178</v>
      </c>
      <c r="C1579" t="s">
        <v>778</v>
      </c>
      <c r="D1579">
        <v>7.57</v>
      </c>
      <c r="F1579" t="s">
        <v>1993</v>
      </c>
      <c r="H1579" t="s">
        <v>3494</v>
      </c>
      <c r="I1579" t="s">
        <v>2226</v>
      </c>
      <c r="K1579" t="s">
        <v>5037</v>
      </c>
      <c r="L1579" t="s">
        <v>5039</v>
      </c>
    </row>
    <row r="1580" spans="1:12" x14ac:dyDescent="0.35">
      <c r="A1580" t="s">
        <v>108</v>
      </c>
      <c r="B1580" t="s">
        <v>178</v>
      </c>
      <c r="C1580" t="s">
        <v>783</v>
      </c>
      <c r="D1580">
        <v>7.03</v>
      </c>
      <c r="F1580" t="s">
        <v>1994</v>
      </c>
      <c r="H1580" t="s">
        <v>3495</v>
      </c>
      <c r="I1580" t="s">
        <v>2226</v>
      </c>
      <c r="K1580" t="s">
        <v>5037</v>
      </c>
      <c r="L1580" t="s">
        <v>5039</v>
      </c>
    </row>
    <row r="1581" spans="1:12" x14ac:dyDescent="0.35">
      <c r="A1581" t="s">
        <v>108</v>
      </c>
      <c r="B1581" t="s">
        <v>178</v>
      </c>
      <c r="C1581" t="s">
        <v>778</v>
      </c>
      <c r="D1581">
        <v>2.25</v>
      </c>
      <c r="F1581" t="s">
        <v>1995</v>
      </c>
      <c r="H1581" t="s">
        <v>3496</v>
      </c>
      <c r="I1581" t="s">
        <v>4894</v>
      </c>
      <c r="K1581" t="s">
        <v>5037</v>
      </c>
      <c r="L1581" t="s">
        <v>5039</v>
      </c>
    </row>
    <row r="1582" spans="1:12" x14ac:dyDescent="0.35">
      <c r="A1582" t="s">
        <v>108</v>
      </c>
      <c r="B1582" t="s">
        <v>178</v>
      </c>
      <c r="C1582" t="s">
        <v>778</v>
      </c>
      <c r="D1582">
        <v>1.51</v>
      </c>
      <c r="F1582" t="s">
        <v>1917</v>
      </c>
      <c r="H1582" t="s">
        <v>3497</v>
      </c>
      <c r="I1582" t="s">
        <v>4861</v>
      </c>
      <c r="K1582" t="s">
        <v>5037</v>
      </c>
      <c r="L1582" t="s">
        <v>5039</v>
      </c>
    </row>
    <row r="1583" spans="1:12" x14ac:dyDescent="0.35">
      <c r="A1583" t="s">
        <v>108</v>
      </c>
      <c r="B1583" t="s">
        <v>178</v>
      </c>
      <c r="C1583" t="s">
        <v>166</v>
      </c>
      <c r="D1583">
        <v>0.18</v>
      </c>
      <c r="F1583" t="s">
        <v>1531</v>
      </c>
      <c r="H1583" t="s">
        <v>3498</v>
      </c>
      <c r="I1583" t="s">
        <v>2226</v>
      </c>
      <c r="K1583" t="s">
        <v>5037</v>
      </c>
      <c r="L1583" t="s">
        <v>5039</v>
      </c>
    </row>
    <row r="1584" spans="1:12" x14ac:dyDescent="0.35">
      <c r="A1584" t="s">
        <v>108</v>
      </c>
      <c r="B1584" t="s">
        <v>467</v>
      </c>
      <c r="C1584" t="s">
        <v>782</v>
      </c>
      <c r="D1584">
        <v>0.76200000000000001</v>
      </c>
      <c r="F1584" t="s">
        <v>1996</v>
      </c>
      <c r="I1584" t="s">
        <v>1966</v>
      </c>
      <c r="K1584" t="s">
        <v>5037</v>
      </c>
      <c r="L1584" t="s">
        <v>5039</v>
      </c>
    </row>
    <row r="1585" spans="1:12" x14ac:dyDescent="0.35">
      <c r="A1585" t="s">
        <v>108</v>
      </c>
      <c r="B1585" t="s">
        <v>467</v>
      </c>
      <c r="C1585" t="s">
        <v>766</v>
      </c>
      <c r="D1585">
        <v>4.33</v>
      </c>
      <c r="F1585" t="s">
        <v>1997</v>
      </c>
      <c r="I1585" t="s">
        <v>1966</v>
      </c>
      <c r="K1585" t="s">
        <v>5037</v>
      </c>
      <c r="L1585" t="s">
        <v>5039</v>
      </c>
    </row>
    <row r="1586" spans="1:12" x14ac:dyDescent="0.35">
      <c r="A1586" t="s">
        <v>108</v>
      </c>
      <c r="B1586" t="s">
        <v>352</v>
      </c>
      <c r="C1586" t="s">
        <v>166</v>
      </c>
      <c r="D1586">
        <v>0.6</v>
      </c>
      <c r="F1586" t="s">
        <v>1519</v>
      </c>
      <c r="H1586" t="s">
        <v>3499</v>
      </c>
      <c r="I1586" t="s">
        <v>1839</v>
      </c>
      <c r="K1586" t="s">
        <v>5037</v>
      </c>
      <c r="L1586" t="s">
        <v>5039</v>
      </c>
    </row>
    <row r="1587" spans="1:12" x14ac:dyDescent="0.35">
      <c r="A1587" t="s">
        <v>108</v>
      </c>
      <c r="B1587" t="s">
        <v>352</v>
      </c>
      <c r="C1587" t="s">
        <v>778</v>
      </c>
      <c r="D1587">
        <v>0.4</v>
      </c>
      <c r="F1587" t="s">
        <v>1315</v>
      </c>
      <c r="I1587" t="s">
        <v>1450</v>
      </c>
      <c r="K1587" t="s">
        <v>5037</v>
      </c>
      <c r="L1587" t="s">
        <v>5039</v>
      </c>
    </row>
    <row r="1588" spans="1:12" x14ac:dyDescent="0.35">
      <c r="A1588" t="s">
        <v>108</v>
      </c>
      <c r="B1588" t="s">
        <v>352</v>
      </c>
      <c r="C1588" t="s">
        <v>778</v>
      </c>
      <c r="D1588">
        <v>2</v>
      </c>
      <c r="F1588" t="s">
        <v>1372</v>
      </c>
      <c r="I1588" t="s">
        <v>1373</v>
      </c>
      <c r="K1588" t="s">
        <v>5037</v>
      </c>
      <c r="L1588" t="s">
        <v>5039</v>
      </c>
    </row>
    <row r="1589" spans="1:12" x14ac:dyDescent="0.35">
      <c r="A1589" t="s">
        <v>108</v>
      </c>
      <c r="B1589" t="s">
        <v>352</v>
      </c>
      <c r="C1589" t="s">
        <v>166</v>
      </c>
      <c r="D1589">
        <v>1.8</v>
      </c>
      <c r="F1589" t="s">
        <v>1375</v>
      </c>
      <c r="I1589" t="s">
        <v>1373</v>
      </c>
      <c r="K1589" t="s">
        <v>5037</v>
      </c>
      <c r="L1589" t="s">
        <v>5039</v>
      </c>
    </row>
    <row r="1590" spans="1:12" x14ac:dyDescent="0.35">
      <c r="A1590" t="s">
        <v>108</v>
      </c>
      <c r="B1590" t="s">
        <v>352</v>
      </c>
      <c r="C1590" t="s">
        <v>780</v>
      </c>
      <c r="D1590">
        <v>0.7</v>
      </c>
      <c r="F1590" t="s">
        <v>1378</v>
      </c>
      <c r="H1590" t="s">
        <v>3500</v>
      </c>
      <c r="I1590" t="s">
        <v>4920</v>
      </c>
      <c r="K1590" t="s">
        <v>5037</v>
      </c>
      <c r="L1590" t="s">
        <v>5039</v>
      </c>
    </row>
    <row r="1591" spans="1:12" x14ac:dyDescent="0.35">
      <c r="A1591" t="s">
        <v>108</v>
      </c>
      <c r="B1591" t="s">
        <v>352</v>
      </c>
      <c r="C1591" t="s">
        <v>166</v>
      </c>
      <c r="D1591">
        <v>1.54</v>
      </c>
      <c r="F1591" t="s">
        <v>1781</v>
      </c>
      <c r="H1591" t="s">
        <v>3500</v>
      </c>
      <c r="I1591" t="s">
        <v>4920</v>
      </c>
      <c r="K1591" t="s">
        <v>5037</v>
      </c>
      <c r="L1591" t="s">
        <v>5039</v>
      </c>
    </row>
    <row r="1592" spans="1:12" x14ac:dyDescent="0.35">
      <c r="A1592" t="s">
        <v>108</v>
      </c>
      <c r="B1592" t="s">
        <v>352</v>
      </c>
      <c r="C1592" t="s">
        <v>780</v>
      </c>
      <c r="D1592">
        <v>0.63</v>
      </c>
      <c r="F1592" t="s">
        <v>1931</v>
      </c>
      <c r="I1592" t="s">
        <v>1450</v>
      </c>
      <c r="K1592" t="s">
        <v>5037</v>
      </c>
      <c r="L1592" t="s">
        <v>5039</v>
      </c>
    </row>
    <row r="1593" spans="1:12" x14ac:dyDescent="0.35">
      <c r="A1593" t="s">
        <v>108</v>
      </c>
      <c r="B1593" t="s">
        <v>352</v>
      </c>
      <c r="C1593" t="s">
        <v>778</v>
      </c>
      <c r="D1593">
        <v>0.91</v>
      </c>
      <c r="F1593" t="s">
        <v>1874</v>
      </c>
      <c r="H1593" t="s">
        <v>3501</v>
      </c>
      <c r="I1593" t="s">
        <v>4920</v>
      </c>
      <c r="K1593" t="s">
        <v>5037</v>
      </c>
      <c r="L1593" t="s">
        <v>5039</v>
      </c>
    </row>
    <row r="1594" spans="1:12" x14ac:dyDescent="0.35">
      <c r="A1594" t="s">
        <v>108</v>
      </c>
      <c r="B1594" t="s">
        <v>352</v>
      </c>
      <c r="C1594" t="s">
        <v>166</v>
      </c>
      <c r="D1594">
        <v>0.24</v>
      </c>
      <c r="F1594" t="s">
        <v>1488</v>
      </c>
      <c r="H1594" t="s">
        <v>3502</v>
      </c>
      <c r="I1594" t="s">
        <v>4920</v>
      </c>
      <c r="K1594" t="s">
        <v>5037</v>
      </c>
      <c r="L1594" t="s">
        <v>5039</v>
      </c>
    </row>
    <row r="1595" spans="1:12" x14ac:dyDescent="0.35">
      <c r="A1595" t="s">
        <v>108</v>
      </c>
      <c r="B1595" t="s">
        <v>352</v>
      </c>
      <c r="C1595" t="s">
        <v>166</v>
      </c>
      <c r="D1595">
        <v>1.85</v>
      </c>
      <c r="F1595" t="s">
        <v>1998</v>
      </c>
      <c r="I1595" t="s">
        <v>1368</v>
      </c>
      <c r="K1595" t="s">
        <v>5037</v>
      </c>
      <c r="L1595" t="s">
        <v>5039</v>
      </c>
    </row>
    <row r="1596" spans="1:12" x14ac:dyDescent="0.35">
      <c r="A1596" t="s">
        <v>108</v>
      </c>
      <c r="B1596" t="s">
        <v>352</v>
      </c>
      <c r="C1596" t="s">
        <v>780</v>
      </c>
      <c r="D1596">
        <v>1.87</v>
      </c>
      <c r="F1596" t="s">
        <v>1999</v>
      </c>
      <c r="H1596" t="s">
        <v>3499</v>
      </c>
      <c r="I1596" t="s">
        <v>1839</v>
      </c>
      <c r="K1596" t="s">
        <v>5037</v>
      </c>
      <c r="L1596" t="s">
        <v>5039</v>
      </c>
    </row>
    <row r="1597" spans="1:12" x14ac:dyDescent="0.35">
      <c r="A1597" t="s">
        <v>108</v>
      </c>
      <c r="B1597" t="s">
        <v>352</v>
      </c>
      <c r="C1597" t="s">
        <v>780</v>
      </c>
      <c r="D1597">
        <v>2.6</v>
      </c>
      <c r="F1597" t="s">
        <v>1428</v>
      </c>
      <c r="I1597" t="s">
        <v>1373</v>
      </c>
      <c r="K1597" t="s">
        <v>5037</v>
      </c>
      <c r="L1597" t="s">
        <v>5039</v>
      </c>
    </row>
    <row r="1598" spans="1:12" x14ac:dyDescent="0.35">
      <c r="A1598" t="s">
        <v>108</v>
      </c>
      <c r="B1598" t="s">
        <v>352</v>
      </c>
      <c r="C1598" t="s">
        <v>780</v>
      </c>
      <c r="D1598">
        <v>3.33</v>
      </c>
      <c r="F1598" t="s">
        <v>1691</v>
      </c>
      <c r="I1598" t="s">
        <v>1368</v>
      </c>
      <c r="K1598" t="s">
        <v>5037</v>
      </c>
      <c r="L1598" t="s">
        <v>5039</v>
      </c>
    </row>
    <row r="1599" spans="1:12" x14ac:dyDescent="0.35">
      <c r="A1599" t="s">
        <v>108</v>
      </c>
      <c r="B1599" t="s">
        <v>352</v>
      </c>
      <c r="C1599" t="s">
        <v>778</v>
      </c>
      <c r="D1599">
        <v>3.53</v>
      </c>
      <c r="F1599" t="s">
        <v>2000</v>
      </c>
      <c r="I1599" t="s">
        <v>1368</v>
      </c>
      <c r="K1599" t="s">
        <v>5037</v>
      </c>
      <c r="L1599" t="s">
        <v>5039</v>
      </c>
    </row>
    <row r="1600" spans="1:12" x14ac:dyDescent="0.35">
      <c r="A1600" t="s">
        <v>108</v>
      </c>
      <c r="B1600" t="s">
        <v>352</v>
      </c>
      <c r="C1600" t="s">
        <v>778</v>
      </c>
      <c r="D1600">
        <v>23.3</v>
      </c>
      <c r="F1600" t="s">
        <v>2001</v>
      </c>
      <c r="H1600" t="s">
        <v>3499</v>
      </c>
      <c r="I1600" t="s">
        <v>1839</v>
      </c>
      <c r="K1600" t="s">
        <v>5037</v>
      </c>
      <c r="L1600" t="s">
        <v>5039</v>
      </c>
    </row>
    <row r="1601" spans="1:12" x14ac:dyDescent="0.35">
      <c r="A1601" t="s">
        <v>108</v>
      </c>
      <c r="B1601" t="s">
        <v>352</v>
      </c>
      <c r="C1601" t="s">
        <v>778</v>
      </c>
      <c r="D1601">
        <v>29.8</v>
      </c>
      <c r="F1601" t="s">
        <v>2002</v>
      </c>
      <c r="H1601" t="s">
        <v>3500</v>
      </c>
      <c r="I1601" t="s">
        <v>4920</v>
      </c>
      <c r="K1601" t="s">
        <v>5037</v>
      </c>
      <c r="L1601" t="s">
        <v>5039</v>
      </c>
    </row>
    <row r="1602" spans="1:12" x14ac:dyDescent="0.35">
      <c r="A1602" t="s">
        <v>108</v>
      </c>
      <c r="B1602" t="s">
        <v>469</v>
      </c>
      <c r="C1602" t="s">
        <v>166</v>
      </c>
      <c r="D1602">
        <v>0.13600000000000001</v>
      </c>
      <c r="F1602" t="s">
        <v>2003</v>
      </c>
      <c r="H1602" t="s">
        <v>3503</v>
      </c>
      <c r="I1602" t="s">
        <v>4891</v>
      </c>
      <c r="K1602" t="s">
        <v>5037</v>
      </c>
      <c r="L1602" t="s">
        <v>5039</v>
      </c>
    </row>
    <row r="1603" spans="1:12" x14ac:dyDescent="0.35">
      <c r="A1603" t="s">
        <v>108</v>
      </c>
      <c r="B1603" t="s">
        <v>469</v>
      </c>
      <c r="C1603" t="s">
        <v>766</v>
      </c>
      <c r="D1603">
        <v>0.40699999999999997</v>
      </c>
      <c r="F1603" t="s">
        <v>2004</v>
      </c>
      <c r="H1603" t="s">
        <v>3503</v>
      </c>
      <c r="I1603" t="s">
        <v>4891</v>
      </c>
      <c r="K1603" t="s">
        <v>5037</v>
      </c>
      <c r="L1603" t="s">
        <v>5039</v>
      </c>
    </row>
    <row r="1604" spans="1:12" x14ac:dyDescent="0.35">
      <c r="A1604" t="s">
        <v>108</v>
      </c>
      <c r="B1604" t="s">
        <v>469</v>
      </c>
      <c r="C1604" t="s">
        <v>782</v>
      </c>
      <c r="D1604">
        <v>9.9000000000000005E-2</v>
      </c>
      <c r="F1604" t="s">
        <v>2005</v>
      </c>
      <c r="H1604" t="s">
        <v>3504</v>
      </c>
      <c r="I1604" t="s">
        <v>4891</v>
      </c>
      <c r="K1604" t="s">
        <v>5037</v>
      </c>
      <c r="L1604" t="s">
        <v>5039</v>
      </c>
    </row>
    <row r="1605" spans="1:12" x14ac:dyDescent="0.35">
      <c r="A1605" t="s">
        <v>108</v>
      </c>
      <c r="B1605" t="s">
        <v>175</v>
      </c>
      <c r="C1605" t="s">
        <v>166</v>
      </c>
      <c r="D1605">
        <v>0.05</v>
      </c>
      <c r="F1605" t="s">
        <v>1559</v>
      </c>
      <c r="H1605" t="s">
        <v>3505</v>
      </c>
      <c r="I1605" t="s">
        <v>4894</v>
      </c>
      <c r="K1605" t="s">
        <v>5037</v>
      </c>
      <c r="L1605" t="s">
        <v>5039</v>
      </c>
    </row>
    <row r="1606" spans="1:12" x14ac:dyDescent="0.35">
      <c r="A1606" t="s">
        <v>108</v>
      </c>
      <c r="B1606" t="s">
        <v>175</v>
      </c>
      <c r="C1606" t="s">
        <v>166</v>
      </c>
      <c r="D1606">
        <v>0.04</v>
      </c>
      <c r="F1606" t="s">
        <v>1334</v>
      </c>
      <c r="H1606" t="s">
        <v>3506</v>
      </c>
      <c r="I1606" t="s">
        <v>4894</v>
      </c>
      <c r="K1606" t="s">
        <v>5037</v>
      </c>
      <c r="L1606" t="s">
        <v>5039</v>
      </c>
    </row>
    <row r="1607" spans="1:12" x14ac:dyDescent="0.35">
      <c r="A1607" t="s">
        <v>108</v>
      </c>
      <c r="B1607" t="s">
        <v>175</v>
      </c>
      <c r="C1607" t="s">
        <v>166</v>
      </c>
      <c r="D1607">
        <v>0.02</v>
      </c>
      <c r="F1607" t="s">
        <v>1448</v>
      </c>
      <c r="H1607" t="s">
        <v>3507</v>
      </c>
      <c r="I1607" t="s">
        <v>4894</v>
      </c>
      <c r="K1607" t="s">
        <v>5037</v>
      </c>
      <c r="L1607" t="s">
        <v>5039</v>
      </c>
    </row>
    <row r="1608" spans="1:12" x14ac:dyDescent="0.35">
      <c r="A1608" t="s">
        <v>108</v>
      </c>
      <c r="B1608" t="s">
        <v>175</v>
      </c>
      <c r="C1608" t="s">
        <v>166</v>
      </c>
      <c r="D1608">
        <v>0.09</v>
      </c>
      <c r="F1608" t="s">
        <v>1310</v>
      </c>
      <c r="H1608" t="s">
        <v>3508</v>
      </c>
      <c r="I1608" t="s">
        <v>4894</v>
      </c>
      <c r="K1608" t="s">
        <v>5037</v>
      </c>
      <c r="L1608" t="s">
        <v>5039</v>
      </c>
    </row>
    <row r="1609" spans="1:12" x14ac:dyDescent="0.35">
      <c r="A1609" t="s">
        <v>108</v>
      </c>
      <c r="B1609" t="s">
        <v>175</v>
      </c>
      <c r="C1609" t="s">
        <v>166</v>
      </c>
      <c r="D1609">
        <v>7.0000000000000007E-2</v>
      </c>
      <c r="F1609" t="s">
        <v>1456</v>
      </c>
      <c r="H1609" t="s">
        <v>3509</v>
      </c>
      <c r="I1609" t="s">
        <v>4894</v>
      </c>
      <c r="K1609" t="s">
        <v>5037</v>
      </c>
      <c r="L1609" t="s">
        <v>5039</v>
      </c>
    </row>
    <row r="1610" spans="1:12" x14ac:dyDescent="0.35">
      <c r="A1610" t="s">
        <v>108</v>
      </c>
      <c r="B1610" t="s">
        <v>175</v>
      </c>
      <c r="C1610" t="s">
        <v>769</v>
      </c>
      <c r="D1610">
        <v>0.4</v>
      </c>
      <c r="F1610" t="s">
        <v>1315</v>
      </c>
      <c r="H1610" t="s">
        <v>3510</v>
      </c>
      <c r="I1610" t="s">
        <v>1359</v>
      </c>
      <c r="K1610" t="s">
        <v>5037</v>
      </c>
      <c r="L1610" t="s">
        <v>5039</v>
      </c>
    </row>
    <row r="1611" spans="1:12" x14ac:dyDescent="0.35">
      <c r="A1611" t="s">
        <v>108</v>
      </c>
      <c r="B1611" t="s">
        <v>175</v>
      </c>
      <c r="C1611" t="s">
        <v>766</v>
      </c>
      <c r="D1611">
        <v>0.25</v>
      </c>
      <c r="F1611" t="s">
        <v>1403</v>
      </c>
      <c r="H1611" t="s">
        <v>3511</v>
      </c>
      <c r="I1611" t="s">
        <v>1359</v>
      </c>
      <c r="K1611" t="s">
        <v>5037</v>
      </c>
      <c r="L1611" t="s">
        <v>5039</v>
      </c>
    </row>
    <row r="1612" spans="1:12" x14ac:dyDescent="0.35">
      <c r="A1612" t="s">
        <v>108</v>
      </c>
      <c r="B1612" t="s">
        <v>175</v>
      </c>
      <c r="C1612" t="s">
        <v>782</v>
      </c>
      <c r="D1612">
        <v>0.28999999999999998</v>
      </c>
      <c r="F1612" t="s">
        <v>1396</v>
      </c>
      <c r="H1612" t="s">
        <v>3512</v>
      </c>
      <c r="I1612" t="s">
        <v>4883</v>
      </c>
      <c r="K1612" t="s">
        <v>5037</v>
      </c>
      <c r="L1612" t="s">
        <v>5039</v>
      </c>
    </row>
    <row r="1613" spans="1:12" x14ac:dyDescent="0.35">
      <c r="A1613" t="s">
        <v>108</v>
      </c>
      <c r="B1613" t="s">
        <v>175</v>
      </c>
      <c r="C1613" t="s">
        <v>778</v>
      </c>
      <c r="D1613">
        <v>1.43</v>
      </c>
      <c r="F1613" t="s">
        <v>1482</v>
      </c>
      <c r="H1613" t="s">
        <v>3513</v>
      </c>
      <c r="I1613" t="s">
        <v>4894</v>
      </c>
      <c r="K1613" t="s">
        <v>5037</v>
      </c>
      <c r="L1613" t="s">
        <v>5039</v>
      </c>
    </row>
    <row r="1614" spans="1:12" x14ac:dyDescent="0.35">
      <c r="A1614" t="s">
        <v>108</v>
      </c>
      <c r="B1614" t="s">
        <v>175</v>
      </c>
      <c r="C1614" t="s">
        <v>769</v>
      </c>
      <c r="D1614">
        <v>0.34</v>
      </c>
      <c r="F1614" t="s">
        <v>1327</v>
      </c>
      <c r="H1614" t="s">
        <v>3511</v>
      </c>
      <c r="I1614" t="s">
        <v>1359</v>
      </c>
      <c r="K1614" t="s">
        <v>5037</v>
      </c>
      <c r="L1614" t="s">
        <v>5039</v>
      </c>
    </row>
    <row r="1615" spans="1:12" x14ac:dyDescent="0.35">
      <c r="A1615" t="s">
        <v>108</v>
      </c>
      <c r="B1615" t="s">
        <v>175</v>
      </c>
      <c r="C1615" t="s">
        <v>782</v>
      </c>
      <c r="D1615">
        <v>1.41</v>
      </c>
      <c r="F1615" t="s">
        <v>1906</v>
      </c>
      <c r="H1615" t="s">
        <v>3514</v>
      </c>
      <c r="I1615" t="s">
        <v>4883</v>
      </c>
      <c r="K1615" t="s">
        <v>5037</v>
      </c>
      <c r="L1615" t="s">
        <v>5039</v>
      </c>
    </row>
    <row r="1616" spans="1:12" x14ac:dyDescent="0.35">
      <c r="A1616" t="s">
        <v>108</v>
      </c>
      <c r="B1616" t="s">
        <v>175</v>
      </c>
      <c r="C1616" t="s">
        <v>766</v>
      </c>
      <c r="D1616">
        <v>0.57999999999999996</v>
      </c>
      <c r="F1616" t="s">
        <v>1444</v>
      </c>
      <c r="H1616" t="s">
        <v>3515</v>
      </c>
      <c r="I1616" t="s">
        <v>4883</v>
      </c>
      <c r="K1616" t="s">
        <v>5037</v>
      </c>
      <c r="L1616" t="s">
        <v>5039</v>
      </c>
    </row>
    <row r="1617" spans="1:12" x14ac:dyDescent="0.35">
      <c r="A1617" t="s">
        <v>108</v>
      </c>
      <c r="B1617" t="s">
        <v>175</v>
      </c>
      <c r="C1617" t="s">
        <v>769</v>
      </c>
      <c r="D1617">
        <v>0.66</v>
      </c>
      <c r="F1617" t="s">
        <v>2006</v>
      </c>
      <c r="H1617" t="s">
        <v>3516</v>
      </c>
      <c r="I1617" t="s">
        <v>1359</v>
      </c>
      <c r="K1617" t="s">
        <v>5037</v>
      </c>
      <c r="L1617" t="s">
        <v>5039</v>
      </c>
    </row>
    <row r="1618" spans="1:12" x14ac:dyDescent="0.35">
      <c r="A1618" t="s">
        <v>108</v>
      </c>
      <c r="B1618" t="s">
        <v>175</v>
      </c>
      <c r="C1618" t="s">
        <v>166</v>
      </c>
      <c r="D1618">
        <v>0.73</v>
      </c>
      <c r="F1618" t="s">
        <v>2007</v>
      </c>
      <c r="H1618" t="s">
        <v>3517</v>
      </c>
      <c r="I1618" t="s">
        <v>4894</v>
      </c>
      <c r="K1618" t="s">
        <v>5037</v>
      </c>
      <c r="L1618" t="s">
        <v>5039</v>
      </c>
    </row>
    <row r="1619" spans="1:12" x14ac:dyDescent="0.35">
      <c r="A1619" t="s">
        <v>108</v>
      </c>
      <c r="B1619" t="s">
        <v>175</v>
      </c>
      <c r="C1619" t="s">
        <v>166</v>
      </c>
      <c r="D1619">
        <v>0.83</v>
      </c>
      <c r="F1619" t="s">
        <v>1734</v>
      </c>
      <c r="H1619" t="s">
        <v>3511</v>
      </c>
      <c r="I1619" t="s">
        <v>1359</v>
      </c>
      <c r="K1619" t="s">
        <v>5037</v>
      </c>
      <c r="L1619" t="s">
        <v>5039</v>
      </c>
    </row>
    <row r="1620" spans="1:12" x14ac:dyDescent="0.35">
      <c r="A1620" t="s">
        <v>108</v>
      </c>
      <c r="B1620" t="s">
        <v>175</v>
      </c>
      <c r="C1620" t="s">
        <v>766</v>
      </c>
      <c r="D1620">
        <v>16</v>
      </c>
      <c r="F1620" t="s">
        <v>1526</v>
      </c>
      <c r="H1620" t="s">
        <v>3518</v>
      </c>
      <c r="I1620" t="s">
        <v>4883</v>
      </c>
      <c r="K1620" t="s">
        <v>5037</v>
      </c>
      <c r="L1620" t="s">
        <v>5039</v>
      </c>
    </row>
    <row r="1621" spans="1:12" x14ac:dyDescent="0.35">
      <c r="A1621" t="s">
        <v>108</v>
      </c>
      <c r="B1621" t="s">
        <v>175</v>
      </c>
      <c r="C1621" t="s">
        <v>166</v>
      </c>
      <c r="D1621">
        <v>1.05</v>
      </c>
      <c r="F1621" t="s">
        <v>1717</v>
      </c>
      <c r="H1621" t="s">
        <v>3519</v>
      </c>
      <c r="I1621" t="s">
        <v>4894</v>
      </c>
      <c r="K1621" t="s">
        <v>5037</v>
      </c>
      <c r="L1621" t="s">
        <v>5039</v>
      </c>
    </row>
    <row r="1622" spans="1:12" x14ac:dyDescent="0.35">
      <c r="A1622" t="s">
        <v>108</v>
      </c>
      <c r="B1622" t="s">
        <v>175</v>
      </c>
      <c r="C1622" t="s">
        <v>778</v>
      </c>
      <c r="D1622">
        <v>1.24</v>
      </c>
      <c r="F1622" t="s">
        <v>2008</v>
      </c>
      <c r="H1622" t="s">
        <v>3507</v>
      </c>
      <c r="I1622" t="s">
        <v>4894</v>
      </c>
      <c r="K1622" t="s">
        <v>5037</v>
      </c>
      <c r="L1622" t="s">
        <v>5039</v>
      </c>
    </row>
    <row r="1623" spans="1:12" x14ac:dyDescent="0.35">
      <c r="A1623" t="s">
        <v>108</v>
      </c>
      <c r="B1623" t="s">
        <v>175</v>
      </c>
      <c r="C1623" t="s">
        <v>766</v>
      </c>
      <c r="D1623">
        <v>51</v>
      </c>
      <c r="F1623" t="s">
        <v>2009</v>
      </c>
      <c r="H1623" t="s">
        <v>3520</v>
      </c>
      <c r="I1623" t="s">
        <v>4883</v>
      </c>
      <c r="K1623" t="s">
        <v>5037</v>
      </c>
      <c r="L1623" t="s">
        <v>5039</v>
      </c>
    </row>
    <row r="1624" spans="1:12" x14ac:dyDescent="0.35">
      <c r="A1624" t="s">
        <v>108</v>
      </c>
      <c r="B1624" t="s">
        <v>175</v>
      </c>
      <c r="C1624" t="s">
        <v>766</v>
      </c>
      <c r="D1624">
        <v>1.75</v>
      </c>
      <c r="F1624" t="s">
        <v>1523</v>
      </c>
      <c r="H1624" t="s">
        <v>3521</v>
      </c>
      <c r="I1624" t="s">
        <v>1359</v>
      </c>
      <c r="K1624" t="s">
        <v>5037</v>
      </c>
      <c r="L1624" t="s">
        <v>5039</v>
      </c>
    </row>
    <row r="1625" spans="1:12" x14ac:dyDescent="0.35">
      <c r="A1625" t="s">
        <v>108</v>
      </c>
      <c r="B1625" t="s">
        <v>175</v>
      </c>
      <c r="C1625" t="s">
        <v>778</v>
      </c>
      <c r="D1625">
        <v>1.75</v>
      </c>
      <c r="F1625" t="s">
        <v>1523</v>
      </c>
      <c r="H1625" t="s">
        <v>3522</v>
      </c>
      <c r="I1625" t="s">
        <v>4894</v>
      </c>
      <c r="K1625" t="s">
        <v>5037</v>
      </c>
      <c r="L1625" t="s">
        <v>5039</v>
      </c>
    </row>
    <row r="1626" spans="1:12" x14ac:dyDescent="0.35">
      <c r="A1626" t="s">
        <v>108</v>
      </c>
      <c r="B1626" t="s">
        <v>175</v>
      </c>
      <c r="C1626" t="s">
        <v>166</v>
      </c>
      <c r="D1626">
        <v>2.66</v>
      </c>
      <c r="F1626" t="s">
        <v>2010</v>
      </c>
      <c r="H1626" t="s">
        <v>3510</v>
      </c>
      <c r="I1626" t="s">
        <v>1359</v>
      </c>
      <c r="K1626" t="s">
        <v>5037</v>
      </c>
      <c r="L1626" t="s">
        <v>5039</v>
      </c>
    </row>
    <row r="1627" spans="1:12" x14ac:dyDescent="0.35">
      <c r="A1627" t="s">
        <v>108</v>
      </c>
      <c r="B1627" t="s">
        <v>175</v>
      </c>
      <c r="C1627" t="s">
        <v>778</v>
      </c>
      <c r="D1627">
        <v>1.02</v>
      </c>
      <c r="F1627" t="s">
        <v>2011</v>
      </c>
      <c r="H1627" t="s">
        <v>3508</v>
      </c>
      <c r="I1627" t="s">
        <v>4894</v>
      </c>
      <c r="K1627" t="s">
        <v>5037</v>
      </c>
      <c r="L1627" t="s">
        <v>5039</v>
      </c>
    </row>
    <row r="1628" spans="1:12" x14ac:dyDescent="0.35">
      <c r="A1628" t="s">
        <v>108</v>
      </c>
      <c r="B1628" t="s">
        <v>175</v>
      </c>
      <c r="C1628" t="s">
        <v>778</v>
      </c>
      <c r="D1628">
        <v>1.64</v>
      </c>
      <c r="F1628" t="s">
        <v>1712</v>
      </c>
      <c r="H1628" t="s">
        <v>3523</v>
      </c>
      <c r="I1628" t="s">
        <v>4894</v>
      </c>
      <c r="K1628" t="s">
        <v>5037</v>
      </c>
      <c r="L1628" t="s">
        <v>5039</v>
      </c>
    </row>
    <row r="1629" spans="1:12" x14ac:dyDescent="0.35">
      <c r="A1629" t="s">
        <v>108</v>
      </c>
      <c r="B1629" t="s">
        <v>175</v>
      </c>
      <c r="C1629" t="s">
        <v>766</v>
      </c>
      <c r="D1629">
        <v>1.96</v>
      </c>
      <c r="F1629" t="s">
        <v>1595</v>
      </c>
      <c r="H1629" t="s">
        <v>3510</v>
      </c>
      <c r="I1629" t="s">
        <v>1359</v>
      </c>
      <c r="K1629" t="s">
        <v>5037</v>
      </c>
      <c r="L1629" t="s">
        <v>5039</v>
      </c>
    </row>
    <row r="1630" spans="1:12" x14ac:dyDescent="0.35">
      <c r="A1630" t="s">
        <v>108</v>
      </c>
      <c r="B1630" t="s">
        <v>175</v>
      </c>
      <c r="C1630" t="s">
        <v>778</v>
      </c>
      <c r="D1630">
        <v>2.0699999999999998</v>
      </c>
      <c r="F1630" t="s">
        <v>2012</v>
      </c>
      <c r="H1630" t="s">
        <v>3519</v>
      </c>
      <c r="I1630" t="s">
        <v>4894</v>
      </c>
      <c r="K1630" t="s">
        <v>5037</v>
      </c>
      <c r="L1630" t="s">
        <v>5039</v>
      </c>
    </row>
    <row r="1631" spans="1:12" x14ac:dyDescent="0.35">
      <c r="A1631" t="s">
        <v>108</v>
      </c>
      <c r="B1631" t="s">
        <v>175</v>
      </c>
      <c r="C1631" t="s">
        <v>782</v>
      </c>
      <c r="D1631">
        <v>0.1</v>
      </c>
      <c r="F1631" t="s">
        <v>1309</v>
      </c>
      <c r="H1631" t="s">
        <v>3524</v>
      </c>
      <c r="I1631" t="s">
        <v>4883</v>
      </c>
      <c r="K1631" t="s">
        <v>5037</v>
      </c>
      <c r="L1631" t="s">
        <v>5039</v>
      </c>
    </row>
    <row r="1632" spans="1:12" x14ac:dyDescent="0.35">
      <c r="A1632" t="s">
        <v>108</v>
      </c>
      <c r="B1632" t="s">
        <v>175</v>
      </c>
      <c r="C1632" t="s">
        <v>766</v>
      </c>
      <c r="D1632">
        <v>3</v>
      </c>
      <c r="F1632" t="s">
        <v>1368</v>
      </c>
      <c r="H1632" t="s">
        <v>3525</v>
      </c>
      <c r="I1632" t="s">
        <v>4883</v>
      </c>
      <c r="K1632" t="s">
        <v>5037</v>
      </c>
      <c r="L1632" t="s">
        <v>5039</v>
      </c>
    </row>
    <row r="1633" spans="1:12" x14ac:dyDescent="0.35">
      <c r="A1633" t="s">
        <v>108</v>
      </c>
      <c r="B1633" t="s">
        <v>175</v>
      </c>
      <c r="C1633" t="s">
        <v>782</v>
      </c>
      <c r="D1633">
        <v>0.25</v>
      </c>
      <c r="F1633" t="s">
        <v>1403</v>
      </c>
      <c r="H1633" t="s">
        <v>3526</v>
      </c>
      <c r="I1633" t="s">
        <v>2330</v>
      </c>
      <c r="K1633" t="s">
        <v>5037</v>
      </c>
      <c r="L1633" t="s">
        <v>5039</v>
      </c>
    </row>
    <row r="1634" spans="1:12" x14ac:dyDescent="0.35">
      <c r="A1634" t="s">
        <v>108</v>
      </c>
      <c r="B1634" t="s">
        <v>472</v>
      </c>
      <c r="C1634" t="s">
        <v>166</v>
      </c>
      <c r="D1634">
        <v>0.26</v>
      </c>
      <c r="F1634" t="s">
        <v>1447</v>
      </c>
      <c r="H1634" t="s">
        <v>3527</v>
      </c>
      <c r="I1634" t="s">
        <v>2330</v>
      </c>
      <c r="K1634" t="s">
        <v>5037</v>
      </c>
      <c r="L1634" t="s">
        <v>5039</v>
      </c>
    </row>
    <row r="1635" spans="1:12" x14ac:dyDescent="0.35">
      <c r="A1635" t="s">
        <v>108</v>
      </c>
      <c r="B1635" t="s">
        <v>472</v>
      </c>
      <c r="C1635" t="s">
        <v>166</v>
      </c>
      <c r="D1635">
        <v>0.28000000000000003</v>
      </c>
      <c r="F1635" t="s">
        <v>1732</v>
      </c>
      <c r="H1635" t="s">
        <v>3528</v>
      </c>
      <c r="I1635" t="s">
        <v>2330</v>
      </c>
      <c r="K1635" t="s">
        <v>5037</v>
      </c>
      <c r="L1635" t="s">
        <v>5039</v>
      </c>
    </row>
    <row r="1636" spans="1:12" x14ac:dyDescent="0.35">
      <c r="A1636" t="s">
        <v>108</v>
      </c>
      <c r="B1636" t="s">
        <v>472</v>
      </c>
      <c r="C1636" t="s">
        <v>766</v>
      </c>
      <c r="D1636">
        <v>0.75</v>
      </c>
      <c r="F1636" t="s">
        <v>1475</v>
      </c>
      <c r="H1636" t="s">
        <v>3529</v>
      </c>
      <c r="I1636" t="s">
        <v>2330</v>
      </c>
      <c r="K1636" t="s">
        <v>5037</v>
      </c>
      <c r="L1636" t="s">
        <v>5039</v>
      </c>
    </row>
    <row r="1637" spans="1:12" x14ac:dyDescent="0.35">
      <c r="A1637" t="s">
        <v>108</v>
      </c>
      <c r="B1637" t="s">
        <v>472</v>
      </c>
      <c r="C1637" t="s">
        <v>166</v>
      </c>
      <c r="D1637">
        <v>0.2</v>
      </c>
      <c r="F1637" t="s">
        <v>1371</v>
      </c>
      <c r="H1637" t="s">
        <v>3530</v>
      </c>
      <c r="I1637" t="s">
        <v>2330</v>
      </c>
      <c r="K1637" t="s">
        <v>5037</v>
      </c>
      <c r="L1637" t="s">
        <v>5039</v>
      </c>
    </row>
    <row r="1638" spans="1:12" x14ac:dyDescent="0.35">
      <c r="A1638" t="s">
        <v>108</v>
      </c>
      <c r="B1638" t="s">
        <v>470</v>
      </c>
      <c r="C1638" t="s">
        <v>766</v>
      </c>
      <c r="D1638">
        <v>1.3</v>
      </c>
      <c r="F1638" t="s">
        <v>1358</v>
      </c>
      <c r="H1638" t="s">
        <v>3531</v>
      </c>
      <c r="I1638" t="s">
        <v>4898</v>
      </c>
      <c r="K1638" t="s">
        <v>5037</v>
      </c>
      <c r="L1638" t="s">
        <v>5039</v>
      </c>
    </row>
    <row r="1639" spans="1:12" x14ac:dyDescent="0.35">
      <c r="A1639" t="s">
        <v>108</v>
      </c>
      <c r="B1639" t="s">
        <v>470</v>
      </c>
      <c r="C1639" t="s">
        <v>782</v>
      </c>
      <c r="D1639">
        <v>1.1299999999999999</v>
      </c>
      <c r="F1639" t="s">
        <v>2013</v>
      </c>
      <c r="H1639" t="s">
        <v>3532</v>
      </c>
      <c r="I1639" t="s">
        <v>4898</v>
      </c>
      <c r="K1639" t="s">
        <v>5037</v>
      </c>
      <c r="L1639" t="s">
        <v>5039</v>
      </c>
    </row>
    <row r="1640" spans="1:12" x14ac:dyDescent="0.35">
      <c r="A1640" t="s">
        <v>108</v>
      </c>
      <c r="B1640" t="s">
        <v>470</v>
      </c>
      <c r="C1640" t="s">
        <v>166</v>
      </c>
      <c r="D1640">
        <v>0.29899999999999999</v>
      </c>
      <c r="F1640" t="s">
        <v>2014</v>
      </c>
      <c r="H1640" t="s">
        <v>3531</v>
      </c>
      <c r="I1640" t="s">
        <v>4898</v>
      </c>
      <c r="K1640" t="s">
        <v>5037</v>
      </c>
      <c r="L1640" t="s">
        <v>5039</v>
      </c>
    </row>
    <row r="1641" spans="1:12" x14ac:dyDescent="0.35">
      <c r="A1641" t="s">
        <v>108</v>
      </c>
      <c r="B1641" t="s">
        <v>471</v>
      </c>
      <c r="C1641" t="s">
        <v>766</v>
      </c>
      <c r="D1641">
        <v>2.1</v>
      </c>
      <c r="F1641" t="s">
        <v>1399</v>
      </c>
      <c r="H1641" t="s">
        <v>3533</v>
      </c>
      <c r="I1641" t="s">
        <v>4898</v>
      </c>
      <c r="K1641" t="s">
        <v>5037</v>
      </c>
      <c r="L1641" t="s">
        <v>5039</v>
      </c>
    </row>
    <row r="1642" spans="1:12" x14ac:dyDescent="0.35">
      <c r="A1642" t="s">
        <v>108</v>
      </c>
      <c r="B1642" t="s">
        <v>471</v>
      </c>
      <c r="C1642" t="s">
        <v>782</v>
      </c>
      <c r="D1642">
        <v>1.56</v>
      </c>
      <c r="F1642" t="s">
        <v>2015</v>
      </c>
      <c r="H1642" t="s">
        <v>3534</v>
      </c>
      <c r="I1642" t="s">
        <v>4898</v>
      </c>
      <c r="K1642" t="s">
        <v>5037</v>
      </c>
      <c r="L1642" t="s">
        <v>5039</v>
      </c>
    </row>
    <row r="1643" spans="1:12" x14ac:dyDescent="0.35">
      <c r="A1643" t="s">
        <v>108</v>
      </c>
      <c r="B1643" t="s">
        <v>471</v>
      </c>
      <c r="C1643" t="s">
        <v>166</v>
      </c>
      <c r="D1643">
        <v>0.35599999999999998</v>
      </c>
      <c r="F1643" t="s">
        <v>2016</v>
      </c>
      <c r="H1643" t="s">
        <v>3533</v>
      </c>
      <c r="I1643" t="s">
        <v>4898</v>
      </c>
      <c r="K1643" t="s">
        <v>5037</v>
      </c>
      <c r="L1643" t="s">
        <v>5039</v>
      </c>
    </row>
    <row r="1644" spans="1:12" x14ac:dyDescent="0.35">
      <c r="A1644" t="s">
        <v>108</v>
      </c>
      <c r="B1644" t="s">
        <v>327</v>
      </c>
      <c r="C1644" t="s">
        <v>784</v>
      </c>
      <c r="D1644">
        <v>6.3E-2</v>
      </c>
      <c r="F1644" t="s">
        <v>2017</v>
      </c>
      <c r="H1644" t="s">
        <v>3535</v>
      </c>
      <c r="I1644" t="s">
        <v>1626</v>
      </c>
      <c r="K1644" t="s">
        <v>5037</v>
      </c>
      <c r="L1644" t="s">
        <v>5039</v>
      </c>
    </row>
    <row r="1645" spans="1:12" x14ac:dyDescent="0.35">
      <c r="A1645" t="s">
        <v>108</v>
      </c>
      <c r="B1645" t="s">
        <v>327</v>
      </c>
      <c r="C1645" t="s">
        <v>785</v>
      </c>
      <c r="D1645">
        <v>0.1</v>
      </c>
      <c r="F1645" t="s">
        <v>1309</v>
      </c>
      <c r="H1645" t="s">
        <v>3536</v>
      </c>
      <c r="I1645" t="s">
        <v>4896</v>
      </c>
      <c r="K1645" t="s">
        <v>5037</v>
      </c>
      <c r="L1645" t="s">
        <v>5039</v>
      </c>
    </row>
    <row r="1646" spans="1:12" x14ac:dyDescent="0.35">
      <c r="A1646" t="s">
        <v>108</v>
      </c>
      <c r="B1646" t="s">
        <v>327</v>
      </c>
      <c r="C1646" t="s">
        <v>166</v>
      </c>
      <c r="D1646">
        <v>1.2E-2</v>
      </c>
      <c r="F1646" t="s">
        <v>1280</v>
      </c>
      <c r="H1646" t="s">
        <v>3537</v>
      </c>
      <c r="I1646" t="s">
        <v>4896</v>
      </c>
      <c r="K1646" t="s">
        <v>5037</v>
      </c>
      <c r="L1646" t="s">
        <v>5039</v>
      </c>
    </row>
    <row r="1647" spans="1:12" x14ac:dyDescent="0.35">
      <c r="A1647" t="s">
        <v>108</v>
      </c>
      <c r="B1647" t="s">
        <v>327</v>
      </c>
      <c r="C1647" t="s">
        <v>780</v>
      </c>
      <c r="D1647">
        <v>0.2</v>
      </c>
      <c r="F1647" t="s">
        <v>1371</v>
      </c>
      <c r="I1647" t="s">
        <v>1454</v>
      </c>
      <c r="K1647" t="s">
        <v>5037</v>
      </c>
      <c r="L1647" t="s">
        <v>5039</v>
      </c>
    </row>
    <row r="1648" spans="1:12" x14ac:dyDescent="0.35">
      <c r="A1648" t="s">
        <v>108</v>
      </c>
      <c r="B1648" t="s">
        <v>327</v>
      </c>
      <c r="C1648" t="s">
        <v>166</v>
      </c>
      <c r="D1648">
        <v>0.12</v>
      </c>
      <c r="F1648" t="s">
        <v>1473</v>
      </c>
      <c r="H1648" t="s">
        <v>3538</v>
      </c>
      <c r="I1648" t="s">
        <v>4896</v>
      </c>
      <c r="K1648" t="s">
        <v>5037</v>
      </c>
      <c r="L1648" t="s">
        <v>5039</v>
      </c>
    </row>
    <row r="1649" spans="1:12" x14ac:dyDescent="0.35">
      <c r="A1649" t="s">
        <v>108</v>
      </c>
      <c r="B1649" t="s">
        <v>327</v>
      </c>
      <c r="C1649" t="s">
        <v>785</v>
      </c>
      <c r="D1649">
        <v>0.32</v>
      </c>
      <c r="F1649" t="s">
        <v>1470</v>
      </c>
      <c r="H1649" t="s">
        <v>3539</v>
      </c>
      <c r="I1649" t="s">
        <v>4921</v>
      </c>
      <c r="K1649" t="s">
        <v>5037</v>
      </c>
      <c r="L1649" t="s">
        <v>5039</v>
      </c>
    </row>
    <row r="1650" spans="1:12" x14ac:dyDescent="0.35">
      <c r="A1650" t="s">
        <v>108</v>
      </c>
      <c r="B1650" t="s">
        <v>327</v>
      </c>
      <c r="C1650" t="s">
        <v>785</v>
      </c>
      <c r="D1650">
        <v>1.54</v>
      </c>
      <c r="F1650" t="s">
        <v>1781</v>
      </c>
      <c r="H1650" t="s">
        <v>3540</v>
      </c>
      <c r="I1650" t="s">
        <v>4921</v>
      </c>
      <c r="K1650" t="s">
        <v>5037</v>
      </c>
      <c r="L1650" t="s">
        <v>5039</v>
      </c>
    </row>
    <row r="1651" spans="1:12" x14ac:dyDescent="0.35">
      <c r="A1651" t="s">
        <v>108</v>
      </c>
      <c r="B1651" t="s">
        <v>327</v>
      </c>
      <c r="C1651" t="s">
        <v>785</v>
      </c>
      <c r="D1651">
        <v>0.89</v>
      </c>
      <c r="F1651" t="s">
        <v>1840</v>
      </c>
      <c r="H1651" t="s">
        <v>3541</v>
      </c>
      <c r="I1651" t="s">
        <v>4896</v>
      </c>
      <c r="K1651" t="s">
        <v>5037</v>
      </c>
      <c r="L1651" t="s">
        <v>5039</v>
      </c>
    </row>
    <row r="1652" spans="1:12" x14ac:dyDescent="0.35">
      <c r="A1652" t="s">
        <v>108</v>
      </c>
      <c r="B1652" t="s">
        <v>327</v>
      </c>
      <c r="C1652" t="s">
        <v>778</v>
      </c>
      <c r="D1652">
        <v>0.36</v>
      </c>
      <c r="F1652" t="s">
        <v>1398</v>
      </c>
      <c r="I1652" t="s">
        <v>1454</v>
      </c>
      <c r="K1652" t="s">
        <v>5037</v>
      </c>
      <c r="L1652" t="s">
        <v>5039</v>
      </c>
    </row>
    <row r="1653" spans="1:12" x14ac:dyDescent="0.35">
      <c r="A1653" t="s">
        <v>108</v>
      </c>
      <c r="B1653" t="s">
        <v>327</v>
      </c>
      <c r="C1653" t="s">
        <v>785</v>
      </c>
      <c r="D1653">
        <v>1.6</v>
      </c>
      <c r="F1653" t="s">
        <v>1328</v>
      </c>
      <c r="H1653" t="s">
        <v>3542</v>
      </c>
      <c r="I1653" t="s">
        <v>4921</v>
      </c>
      <c r="K1653" t="s">
        <v>5037</v>
      </c>
      <c r="L1653" t="s">
        <v>5039</v>
      </c>
    </row>
    <row r="1654" spans="1:12" x14ac:dyDescent="0.35">
      <c r="A1654" t="s">
        <v>108</v>
      </c>
      <c r="B1654" t="s">
        <v>327</v>
      </c>
      <c r="C1654" t="s">
        <v>778</v>
      </c>
      <c r="D1654">
        <v>0.53</v>
      </c>
      <c r="F1654" t="s">
        <v>1817</v>
      </c>
      <c r="H1654" t="s">
        <v>3537</v>
      </c>
      <c r="I1654" t="s">
        <v>4896</v>
      </c>
      <c r="K1654" t="s">
        <v>5037</v>
      </c>
      <c r="L1654" t="s">
        <v>5039</v>
      </c>
    </row>
    <row r="1655" spans="1:12" x14ac:dyDescent="0.35">
      <c r="A1655" t="s">
        <v>108</v>
      </c>
      <c r="B1655" t="s">
        <v>327</v>
      </c>
      <c r="C1655" t="s">
        <v>166</v>
      </c>
      <c r="D1655">
        <v>0.44</v>
      </c>
      <c r="F1655" t="s">
        <v>1723</v>
      </c>
      <c r="H1655" t="s">
        <v>3543</v>
      </c>
      <c r="I1655" t="s">
        <v>4896</v>
      </c>
      <c r="K1655" t="s">
        <v>5037</v>
      </c>
      <c r="L1655" t="s">
        <v>5039</v>
      </c>
    </row>
    <row r="1656" spans="1:12" x14ac:dyDescent="0.35">
      <c r="A1656" t="s">
        <v>108</v>
      </c>
      <c r="B1656" t="s">
        <v>327</v>
      </c>
      <c r="C1656" t="s">
        <v>785</v>
      </c>
      <c r="D1656">
        <v>0.95</v>
      </c>
      <c r="F1656" t="s">
        <v>1630</v>
      </c>
      <c r="H1656" t="s">
        <v>3544</v>
      </c>
      <c r="I1656" t="s">
        <v>4921</v>
      </c>
      <c r="K1656" t="s">
        <v>5037</v>
      </c>
      <c r="L1656" t="s">
        <v>5039</v>
      </c>
    </row>
    <row r="1657" spans="1:12" x14ac:dyDescent="0.35">
      <c r="A1657" t="s">
        <v>108</v>
      </c>
      <c r="B1657" t="s">
        <v>327</v>
      </c>
      <c r="C1657" t="s">
        <v>166</v>
      </c>
      <c r="D1657">
        <v>0.248</v>
      </c>
      <c r="F1657" t="s">
        <v>2018</v>
      </c>
      <c r="H1657" t="s">
        <v>3535</v>
      </c>
      <c r="I1657" t="s">
        <v>1626</v>
      </c>
      <c r="K1657" t="s">
        <v>5037</v>
      </c>
      <c r="L1657" t="s">
        <v>5039</v>
      </c>
    </row>
    <row r="1658" spans="1:12" x14ac:dyDescent="0.35">
      <c r="A1658" t="s">
        <v>108</v>
      </c>
      <c r="B1658" t="s">
        <v>327</v>
      </c>
      <c r="C1658" t="s">
        <v>778</v>
      </c>
      <c r="D1658">
        <v>2.52</v>
      </c>
      <c r="F1658" t="s">
        <v>2019</v>
      </c>
      <c r="H1658" t="s">
        <v>3538</v>
      </c>
      <c r="I1658" t="s">
        <v>4896</v>
      </c>
      <c r="K1658" t="s">
        <v>5037</v>
      </c>
      <c r="L1658" t="s">
        <v>5039</v>
      </c>
    </row>
    <row r="1659" spans="1:12" x14ac:dyDescent="0.35">
      <c r="A1659" t="s">
        <v>108</v>
      </c>
      <c r="B1659" t="s">
        <v>327</v>
      </c>
      <c r="C1659" t="s">
        <v>785</v>
      </c>
      <c r="D1659">
        <v>1.42</v>
      </c>
      <c r="F1659" t="s">
        <v>1865</v>
      </c>
      <c r="H1659" t="s">
        <v>3545</v>
      </c>
      <c r="I1659" t="s">
        <v>4921</v>
      </c>
      <c r="K1659" t="s">
        <v>5037</v>
      </c>
      <c r="L1659" t="s">
        <v>5039</v>
      </c>
    </row>
    <row r="1660" spans="1:12" x14ac:dyDescent="0.35">
      <c r="A1660" t="s">
        <v>108</v>
      </c>
      <c r="B1660" t="s">
        <v>327</v>
      </c>
      <c r="C1660" t="s">
        <v>785</v>
      </c>
      <c r="D1660">
        <v>1.26</v>
      </c>
      <c r="F1660" t="s">
        <v>2020</v>
      </c>
      <c r="H1660" t="s">
        <v>3546</v>
      </c>
      <c r="I1660" t="s">
        <v>4896</v>
      </c>
      <c r="K1660" t="s">
        <v>5037</v>
      </c>
      <c r="L1660" t="s">
        <v>5039</v>
      </c>
    </row>
    <row r="1661" spans="1:12" x14ac:dyDescent="0.35">
      <c r="A1661" t="s">
        <v>108</v>
      </c>
      <c r="B1661" t="s">
        <v>327</v>
      </c>
      <c r="C1661" t="s">
        <v>766</v>
      </c>
      <c r="D1661">
        <v>0.45200000000000001</v>
      </c>
      <c r="F1661" t="s">
        <v>2021</v>
      </c>
      <c r="H1661" t="s">
        <v>3535</v>
      </c>
      <c r="I1661" t="s">
        <v>1626</v>
      </c>
      <c r="K1661" t="s">
        <v>5037</v>
      </c>
      <c r="L1661" t="s">
        <v>5039</v>
      </c>
    </row>
    <row r="1662" spans="1:12" x14ac:dyDescent="0.35">
      <c r="A1662" t="s">
        <v>108</v>
      </c>
      <c r="B1662" t="s">
        <v>327</v>
      </c>
      <c r="C1662" t="s">
        <v>779</v>
      </c>
      <c r="D1662">
        <v>0.5</v>
      </c>
      <c r="F1662" t="s">
        <v>1440</v>
      </c>
      <c r="H1662" t="s">
        <v>3547</v>
      </c>
      <c r="I1662" t="s">
        <v>1454</v>
      </c>
      <c r="K1662" t="s">
        <v>5037</v>
      </c>
      <c r="L1662" t="s">
        <v>5039</v>
      </c>
    </row>
    <row r="1663" spans="1:12" x14ac:dyDescent="0.35">
      <c r="A1663" t="s">
        <v>108</v>
      </c>
      <c r="B1663" t="s">
        <v>328</v>
      </c>
      <c r="C1663" t="s">
        <v>786</v>
      </c>
      <c r="D1663">
        <v>4.2000000000000003E-2</v>
      </c>
      <c r="F1663" t="s">
        <v>1338</v>
      </c>
      <c r="H1663" t="s">
        <v>3548</v>
      </c>
      <c r="I1663" t="s">
        <v>1394</v>
      </c>
      <c r="K1663" t="s">
        <v>5037</v>
      </c>
      <c r="L1663" t="s">
        <v>5039</v>
      </c>
    </row>
    <row r="1664" spans="1:12" x14ac:dyDescent="0.35">
      <c r="A1664" t="s">
        <v>108</v>
      </c>
      <c r="B1664" t="s">
        <v>328</v>
      </c>
      <c r="C1664" t="s">
        <v>166</v>
      </c>
      <c r="D1664">
        <v>3.3000000000000002E-2</v>
      </c>
      <c r="F1664" t="s">
        <v>1340</v>
      </c>
      <c r="I1664" t="s">
        <v>4922</v>
      </c>
      <c r="K1664" t="s">
        <v>5037</v>
      </c>
      <c r="L1664" t="s">
        <v>5039</v>
      </c>
    </row>
    <row r="1665" spans="1:12" x14ac:dyDescent="0.35">
      <c r="A1665" t="s">
        <v>108</v>
      </c>
      <c r="B1665" t="s">
        <v>328</v>
      </c>
      <c r="C1665" t="s">
        <v>166</v>
      </c>
      <c r="D1665">
        <v>3.6999999999999998E-2</v>
      </c>
      <c r="F1665" t="s">
        <v>1534</v>
      </c>
      <c r="H1665" t="s">
        <v>3549</v>
      </c>
      <c r="I1665" t="s">
        <v>1394</v>
      </c>
      <c r="K1665" t="s">
        <v>5037</v>
      </c>
      <c r="L1665" t="s">
        <v>5039</v>
      </c>
    </row>
    <row r="1666" spans="1:12" x14ac:dyDescent="0.35">
      <c r="A1666" t="s">
        <v>108</v>
      </c>
      <c r="B1666" t="s">
        <v>328</v>
      </c>
      <c r="C1666" t="s">
        <v>778</v>
      </c>
      <c r="D1666">
        <v>0.76</v>
      </c>
      <c r="F1666" t="s">
        <v>1750</v>
      </c>
      <c r="I1666" t="s">
        <v>4922</v>
      </c>
      <c r="K1666" t="s">
        <v>5037</v>
      </c>
      <c r="L1666" t="s">
        <v>5039</v>
      </c>
    </row>
    <row r="1667" spans="1:12" x14ac:dyDescent="0.35">
      <c r="A1667" t="s">
        <v>108</v>
      </c>
      <c r="B1667" t="s">
        <v>328</v>
      </c>
      <c r="C1667" t="s">
        <v>787</v>
      </c>
      <c r="D1667">
        <v>25</v>
      </c>
      <c r="F1667" t="s">
        <v>1387</v>
      </c>
      <c r="I1667" t="s">
        <v>1533</v>
      </c>
      <c r="K1667" t="s">
        <v>5037</v>
      </c>
      <c r="L1667" t="s">
        <v>5039</v>
      </c>
    </row>
    <row r="1668" spans="1:12" x14ac:dyDescent="0.35">
      <c r="A1668" t="s">
        <v>108</v>
      </c>
      <c r="B1668" t="s">
        <v>328</v>
      </c>
      <c r="C1668" t="s">
        <v>788</v>
      </c>
      <c r="D1668">
        <v>60</v>
      </c>
      <c r="F1668" t="s">
        <v>1569</v>
      </c>
      <c r="I1668" t="s">
        <v>1533</v>
      </c>
      <c r="K1668" t="s">
        <v>5037</v>
      </c>
      <c r="L1668" t="s">
        <v>5039</v>
      </c>
    </row>
    <row r="1669" spans="1:12" x14ac:dyDescent="0.35">
      <c r="A1669" t="s">
        <v>108</v>
      </c>
      <c r="B1669" t="s">
        <v>328</v>
      </c>
      <c r="C1669" t="s">
        <v>766</v>
      </c>
      <c r="D1669">
        <v>0.91300000000000003</v>
      </c>
      <c r="F1669" t="s">
        <v>2022</v>
      </c>
      <c r="H1669" t="s">
        <v>3549</v>
      </c>
      <c r="I1669" t="s">
        <v>1394</v>
      </c>
      <c r="K1669" t="s">
        <v>5037</v>
      </c>
      <c r="L1669" t="s">
        <v>5039</v>
      </c>
    </row>
    <row r="1670" spans="1:12" x14ac:dyDescent="0.35">
      <c r="A1670" t="s">
        <v>108</v>
      </c>
      <c r="B1670" t="s">
        <v>317</v>
      </c>
      <c r="C1670" t="s">
        <v>778</v>
      </c>
      <c r="D1670">
        <v>0.8</v>
      </c>
      <c r="F1670" t="s">
        <v>1319</v>
      </c>
      <c r="H1670" t="s">
        <v>3550</v>
      </c>
      <c r="I1670" t="s">
        <v>1454</v>
      </c>
      <c r="K1670" t="s">
        <v>5037</v>
      </c>
      <c r="L1670" t="s">
        <v>5039</v>
      </c>
    </row>
    <row r="1671" spans="1:12" x14ac:dyDescent="0.35">
      <c r="A1671" t="s">
        <v>108</v>
      </c>
      <c r="B1671" t="s">
        <v>317</v>
      </c>
      <c r="C1671" t="s">
        <v>166</v>
      </c>
      <c r="D1671">
        <v>8.3000000000000004E-2</v>
      </c>
      <c r="F1671" t="s">
        <v>1603</v>
      </c>
      <c r="H1671" t="s">
        <v>3551</v>
      </c>
      <c r="I1671" t="s">
        <v>1454</v>
      </c>
      <c r="K1671" t="s">
        <v>5037</v>
      </c>
      <c r="L1671" t="s">
        <v>5039</v>
      </c>
    </row>
    <row r="1672" spans="1:12" x14ac:dyDescent="0.35">
      <c r="A1672" t="s">
        <v>109</v>
      </c>
      <c r="B1672" t="s">
        <v>313</v>
      </c>
      <c r="C1672" t="s">
        <v>789</v>
      </c>
      <c r="D1672">
        <v>7.0000000000000001E-3</v>
      </c>
      <c r="F1672" t="s">
        <v>1261</v>
      </c>
      <c r="I1672" t="s">
        <v>1390</v>
      </c>
      <c r="K1672" t="s">
        <v>5037</v>
      </c>
      <c r="L1672" t="s">
        <v>5039</v>
      </c>
    </row>
    <row r="1673" spans="1:12" x14ac:dyDescent="0.35">
      <c r="A1673" t="s">
        <v>109</v>
      </c>
      <c r="B1673" t="s">
        <v>340</v>
      </c>
      <c r="C1673" t="s">
        <v>790</v>
      </c>
      <c r="D1673">
        <v>0.32</v>
      </c>
      <c r="F1673" t="s">
        <v>1470</v>
      </c>
      <c r="H1673" t="s">
        <v>3552</v>
      </c>
      <c r="I1673" t="s">
        <v>1892</v>
      </c>
      <c r="K1673" t="s">
        <v>5037</v>
      </c>
      <c r="L1673" t="s">
        <v>5039</v>
      </c>
    </row>
    <row r="1674" spans="1:12" x14ac:dyDescent="0.35">
      <c r="A1674" t="s">
        <v>109</v>
      </c>
      <c r="B1674" t="s">
        <v>340</v>
      </c>
      <c r="C1674" t="s">
        <v>791</v>
      </c>
      <c r="D1674">
        <v>0.14499999999999999</v>
      </c>
      <c r="F1674" t="s">
        <v>1650</v>
      </c>
      <c r="H1674" t="s">
        <v>3552</v>
      </c>
      <c r="I1674" t="s">
        <v>1892</v>
      </c>
      <c r="K1674" t="s">
        <v>5037</v>
      </c>
      <c r="L1674" t="s">
        <v>5039</v>
      </c>
    </row>
    <row r="1675" spans="1:12" x14ac:dyDescent="0.35">
      <c r="A1675" t="s">
        <v>109</v>
      </c>
      <c r="B1675" t="s">
        <v>340</v>
      </c>
      <c r="C1675" t="s">
        <v>792</v>
      </c>
      <c r="D1675">
        <v>0.20399999999999999</v>
      </c>
      <c r="F1675" t="s">
        <v>1308</v>
      </c>
      <c r="H1675" t="s">
        <v>3552</v>
      </c>
      <c r="I1675" t="s">
        <v>1892</v>
      </c>
      <c r="K1675" t="s">
        <v>5037</v>
      </c>
      <c r="L1675" t="s">
        <v>5039</v>
      </c>
    </row>
    <row r="1676" spans="1:12" x14ac:dyDescent="0.35">
      <c r="A1676" t="s">
        <v>109</v>
      </c>
      <c r="B1676" t="s">
        <v>479</v>
      </c>
      <c r="C1676" t="s">
        <v>791</v>
      </c>
      <c r="D1676">
        <v>0.26</v>
      </c>
      <c r="F1676" t="s">
        <v>1447</v>
      </c>
      <c r="I1676" t="s">
        <v>1707</v>
      </c>
      <c r="K1676" t="s">
        <v>5037</v>
      </c>
      <c r="L1676" t="s">
        <v>5039</v>
      </c>
    </row>
    <row r="1677" spans="1:12" x14ac:dyDescent="0.35">
      <c r="A1677" t="s">
        <v>109</v>
      </c>
      <c r="B1677" t="s">
        <v>479</v>
      </c>
      <c r="C1677" t="s">
        <v>793</v>
      </c>
      <c r="D1677">
        <v>3.2</v>
      </c>
      <c r="F1677" t="s">
        <v>1465</v>
      </c>
      <c r="I1677" t="s">
        <v>1707</v>
      </c>
      <c r="K1677" t="s">
        <v>5037</v>
      </c>
      <c r="L1677" t="s">
        <v>5039</v>
      </c>
    </row>
    <row r="1678" spans="1:12" x14ac:dyDescent="0.35">
      <c r="A1678" t="s">
        <v>109</v>
      </c>
      <c r="B1678" t="s">
        <v>480</v>
      </c>
      <c r="C1678" t="s">
        <v>792</v>
      </c>
      <c r="D1678">
        <v>0.26</v>
      </c>
      <c r="F1678" t="s">
        <v>1447</v>
      </c>
      <c r="H1678" t="s">
        <v>3553</v>
      </c>
      <c r="I1678" t="s">
        <v>2226</v>
      </c>
      <c r="K1678" t="s">
        <v>5037</v>
      </c>
      <c r="L1678" t="s">
        <v>5039</v>
      </c>
    </row>
    <row r="1679" spans="1:12" x14ac:dyDescent="0.35">
      <c r="A1679" t="s">
        <v>109</v>
      </c>
      <c r="B1679" t="s">
        <v>480</v>
      </c>
      <c r="C1679" t="s">
        <v>793</v>
      </c>
      <c r="D1679">
        <v>0.26</v>
      </c>
      <c r="F1679" t="s">
        <v>1447</v>
      </c>
      <c r="H1679" t="s">
        <v>3554</v>
      </c>
      <c r="I1679" t="s">
        <v>2226</v>
      </c>
      <c r="K1679" t="s">
        <v>5037</v>
      </c>
      <c r="L1679" t="s">
        <v>5039</v>
      </c>
    </row>
    <row r="1680" spans="1:12" x14ac:dyDescent="0.35">
      <c r="A1680" t="s">
        <v>109</v>
      </c>
      <c r="B1680" t="s">
        <v>480</v>
      </c>
      <c r="C1680" t="s">
        <v>793</v>
      </c>
      <c r="D1680">
        <v>0.22</v>
      </c>
      <c r="F1680" t="s">
        <v>1438</v>
      </c>
      <c r="H1680" t="s">
        <v>3555</v>
      </c>
      <c r="I1680" t="s">
        <v>2226</v>
      </c>
      <c r="K1680" t="s">
        <v>5037</v>
      </c>
      <c r="L1680" t="s">
        <v>5039</v>
      </c>
    </row>
    <row r="1681" spans="1:12" x14ac:dyDescent="0.35">
      <c r="A1681" t="s">
        <v>109</v>
      </c>
      <c r="B1681" t="s">
        <v>480</v>
      </c>
      <c r="C1681" t="s">
        <v>793</v>
      </c>
      <c r="D1681">
        <v>0.15</v>
      </c>
      <c r="F1681" t="s">
        <v>1269</v>
      </c>
      <c r="H1681" t="s">
        <v>3556</v>
      </c>
      <c r="I1681" t="s">
        <v>2226</v>
      </c>
      <c r="K1681" t="s">
        <v>5037</v>
      </c>
      <c r="L1681" t="s">
        <v>5039</v>
      </c>
    </row>
    <row r="1682" spans="1:12" x14ac:dyDescent="0.35">
      <c r="A1682" t="s">
        <v>109</v>
      </c>
      <c r="B1682" t="s">
        <v>480</v>
      </c>
      <c r="C1682" t="s">
        <v>790</v>
      </c>
      <c r="D1682">
        <v>0.91</v>
      </c>
      <c r="F1682" t="s">
        <v>1874</v>
      </c>
      <c r="H1682" t="s">
        <v>3557</v>
      </c>
      <c r="I1682" t="s">
        <v>2226</v>
      </c>
      <c r="K1682" t="s">
        <v>5037</v>
      </c>
      <c r="L1682" t="s">
        <v>5039</v>
      </c>
    </row>
    <row r="1683" spans="1:12" x14ac:dyDescent="0.35">
      <c r="A1683" t="s">
        <v>109</v>
      </c>
      <c r="B1683" t="s">
        <v>480</v>
      </c>
      <c r="C1683" t="s">
        <v>794</v>
      </c>
      <c r="D1683">
        <v>0.42</v>
      </c>
      <c r="F1683" t="s">
        <v>1629</v>
      </c>
      <c r="H1683" t="s">
        <v>3557</v>
      </c>
      <c r="I1683" t="s">
        <v>2226</v>
      </c>
      <c r="K1683" t="s">
        <v>5037</v>
      </c>
      <c r="L1683" t="s">
        <v>5039</v>
      </c>
    </row>
    <row r="1684" spans="1:12" x14ac:dyDescent="0.35">
      <c r="A1684" t="s">
        <v>109</v>
      </c>
      <c r="B1684" t="s">
        <v>481</v>
      </c>
      <c r="C1684" t="s">
        <v>789</v>
      </c>
      <c r="D1684">
        <v>3.8</v>
      </c>
      <c r="F1684" t="s">
        <v>1388</v>
      </c>
      <c r="I1684" t="s">
        <v>1518</v>
      </c>
      <c r="K1684" t="s">
        <v>5037</v>
      </c>
      <c r="L1684" t="s">
        <v>5039</v>
      </c>
    </row>
    <row r="1685" spans="1:12" x14ac:dyDescent="0.35">
      <c r="A1685" t="s">
        <v>109</v>
      </c>
      <c r="B1685" t="s">
        <v>481</v>
      </c>
      <c r="C1685" t="s">
        <v>793</v>
      </c>
      <c r="D1685">
        <v>4.9000000000000004</v>
      </c>
      <c r="F1685" t="s">
        <v>1669</v>
      </c>
      <c r="H1685" t="s">
        <v>3558</v>
      </c>
      <c r="I1685" t="s">
        <v>1518</v>
      </c>
      <c r="K1685" t="s">
        <v>5037</v>
      </c>
      <c r="L1685" t="s">
        <v>5039</v>
      </c>
    </row>
    <row r="1686" spans="1:12" x14ac:dyDescent="0.35">
      <c r="A1686" t="s">
        <v>109</v>
      </c>
      <c r="B1686" t="s">
        <v>481</v>
      </c>
      <c r="C1686" t="s">
        <v>795</v>
      </c>
      <c r="D1686">
        <v>9.6999999999999993</v>
      </c>
      <c r="F1686" t="s">
        <v>2023</v>
      </c>
      <c r="I1686" t="s">
        <v>1518</v>
      </c>
      <c r="K1686" t="s">
        <v>5037</v>
      </c>
      <c r="L1686" t="s">
        <v>5039</v>
      </c>
    </row>
    <row r="1687" spans="1:12" x14ac:dyDescent="0.35">
      <c r="A1687" t="s">
        <v>109</v>
      </c>
      <c r="B1687" t="s">
        <v>351</v>
      </c>
      <c r="C1687" t="s">
        <v>792</v>
      </c>
      <c r="D1687">
        <v>4.9000000000000002E-2</v>
      </c>
      <c r="F1687" t="s">
        <v>1452</v>
      </c>
      <c r="H1687" t="s">
        <v>3559</v>
      </c>
      <c r="I1687" t="s">
        <v>4890</v>
      </c>
      <c r="K1687" t="s">
        <v>5037</v>
      </c>
      <c r="L1687" t="s">
        <v>5039</v>
      </c>
    </row>
    <row r="1688" spans="1:12" x14ac:dyDescent="0.35">
      <c r="A1688" t="s">
        <v>109</v>
      </c>
      <c r="B1688" t="s">
        <v>351</v>
      </c>
      <c r="C1688" t="s">
        <v>792</v>
      </c>
      <c r="D1688">
        <v>2.4E-2</v>
      </c>
      <c r="F1688" t="s">
        <v>1620</v>
      </c>
      <c r="H1688" t="s">
        <v>3560</v>
      </c>
      <c r="I1688" t="s">
        <v>4890</v>
      </c>
      <c r="K1688" t="s">
        <v>5037</v>
      </c>
      <c r="L1688" t="s">
        <v>5039</v>
      </c>
    </row>
    <row r="1689" spans="1:12" x14ac:dyDescent="0.35">
      <c r="A1689" t="s">
        <v>109</v>
      </c>
      <c r="B1689" t="s">
        <v>482</v>
      </c>
      <c r="C1689" t="s">
        <v>791</v>
      </c>
      <c r="D1689">
        <v>0.111</v>
      </c>
      <c r="F1689" t="s">
        <v>2024</v>
      </c>
      <c r="I1689" t="s">
        <v>2345</v>
      </c>
      <c r="K1689" t="s">
        <v>5037</v>
      </c>
      <c r="L1689" t="s">
        <v>5039</v>
      </c>
    </row>
    <row r="1690" spans="1:12" x14ac:dyDescent="0.35">
      <c r="A1690" t="s">
        <v>109</v>
      </c>
      <c r="B1690" t="s">
        <v>482</v>
      </c>
      <c r="C1690" t="s">
        <v>792</v>
      </c>
      <c r="D1690">
        <v>3.0000000000000001E-3</v>
      </c>
      <c r="F1690" t="s">
        <v>1279</v>
      </c>
      <c r="I1690" t="s">
        <v>2345</v>
      </c>
      <c r="K1690" t="s">
        <v>5037</v>
      </c>
      <c r="L1690" t="s">
        <v>5039</v>
      </c>
    </row>
    <row r="1691" spans="1:12" x14ac:dyDescent="0.35">
      <c r="A1691" t="s">
        <v>109</v>
      </c>
      <c r="B1691" t="s">
        <v>482</v>
      </c>
      <c r="C1691" t="s">
        <v>790</v>
      </c>
      <c r="D1691">
        <v>5.8999999999999997E-2</v>
      </c>
      <c r="F1691" t="s">
        <v>1729</v>
      </c>
      <c r="I1691" t="s">
        <v>2345</v>
      </c>
      <c r="K1691" t="s">
        <v>5037</v>
      </c>
      <c r="L1691" t="s">
        <v>5039</v>
      </c>
    </row>
    <row r="1692" spans="1:12" x14ac:dyDescent="0.35">
      <c r="A1692" t="s">
        <v>109</v>
      </c>
      <c r="B1692" t="s">
        <v>482</v>
      </c>
      <c r="C1692" t="s">
        <v>793</v>
      </c>
      <c r="D1692">
        <v>0.316</v>
      </c>
      <c r="F1692" t="s">
        <v>2025</v>
      </c>
      <c r="I1692" t="s">
        <v>2345</v>
      </c>
      <c r="K1692" t="s">
        <v>5037</v>
      </c>
      <c r="L1692" t="s">
        <v>5039</v>
      </c>
    </row>
    <row r="1693" spans="1:12" x14ac:dyDescent="0.35">
      <c r="A1693" t="s">
        <v>109</v>
      </c>
      <c r="B1693" t="s">
        <v>483</v>
      </c>
      <c r="C1693" t="s">
        <v>792</v>
      </c>
      <c r="D1693">
        <v>2.2899999999999999E-3</v>
      </c>
      <c r="F1693" t="s">
        <v>2026</v>
      </c>
      <c r="I1693" t="s">
        <v>2254</v>
      </c>
      <c r="K1693" t="s">
        <v>5037</v>
      </c>
      <c r="L1693" t="s">
        <v>5039</v>
      </c>
    </row>
    <row r="1694" spans="1:12" x14ac:dyDescent="0.35">
      <c r="A1694" t="s">
        <v>109</v>
      </c>
      <c r="B1694" t="s">
        <v>483</v>
      </c>
      <c r="C1694" t="s">
        <v>790</v>
      </c>
      <c r="D1694">
        <v>0.20880000000000001</v>
      </c>
      <c r="F1694" t="s">
        <v>2027</v>
      </c>
      <c r="I1694" t="s">
        <v>2254</v>
      </c>
      <c r="K1694" t="s">
        <v>5037</v>
      </c>
      <c r="L1694" t="s">
        <v>5039</v>
      </c>
    </row>
    <row r="1695" spans="1:12" x14ac:dyDescent="0.35">
      <c r="A1695" t="s">
        <v>109</v>
      </c>
      <c r="B1695" t="s">
        <v>484</v>
      </c>
      <c r="C1695" t="s">
        <v>792</v>
      </c>
      <c r="D1695">
        <v>1.2E-2</v>
      </c>
      <c r="F1695" t="s">
        <v>1280</v>
      </c>
      <c r="H1695" t="s">
        <v>3561</v>
      </c>
      <c r="I1695" t="s">
        <v>1608</v>
      </c>
      <c r="K1695" t="s">
        <v>5037</v>
      </c>
      <c r="L1695" t="s">
        <v>5039</v>
      </c>
    </row>
    <row r="1696" spans="1:12" x14ac:dyDescent="0.35">
      <c r="A1696" t="s">
        <v>109</v>
      </c>
      <c r="B1696" t="s">
        <v>484</v>
      </c>
      <c r="C1696" t="s">
        <v>790</v>
      </c>
      <c r="D1696">
        <v>0.09</v>
      </c>
      <c r="F1696" t="s">
        <v>1310</v>
      </c>
      <c r="H1696" t="s">
        <v>3561</v>
      </c>
      <c r="I1696" t="s">
        <v>1608</v>
      </c>
      <c r="K1696" t="s">
        <v>5037</v>
      </c>
      <c r="L1696" t="s">
        <v>5039</v>
      </c>
    </row>
    <row r="1697" spans="1:12" x14ac:dyDescent="0.35">
      <c r="A1697" t="s">
        <v>109</v>
      </c>
      <c r="B1697" t="s">
        <v>484</v>
      </c>
      <c r="C1697" t="s">
        <v>794</v>
      </c>
      <c r="D1697">
        <v>0.09</v>
      </c>
      <c r="F1697" t="s">
        <v>1310</v>
      </c>
      <c r="H1697" t="s">
        <v>3561</v>
      </c>
      <c r="I1697" t="s">
        <v>1608</v>
      </c>
      <c r="K1697" t="s">
        <v>5037</v>
      </c>
      <c r="L1697" t="s">
        <v>5039</v>
      </c>
    </row>
    <row r="1698" spans="1:12" x14ac:dyDescent="0.35">
      <c r="A1698" t="s">
        <v>109</v>
      </c>
      <c r="B1698" t="s">
        <v>484</v>
      </c>
      <c r="C1698" t="s">
        <v>793</v>
      </c>
      <c r="D1698">
        <v>5.9</v>
      </c>
      <c r="F1698" t="s">
        <v>1852</v>
      </c>
      <c r="H1698" t="s">
        <v>3561</v>
      </c>
      <c r="I1698" t="s">
        <v>1608</v>
      </c>
      <c r="K1698" t="s">
        <v>5037</v>
      </c>
      <c r="L1698" t="s">
        <v>5039</v>
      </c>
    </row>
    <row r="1699" spans="1:12" x14ac:dyDescent="0.35">
      <c r="A1699" t="s">
        <v>109</v>
      </c>
      <c r="B1699" t="s">
        <v>175</v>
      </c>
      <c r="C1699" t="s">
        <v>792</v>
      </c>
      <c r="D1699">
        <v>0.31</v>
      </c>
      <c r="F1699" t="s">
        <v>1714</v>
      </c>
      <c r="H1699" t="s">
        <v>3562</v>
      </c>
      <c r="I1699" t="s">
        <v>4923</v>
      </c>
      <c r="K1699" t="s">
        <v>5037</v>
      </c>
      <c r="L1699" t="s">
        <v>5039</v>
      </c>
    </row>
    <row r="1700" spans="1:12" x14ac:dyDescent="0.35">
      <c r="A1700" t="s">
        <v>109</v>
      </c>
      <c r="B1700" t="s">
        <v>175</v>
      </c>
      <c r="C1700" t="s">
        <v>167</v>
      </c>
      <c r="D1700">
        <v>0.31</v>
      </c>
      <c r="F1700" t="s">
        <v>1714</v>
      </c>
      <c r="H1700" t="s">
        <v>3563</v>
      </c>
      <c r="I1700" t="s">
        <v>4923</v>
      </c>
      <c r="K1700" t="s">
        <v>5037</v>
      </c>
      <c r="L1700" t="s">
        <v>5039</v>
      </c>
    </row>
    <row r="1701" spans="1:12" x14ac:dyDescent="0.35">
      <c r="A1701" t="s">
        <v>109</v>
      </c>
      <c r="B1701" t="s">
        <v>175</v>
      </c>
      <c r="C1701" t="s">
        <v>792</v>
      </c>
      <c r="D1701">
        <v>0.02</v>
      </c>
      <c r="F1701" t="s">
        <v>1448</v>
      </c>
      <c r="H1701" t="s">
        <v>3564</v>
      </c>
      <c r="I1701" t="s">
        <v>4923</v>
      </c>
      <c r="K1701" t="s">
        <v>5037</v>
      </c>
      <c r="L1701" t="s">
        <v>5039</v>
      </c>
    </row>
    <row r="1702" spans="1:12" x14ac:dyDescent="0.35">
      <c r="A1702" t="s">
        <v>109</v>
      </c>
      <c r="B1702" t="s">
        <v>175</v>
      </c>
      <c r="C1702" t="s">
        <v>167</v>
      </c>
      <c r="D1702">
        <v>2.1999999999999999E-2</v>
      </c>
      <c r="F1702" t="s">
        <v>1890</v>
      </c>
      <c r="H1702" t="s">
        <v>3565</v>
      </c>
      <c r="I1702" t="s">
        <v>4923</v>
      </c>
      <c r="K1702" t="s">
        <v>5037</v>
      </c>
      <c r="L1702" t="s">
        <v>5039</v>
      </c>
    </row>
    <row r="1703" spans="1:12" x14ac:dyDescent="0.35">
      <c r="A1703" t="s">
        <v>109</v>
      </c>
      <c r="B1703" t="s">
        <v>175</v>
      </c>
      <c r="C1703" t="s">
        <v>793</v>
      </c>
      <c r="D1703">
        <v>0.3</v>
      </c>
      <c r="F1703" t="s">
        <v>1401</v>
      </c>
      <c r="H1703" t="s">
        <v>3566</v>
      </c>
      <c r="I1703" t="s">
        <v>2330</v>
      </c>
      <c r="K1703" t="s">
        <v>5037</v>
      </c>
      <c r="L1703" t="s">
        <v>5039</v>
      </c>
    </row>
    <row r="1704" spans="1:12" x14ac:dyDescent="0.35">
      <c r="A1704" t="s">
        <v>109</v>
      </c>
      <c r="B1704" t="s">
        <v>175</v>
      </c>
      <c r="C1704" t="s">
        <v>793</v>
      </c>
      <c r="D1704">
        <v>0.2</v>
      </c>
      <c r="F1704" t="s">
        <v>1371</v>
      </c>
      <c r="H1704" t="s">
        <v>3567</v>
      </c>
      <c r="I1704" t="s">
        <v>2330</v>
      </c>
      <c r="K1704" t="s">
        <v>5037</v>
      </c>
      <c r="L1704" t="s">
        <v>5039</v>
      </c>
    </row>
    <row r="1705" spans="1:12" x14ac:dyDescent="0.35">
      <c r="A1705" t="s">
        <v>109</v>
      </c>
      <c r="B1705" t="s">
        <v>175</v>
      </c>
      <c r="C1705" t="s">
        <v>793</v>
      </c>
      <c r="D1705">
        <v>0.4</v>
      </c>
      <c r="F1705" t="s">
        <v>1315</v>
      </c>
      <c r="H1705" t="s">
        <v>3568</v>
      </c>
      <c r="I1705" t="s">
        <v>2330</v>
      </c>
      <c r="K1705" t="s">
        <v>5037</v>
      </c>
      <c r="L1705" t="s">
        <v>5039</v>
      </c>
    </row>
    <row r="1706" spans="1:12" x14ac:dyDescent="0.35">
      <c r="A1706" t="s">
        <v>109</v>
      </c>
      <c r="B1706" t="s">
        <v>175</v>
      </c>
      <c r="C1706" t="s">
        <v>792</v>
      </c>
      <c r="D1706">
        <v>0.45</v>
      </c>
      <c r="F1706" t="s">
        <v>1316</v>
      </c>
      <c r="H1706" t="s">
        <v>3569</v>
      </c>
      <c r="I1706" t="s">
        <v>2330</v>
      </c>
      <c r="K1706" t="s">
        <v>5037</v>
      </c>
      <c r="L1706" t="s">
        <v>5039</v>
      </c>
    </row>
    <row r="1707" spans="1:12" x14ac:dyDescent="0.35">
      <c r="A1707" t="s">
        <v>109</v>
      </c>
      <c r="B1707" t="s">
        <v>175</v>
      </c>
      <c r="C1707" t="s">
        <v>167</v>
      </c>
      <c r="D1707">
        <v>1.33</v>
      </c>
      <c r="F1707" t="s">
        <v>1443</v>
      </c>
      <c r="I1707" t="s">
        <v>1477</v>
      </c>
      <c r="K1707" t="s">
        <v>5037</v>
      </c>
      <c r="L1707" t="s">
        <v>5039</v>
      </c>
    </row>
    <row r="1708" spans="1:12" x14ac:dyDescent="0.35">
      <c r="A1708" t="s">
        <v>109</v>
      </c>
      <c r="B1708" t="s">
        <v>175</v>
      </c>
      <c r="C1708" t="s">
        <v>792</v>
      </c>
      <c r="D1708">
        <v>0.62</v>
      </c>
      <c r="F1708" t="s">
        <v>1635</v>
      </c>
      <c r="H1708" t="s">
        <v>3570</v>
      </c>
      <c r="I1708" t="s">
        <v>2330</v>
      </c>
      <c r="K1708" t="s">
        <v>5037</v>
      </c>
      <c r="L1708" t="s">
        <v>5039</v>
      </c>
    </row>
    <row r="1709" spans="1:12" x14ac:dyDescent="0.35">
      <c r="A1709" t="s">
        <v>109</v>
      </c>
      <c r="B1709" t="s">
        <v>175</v>
      </c>
      <c r="C1709" t="s">
        <v>792</v>
      </c>
      <c r="D1709">
        <v>0.77</v>
      </c>
      <c r="F1709" t="s">
        <v>1484</v>
      </c>
      <c r="H1709" t="s">
        <v>3571</v>
      </c>
      <c r="I1709" t="s">
        <v>2330</v>
      </c>
      <c r="K1709" t="s">
        <v>5037</v>
      </c>
      <c r="L1709" t="s">
        <v>5039</v>
      </c>
    </row>
    <row r="1710" spans="1:12" x14ac:dyDescent="0.35">
      <c r="A1710" t="s">
        <v>109</v>
      </c>
      <c r="B1710" t="s">
        <v>175</v>
      </c>
      <c r="C1710" t="s">
        <v>791</v>
      </c>
      <c r="D1710">
        <v>6.0000000000000001E-3</v>
      </c>
      <c r="F1710" t="s">
        <v>1273</v>
      </c>
      <c r="I1710" t="s">
        <v>1477</v>
      </c>
      <c r="K1710" t="s">
        <v>5037</v>
      </c>
      <c r="L1710" t="s">
        <v>5039</v>
      </c>
    </row>
    <row r="1711" spans="1:12" x14ac:dyDescent="0.35">
      <c r="A1711" t="s">
        <v>109</v>
      </c>
      <c r="B1711" t="s">
        <v>175</v>
      </c>
      <c r="C1711" t="s">
        <v>796</v>
      </c>
      <c r="D1711">
        <v>2.4E-2</v>
      </c>
      <c r="F1711" t="s">
        <v>1620</v>
      </c>
      <c r="I1711" t="s">
        <v>1477</v>
      </c>
      <c r="K1711" t="s">
        <v>5037</v>
      </c>
      <c r="L1711" t="s">
        <v>5039</v>
      </c>
    </row>
    <row r="1712" spans="1:12" x14ac:dyDescent="0.35">
      <c r="A1712" t="s">
        <v>109</v>
      </c>
      <c r="B1712" t="s">
        <v>175</v>
      </c>
      <c r="C1712" t="s">
        <v>795</v>
      </c>
      <c r="D1712">
        <v>2.5999999999999999E-2</v>
      </c>
      <c r="F1712" t="s">
        <v>1737</v>
      </c>
      <c r="I1712" t="s">
        <v>1477</v>
      </c>
      <c r="K1712" t="s">
        <v>5037</v>
      </c>
      <c r="L1712" t="s">
        <v>5039</v>
      </c>
    </row>
    <row r="1713" spans="1:12" x14ac:dyDescent="0.35">
      <c r="A1713" t="s">
        <v>109</v>
      </c>
      <c r="B1713" t="s">
        <v>175</v>
      </c>
      <c r="C1713" t="s">
        <v>793</v>
      </c>
      <c r="D1713">
        <v>11.1</v>
      </c>
      <c r="F1713" t="s">
        <v>1675</v>
      </c>
      <c r="H1713" t="s">
        <v>3572</v>
      </c>
      <c r="I1713" t="s">
        <v>4869</v>
      </c>
      <c r="K1713" t="s">
        <v>5037</v>
      </c>
      <c r="L1713" t="s">
        <v>5039</v>
      </c>
    </row>
    <row r="1714" spans="1:12" x14ac:dyDescent="0.35">
      <c r="A1714" t="s">
        <v>109</v>
      </c>
      <c r="B1714" t="s">
        <v>175</v>
      </c>
      <c r="C1714" t="s">
        <v>792</v>
      </c>
      <c r="D1714">
        <v>12.6</v>
      </c>
      <c r="F1714" t="s">
        <v>2028</v>
      </c>
      <c r="H1714" t="s">
        <v>3573</v>
      </c>
      <c r="I1714" t="s">
        <v>4869</v>
      </c>
      <c r="K1714" t="s">
        <v>5037</v>
      </c>
      <c r="L1714" t="s">
        <v>5039</v>
      </c>
    </row>
    <row r="1715" spans="1:12" x14ac:dyDescent="0.35">
      <c r="A1715" t="s">
        <v>109</v>
      </c>
      <c r="B1715" t="s">
        <v>175</v>
      </c>
      <c r="C1715" t="s">
        <v>793</v>
      </c>
      <c r="D1715">
        <v>9.8699999999999992</v>
      </c>
      <c r="F1715" t="s">
        <v>2029</v>
      </c>
      <c r="H1715" t="s">
        <v>3574</v>
      </c>
      <c r="I1715" t="s">
        <v>4869</v>
      </c>
      <c r="K1715" t="s">
        <v>5037</v>
      </c>
      <c r="L1715" t="s">
        <v>5039</v>
      </c>
    </row>
    <row r="1716" spans="1:12" x14ac:dyDescent="0.35">
      <c r="A1716" t="s">
        <v>109</v>
      </c>
      <c r="B1716" t="s">
        <v>175</v>
      </c>
      <c r="C1716" t="s">
        <v>793</v>
      </c>
      <c r="D1716">
        <v>5.93</v>
      </c>
      <c r="F1716" t="s">
        <v>2030</v>
      </c>
      <c r="H1716" t="s">
        <v>3575</v>
      </c>
      <c r="I1716" t="s">
        <v>4869</v>
      </c>
      <c r="K1716" t="s">
        <v>5037</v>
      </c>
      <c r="L1716" t="s">
        <v>5039</v>
      </c>
    </row>
    <row r="1717" spans="1:12" x14ac:dyDescent="0.35">
      <c r="A1717" t="s">
        <v>109</v>
      </c>
      <c r="B1717" t="s">
        <v>175</v>
      </c>
      <c r="C1717" t="s">
        <v>792</v>
      </c>
      <c r="D1717">
        <v>8.99</v>
      </c>
      <c r="F1717" t="s">
        <v>2031</v>
      </c>
      <c r="H1717" t="s">
        <v>3576</v>
      </c>
      <c r="I1717" t="s">
        <v>4869</v>
      </c>
      <c r="K1717" t="s">
        <v>5037</v>
      </c>
      <c r="L1717" t="s">
        <v>5039</v>
      </c>
    </row>
    <row r="1718" spans="1:12" x14ac:dyDescent="0.35">
      <c r="A1718" t="s">
        <v>109</v>
      </c>
      <c r="B1718" t="s">
        <v>175</v>
      </c>
      <c r="C1718" t="s">
        <v>793</v>
      </c>
      <c r="D1718">
        <v>7.96</v>
      </c>
      <c r="F1718" t="s">
        <v>2032</v>
      </c>
      <c r="H1718" t="s">
        <v>3577</v>
      </c>
      <c r="I1718" t="s">
        <v>4869</v>
      </c>
      <c r="K1718" t="s">
        <v>5037</v>
      </c>
      <c r="L1718" t="s">
        <v>5039</v>
      </c>
    </row>
    <row r="1719" spans="1:12" x14ac:dyDescent="0.35">
      <c r="A1719" t="s">
        <v>109</v>
      </c>
      <c r="B1719" t="s">
        <v>175</v>
      </c>
      <c r="C1719" t="s">
        <v>792</v>
      </c>
      <c r="D1719">
        <v>15.88</v>
      </c>
      <c r="F1719" t="s">
        <v>2033</v>
      </c>
      <c r="H1719" t="s">
        <v>3578</v>
      </c>
      <c r="I1719" t="s">
        <v>4869</v>
      </c>
      <c r="K1719" t="s">
        <v>5037</v>
      </c>
      <c r="L1719" t="s">
        <v>5039</v>
      </c>
    </row>
    <row r="1720" spans="1:12" x14ac:dyDescent="0.35">
      <c r="A1720" t="s">
        <v>109</v>
      </c>
      <c r="B1720" t="s">
        <v>175</v>
      </c>
      <c r="C1720" t="s">
        <v>792</v>
      </c>
      <c r="D1720">
        <v>19.079999999999998</v>
      </c>
      <c r="F1720" t="s">
        <v>2034</v>
      </c>
      <c r="H1720" t="s">
        <v>3579</v>
      </c>
      <c r="I1720" t="s">
        <v>4869</v>
      </c>
      <c r="K1720" t="s">
        <v>5037</v>
      </c>
      <c r="L1720" t="s">
        <v>5039</v>
      </c>
    </row>
    <row r="1721" spans="1:12" x14ac:dyDescent="0.35">
      <c r="A1721" t="s">
        <v>109</v>
      </c>
      <c r="B1721" t="s">
        <v>328</v>
      </c>
      <c r="C1721" t="s">
        <v>797</v>
      </c>
      <c r="D1721">
        <v>3.0000000000000001E-3</v>
      </c>
      <c r="F1721" t="s">
        <v>1279</v>
      </c>
      <c r="I1721" t="s">
        <v>1943</v>
      </c>
      <c r="K1721" t="s">
        <v>5037</v>
      </c>
      <c r="L1721" t="s">
        <v>5039</v>
      </c>
    </row>
    <row r="1722" spans="1:12" x14ac:dyDescent="0.35">
      <c r="A1722" t="s">
        <v>109</v>
      </c>
      <c r="B1722" t="s">
        <v>328</v>
      </c>
      <c r="C1722" t="s">
        <v>798</v>
      </c>
      <c r="D1722">
        <v>4.0000000000000001E-3</v>
      </c>
      <c r="F1722" t="s">
        <v>1838</v>
      </c>
      <c r="I1722" t="s">
        <v>1943</v>
      </c>
      <c r="K1722" t="s">
        <v>5037</v>
      </c>
      <c r="L1722" t="s">
        <v>5039</v>
      </c>
    </row>
    <row r="1723" spans="1:12" x14ac:dyDescent="0.35">
      <c r="A1723" t="s">
        <v>109</v>
      </c>
      <c r="B1723" t="s">
        <v>328</v>
      </c>
      <c r="C1723" t="s">
        <v>799</v>
      </c>
      <c r="D1723">
        <v>1.0999999999999999E-2</v>
      </c>
      <c r="F1723" t="s">
        <v>1612</v>
      </c>
      <c r="I1723" t="s">
        <v>1943</v>
      </c>
      <c r="K1723" t="s">
        <v>5037</v>
      </c>
      <c r="L1723" t="s">
        <v>5039</v>
      </c>
    </row>
    <row r="1724" spans="1:12" x14ac:dyDescent="0.35">
      <c r="A1724" t="s">
        <v>109</v>
      </c>
      <c r="B1724" t="s">
        <v>328</v>
      </c>
      <c r="C1724" t="s">
        <v>793</v>
      </c>
      <c r="D1724">
        <v>3.3000000000000002E-2</v>
      </c>
      <c r="F1724" t="s">
        <v>1340</v>
      </c>
      <c r="H1724" t="s">
        <v>3580</v>
      </c>
      <c r="I1724" t="s">
        <v>4884</v>
      </c>
      <c r="K1724" t="s">
        <v>5037</v>
      </c>
      <c r="L1724" t="s">
        <v>5039</v>
      </c>
    </row>
    <row r="1725" spans="1:12" x14ac:dyDescent="0.35">
      <c r="A1725" t="s">
        <v>109</v>
      </c>
      <c r="B1725" t="s">
        <v>328</v>
      </c>
      <c r="C1725" t="s">
        <v>792</v>
      </c>
      <c r="D1725">
        <v>0.20799999999999999</v>
      </c>
      <c r="F1725" t="s">
        <v>2035</v>
      </c>
      <c r="H1725" t="s">
        <v>3580</v>
      </c>
      <c r="I1725" t="s">
        <v>4884</v>
      </c>
      <c r="K1725" t="s">
        <v>5037</v>
      </c>
      <c r="L1725" t="s">
        <v>5039</v>
      </c>
    </row>
    <row r="1726" spans="1:12" x14ac:dyDescent="0.35">
      <c r="A1726" t="s">
        <v>109</v>
      </c>
      <c r="B1726" t="s">
        <v>328</v>
      </c>
      <c r="C1726" t="s">
        <v>791</v>
      </c>
      <c r="D1726">
        <v>0.14399999999999999</v>
      </c>
      <c r="F1726" t="s">
        <v>2036</v>
      </c>
      <c r="I1726" t="s">
        <v>1533</v>
      </c>
      <c r="K1726" t="s">
        <v>5037</v>
      </c>
      <c r="L1726" t="s">
        <v>5039</v>
      </c>
    </row>
    <row r="1727" spans="1:12" x14ac:dyDescent="0.35">
      <c r="A1727" t="s">
        <v>109</v>
      </c>
      <c r="B1727" t="s">
        <v>485</v>
      </c>
      <c r="C1727" t="s">
        <v>167</v>
      </c>
      <c r="D1727">
        <v>1.73</v>
      </c>
      <c r="F1727" t="s">
        <v>1914</v>
      </c>
      <c r="H1727" t="s">
        <v>3581</v>
      </c>
      <c r="I1727" t="s">
        <v>4924</v>
      </c>
      <c r="K1727" t="s">
        <v>5037</v>
      </c>
      <c r="L1727" t="s">
        <v>5039</v>
      </c>
    </row>
    <row r="1728" spans="1:12" x14ac:dyDescent="0.35">
      <c r="A1728" t="s">
        <v>109</v>
      </c>
      <c r="B1728" t="s">
        <v>485</v>
      </c>
      <c r="C1728" t="s">
        <v>792</v>
      </c>
      <c r="D1728">
        <v>2.46</v>
      </c>
      <c r="F1728" t="s">
        <v>1864</v>
      </c>
      <c r="H1728" t="s">
        <v>3581</v>
      </c>
      <c r="I1728" t="s">
        <v>4924</v>
      </c>
      <c r="K1728" t="s">
        <v>5037</v>
      </c>
      <c r="L1728" t="s">
        <v>5039</v>
      </c>
    </row>
    <row r="1729" spans="1:12" x14ac:dyDescent="0.35">
      <c r="A1729" t="s">
        <v>109</v>
      </c>
      <c r="B1729" t="s">
        <v>317</v>
      </c>
      <c r="C1729" t="s">
        <v>792</v>
      </c>
      <c r="D1729">
        <v>4.3</v>
      </c>
      <c r="F1729" t="s">
        <v>1674</v>
      </c>
      <c r="H1729" t="s">
        <v>3582</v>
      </c>
      <c r="I1729" t="s">
        <v>4894</v>
      </c>
      <c r="K1729" t="s">
        <v>5037</v>
      </c>
      <c r="L1729" t="s">
        <v>5039</v>
      </c>
    </row>
    <row r="1730" spans="1:12" x14ac:dyDescent="0.35">
      <c r="A1730" t="s">
        <v>109</v>
      </c>
      <c r="B1730" t="s">
        <v>317</v>
      </c>
      <c r="C1730" t="s">
        <v>793</v>
      </c>
      <c r="D1730">
        <v>2.1</v>
      </c>
      <c r="F1730" t="s">
        <v>1399</v>
      </c>
      <c r="H1730" t="s">
        <v>3583</v>
      </c>
      <c r="I1730" t="s">
        <v>4894</v>
      </c>
      <c r="K1730" t="s">
        <v>5037</v>
      </c>
      <c r="L1730" t="s">
        <v>5039</v>
      </c>
    </row>
    <row r="1731" spans="1:12" x14ac:dyDescent="0.35">
      <c r="A1731" t="s">
        <v>109</v>
      </c>
      <c r="B1731" t="s">
        <v>317</v>
      </c>
      <c r="C1731" t="s">
        <v>793</v>
      </c>
      <c r="D1731">
        <v>2.6</v>
      </c>
      <c r="F1731" t="s">
        <v>1428</v>
      </c>
      <c r="H1731" t="s">
        <v>3584</v>
      </c>
      <c r="I1731" t="s">
        <v>4894</v>
      </c>
      <c r="K1731" t="s">
        <v>5037</v>
      </c>
      <c r="L1731" t="s">
        <v>5039</v>
      </c>
    </row>
    <row r="1732" spans="1:12" x14ac:dyDescent="0.35">
      <c r="A1732" t="s">
        <v>109</v>
      </c>
      <c r="B1732" t="s">
        <v>317</v>
      </c>
      <c r="C1732" t="s">
        <v>790</v>
      </c>
      <c r="D1732">
        <v>7.9</v>
      </c>
      <c r="F1732" t="s">
        <v>1676</v>
      </c>
      <c r="H1732" t="s">
        <v>3582</v>
      </c>
      <c r="I1732" t="s">
        <v>4894</v>
      </c>
      <c r="K1732" t="s">
        <v>5037</v>
      </c>
      <c r="L1732" t="s">
        <v>5039</v>
      </c>
    </row>
    <row r="1733" spans="1:12" x14ac:dyDescent="0.35">
      <c r="A1733" t="s">
        <v>109</v>
      </c>
      <c r="B1733" t="s">
        <v>317</v>
      </c>
      <c r="C1733" t="s">
        <v>791</v>
      </c>
      <c r="D1733">
        <v>7.8</v>
      </c>
      <c r="F1733" t="s">
        <v>1716</v>
      </c>
      <c r="H1733" t="s">
        <v>3582</v>
      </c>
      <c r="I1733" t="s">
        <v>4894</v>
      </c>
      <c r="K1733" t="s">
        <v>5037</v>
      </c>
      <c r="L1733" t="s">
        <v>5039</v>
      </c>
    </row>
    <row r="1734" spans="1:12" x14ac:dyDescent="0.35">
      <c r="A1734" t="s">
        <v>109</v>
      </c>
      <c r="B1734" t="s">
        <v>317</v>
      </c>
      <c r="C1734" t="s">
        <v>793</v>
      </c>
      <c r="D1734">
        <v>5.5</v>
      </c>
      <c r="F1734" t="s">
        <v>1860</v>
      </c>
      <c r="H1734" t="s">
        <v>3585</v>
      </c>
      <c r="I1734" t="s">
        <v>4894</v>
      </c>
      <c r="K1734" t="s">
        <v>5037</v>
      </c>
      <c r="L1734" t="s">
        <v>5039</v>
      </c>
    </row>
    <row r="1735" spans="1:12" x14ac:dyDescent="0.35">
      <c r="A1735" t="s">
        <v>111</v>
      </c>
      <c r="B1735" t="s">
        <v>332</v>
      </c>
      <c r="C1735" t="s">
        <v>800</v>
      </c>
      <c r="D1735">
        <v>0.18</v>
      </c>
      <c r="F1735" t="s">
        <v>1531</v>
      </c>
      <c r="I1735" t="s">
        <v>1968</v>
      </c>
      <c r="K1735" t="s">
        <v>5037</v>
      </c>
      <c r="L1735" t="s">
        <v>5039</v>
      </c>
    </row>
    <row r="1736" spans="1:12" x14ac:dyDescent="0.35">
      <c r="A1736" t="s">
        <v>111</v>
      </c>
      <c r="B1736" t="s">
        <v>332</v>
      </c>
      <c r="C1736" t="s">
        <v>801</v>
      </c>
      <c r="D1736">
        <v>1.7</v>
      </c>
      <c r="F1736" t="s">
        <v>1416</v>
      </c>
      <c r="I1736" t="s">
        <v>1968</v>
      </c>
      <c r="K1736" t="s">
        <v>5037</v>
      </c>
      <c r="L1736" t="s">
        <v>5039</v>
      </c>
    </row>
    <row r="1737" spans="1:12" x14ac:dyDescent="0.35">
      <c r="A1737" t="s">
        <v>111</v>
      </c>
      <c r="B1737" t="s">
        <v>332</v>
      </c>
      <c r="C1737" t="s">
        <v>802</v>
      </c>
      <c r="D1737">
        <v>0.9</v>
      </c>
      <c r="F1737" t="s">
        <v>1556</v>
      </c>
      <c r="I1737" t="s">
        <v>1968</v>
      </c>
      <c r="K1737" t="s">
        <v>5037</v>
      </c>
      <c r="L1737" t="s">
        <v>5039</v>
      </c>
    </row>
    <row r="1738" spans="1:12" x14ac:dyDescent="0.35">
      <c r="A1738" t="s">
        <v>111</v>
      </c>
      <c r="B1738" t="s">
        <v>332</v>
      </c>
      <c r="C1738" t="s">
        <v>803</v>
      </c>
      <c r="D1738">
        <v>1.8</v>
      </c>
      <c r="F1738" t="s">
        <v>1375</v>
      </c>
      <c r="I1738" t="s">
        <v>1968</v>
      </c>
      <c r="K1738" t="s">
        <v>5037</v>
      </c>
      <c r="L1738" t="s">
        <v>5039</v>
      </c>
    </row>
    <row r="1739" spans="1:12" x14ac:dyDescent="0.35">
      <c r="A1739" t="s">
        <v>111</v>
      </c>
      <c r="B1739" t="s">
        <v>332</v>
      </c>
      <c r="C1739" t="s">
        <v>800</v>
      </c>
      <c r="D1739">
        <v>0.32</v>
      </c>
      <c r="F1739" t="s">
        <v>1470</v>
      </c>
      <c r="I1739" t="s">
        <v>1458</v>
      </c>
      <c r="K1739" t="s">
        <v>5037</v>
      </c>
      <c r="L1739" t="s">
        <v>5039</v>
      </c>
    </row>
    <row r="1740" spans="1:12" x14ac:dyDescent="0.35">
      <c r="A1740" t="s">
        <v>111</v>
      </c>
      <c r="B1740" t="s">
        <v>332</v>
      </c>
      <c r="C1740" t="s">
        <v>804</v>
      </c>
      <c r="D1740">
        <v>0.54</v>
      </c>
      <c r="F1740" t="s">
        <v>1748</v>
      </c>
      <c r="I1740" t="s">
        <v>1458</v>
      </c>
      <c r="K1740" t="s">
        <v>5037</v>
      </c>
      <c r="L1740" t="s">
        <v>5039</v>
      </c>
    </row>
    <row r="1741" spans="1:12" x14ac:dyDescent="0.35">
      <c r="A1741" t="s">
        <v>111</v>
      </c>
      <c r="B1741" t="s">
        <v>332</v>
      </c>
      <c r="C1741" t="s">
        <v>805</v>
      </c>
      <c r="D1741">
        <v>3</v>
      </c>
      <c r="F1741" t="s">
        <v>1368</v>
      </c>
      <c r="H1741" t="s">
        <v>3586</v>
      </c>
      <c r="I1741" t="s">
        <v>2345</v>
      </c>
      <c r="K1741" t="s">
        <v>5037</v>
      </c>
      <c r="L1741" t="s">
        <v>5039</v>
      </c>
    </row>
    <row r="1742" spans="1:12" x14ac:dyDescent="0.35">
      <c r="A1742" t="s">
        <v>111</v>
      </c>
      <c r="B1742" t="s">
        <v>332</v>
      </c>
      <c r="C1742" t="s">
        <v>806</v>
      </c>
      <c r="D1742">
        <v>0.33</v>
      </c>
      <c r="F1742" t="s">
        <v>1397</v>
      </c>
      <c r="I1742" t="s">
        <v>1968</v>
      </c>
      <c r="K1742" t="s">
        <v>5037</v>
      </c>
      <c r="L1742" t="s">
        <v>5039</v>
      </c>
    </row>
    <row r="1743" spans="1:12" x14ac:dyDescent="0.35">
      <c r="A1743" t="s">
        <v>111</v>
      </c>
      <c r="B1743" t="s">
        <v>332</v>
      </c>
      <c r="C1743" t="s">
        <v>807</v>
      </c>
      <c r="D1743">
        <v>0.59</v>
      </c>
      <c r="F1743" t="s">
        <v>1483</v>
      </c>
      <c r="I1743" t="s">
        <v>1968</v>
      </c>
      <c r="K1743" t="s">
        <v>5037</v>
      </c>
      <c r="L1743" t="s">
        <v>5039</v>
      </c>
    </row>
    <row r="1744" spans="1:12" x14ac:dyDescent="0.35">
      <c r="A1744" t="s">
        <v>111</v>
      </c>
      <c r="B1744" t="s">
        <v>332</v>
      </c>
      <c r="C1744" t="s">
        <v>720</v>
      </c>
      <c r="D1744">
        <v>6.0000000000000001E-3</v>
      </c>
      <c r="F1744" t="s">
        <v>1273</v>
      </c>
      <c r="I1744" t="s">
        <v>1968</v>
      </c>
      <c r="K1744" t="s">
        <v>5037</v>
      </c>
      <c r="L1744" t="s">
        <v>5039</v>
      </c>
    </row>
    <row r="1745" spans="1:12" x14ac:dyDescent="0.35">
      <c r="A1745" t="s">
        <v>111</v>
      </c>
      <c r="B1745" t="s">
        <v>332</v>
      </c>
      <c r="C1745" t="s">
        <v>806</v>
      </c>
      <c r="D1745">
        <v>0.63</v>
      </c>
      <c r="F1745" t="s">
        <v>1931</v>
      </c>
      <c r="I1745" t="s">
        <v>1968</v>
      </c>
      <c r="K1745" t="s">
        <v>5037</v>
      </c>
      <c r="L1745" t="s">
        <v>5039</v>
      </c>
    </row>
    <row r="1746" spans="1:12" x14ac:dyDescent="0.35">
      <c r="A1746" t="s">
        <v>111</v>
      </c>
      <c r="B1746" t="s">
        <v>332</v>
      </c>
      <c r="C1746" t="s">
        <v>808</v>
      </c>
      <c r="D1746">
        <v>1.1299999999999999</v>
      </c>
      <c r="F1746" t="s">
        <v>2013</v>
      </c>
      <c r="I1746" t="s">
        <v>1458</v>
      </c>
      <c r="K1746" t="s">
        <v>5037</v>
      </c>
      <c r="L1746" t="s">
        <v>5039</v>
      </c>
    </row>
    <row r="1747" spans="1:12" x14ac:dyDescent="0.35">
      <c r="A1747" t="s">
        <v>111</v>
      </c>
      <c r="B1747" t="s">
        <v>332</v>
      </c>
      <c r="C1747" t="s">
        <v>809</v>
      </c>
      <c r="D1747">
        <v>0.52</v>
      </c>
      <c r="F1747" t="s">
        <v>2037</v>
      </c>
      <c r="H1747" t="s">
        <v>3586</v>
      </c>
      <c r="I1747" t="s">
        <v>2345</v>
      </c>
      <c r="K1747" t="s">
        <v>5037</v>
      </c>
      <c r="L1747" t="s">
        <v>5039</v>
      </c>
    </row>
    <row r="1748" spans="1:12" x14ac:dyDescent="0.35">
      <c r="A1748" t="s">
        <v>111</v>
      </c>
      <c r="B1748" t="s">
        <v>332</v>
      </c>
      <c r="C1748" t="s">
        <v>810</v>
      </c>
      <c r="D1748">
        <v>0.56999999999999995</v>
      </c>
      <c r="F1748" t="s">
        <v>1711</v>
      </c>
      <c r="I1748" t="s">
        <v>1458</v>
      </c>
      <c r="K1748" t="s">
        <v>5037</v>
      </c>
      <c r="L1748" t="s">
        <v>5039</v>
      </c>
    </row>
    <row r="1749" spans="1:12" x14ac:dyDescent="0.35">
      <c r="A1749" t="s">
        <v>111</v>
      </c>
      <c r="B1749" t="s">
        <v>332</v>
      </c>
      <c r="C1749" t="s">
        <v>811</v>
      </c>
      <c r="D1749">
        <v>0.92</v>
      </c>
      <c r="F1749" t="s">
        <v>1491</v>
      </c>
      <c r="H1749" t="s">
        <v>3586</v>
      </c>
      <c r="I1749" t="s">
        <v>2345</v>
      </c>
      <c r="K1749" t="s">
        <v>5037</v>
      </c>
      <c r="L1749" t="s">
        <v>5039</v>
      </c>
    </row>
    <row r="1750" spans="1:12" x14ac:dyDescent="0.35">
      <c r="A1750" t="s">
        <v>111</v>
      </c>
      <c r="B1750" t="s">
        <v>332</v>
      </c>
      <c r="C1750" t="s">
        <v>812</v>
      </c>
      <c r="D1750">
        <v>1.55</v>
      </c>
      <c r="F1750" t="s">
        <v>1726</v>
      </c>
      <c r="I1750" t="s">
        <v>1968</v>
      </c>
      <c r="K1750" t="s">
        <v>5037</v>
      </c>
      <c r="L1750" t="s">
        <v>5039</v>
      </c>
    </row>
    <row r="1751" spans="1:12" x14ac:dyDescent="0.35">
      <c r="A1751" t="s">
        <v>111</v>
      </c>
      <c r="B1751" t="s">
        <v>332</v>
      </c>
      <c r="C1751" t="s">
        <v>813</v>
      </c>
      <c r="D1751">
        <v>1.44</v>
      </c>
      <c r="F1751" t="s">
        <v>1718</v>
      </c>
      <c r="H1751" t="s">
        <v>3586</v>
      </c>
      <c r="I1751" t="s">
        <v>2345</v>
      </c>
      <c r="K1751" t="s">
        <v>5037</v>
      </c>
      <c r="L1751" t="s">
        <v>5039</v>
      </c>
    </row>
    <row r="1752" spans="1:12" x14ac:dyDescent="0.35">
      <c r="A1752" t="s">
        <v>111</v>
      </c>
      <c r="B1752" t="s">
        <v>335</v>
      </c>
      <c r="C1752" t="s">
        <v>814</v>
      </c>
      <c r="D1752">
        <v>8.0000000000000002E-3</v>
      </c>
      <c r="F1752" t="s">
        <v>1801</v>
      </c>
      <c r="H1752" t="s">
        <v>3587</v>
      </c>
      <c r="I1752" t="s">
        <v>4861</v>
      </c>
      <c r="K1752" t="s">
        <v>5037</v>
      </c>
      <c r="L1752" t="s">
        <v>5039</v>
      </c>
    </row>
    <row r="1753" spans="1:12" x14ac:dyDescent="0.35">
      <c r="A1753" t="s">
        <v>111</v>
      </c>
      <c r="B1753" t="s">
        <v>335</v>
      </c>
      <c r="C1753" t="s">
        <v>815</v>
      </c>
      <c r="D1753">
        <v>1.7999999999999999E-2</v>
      </c>
      <c r="F1753" t="s">
        <v>1611</v>
      </c>
      <c r="H1753" t="s">
        <v>3587</v>
      </c>
      <c r="I1753" t="s">
        <v>4861</v>
      </c>
      <c r="K1753" t="s">
        <v>5037</v>
      </c>
      <c r="L1753" t="s">
        <v>5039</v>
      </c>
    </row>
    <row r="1754" spans="1:12" x14ac:dyDescent="0.35">
      <c r="A1754" t="s">
        <v>111</v>
      </c>
      <c r="B1754" t="s">
        <v>335</v>
      </c>
      <c r="C1754" t="s">
        <v>816</v>
      </c>
      <c r="D1754">
        <v>0.02</v>
      </c>
      <c r="F1754" t="s">
        <v>1448</v>
      </c>
      <c r="H1754" t="s">
        <v>3587</v>
      </c>
      <c r="I1754" t="s">
        <v>4861</v>
      </c>
      <c r="K1754" t="s">
        <v>5037</v>
      </c>
      <c r="L1754" t="s">
        <v>5039</v>
      </c>
    </row>
    <row r="1755" spans="1:12" x14ac:dyDescent="0.35">
      <c r="A1755" t="s">
        <v>111</v>
      </c>
      <c r="B1755" t="s">
        <v>335</v>
      </c>
      <c r="C1755" t="s">
        <v>817</v>
      </c>
      <c r="D1755">
        <v>0.4</v>
      </c>
      <c r="F1755" t="s">
        <v>1315</v>
      </c>
      <c r="H1755" t="s">
        <v>3587</v>
      </c>
      <c r="I1755" t="s">
        <v>4861</v>
      </c>
      <c r="K1755" t="s">
        <v>5037</v>
      </c>
      <c r="L1755" t="s">
        <v>5039</v>
      </c>
    </row>
    <row r="1756" spans="1:12" x14ac:dyDescent="0.35">
      <c r="A1756" t="s">
        <v>111</v>
      </c>
      <c r="B1756" t="s">
        <v>335</v>
      </c>
      <c r="C1756" t="s">
        <v>818</v>
      </c>
      <c r="D1756">
        <v>8.9999999999999993E-3</v>
      </c>
      <c r="F1756" t="s">
        <v>1546</v>
      </c>
      <c r="H1756" t="s">
        <v>3588</v>
      </c>
      <c r="I1756" t="s">
        <v>4861</v>
      </c>
      <c r="K1756" t="s">
        <v>5037</v>
      </c>
      <c r="L1756" t="s">
        <v>5039</v>
      </c>
    </row>
    <row r="1757" spans="1:12" x14ac:dyDescent="0.35">
      <c r="A1757" t="s">
        <v>111</v>
      </c>
      <c r="B1757" t="s">
        <v>335</v>
      </c>
      <c r="C1757" t="s">
        <v>819</v>
      </c>
      <c r="D1757">
        <v>8.9999999999999993E-3</v>
      </c>
      <c r="F1757" t="s">
        <v>1546</v>
      </c>
      <c r="H1757" t="s">
        <v>3587</v>
      </c>
      <c r="I1757" t="s">
        <v>4861</v>
      </c>
      <c r="K1757" t="s">
        <v>5037</v>
      </c>
      <c r="L1757" t="s">
        <v>5039</v>
      </c>
    </row>
    <row r="1758" spans="1:12" x14ac:dyDescent="0.35">
      <c r="A1758" t="s">
        <v>111</v>
      </c>
      <c r="B1758" t="s">
        <v>335</v>
      </c>
      <c r="C1758" t="s">
        <v>820</v>
      </c>
      <c r="D1758">
        <v>2.9000000000000001E-2</v>
      </c>
      <c r="F1758" t="s">
        <v>2038</v>
      </c>
      <c r="H1758" t="s">
        <v>3587</v>
      </c>
      <c r="I1758" t="s">
        <v>4861</v>
      </c>
      <c r="K1758" t="s">
        <v>5037</v>
      </c>
      <c r="L1758" t="s">
        <v>5039</v>
      </c>
    </row>
    <row r="1759" spans="1:12" x14ac:dyDescent="0.35">
      <c r="A1759" t="s">
        <v>111</v>
      </c>
      <c r="B1759" t="s">
        <v>335</v>
      </c>
      <c r="C1759" t="s">
        <v>821</v>
      </c>
      <c r="D1759">
        <v>0.22</v>
      </c>
      <c r="F1759" t="s">
        <v>1438</v>
      </c>
      <c r="H1759" t="s">
        <v>3587</v>
      </c>
      <c r="I1759" t="s">
        <v>4861</v>
      </c>
      <c r="K1759" t="s">
        <v>5037</v>
      </c>
      <c r="L1759" t="s">
        <v>5039</v>
      </c>
    </row>
    <row r="1760" spans="1:12" x14ac:dyDescent="0.35">
      <c r="A1760" t="s">
        <v>111</v>
      </c>
      <c r="B1760" t="s">
        <v>335</v>
      </c>
      <c r="C1760" t="s">
        <v>822</v>
      </c>
      <c r="D1760">
        <v>0.01</v>
      </c>
      <c r="F1760" t="s">
        <v>1376</v>
      </c>
      <c r="H1760" t="s">
        <v>3587</v>
      </c>
      <c r="I1760" t="s">
        <v>4861</v>
      </c>
      <c r="K1760" t="s">
        <v>5037</v>
      </c>
      <c r="L1760" t="s">
        <v>5039</v>
      </c>
    </row>
    <row r="1761" spans="1:12" x14ac:dyDescent="0.35">
      <c r="A1761" t="s">
        <v>111</v>
      </c>
      <c r="B1761" t="s">
        <v>335</v>
      </c>
      <c r="C1761" t="s">
        <v>823</v>
      </c>
      <c r="D1761">
        <v>8.5999999999999993E-2</v>
      </c>
      <c r="F1761" t="s">
        <v>1582</v>
      </c>
      <c r="H1761" t="s">
        <v>3588</v>
      </c>
      <c r="I1761" t="s">
        <v>4861</v>
      </c>
      <c r="K1761" t="s">
        <v>5037</v>
      </c>
      <c r="L1761" t="s">
        <v>5039</v>
      </c>
    </row>
    <row r="1762" spans="1:12" x14ac:dyDescent="0.35">
      <c r="A1762" t="s">
        <v>111</v>
      </c>
      <c r="B1762" t="s">
        <v>335</v>
      </c>
      <c r="C1762" t="s">
        <v>824</v>
      </c>
      <c r="D1762">
        <v>2.8000000000000001E-2</v>
      </c>
      <c r="F1762" t="s">
        <v>2039</v>
      </c>
      <c r="H1762" t="s">
        <v>3588</v>
      </c>
      <c r="I1762" t="s">
        <v>4861</v>
      </c>
      <c r="K1762" t="s">
        <v>5037</v>
      </c>
      <c r="L1762" t="s">
        <v>5039</v>
      </c>
    </row>
    <row r="1763" spans="1:12" x14ac:dyDescent="0.35">
      <c r="A1763" t="s">
        <v>111</v>
      </c>
      <c r="B1763" t="s">
        <v>335</v>
      </c>
      <c r="C1763" t="s">
        <v>825</v>
      </c>
      <c r="D1763">
        <v>1.0999999999999999E-2</v>
      </c>
      <c r="F1763" t="s">
        <v>1612</v>
      </c>
      <c r="H1763" t="s">
        <v>3587</v>
      </c>
      <c r="I1763" t="s">
        <v>4861</v>
      </c>
      <c r="K1763" t="s">
        <v>5037</v>
      </c>
      <c r="L1763" t="s">
        <v>5039</v>
      </c>
    </row>
    <row r="1764" spans="1:12" x14ac:dyDescent="0.35">
      <c r="A1764" t="s">
        <v>111</v>
      </c>
      <c r="B1764" t="s">
        <v>335</v>
      </c>
      <c r="C1764" t="s">
        <v>826</v>
      </c>
      <c r="D1764">
        <v>0.62</v>
      </c>
      <c r="F1764" t="s">
        <v>1635</v>
      </c>
      <c r="H1764" t="s">
        <v>3587</v>
      </c>
      <c r="I1764" t="s">
        <v>4861</v>
      </c>
      <c r="K1764" t="s">
        <v>5037</v>
      </c>
      <c r="L1764" t="s">
        <v>5039</v>
      </c>
    </row>
    <row r="1765" spans="1:12" x14ac:dyDescent="0.35">
      <c r="A1765" t="s">
        <v>111</v>
      </c>
      <c r="B1765" t="s">
        <v>335</v>
      </c>
      <c r="C1765" t="s">
        <v>827</v>
      </c>
      <c r="D1765">
        <v>3.5999999999999997E-2</v>
      </c>
      <c r="F1765" t="s">
        <v>1837</v>
      </c>
      <c r="H1765" t="s">
        <v>3588</v>
      </c>
      <c r="I1765" t="s">
        <v>4861</v>
      </c>
      <c r="K1765" t="s">
        <v>5037</v>
      </c>
      <c r="L1765" t="s">
        <v>5039</v>
      </c>
    </row>
    <row r="1766" spans="1:12" x14ac:dyDescent="0.35">
      <c r="A1766" t="s">
        <v>111</v>
      </c>
      <c r="B1766" t="s">
        <v>335</v>
      </c>
      <c r="C1766" t="s">
        <v>800</v>
      </c>
      <c r="D1766">
        <v>6.0999999999999999E-2</v>
      </c>
      <c r="F1766" t="s">
        <v>1646</v>
      </c>
      <c r="H1766" t="s">
        <v>3587</v>
      </c>
      <c r="I1766" t="s">
        <v>4861</v>
      </c>
      <c r="K1766" t="s">
        <v>5037</v>
      </c>
      <c r="L1766" t="s">
        <v>5039</v>
      </c>
    </row>
    <row r="1767" spans="1:12" x14ac:dyDescent="0.35">
      <c r="A1767" t="s">
        <v>111</v>
      </c>
      <c r="B1767" t="s">
        <v>335</v>
      </c>
      <c r="C1767" t="s">
        <v>828</v>
      </c>
      <c r="D1767">
        <v>3.9</v>
      </c>
      <c r="F1767" t="s">
        <v>1410</v>
      </c>
      <c r="H1767" t="s">
        <v>3587</v>
      </c>
      <c r="I1767" t="s">
        <v>4861</v>
      </c>
      <c r="K1767" t="s">
        <v>5037</v>
      </c>
      <c r="L1767" t="s">
        <v>5039</v>
      </c>
    </row>
    <row r="1768" spans="1:12" x14ac:dyDescent="0.35">
      <c r="A1768" t="s">
        <v>111</v>
      </c>
      <c r="B1768" t="s">
        <v>335</v>
      </c>
      <c r="C1768" t="s">
        <v>829</v>
      </c>
      <c r="D1768">
        <v>4.7E-2</v>
      </c>
      <c r="F1768" t="s">
        <v>1615</v>
      </c>
      <c r="H1768" t="s">
        <v>3588</v>
      </c>
      <c r="I1768" t="s">
        <v>4861</v>
      </c>
      <c r="K1768" t="s">
        <v>5037</v>
      </c>
      <c r="L1768" t="s">
        <v>5039</v>
      </c>
    </row>
    <row r="1769" spans="1:12" x14ac:dyDescent="0.35">
      <c r="A1769" t="s">
        <v>111</v>
      </c>
      <c r="B1769" t="s">
        <v>335</v>
      </c>
      <c r="C1769" t="s">
        <v>829</v>
      </c>
      <c r="D1769">
        <v>6.4000000000000001E-2</v>
      </c>
      <c r="F1769" t="s">
        <v>1827</v>
      </c>
      <c r="H1769" t="s">
        <v>3587</v>
      </c>
      <c r="I1769" t="s">
        <v>4861</v>
      </c>
      <c r="K1769" t="s">
        <v>5037</v>
      </c>
      <c r="L1769" t="s">
        <v>5039</v>
      </c>
    </row>
    <row r="1770" spans="1:12" x14ac:dyDescent="0.35">
      <c r="A1770" t="s">
        <v>111</v>
      </c>
      <c r="B1770" t="s">
        <v>335</v>
      </c>
      <c r="C1770" t="s">
        <v>830</v>
      </c>
      <c r="D1770">
        <v>4.3999999999999997E-2</v>
      </c>
      <c r="F1770" t="s">
        <v>1429</v>
      </c>
      <c r="H1770" t="s">
        <v>3587</v>
      </c>
      <c r="I1770" t="s">
        <v>4861</v>
      </c>
      <c r="K1770" t="s">
        <v>5037</v>
      </c>
      <c r="L1770" t="s">
        <v>5039</v>
      </c>
    </row>
    <row r="1771" spans="1:12" x14ac:dyDescent="0.35">
      <c r="A1771" t="s">
        <v>111</v>
      </c>
      <c r="B1771" t="s">
        <v>335</v>
      </c>
      <c r="C1771" t="s">
        <v>831</v>
      </c>
      <c r="D1771">
        <v>8.6999999999999994E-2</v>
      </c>
      <c r="F1771" t="s">
        <v>1463</v>
      </c>
      <c r="H1771" t="s">
        <v>3588</v>
      </c>
      <c r="I1771" t="s">
        <v>4861</v>
      </c>
      <c r="K1771" t="s">
        <v>5037</v>
      </c>
      <c r="L1771" t="s">
        <v>5039</v>
      </c>
    </row>
    <row r="1772" spans="1:12" x14ac:dyDescent="0.35">
      <c r="A1772" t="s">
        <v>111</v>
      </c>
      <c r="B1772" t="s">
        <v>335</v>
      </c>
      <c r="C1772" t="s">
        <v>827</v>
      </c>
      <c r="D1772">
        <v>9.9000000000000005E-2</v>
      </c>
      <c r="F1772" t="s">
        <v>2005</v>
      </c>
      <c r="H1772" t="s">
        <v>3587</v>
      </c>
      <c r="I1772" t="s">
        <v>4861</v>
      </c>
      <c r="K1772" t="s">
        <v>5037</v>
      </c>
      <c r="L1772" t="s">
        <v>5039</v>
      </c>
    </row>
    <row r="1773" spans="1:12" x14ac:dyDescent="0.35">
      <c r="A1773" t="s">
        <v>111</v>
      </c>
      <c r="B1773" t="s">
        <v>486</v>
      </c>
      <c r="C1773" t="s">
        <v>832</v>
      </c>
      <c r="D1773">
        <v>1.85</v>
      </c>
      <c r="F1773" t="s">
        <v>1998</v>
      </c>
      <c r="H1773" t="s">
        <v>3589</v>
      </c>
      <c r="I1773" t="s">
        <v>2620</v>
      </c>
      <c r="K1773" t="s">
        <v>5037</v>
      </c>
      <c r="L1773" t="s">
        <v>5039</v>
      </c>
    </row>
    <row r="1774" spans="1:12" x14ac:dyDescent="0.35">
      <c r="A1774" t="s">
        <v>111</v>
      </c>
      <c r="B1774" t="s">
        <v>459</v>
      </c>
      <c r="C1774" t="s">
        <v>833</v>
      </c>
      <c r="D1774">
        <v>1.3</v>
      </c>
      <c r="F1774" t="s">
        <v>1358</v>
      </c>
      <c r="H1774" t="s">
        <v>3590</v>
      </c>
      <c r="I1774" t="s">
        <v>4884</v>
      </c>
      <c r="K1774" t="s">
        <v>5037</v>
      </c>
      <c r="L1774" t="s">
        <v>5039</v>
      </c>
    </row>
    <row r="1775" spans="1:12" x14ac:dyDescent="0.35">
      <c r="A1775" t="s">
        <v>111</v>
      </c>
      <c r="B1775" t="s">
        <v>487</v>
      </c>
      <c r="C1775" t="s">
        <v>834</v>
      </c>
      <c r="D1775">
        <v>0.31900000000000001</v>
      </c>
      <c r="F1775" t="s">
        <v>2040</v>
      </c>
      <c r="H1775" t="s">
        <v>3591</v>
      </c>
      <c r="I1775" t="s">
        <v>1551</v>
      </c>
      <c r="K1775" t="s">
        <v>5037</v>
      </c>
      <c r="L1775" t="s">
        <v>5039</v>
      </c>
    </row>
    <row r="1776" spans="1:12" x14ac:dyDescent="0.35">
      <c r="A1776" t="s">
        <v>111</v>
      </c>
      <c r="B1776" t="s">
        <v>488</v>
      </c>
      <c r="C1776" t="s">
        <v>835</v>
      </c>
      <c r="D1776">
        <v>0.64</v>
      </c>
      <c r="F1776" t="s">
        <v>2041</v>
      </c>
      <c r="H1776" t="s">
        <v>3592</v>
      </c>
      <c r="I1776" t="s">
        <v>2051</v>
      </c>
      <c r="K1776" t="s">
        <v>5037</v>
      </c>
      <c r="L1776" t="s">
        <v>5039</v>
      </c>
    </row>
    <row r="1777" spans="1:12" x14ac:dyDescent="0.35">
      <c r="A1777" t="s">
        <v>111</v>
      </c>
      <c r="B1777" t="s">
        <v>489</v>
      </c>
      <c r="C1777" t="s">
        <v>817</v>
      </c>
      <c r="D1777">
        <v>5.4000000000000002E-7</v>
      </c>
      <c r="F1777" t="s">
        <v>2042</v>
      </c>
      <c r="H1777" t="s">
        <v>3593</v>
      </c>
      <c r="I1777" t="s">
        <v>4904</v>
      </c>
      <c r="K1777" t="s">
        <v>5037</v>
      </c>
      <c r="L1777" t="s">
        <v>5039</v>
      </c>
    </row>
    <row r="1778" spans="1:12" x14ac:dyDescent="0.35">
      <c r="A1778" t="s">
        <v>111</v>
      </c>
      <c r="B1778" t="s">
        <v>489</v>
      </c>
      <c r="C1778" t="s">
        <v>800</v>
      </c>
      <c r="D1778">
        <v>8.9000000000000003E-8</v>
      </c>
      <c r="F1778" t="s">
        <v>2043</v>
      </c>
      <c r="H1778" t="s">
        <v>3594</v>
      </c>
      <c r="I1778" t="s">
        <v>4904</v>
      </c>
      <c r="K1778" t="s">
        <v>5037</v>
      </c>
      <c r="L1778" t="s">
        <v>5039</v>
      </c>
    </row>
    <row r="1779" spans="1:12" x14ac:dyDescent="0.35">
      <c r="A1779" t="s">
        <v>111</v>
      </c>
      <c r="B1779" t="s">
        <v>489</v>
      </c>
      <c r="C1779" t="s">
        <v>817</v>
      </c>
      <c r="D1779">
        <v>6.1999999999999999E-7</v>
      </c>
      <c r="F1779" t="s">
        <v>2044</v>
      </c>
      <c r="H1779" t="s">
        <v>3594</v>
      </c>
      <c r="I1779" t="s">
        <v>4904</v>
      </c>
      <c r="K1779" t="s">
        <v>5037</v>
      </c>
      <c r="L1779" t="s">
        <v>5039</v>
      </c>
    </row>
    <row r="1780" spans="1:12" x14ac:dyDescent="0.35">
      <c r="A1780" t="s">
        <v>111</v>
      </c>
      <c r="B1780" t="s">
        <v>489</v>
      </c>
      <c r="C1780" t="s">
        <v>800</v>
      </c>
      <c r="D1780">
        <v>9.6999999999999995E-8</v>
      </c>
      <c r="F1780" t="s">
        <v>2045</v>
      </c>
      <c r="H1780" t="s">
        <v>3593</v>
      </c>
      <c r="I1780" t="s">
        <v>4904</v>
      </c>
      <c r="K1780" t="s">
        <v>5037</v>
      </c>
      <c r="L1780" t="s">
        <v>5039</v>
      </c>
    </row>
    <row r="1781" spans="1:12" x14ac:dyDescent="0.35">
      <c r="A1781" t="s">
        <v>111</v>
      </c>
      <c r="B1781" t="s">
        <v>490</v>
      </c>
      <c r="C1781" t="s">
        <v>836</v>
      </c>
      <c r="D1781">
        <v>1.3599999999999999E-2</v>
      </c>
      <c r="F1781" t="s">
        <v>2046</v>
      </c>
      <c r="H1781" t="s">
        <v>3595</v>
      </c>
      <c r="I1781" t="s">
        <v>4891</v>
      </c>
      <c r="K1781" t="s">
        <v>5037</v>
      </c>
      <c r="L1781" t="s">
        <v>5039</v>
      </c>
    </row>
    <row r="1782" spans="1:12" x14ac:dyDescent="0.35">
      <c r="A1782" t="s">
        <v>111</v>
      </c>
      <c r="B1782" t="s">
        <v>491</v>
      </c>
      <c r="C1782" t="s">
        <v>716</v>
      </c>
      <c r="D1782">
        <v>2.1000000000000001E-2</v>
      </c>
      <c r="F1782" t="s">
        <v>1617</v>
      </c>
      <c r="H1782" t="s">
        <v>3596</v>
      </c>
      <c r="I1782" t="s">
        <v>4885</v>
      </c>
      <c r="K1782" t="s">
        <v>5037</v>
      </c>
      <c r="L1782" t="s">
        <v>5039</v>
      </c>
    </row>
    <row r="1783" spans="1:12" x14ac:dyDescent="0.35">
      <c r="A1783" t="s">
        <v>111</v>
      </c>
      <c r="B1783" t="s">
        <v>491</v>
      </c>
      <c r="C1783" t="s">
        <v>720</v>
      </c>
      <c r="D1783">
        <v>2.5000000000000001E-2</v>
      </c>
      <c r="F1783" t="s">
        <v>1282</v>
      </c>
      <c r="H1783" t="s">
        <v>3596</v>
      </c>
      <c r="I1783" t="s">
        <v>4885</v>
      </c>
      <c r="K1783" t="s">
        <v>5037</v>
      </c>
      <c r="L1783" t="s">
        <v>5039</v>
      </c>
    </row>
    <row r="1784" spans="1:12" x14ac:dyDescent="0.35">
      <c r="A1784" t="s">
        <v>111</v>
      </c>
      <c r="B1784" t="s">
        <v>491</v>
      </c>
      <c r="C1784" t="s">
        <v>837</v>
      </c>
      <c r="D1784">
        <v>0.4</v>
      </c>
      <c r="F1784" t="s">
        <v>1315</v>
      </c>
      <c r="H1784" t="s">
        <v>3596</v>
      </c>
      <c r="I1784" t="s">
        <v>4885</v>
      </c>
      <c r="K1784" t="s">
        <v>5037</v>
      </c>
      <c r="L1784" t="s">
        <v>5039</v>
      </c>
    </row>
    <row r="1785" spans="1:12" x14ac:dyDescent="0.35">
      <c r="A1785" t="s">
        <v>111</v>
      </c>
      <c r="B1785" t="s">
        <v>491</v>
      </c>
      <c r="C1785" t="s">
        <v>838</v>
      </c>
      <c r="D1785">
        <v>2.2000000000000002</v>
      </c>
      <c r="F1785" t="s">
        <v>1417</v>
      </c>
      <c r="H1785" t="s">
        <v>3426</v>
      </c>
      <c r="I1785" t="s">
        <v>4885</v>
      </c>
      <c r="K1785" t="s">
        <v>5037</v>
      </c>
      <c r="L1785" t="s">
        <v>5039</v>
      </c>
    </row>
    <row r="1786" spans="1:12" x14ac:dyDescent="0.35">
      <c r="A1786" t="s">
        <v>111</v>
      </c>
      <c r="B1786" t="s">
        <v>491</v>
      </c>
      <c r="C1786" t="s">
        <v>839</v>
      </c>
      <c r="D1786">
        <v>3</v>
      </c>
      <c r="F1786" t="s">
        <v>1368</v>
      </c>
      <c r="H1786" t="s">
        <v>3596</v>
      </c>
      <c r="I1786" t="s">
        <v>4885</v>
      </c>
      <c r="K1786" t="s">
        <v>5037</v>
      </c>
      <c r="L1786" t="s">
        <v>5039</v>
      </c>
    </row>
    <row r="1787" spans="1:12" x14ac:dyDescent="0.35">
      <c r="A1787" t="s">
        <v>111</v>
      </c>
      <c r="B1787" t="s">
        <v>491</v>
      </c>
      <c r="C1787" t="s">
        <v>836</v>
      </c>
      <c r="D1787">
        <v>3</v>
      </c>
      <c r="F1787" t="s">
        <v>1368</v>
      </c>
      <c r="H1787" t="s">
        <v>3596</v>
      </c>
      <c r="I1787" t="s">
        <v>4885</v>
      </c>
      <c r="K1787" t="s">
        <v>5037</v>
      </c>
      <c r="L1787" t="s">
        <v>5039</v>
      </c>
    </row>
    <row r="1788" spans="1:12" x14ac:dyDescent="0.35">
      <c r="A1788" t="s">
        <v>111</v>
      </c>
      <c r="B1788" t="s">
        <v>491</v>
      </c>
      <c r="C1788" t="s">
        <v>840</v>
      </c>
      <c r="D1788">
        <v>4.5</v>
      </c>
      <c r="F1788" t="s">
        <v>1828</v>
      </c>
      <c r="H1788" t="s">
        <v>2842</v>
      </c>
      <c r="I1788" t="s">
        <v>4885</v>
      </c>
      <c r="K1788" t="s">
        <v>5037</v>
      </c>
      <c r="L1788" t="s">
        <v>5039</v>
      </c>
    </row>
    <row r="1789" spans="1:12" x14ac:dyDescent="0.35">
      <c r="A1789" t="s">
        <v>111</v>
      </c>
      <c r="B1789" t="s">
        <v>491</v>
      </c>
      <c r="C1789" t="s">
        <v>841</v>
      </c>
      <c r="D1789">
        <v>4.5</v>
      </c>
      <c r="F1789" t="s">
        <v>1828</v>
      </c>
      <c r="H1789" t="s">
        <v>3596</v>
      </c>
      <c r="I1789" t="s">
        <v>4885</v>
      </c>
      <c r="K1789" t="s">
        <v>5037</v>
      </c>
      <c r="L1789" t="s">
        <v>5039</v>
      </c>
    </row>
    <row r="1790" spans="1:12" x14ac:dyDescent="0.35">
      <c r="A1790" t="s">
        <v>111</v>
      </c>
      <c r="B1790" t="s">
        <v>491</v>
      </c>
      <c r="C1790" t="s">
        <v>842</v>
      </c>
      <c r="D1790">
        <v>4.2</v>
      </c>
      <c r="F1790" t="s">
        <v>1868</v>
      </c>
      <c r="H1790" t="s">
        <v>3596</v>
      </c>
      <c r="I1790" t="s">
        <v>4885</v>
      </c>
      <c r="K1790" t="s">
        <v>5037</v>
      </c>
      <c r="L1790" t="s">
        <v>5039</v>
      </c>
    </row>
    <row r="1791" spans="1:12" x14ac:dyDescent="0.35">
      <c r="A1791" t="s">
        <v>111</v>
      </c>
      <c r="B1791" t="s">
        <v>491</v>
      </c>
      <c r="C1791" t="s">
        <v>843</v>
      </c>
      <c r="D1791">
        <v>14</v>
      </c>
      <c r="F1791" t="s">
        <v>1467</v>
      </c>
      <c r="H1791" t="s">
        <v>3596</v>
      </c>
      <c r="I1791" t="s">
        <v>4885</v>
      </c>
      <c r="K1791" t="s">
        <v>5037</v>
      </c>
      <c r="L1791" t="s">
        <v>5039</v>
      </c>
    </row>
    <row r="1792" spans="1:12" x14ac:dyDescent="0.35">
      <c r="A1792" t="s">
        <v>111</v>
      </c>
      <c r="B1792" t="s">
        <v>491</v>
      </c>
      <c r="C1792" t="s">
        <v>844</v>
      </c>
      <c r="D1792">
        <v>16</v>
      </c>
      <c r="F1792" t="s">
        <v>1526</v>
      </c>
      <c r="H1792" t="s">
        <v>3596</v>
      </c>
      <c r="I1792" t="s">
        <v>4885</v>
      </c>
      <c r="K1792" t="s">
        <v>5037</v>
      </c>
      <c r="L1792" t="s">
        <v>5039</v>
      </c>
    </row>
    <row r="1793" spans="1:12" x14ac:dyDescent="0.35">
      <c r="A1793" t="s">
        <v>111</v>
      </c>
      <c r="B1793" t="s">
        <v>491</v>
      </c>
      <c r="C1793" t="s">
        <v>845</v>
      </c>
      <c r="D1793">
        <v>3.5</v>
      </c>
      <c r="F1793" t="s">
        <v>1451</v>
      </c>
      <c r="H1793" t="s">
        <v>3596</v>
      </c>
      <c r="I1793" t="s">
        <v>4885</v>
      </c>
      <c r="K1793" t="s">
        <v>5037</v>
      </c>
      <c r="L1793" t="s">
        <v>5039</v>
      </c>
    </row>
    <row r="1794" spans="1:12" x14ac:dyDescent="0.35">
      <c r="A1794" t="s">
        <v>111</v>
      </c>
      <c r="B1794" t="s">
        <v>491</v>
      </c>
      <c r="C1794" t="s">
        <v>846</v>
      </c>
      <c r="D1794">
        <v>9.5</v>
      </c>
      <c r="F1794" t="s">
        <v>2047</v>
      </c>
      <c r="H1794" t="s">
        <v>3596</v>
      </c>
      <c r="I1794" t="s">
        <v>4885</v>
      </c>
      <c r="K1794" t="s">
        <v>5037</v>
      </c>
      <c r="L1794" t="s">
        <v>5039</v>
      </c>
    </row>
    <row r="1795" spans="1:12" x14ac:dyDescent="0.35">
      <c r="A1795" t="s">
        <v>111</v>
      </c>
      <c r="B1795" t="s">
        <v>491</v>
      </c>
      <c r="C1795" t="s">
        <v>847</v>
      </c>
      <c r="D1795">
        <v>18</v>
      </c>
      <c r="F1795" t="s">
        <v>1389</v>
      </c>
      <c r="H1795" t="s">
        <v>3596</v>
      </c>
      <c r="I1795" t="s">
        <v>4885</v>
      </c>
      <c r="K1795" t="s">
        <v>5037</v>
      </c>
      <c r="L1795" t="s">
        <v>5039</v>
      </c>
    </row>
    <row r="1796" spans="1:12" x14ac:dyDescent="0.35">
      <c r="A1796" t="s">
        <v>111</v>
      </c>
      <c r="B1796" t="s">
        <v>491</v>
      </c>
      <c r="C1796" t="s">
        <v>848</v>
      </c>
      <c r="D1796">
        <v>6.5</v>
      </c>
      <c r="F1796" t="s">
        <v>1419</v>
      </c>
      <c r="H1796" t="s">
        <v>3596</v>
      </c>
      <c r="I1796" t="s">
        <v>4885</v>
      </c>
      <c r="K1796" t="s">
        <v>5037</v>
      </c>
      <c r="L1796" t="s">
        <v>5039</v>
      </c>
    </row>
    <row r="1797" spans="1:12" x14ac:dyDescent="0.35">
      <c r="A1797" t="s">
        <v>111</v>
      </c>
      <c r="B1797" t="s">
        <v>492</v>
      </c>
      <c r="C1797" t="s">
        <v>849</v>
      </c>
      <c r="D1797">
        <v>5.7000000000000002E-2</v>
      </c>
      <c r="F1797" t="s">
        <v>1530</v>
      </c>
      <c r="H1797" t="s">
        <v>3597</v>
      </c>
      <c r="I1797" t="s">
        <v>1368</v>
      </c>
      <c r="K1797" t="s">
        <v>5037</v>
      </c>
      <c r="L1797" t="s">
        <v>5039</v>
      </c>
    </row>
    <row r="1798" spans="1:12" x14ac:dyDescent="0.35">
      <c r="A1798" t="s">
        <v>111</v>
      </c>
      <c r="B1798" t="s">
        <v>492</v>
      </c>
      <c r="C1798" t="s">
        <v>807</v>
      </c>
      <c r="D1798">
        <v>4.0000000000000001E-3</v>
      </c>
      <c r="F1798" t="s">
        <v>1838</v>
      </c>
      <c r="H1798" t="s">
        <v>3598</v>
      </c>
      <c r="I1798" t="s">
        <v>1368</v>
      </c>
      <c r="K1798" t="s">
        <v>5037</v>
      </c>
      <c r="L1798" t="s">
        <v>5039</v>
      </c>
    </row>
    <row r="1799" spans="1:12" x14ac:dyDescent="0.35">
      <c r="A1799" t="s">
        <v>111</v>
      </c>
      <c r="B1799" t="s">
        <v>492</v>
      </c>
      <c r="C1799" t="s">
        <v>849</v>
      </c>
      <c r="D1799">
        <v>1.2E-2</v>
      </c>
      <c r="F1799" t="s">
        <v>1280</v>
      </c>
      <c r="H1799" t="s">
        <v>3598</v>
      </c>
      <c r="I1799" t="s">
        <v>1368</v>
      </c>
      <c r="K1799" t="s">
        <v>5037</v>
      </c>
      <c r="L1799" t="s">
        <v>5039</v>
      </c>
    </row>
    <row r="1800" spans="1:12" x14ac:dyDescent="0.35">
      <c r="A1800" t="s">
        <v>111</v>
      </c>
      <c r="B1800" t="s">
        <v>492</v>
      </c>
      <c r="C1800" t="s">
        <v>850</v>
      </c>
      <c r="D1800">
        <v>2E-3</v>
      </c>
      <c r="F1800" t="s">
        <v>1286</v>
      </c>
      <c r="H1800" t="s">
        <v>3598</v>
      </c>
      <c r="I1800" t="s">
        <v>1368</v>
      </c>
      <c r="K1800" t="s">
        <v>5037</v>
      </c>
      <c r="L1800" t="s">
        <v>5039</v>
      </c>
    </row>
    <row r="1801" spans="1:12" x14ac:dyDescent="0.35">
      <c r="A1801" t="s">
        <v>111</v>
      </c>
      <c r="B1801" t="s">
        <v>492</v>
      </c>
      <c r="C1801" t="s">
        <v>802</v>
      </c>
      <c r="D1801">
        <v>0.5</v>
      </c>
      <c r="F1801" t="s">
        <v>1440</v>
      </c>
      <c r="H1801" t="s">
        <v>3597</v>
      </c>
      <c r="I1801" t="s">
        <v>1368</v>
      </c>
      <c r="K1801" t="s">
        <v>5037</v>
      </c>
      <c r="L1801" t="s">
        <v>5039</v>
      </c>
    </row>
    <row r="1802" spans="1:12" x14ac:dyDescent="0.35">
      <c r="A1802" t="s">
        <v>111</v>
      </c>
      <c r="B1802" t="s">
        <v>492</v>
      </c>
      <c r="C1802" t="s">
        <v>851</v>
      </c>
      <c r="D1802">
        <v>1.4999999999999999E-2</v>
      </c>
      <c r="F1802" t="s">
        <v>1336</v>
      </c>
      <c r="H1802" t="s">
        <v>3598</v>
      </c>
      <c r="I1802" t="s">
        <v>1368</v>
      </c>
      <c r="K1802" t="s">
        <v>5037</v>
      </c>
      <c r="L1802" t="s">
        <v>5039</v>
      </c>
    </row>
    <row r="1803" spans="1:12" x14ac:dyDescent="0.35">
      <c r="A1803" t="s">
        <v>111</v>
      </c>
      <c r="B1803" t="s">
        <v>492</v>
      </c>
      <c r="C1803" t="s">
        <v>800</v>
      </c>
      <c r="D1803">
        <v>8.9999999999999993E-3</v>
      </c>
      <c r="F1803" t="s">
        <v>1546</v>
      </c>
      <c r="H1803" t="s">
        <v>3598</v>
      </c>
      <c r="I1803" t="s">
        <v>1368</v>
      </c>
      <c r="K1803" t="s">
        <v>5037</v>
      </c>
      <c r="L1803" t="s">
        <v>5039</v>
      </c>
    </row>
    <row r="1804" spans="1:12" x14ac:dyDescent="0.35">
      <c r="A1804" t="s">
        <v>111</v>
      </c>
      <c r="B1804" t="s">
        <v>492</v>
      </c>
      <c r="C1804" t="s">
        <v>852</v>
      </c>
      <c r="D1804">
        <v>0.12</v>
      </c>
      <c r="F1804" t="s">
        <v>1473</v>
      </c>
      <c r="H1804" t="s">
        <v>3598</v>
      </c>
      <c r="I1804" t="s">
        <v>1368</v>
      </c>
      <c r="K1804" t="s">
        <v>5037</v>
      </c>
      <c r="L1804" t="s">
        <v>5039</v>
      </c>
    </row>
    <row r="1805" spans="1:12" x14ac:dyDescent="0.35">
      <c r="A1805" t="s">
        <v>111</v>
      </c>
      <c r="B1805" t="s">
        <v>492</v>
      </c>
      <c r="C1805" t="s">
        <v>853</v>
      </c>
      <c r="D1805">
        <v>3.1</v>
      </c>
      <c r="F1805" t="s">
        <v>1374</v>
      </c>
      <c r="H1805" t="s">
        <v>3597</v>
      </c>
      <c r="I1805" t="s">
        <v>1368</v>
      </c>
      <c r="K1805" t="s">
        <v>5037</v>
      </c>
      <c r="L1805" t="s">
        <v>5039</v>
      </c>
    </row>
    <row r="1806" spans="1:12" x14ac:dyDescent="0.35">
      <c r="A1806" t="s">
        <v>111</v>
      </c>
      <c r="B1806" t="s">
        <v>492</v>
      </c>
      <c r="C1806" t="s">
        <v>817</v>
      </c>
      <c r="D1806">
        <v>3.3</v>
      </c>
      <c r="F1806" t="s">
        <v>1377</v>
      </c>
      <c r="H1806" t="s">
        <v>3597</v>
      </c>
      <c r="I1806" t="s">
        <v>1368</v>
      </c>
      <c r="K1806" t="s">
        <v>5037</v>
      </c>
      <c r="L1806" t="s">
        <v>5039</v>
      </c>
    </row>
    <row r="1807" spans="1:12" x14ac:dyDescent="0.35">
      <c r="A1807" t="s">
        <v>111</v>
      </c>
      <c r="B1807" t="s">
        <v>492</v>
      </c>
      <c r="C1807" t="s">
        <v>854</v>
      </c>
      <c r="D1807">
        <v>0.33</v>
      </c>
      <c r="F1807" t="s">
        <v>1397</v>
      </c>
      <c r="H1807" t="s">
        <v>3597</v>
      </c>
      <c r="I1807" t="s">
        <v>1368</v>
      </c>
      <c r="K1807" t="s">
        <v>5037</v>
      </c>
      <c r="L1807" t="s">
        <v>5039</v>
      </c>
    </row>
    <row r="1808" spans="1:12" x14ac:dyDescent="0.35">
      <c r="A1808" t="s">
        <v>111</v>
      </c>
      <c r="B1808" t="s">
        <v>492</v>
      </c>
      <c r="C1808" t="s">
        <v>851</v>
      </c>
      <c r="D1808">
        <v>0.13</v>
      </c>
      <c r="F1808" t="s">
        <v>1466</v>
      </c>
      <c r="H1808" t="s">
        <v>3599</v>
      </c>
      <c r="I1808" t="s">
        <v>1368</v>
      </c>
      <c r="K1808" t="s">
        <v>5037</v>
      </c>
      <c r="L1808" t="s">
        <v>5039</v>
      </c>
    </row>
    <row r="1809" spans="1:12" x14ac:dyDescent="0.35">
      <c r="A1809" t="s">
        <v>111</v>
      </c>
      <c r="B1809" t="s">
        <v>492</v>
      </c>
      <c r="C1809" t="s">
        <v>854</v>
      </c>
      <c r="D1809">
        <v>3.1E-2</v>
      </c>
      <c r="F1809" t="s">
        <v>1423</v>
      </c>
      <c r="H1809" t="s">
        <v>3598</v>
      </c>
      <c r="I1809" t="s">
        <v>1368</v>
      </c>
      <c r="K1809" t="s">
        <v>5037</v>
      </c>
      <c r="L1809" t="s">
        <v>5039</v>
      </c>
    </row>
    <row r="1810" spans="1:12" x14ac:dyDescent="0.35">
      <c r="A1810" t="s">
        <v>111</v>
      </c>
      <c r="B1810" t="s">
        <v>492</v>
      </c>
      <c r="C1810" t="s">
        <v>853</v>
      </c>
      <c r="D1810">
        <v>9.0999999999999998E-2</v>
      </c>
      <c r="F1810" t="s">
        <v>1958</v>
      </c>
      <c r="H1810" t="s">
        <v>3598</v>
      </c>
      <c r="I1810" t="s">
        <v>1368</v>
      </c>
      <c r="K1810" t="s">
        <v>5037</v>
      </c>
      <c r="L1810" t="s">
        <v>5039</v>
      </c>
    </row>
    <row r="1811" spans="1:12" x14ac:dyDescent="0.35">
      <c r="A1811" t="s">
        <v>111</v>
      </c>
      <c r="B1811" t="s">
        <v>492</v>
      </c>
      <c r="C1811" t="s">
        <v>817</v>
      </c>
      <c r="D1811">
        <v>0.24</v>
      </c>
      <c r="F1811" t="s">
        <v>1488</v>
      </c>
      <c r="H1811" t="s">
        <v>3598</v>
      </c>
      <c r="I1811" t="s">
        <v>1368</v>
      </c>
      <c r="K1811" t="s">
        <v>5037</v>
      </c>
      <c r="L1811" t="s">
        <v>5039</v>
      </c>
    </row>
    <row r="1812" spans="1:12" x14ac:dyDescent="0.35">
      <c r="A1812" t="s">
        <v>111</v>
      </c>
      <c r="B1812" t="s">
        <v>492</v>
      </c>
      <c r="C1812" t="s">
        <v>855</v>
      </c>
      <c r="D1812">
        <v>3.9E-2</v>
      </c>
      <c r="F1812" t="s">
        <v>1407</v>
      </c>
      <c r="H1812" t="s">
        <v>3598</v>
      </c>
      <c r="I1812" t="s">
        <v>1368</v>
      </c>
      <c r="K1812" t="s">
        <v>5037</v>
      </c>
      <c r="L1812" t="s">
        <v>5039</v>
      </c>
    </row>
    <row r="1813" spans="1:12" x14ac:dyDescent="0.35">
      <c r="A1813" t="s">
        <v>111</v>
      </c>
      <c r="B1813" t="s">
        <v>492</v>
      </c>
      <c r="C1813" t="s">
        <v>855</v>
      </c>
      <c r="D1813">
        <v>5.0999999999999996</v>
      </c>
      <c r="F1813" t="s">
        <v>1710</v>
      </c>
      <c r="H1813" t="s">
        <v>3597</v>
      </c>
      <c r="I1813" t="s">
        <v>1368</v>
      </c>
      <c r="K1813" t="s">
        <v>5037</v>
      </c>
      <c r="L1813" t="s">
        <v>5039</v>
      </c>
    </row>
    <row r="1814" spans="1:12" x14ac:dyDescent="0.35">
      <c r="A1814" t="s">
        <v>111</v>
      </c>
      <c r="B1814" t="s">
        <v>492</v>
      </c>
      <c r="C1814" t="s">
        <v>852</v>
      </c>
      <c r="D1814">
        <v>250</v>
      </c>
      <c r="F1814" t="s">
        <v>2048</v>
      </c>
      <c r="H1814" t="s">
        <v>3597</v>
      </c>
      <c r="I1814" t="s">
        <v>1368</v>
      </c>
      <c r="K1814" t="s">
        <v>5037</v>
      </c>
      <c r="L1814" t="s">
        <v>5039</v>
      </c>
    </row>
    <row r="1815" spans="1:12" x14ac:dyDescent="0.35">
      <c r="A1815" t="s">
        <v>111</v>
      </c>
      <c r="B1815" t="s">
        <v>493</v>
      </c>
      <c r="C1815" t="s">
        <v>708</v>
      </c>
      <c r="D1815">
        <v>6.2E-2</v>
      </c>
      <c r="F1815" t="s">
        <v>1414</v>
      </c>
      <c r="H1815" t="s">
        <v>3600</v>
      </c>
      <c r="I1815" t="s">
        <v>4863</v>
      </c>
      <c r="K1815" t="s">
        <v>5037</v>
      </c>
      <c r="L1815" t="s">
        <v>5039</v>
      </c>
    </row>
    <row r="1816" spans="1:12" x14ac:dyDescent="0.35">
      <c r="A1816" t="s">
        <v>111</v>
      </c>
      <c r="B1816" t="s">
        <v>493</v>
      </c>
      <c r="C1816" t="s">
        <v>708</v>
      </c>
      <c r="D1816">
        <v>0.16</v>
      </c>
      <c r="F1816" t="s">
        <v>1573</v>
      </c>
      <c r="H1816" t="s">
        <v>3601</v>
      </c>
      <c r="I1816" t="s">
        <v>4863</v>
      </c>
      <c r="K1816" t="s">
        <v>5037</v>
      </c>
      <c r="L1816" t="s">
        <v>5039</v>
      </c>
    </row>
    <row r="1817" spans="1:12" x14ac:dyDescent="0.35">
      <c r="A1817" t="s">
        <v>111</v>
      </c>
      <c r="B1817" t="s">
        <v>493</v>
      </c>
      <c r="C1817" t="s">
        <v>856</v>
      </c>
      <c r="D1817">
        <v>3.0000000000000001E-3</v>
      </c>
      <c r="F1817" t="s">
        <v>1279</v>
      </c>
      <c r="H1817" t="s">
        <v>3602</v>
      </c>
      <c r="I1817" t="s">
        <v>4863</v>
      </c>
      <c r="K1817" t="s">
        <v>5037</v>
      </c>
      <c r="L1817" t="s">
        <v>5039</v>
      </c>
    </row>
    <row r="1818" spans="1:12" x14ac:dyDescent="0.35">
      <c r="A1818" t="s">
        <v>111</v>
      </c>
      <c r="B1818" t="s">
        <v>493</v>
      </c>
      <c r="C1818" t="s">
        <v>856</v>
      </c>
      <c r="D1818">
        <v>4.5999999999999996</v>
      </c>
      <c r="F1818" t="s">
        <v>1468</v>
      </c>
      <c r="I1818" t="s">
        <v>1387</v>
      </c>
      <c r="K1818" t="s">
        <v>5037</v>
      </c>
      <c r="L1818" t="s">
        <v>5039</v>
      </c>
    </row>
    <row r="1819" spans="1:12" x14ac:dyDescent="0.35">
      <c r="A1819" t="s">
        <v>111</v>
      </c>
      <c r="B1819" t="s">
        <v>493</v>
      </c>
      <c r="C1819" t="s">
        <v>856</v>
      </c>
      <c r="D1819">
        <v>2.5999999999999999E-3</v>
      </c>
      <c r="F1819" t="s">
        <v>1592</v>
      </c>
      <c r="H1819" t="s">
        <v>3603</v>
      </c>
      <c r="I1819" t="s">
        <v>4863</v>
      </c>
      <c r="K1819" t="s">
        <v>5037</v>
      </c>
      <c r="L1819" t="s">
        <v>5039</v>
      </c>
    </row>
    <row r="1820" spans="1:12" x14ac:dyDescent="0.35">
      <c r="A1820" t="s">
        <v>111</v>
      </c>
      <c r="B1820" t="s">
        <v>493</v>
      </c>
      <c r="C1820" t="s">
        <v>857</v>
      </c>
      <c r="D1820">
        <v>10</v>
      </c>
      <c r="F1820" t="s">
        <v>1533</v>
      </c>
      <c r="I1820" t="s">
        <v>1387</v>
      </c>
      <c r="K1820" t="s">
        <v>5037</v>
      </c>
      <c r="L1820" t="s">
        <v>5039</v>
      </c>
    </row>
    <row r="1821" spans="1:12" x14ac:dyDescent="0.35">
      <c r="A1821" t="s">
        <v>111</v>
      </c>
      <c r="B1821" t="s">
        <v>493</v>
      </c>
      <c r="C1821" t="s">
        <v>858</v>
      </c>
      <c r="D1821">
        <v>10</v>
      </c>
      <c r="F1821" t="s">
        <v>1533</v>
      </c>
      <c r="I1821" t="s">
        <v>1387</v>
      </c>
      <c r="K1821" t="s">
        <v>5037</v>
      </c>
      <c r="L1821" t="s">
        <v>5039</v>
      </c>
    </row>
    <row r="1822" spans="1:12" x14ac:dyDescent="0.35">
      <c r="A1822" t="s">
        <v>111</v>
      </c>
      <c r="B1822" t="s">
        <v>493</v>
      </c>
      <c r="C1822" t="s">
        <v>720</v>
      </c>
      <c r="D1822">
        <v>1.7000000000000001E-2</v>
      </c>
      <c r="F1822" t="s">
        <v>1363</v>
      </c>
      <c r="I1822" t="s">
        <v>1387</v>
      </c>
      <c r="K1822" t="s">
        <v>5037</v>
      </c>
      <c r="L1822" t="s">
        <v>5039</v>
      </c>
    </row>
    <row r="1823" spans="1:12" x14ac:dyDescent="0.35">
      <c r="A1823" t="s">
        <v>111</v>
      </c>
      <c r="B1823" t="s">
        <v>493</v>
      </c>
      <c r="C1823" t="s">
        <v>859</v>
      </c>
      <c r="D1823">
        <v>4.0999999999999996</v>
      </c>
      <c r="F1823" t="s">
        <v>1385</v>
      </c>
      <c r="I1823" t="s">
        <v>1387</v>
      </c>
      <c r="K1823" t="s">
        <v>5037</v>
      </c>
      <c r="L1823" t="s">
        <v>5039</v>
      </c>
    </row>
    <row r="1824" spans="1:12" x14ac:dyDescent="0.35">
      <c r="A1824" t="s">
        <v>111</v>
      </c>
      <c r="B1824" t="s">
        <v>493</v>
      </c>
      <c r="C1824" t="s">
        <v>856</v>
      </c>
      <c r="D1824">
        <v>3.8999999999999998E-3</v>
      </c>
      <c r="F1824" t="s">
        <v>1845</v>
      </c>
      <c r="H1824" t="s">
        <v>3604</v>
      </c>
      <c r="I1824" t="s">
        <v>4863</v>
      </c>
      <c r="K1824" t="s">
        <v>5037</v>
      </c>
      <c r="L1824" t="s">
        <v>5039</v>
      </c>
    </row>
    <row r="1825" spans="1:12" x14ac:dyDescent="0.35">
      <c r="A1825" t="s">
        <v>111</v>
      </c>
      <c r="B1825" t="s">
        <v>493</v>
      </c>
      <c r="C1825" t="s">
        <v>828</v>
      </c>
      <c r="D1825">
        <v>33</v>
      </c>
      <c r="F1825" t="s">
        <v>1943</v>
      </c>
      <c r="I1825" t="s">
        <v>1387</v>
      </c>
      <c r="K1825" t="s">
        <v>5037</v>
      </c>
      <c r="L1825" t="s">
        <v>5039</v>
      </c>
    </row>
    <row r="1826" spans="1:12" x14ac:dyDescent="0.35">
      <c r="A1826" t="s">
        <v>111</v>
      </c>
      <c r="B1826" t="s">
        <v>493</v>
      </c>
      <c r="C1826" t="s">
        <v>836</v>
      </c>
      <c r="D1826">
        <v>7.4</v>
      </c>
      <c r="F1826" t="s">
        <v>2049</v>
      </c>
      <c r="I1826" t="s">
        <v>1387</v>
      </c>
      <c r="K1826" t="s">
        <v>5037</v>
      </c>
      <c r="L1826" t="s">
        <v>5039</v>
      </c>
    </row>
    <row r="1827" spans="1:12" x14ac:dyDescent="0.35">
      <c r="A1827" t="s">
        <v>111</v>
      </c>
      <c r="B1827" t="s">
        <v>493</v>
      </c>
      <c r="C1827" t="s">
        <v>860</v>
      </c>
      <c r="D1827">
        <v>39</v>
      </c>
      <c r="F1827" t="s">
        <v>2050</v>
      </c>
      <c r="I1827" t="s">
        <v>1387</v>
      </c>
      <c r="K1827" t="s">
        <v>5037</v>
      </c>
      <c r="L1827" t="s">
        <v>5039</v>
      </c>
    </row>
    <row r="1828" spans="1:12" x14ac:dyDescent="0.35">
      <c r="A1828" t="s">
        <v>111</v>
      </c>
      <c r="B1828" t="s">
        <v>493</v>
      </c>
      <c r="C1828" t="s">
        <v>861</v>
      </c>
      <c r="D1828">
        <v>21</v>
      </c>
      <c r="F1828" t="s">
        <v>2051</v>
      </c>
      <c r="I1828" t="s">
        <v>1387</v>
      </c>
      <c r="K1828" t="s">
        <v>5037</v>
      </c>
      <c r="L1828" t="s">
        <v>5039</v>
      </c>
    </row>
    <row r="1829" spans="1:12" x14ac:dyDescent="0.35">
      <c r="A1829" t="s">
        <v>111</v>
      </c>
      <c r="B1829" t="s">
        <v>493</v>
      </c>
      <c r="C1829" t="s">
        <v>862</v>
      </c>
      <c r="D1829">
        <v>61</v>
      </c>
      <c r="F1829" t="s">
        <v>2052</v>
      </c>
      <c r="I1829" t="s">
        <v>1387</v>
      </c>
      <c r="K1829" t="s">
        <v>5037</v>
      </c>
      <c r="L1829" t="s">
        <v>5039</v>
      </c>
    </row>
    <row r="1830" spans="1:12" x14ac:dyDescent="0.35">
      <c r="A1830" t="s">
        <v>111</v>
      </c>
      <c r="B1830" t="s">
        <v>493</v>
      </c>
      <c r="C1830" t="s">
        <v>720</v>
      </c>
      <c r="D1830">
        <v>1.67E-2</v>
      </c>
      <c r="F1830" t="s">
        <v>2053</v>
      </c>
      <c r="H1830" t="s">
        <v>3605</v>
      </c>
      <c r="I1830" t="s">
        <v>4863</v>
      </c>
      <c r="K1830" t="s">
        <v>5037</v>
      </c>
      <c r="L1830" t="s">
        <v>5039</v>
      </c>
    </row>
    <row r="1831" spans="1:12" x14ac:dyDescent="0.35">
      <c r="A1831" t="s">
        <v>111</v>
      </c>
      <c r="B1831" t="s">
        <v>175</v>
      </c>
      <c r="C1831" t="s">
        <v>800</v>
      </c>
      <c r="D1831">
        <v>4.4999999999999998E-2</v>
      </c>
      <c r="F1831" t="s">
        <v>1290</v>
      </c>
      <c r="H1831" t="s">
        <v>3606</v>
      </c>
      <c r="I1831" t="s">
        <v>1571</v>
      </c>
      <c r="K1831" t="s">
        <v>5037</v>
      </c>
      <c r="L1831" t="s">
        <v>5039</v>
      </c>
    </row>
    <row r="1832" spans="1:12" x14ac:dyDescent="0.35">
      <c r="A1832" t="s">
        <v>111</v>
      </c>
      <c r="B1832" t="s">
        <v>175</v>
      </c>
      <c r="C1832" t="s">
        <v>826</v>
      </c>
      <c r="D1832">
        <v>0.06</v>
      </c>
      <c r="F1832" t="s">
        <v>1370</v>
      </c>
      <c r="H1832" t="s">
        <v>3607</v>
      </c>
      <c r="I1832" t="s">
        <v>2330</v>
      </c>
      <c r="K1832" t="s">
        <v>5037</v>
      </c>
      <c r="L1832" t="s">
        <v>5039</v>
      </c>
    </row>
    <row r="1833" spans="1:12" x14ac:dyDescent="0.35">
      <c r="A1833" t="s">
        <v>111</v>
      </c>
      <c r="B1833" t="s">
        <v>175</v>
      </c>
      <c r="C1833" t="s">
        <v>805</v>
      </c>
      <c r="D1833">
        <v>8.8999999999999996E-2</v>
      </c>
      <c r="F1833" t="s">
        <v>1970</v>
      </c>
      <c r="H1833" t="s">
        <v>3606</v>
      </c>
      <c r="I1833" t="s">
        <v>1571</v>
      </c>
      <c r="K1833" t="s">
        <v>5037</v>
      </c>
      <c r="L1833" t="s">
        <v>5039</v>
      </c>
    </row>
    <row r="1834" spans="1:12" x14ac:dyDescent="0.35">
      <c r="A1834" t="s">
        <v>111</v>
      </c>
      <c r="B1834" t="s">
        <v>175</v>
      </c>
      <c r="C1834" t="s">
        <v>829</v>
      </c>
      <c r="D1834">
        <v>8.0000000000000002E-3</v>
      </c>
      <c r="F1834" t="s">
        <v>1801</v>
      </c>
      <c r="H1834" t="s">
        <v>3608</v>
      </c>
      <c r="I1834" t="s">
        <v>2330</v>
      </c>
      <c r="K1834" t="s">
        <v>5037</v>
      </c>
      <c r="L1834" t="s">
        <v>5039</v>
      </c>
    </row>
    <row r="1835" spans="1:12" x14ac:dyDescent="0.35">
      <c r="A1835" t="s">
        <v>111</v>
      </c>
      <c r="B1835" t="s">
        <v>175</v>
      </c>
      <c r="C1835" t="s">
        <v>800</v>
      </c>
      <c r="D1835">
        <v>1.7999999999999999E-2</v>
      </c>
      <c r="F1835" t="s">
        <v>1611</v>
      </c>
      <c r="H1835" t="s">
        <v>3609</v>
      </c>
      <c r="I1835" t="s">
        <v>2330</v>
      </c>
      <c r="K1835" t="s">
        <v>5037</v>
      </c>
      <c r="L1835" t="s">
        <v>5039</v>
      </c>
    </row>
    <row r="1836" spans="1:12" x14ac:dyDescent="0.35">
      <c r="A1836" t="s">
        <v>111</v>
      </c>
      <c r="B1836" t="s">
        <v>175</v>
      </c>
      <c r="C1836" t="s">
        <v>863</v>
      </c>
      <c r="D1836">
        <v>1.7999999999999999E-2</v>
      </c>
      <c r="F1836" t="s">
        <v>1611</v>
      </c>
      <c r="H1836" t="s">
        <v>3607</v>
      </c>
      <c r="I1836" t="s">
        <v>2330</v>
      </c>
      <c r="K1836" t="s">
        <v>5037</v>
      </c>
      <c r="L1836" t="s">
        <v>5039</v>
      </c>
    </row>
    <row r="1837" spans="1:12" x14ac:dyDescent="0.35">
      <c r="A1837" t="s">
        <v>111</v>
      </c>
      <c r="B1837" t="s">
        <v>175</v>
      </c>
      <c r="C1837" t="s">
        <v>863</v>
      </c>
      <c r="D1837">
        <v>3.2000000000000001E-2</v>
      </c>
      <c r="F1837" t="s">
        <v>1314</v>
      </c>
      <c r="H1837" t="s">
        <v>3610</v>
      </c>
      <c r="I1837" t="s">
        <v>2330</v>
      </c>
      <c r="K1837" t="s">
        <v>5037</v>
      </c>
      <c r="L1837" t="s">
        <v>5039</v>
      </c>
    </row>
    <row r="1838" spans="1:12" x14ac:dyDescent="0.35">
      <c r="A1838" t="s">
        <v>111</v>
      </c>
      <c r="B1838" t="s">
        <v>175</v>
      </c>
      <c r="C1838" t="s">
        <v>804</v>
      </c>
      <c r="D1838">
        <v>3.2000000000000001E-2</v>
      </c>
      <c r="F1838" t="s">
        <v>1314</v>
      </c>
      <c r="H1838" t="s">
        <v>3607</v>
      </c>
      <c r="I1838" t="s">
        <v>2330</v>
      </c>
      <c r="K1838" t="s">
        <v>5037</v>
      </c>
      <c r="L1838" t="s">
        <v>5039</v>
      </c>
    </row>
    <row r="1839" spans="1:12" x14ac:dyDescent="0.35">
      <c r="A1839" t="s">
        <v>111</v>
      </c>
      <c r="B1839" t="s">
        <v>175</v>
      </c>
      <c r="C1839" t="s">
        <v>864</v>
      </c>
      <c r="D1839">
        <v>7.0000000000000007E-2</v>
      </c>
      <c r="F1839" t="s">
        <v>1456</v>
      </c>
      <c r="H1839" t="s">
        <v>3611</v>
      </c>
      <c r="I1839" t="s">
        <v>2330</v>
      </c>
      <c r="K1839" t="s">
        <v>5037</v>
      </c>
      <c r="L1839" t="s">
        <v>5039</v>
      </c>
    </row>
    <row r="1840" spans="1:12" x14ac:dyDescent="0.35">
      <c r="A1840" t="s">
        <v>111</v>
      </c>
      <c r="B1840" t="s">
        <v>175</v>
      </c>
      <c r="C1840" t="s">
        <v>805</v>
      </c>
      <c r="D1840">
        <v>6.7000000000000004E-2</v>
      </c>
      <c r="F1840" t="s">
        <v>2054</v>
      </c>
      <c r="H1840" t="s">
        <v>3612</v>
      </c>
      <c r="I1840" t="s">
        <v>2330</v>
      </c>
      <c r="K1840" t="s">
        <v>5037</v>
      </c>
      <c r="L1840" t="s">
        <v>5039</v>
      </c>
    </row>
    <row r="1841" spans="1:12" x14ac:dyDescent="0.35">
      <c r="A1841" t="s">
        <v>111</v>
      </c>
      <c r="B1841" t="s">
        <v>175</v>
      </c>
      <c r="C1841" t="s">
        <v>817</v>
      </c>
      <c r="D1841">
        <v>0.25</v>
      </c>
      <c r="F1841" t="s">
        <v>1403</v>
      </c>
      <c r="H1841" t="s">
        <v>3613</v>
      </c>
      <c r="I1841" t="s">
        <v>2330</v>
      </c>
      <c r="K1841" t="s">
        <v>5037</v>
      </c>
      <c r="L1841" t="s">
        <v>5039</v>
      </c>
    </row>
    <row r="1842" spans="1:12" x14ac:dyDescent="0.35">
      <c r="A1842" t="s">
        <v>111</v>
      </c>
      <c r="B1842" t="s">
        <v>175</v>
      </c>
      <c r="C1842" t="s">
        <v>720</v>
      </c>
      <c r="D1842">
        <v>4.4999999999999997E-3</v>
      </c>
      <c r="F1842" t="s">
        <v>1776</v>
      </c>
      <c r="H1842" t="s">
        <v>3614</v>
      </c>
      <c r="I1842" t="s">
        <v>4925</v>
      </c>
      <c r="K1842" t="s">
        <v>5037</v>
      </c>
      <c r="L1842" t="s">
        <v>5039</v>
      </c>
    </row>
    <row r="1843" spans="1:12" x14ac:dyDescent="0.35">
      <c r="A1843" t="s">
        <v>111</v>
      </c>
      <c r="B1843" t="s">
        <v>175</v>
      </c>
      <c r="C1843" t="s">
        <v>865</v>
      </c>
      <c r="D1843">
        <v>4.5999999999999999E-3</v>
      </c>
      <c r="F1843" t="s">
        <v>1777</v>
      </c>
      <c r="H1843" t="s">
        <v>3615</v>
      </c>
      <c r="I1843" t="s">
        <v>4926</v>
      </c>
      <c r="K1843" t="s">
        <v>5037</v>
      </c>
      <c r="L1843" t="s">
        <v>5039</v>
      </c>
    </row>
    <row r="1844" spans="1:12" x14ac:dyDescent="0.35">
      <c r="A1844" t="s">
        <v>111</v>
      </c>
      <c r="B1844" t="s">
        <v>175</v>
      </c>
      <c r="C1844" t="s">
        <v>800</v>
      </c>
      <c r="D1844">
        <v>1.4E-2</v>
      </c>
      <c r="F1844" t="s">
        <v>1550</v>
      </c>
      <c r="H1844" t="s">
        <v>3607</v>
      </c>
      <c r="I1844" t="s">
        <v>2330</v>
      </c>
      <c r="K1844" t="s">
        <v>5037</v>
      </c>
      <c r="L1844" t="s">
        <v>5039</v>
      </c>
    </row>
    <row r="1845" spans="1:12" x14ac:dyDescent="0.35">
      <c r="A1845" t="s">
        <v>111</v>
      </c>
      <c r="B1845" t="s">
        <v>175</v>
      </c>
      <c r="C1845" t="s">
        <v>866</v>
      </c>
      <c r="D1845">
        <v>0.14000000000000001</v>
      </c>
      <c r="F1845" t="s">
        <v>1361</v>
      </c>
      <c r="H1845" t="s">
        <v>3616</v>
      </c>
      <c r="I1845" t="s">
        <v>2334</v>
      </c>
      <c r="K1845" t="s">
        <v>5037</v>
      </c>
      <c r="L1845" t="s">
        <v>5039</v>
      </c>
    </row>
    <row r="1846" spans="1:12" x14ac:dyDescent="0.35">
      <c r="A1846" t="s">
        <v>111</v>
      </c>
      <c r="B1846" t="s">
        <v>175</v>
      </c>
      <c r="C1846" t="s">
        <v>867</v>
      </c>
      <c r="D1846">
        <v>2.8000000000000001E-2</v>
      </c>
      <c r="F1846" t="s">
        <v>2039</v>
      </c>
      <c r="H1846" t="s">
        <v>3617</v>
      </c>
      <c r="I1846" t="s">
        <v>4854</v>
      </c>
      <c r="K1846" t="s">
        <v>5037</v>
      </c>
      <c r="L1846" t="s">
        <v>5039</v>
      </c>
    </row>
    <row r="1847" spans="1:12" x14ac:dyDescent="0.35">
      <c r="A1847" t="s">
        <v>111</v>
      </c>
      <c r="B1847" t="s">
        <v>175</v>
      </c>
      <c r="C1847" t="s">
        <v>829</v>
      </c>
      <c r="D1847">
        <v>8.0000000000000004E-4</v>
      </c>
      <c r="F1847" t="s">
        <v>1762</v>
      </c>
      <c r="H1847" t="s">
        <v>3612</v>
      </c>
      <c r="I1847" t="s">
        <v>2330</v>
      </c>
      <c r="K1847" t="s">
        <v>5037</v>
      </c>
      <c r="L1847" t="s">
        <v>5039</v>
      </c>
    </row>
    <row r="1848" spans="1:12" x14ac:dyDescent="0.35">
      <c r="A1848" t="s">
        <v>111</v>
      </c>
      <c r="B1848" t="s">
        <v>175</v>
      </c>
      <c r="C1848" t="s">
        <v>868</v>
      </c>
      <c r="D1848">
        <v>3.4000000000000002E-2</v>
      </c>
      <c r="F1848" t="s">
        <v>1323</v>
      </c>
      <c r="H1848" t="s">
        <v>3618</v>
      </c>
      <c r="I1848" t="s">
        <v>2330</v>
      </c>
      <c r="K1848" t="s">
        <v>5037</v>
      </c>
      <c r="L1848" t="s">
        <v>5039</v>
      </c>
    </row>
    <row r="1849" spans="1:12" x14ac:dyDescent="0.35">
      <c r="A1849" t="s">
        <v>111</v>
      </c>
      <c r="B1849" t="s">
        <v>175</v>
      </c>
      <c r="C1849" t="s">
        <v>868</v>
      </c>
      <c r="D1849">
        <v>9.6000000000000002E-2</v>
      </c>
      <c r="F1849" t="s">
        <v>2055</v>
      </c>
      <c r="H1849" t="s">
        <v>3612</v>
      </c>
      <c r="I1849" t="s">
        <v>2330</v>
      </c>
      <c r="K1849" t="s">
        <v>5037</v>
      </c>
      <c r="L1849" t="s">
        <v>5039</v>
      </c>
    </row>
    <row r="1850" spans="1:12" x14ac:dyDescent="0.35">
      <c r="A1850" t="s">
        <v>111</v>
      </c>
      <c r="B1850" t="s">
        <v>175</v>
      </c>
      <c r="C1850" t="s">
        <v>867</v>
      </c>
      <c r="D1850">
        <v>0.81</v>
      </c>
      <c r="F1850" t="s">
        <v>1820</v>
      </c>
      <c r="H1850" t="s">
        <v>3619</v>
      </c>
      <c r="I1850" t="s">
        <v>4854</v>
      </c>
      <c r="K1850" t="s">
        <v>5037</v>
      </c>
      <c r="L1850" t="s">
        <v>5039</v>
      </c>
    </row>
    <row r="1851" spans="1:12" x14ac:dyDescent="0.35">
      <c r="A1851" t="s">
        <v>111</v>
      </c>
      <c r="B1851" t="s">
        <v>175</v>
      </c>
      <c r="C1851" t="s">
        <v>829</v>
      </c>
      <c r="D1851">
        <v>1.7000000000000001E-2</v>
      </c>
      <c r="F1851" t="s">
        <v>1363</v>
      </c>
      <c r="H1851" t="s">
        <v>3620</v>
      </c>
      <c r="I1851" t="s">
        <v>2330</v>
      </c>
      <c r="K1851" t="s">
        <v>5037</v>
      </c>
      <c r="L1851" t="s">
        <v>5039</v>
      </c>
    </row>
    <row r="1852" spans="1:12" x14ac:dyDescent="0.35">
      <c r="A1852" t="s">
        <v>111</v>
      </c>
      <c r="B1852" t="s">
        <v>175</v>
      </c>
      <c r="C1852" t="s">
        <v>800</v>
      </c>
      <c r="D1852">
        <v>2.4E-2</v>
      </c>
      <c r="F1852" t="s">
        <v>1620</v>
      </c>
      <c r="H1852" t="s">
        <v>3621</v>
      </c>
      <c r="I1852" t="s">
        <v>1571</v>
      </c>
      <c r="K1852" t="s">
        <v>5037</v>
      </c>
      <c r="L1852" t="s">
        <v>5039</v>
      </c>
    </row>
    <row r="1853" spans="1:12" x14ac:dyDescent="0.35">
      <c r="A1853" t="s">
        <v>111</v>
      </c>
      <c r="B1853" t="s">
        <v>175</v>
      </c>
      <c r="C1853" t="s">
        <v>866</v>
      </c>
      <c r="D1853">
        <v>0.13200000000000001</v>
      </c>
      <c r="F1853" t="s">
        <v>2056</v>
      </c>
      <c r="H1853" t="s">
        <v>3622</v>
      </c>
      <c r="I1853" t="s">
        <v>2334</v>
      </c>
      <c r="K1853" t="s">
        <v>5037</v>
      </c>
      <c r="L1853" t="s">
        <v>5039</v>
      </c>
    </row>
    <row r="1854" spans="1:12" x14ac:dyDescent="0.35">
      <c r="A1854" t="s">
        <v>111</v>
      </c>
      <c r="B1854" t="s">
        <v>175</v>
      </c>
      <c r="C1854" t="s">
        <v>817</v>
      </c>
      <c r="D1854">
        <v>1.6E-2</v>
      </c>
      <c r="F1854" t="s">
        <v>1614</v>
      </c>
      <c r="H1854" t="s">
        <v>3607</v>
      </c>
      <c r="I1854" t="s">
        <v>2330</v>
      </c>
      <c r="K1854" t="s">
        <v>5037</v>
      </c>
      <c r="L1854" t="s">
        <v>5039</v>
      </c>
    </row>
    <row r="1855" spans="1:12" x14ac:dyDescent="0.35">
      <c r="A1855" t="s">
        <v>111</v>
      </c>
      <c r="B1855" t="s">
        <v>175</v>
      </c>
      <c r="C1855" t="s">
        <v>804</v>
      </c>
      <c r="D1855">
        <v>7.3000000000000001E-3</v>
      </c>
      <c r="F1855" t="s">
        <v>2057</v>
      </c>
      <c r="H1855" t="s">
        <v>3611</v>
      </c>
      <c r="I1855" t="s">
        <v>2330</v>
      </c>
      <c r="K1855" t="s">
        <v>5037</v>
      </c>
      <c r="L1855" t="s">
        <v>5039</v>
      </c>
    </row>
    <row r="1856" spans="1:12" x14ac:dyDescent="0.35">
      <c r="A1856" t="s">
        <v>111</v>
      </c>
      <c r="B1856" t="s">
        <v>175</v>
      </c>
      <c r="C1856" t="s">
        <v>863</v>
      </c>
      <c r="D1856">
        <v>1.2800000000000001E-2</v>
      </c>
      <c r="F1856" t="s">
        <v>1786</v>
      </c>
      <c r="H1856" t="s">
        <v>3619</v>
      </c>
      <c r="I1856" t="s">
        <v>4854</v>
      </c>
      <c r="K1856" t="s">
        <v>5037</v>
      </c>
      <c r="L1856" t="s">
        <v>5039</v>
      </c>
    </row>
    <row r="1857" spans="1:12" x14ac:dyDescent="0.35">
      <c r="A1857" t="s">
        <v>111</v>
      </c>
      <c r="B1857" t="s">
        <v>175</v>
      </c>
      <c r="C1857" t="s">
        <v>866</v>
      </c>
      <c r="D1857">
        <v>0.16300000000000001</v>
      </c>
      <c r="F1857" t="s">
        <v>2058</v>
      </c>
      <c r="H1857" t="s">
        <v>3623</v>
      </c>
      <c r="I1857" t="s">
        <v>2334</v>
      </c>
      <c r="K1857" t="s">
        <v>5037</v>
      </c>
      <c r="L1857" t="s">
        <v>5039</v>
      </c>
    </row>
    <row r="1858" spans="1:12" x14ac:dyDescent="0.35">
      <c r="A1858" t="s">
        <v>111</v>
      </c>
      <c r="B1858" t="s">
        <v>175</v>
      </c>
      <c r="C1858" t="s">
        <v>805</v>
      </c>
      <c r="D1858">
        <v>5.0999999999999997E-2</v>
      </c>
      <c r="F1858" t="s">
        <v>2059</v>
      </c>
      <c r="H1858" t="s">
        <v>3624</v>
      </c>
      <c r="I1858" t="s">
        <v>1571</v>
      </c>
      <c r="K1858" t="s">
        <v>5037</v>
      </c>
      <c r="L1858" t="s">
        <v>5039</v>
      </c>
    </row>
    <row r="1859" spans="1:12" x14ac:dyDescent="0.35">
      <c r="A1859" t="s">
        <v>111</v>
      </c>
      <c r="B1859" t="s">
        <v>175</v>
      </c>
      <c r="C1859" t="s">
        <v>805</v>
      </c>
      <c r="D1859">
        <v>4.2999999999999997E-2</v>
      </c>
      <c r="F1859" t="s">
        <v>1437</v>
      </c>
      <c r="H1859" t="s">
        <v>3625</v>
      </c>
      <c r="I1859" t="s">
        <v>2330</v>
      </c>
      <c r="K1859" t="s">
        <v>5037</v>
      </c>
      <c r="L1859" t="s">
        <v>5039</v>
      </c>
    </row>
    <row r="1860" spans="1:12" x14ac:dyDescent="0.35">
      <c r="A1860" t="s">
        <v>111</v>
      </c>
      <c r="B1860" t="s">
        <v>175</v>
      </c>
      <c r="C1860" t="s">
        <v>866</v>
      </c>
      <c r="D1860">
        <v>0.16700000000000001</v>
      </c>
      <c r="F1860" t="s">
        <v>2060</v>
      </c>
      <c r="H1860" t="s">
        <v>3626</v>
      </c>
      <c r="I1860" t="s">
        <v>2334</v>
      </c>
      <c r="K1860" t="s">
        <v>5037</v>
      </c>
      <c r="L1860" t="s">
        <v>5039</v>
      </c>
    </row>
    <row r="1861" spans="1:12" x14ac:dyDescent="0.35">
      <c r="A1861" t="s">
        <v>111</v>
      </c>
      <c r="B1861" t="s">
        <v>175</v>
      </c>
      <c r="C1861" t="s">
        <v>866</v>
      </c>
      <c r="D1861">
        <v>0.33500000000000002</v>
      </c>
      <c r="F1861" t="s">
        <v>2061</v>
      </c>
      <c r="H1861" t="s">
        <v>3627</v>
      </c>
      <c r="I1861" t="s">
        <v>1571</v>
      </c>
      <c r="K1861" t="s">
        <v>5037</v>
      </c>
      <c r="L1861" t="s">
        <v>5039</v>
      </c>
    </row>
    <row r="1862" spans="1:12" x14ac:dyDescent="0.35">
      <c r="A1862" t="s">
        <v>111</v>
      </c>
      <c r="B1862" t="s">
        <v>175</v>
      </c>
      <c r="C1862" t="s">
        <v>869</v>
      </c>
      <c r="D1862">
        <v>2.07E-2</v>
      </c>
      <c r="F1862" t="s">
        <v>2062</v>
      </c>
      <c r="H1862" t="s">
        <v>3614</v>
      </c>
      <c r="I1862" t="s">
        <v>4925</v>
      </c>
      <c r="K1862" t="s">
        <v>5037</v>
      </c>
      <c r="L1862" t="s">
        <v>5039</v>
      </c>
    </row>
    <row r="1863" spans="1:12" x14ac:dyDescent="0.35">
      <c r="A1863" t="s">
        <v>111</v>
      </c>
      <c r="B1863" t="s">
        <v>175</v>
      </c>
      <c r="C1863" t="s">
        <v>866</v>
      </c>
      <c r="D1863">
        <v>0.13400000000000001</v>
      </c>
      <c r="F1863" t="s">
        <v>2063</v>
      </c>
      <c r="H1863" t="s">
        <v>3628</v>
      </c>
      <c r="I1863" t="s">
        <v>2334</v>
      </c>
      <c r="K1863" t="s">
        <v>5037</v>
      </c>
      <c r="L1863" t="s">
        <v>5039</v>
      </c>
    </row>
    <row r="1864" spans="1:12" x14ac:dyDescent="0.35">
      <c r="A1864" t="s">
        <v>111</v>
      </c>
      <c r="B1864" t="s">
        <v>175</v>
      </c>
      <c r="C1864" t="s">
        <v>866</v>
      </c>
      <c r="D1864">
        <v>0.28699999999999998</v>
      </c>
      <c r="F1864" t="s">
        <v>2064</v>
      </c>
      <c r="H1864" t="s">
        <v>3621</v>
      </c>
      <c r="I1864" t="s">
        <v>1571</v>
      </c>
      <c r="K1864" t="s">
        <v>5037</v>
      </c>
      <c r="L1864" t="s">
        <v>5039</v>
      </c>
    </row>
    <row r="1865" spans="1:12" x14ac:dyDescent="0.35">
      <c r="A1865" t="s">
        <v>111</v>
      </c>
      <c r="B1865" t="s">
        <v>175</v>
      </c>
      <c r="C1865" t="s">
        <v>829</v>
      </c>
      <c r="D1865">
        <v>7.7999999999999996E-3</v>
      </c>
      <c r="F1865" t="s">
        <v>2065</v>
      </c>
      <c r="H1865" t="s">
        <v>3629</v>
      </c>
      <c r="I1865" t="s">
        <v>2346</v>
      </c>
      <c r="K1865" t="s">
        <v>5037</v>
      </c>
      <c r="L1865" t="s">
        <v>5039</v>
      </c>
    </row>
    <row r="1866" spans="1:12" x14ac:dyDescent="0.35">
      <c r="A1866" t="s">
        <v>111</v>
      </c>
      <c r="B1866" t="s">
        <v>175</v>
      </c>
      <c r="C1866" t="s">
        <v>863</v>
      </c>
      <c r="D1866">
        <v>3.5400000000000001E-2</v>
      </c>
      <c r="F1866" t="s">
        <v>2066</v>
      </c>
      <c r="H1866" t="s">
        <v>3630</v>
      </c>
      <c r="I1866" t="s">
        <v>2346</v>
      </c>
      <c r="K1866" t="s">
        <v>5037</v>
      </c>
      <c r="L1866" t="s">
        <v>5039</v>
      </c>
    </row>
    <row r="1867" spans="1:12" x14ac:dyDescent="0.35">
      <c r="A1867" t="s">
        <v>111</v>
      </c>
      <c r="B1867" t="s">
        <v>175</v>
      </c>
      <c r="C1867" t="s">
        <v>870</v>
      </c>
      <c r="D1867">
        <v>2.3800000000000002E-2</v>
      </c>
      <c r="F1867" t="s">
        <v>2067</v>
      </c>
      <c r="H1867" t="s">
        <v>3614</v>
      </c>
      <c r="I1867" t="s">
        <v>4925</v>
      </c>
      <c r="K1867" t="s">
        <v>5037</v>
      </c>
      <c r="L1867" t="s">
        <v>5039</v>
      </c>
    </row>
    <row r="1868" spans="1:12" x14ac:dyDescent="0.35">
      <c r="A1868" t="s">
        <v>111</v>
      </c>
      <c r="B1868" t="s">
        <v>175</v>
      </c>
      <c r="C1868" t="s">
        <v>871</v>
      </c>
      <c r="D1868">
        <v>6.4999999999999997E-3</v>
      </c>
      <c r="F1868" t="s">
        <v>1813</v>
      </c>
      <c r="H1868" t="s">
        <v>3614</v>
      </c>
      <c r="I1868" t="s">
        <v>4925</v>
      </c>
      <c r="K1868" t="s">
        <v>5037</v>
      </c>
      <c r="L1868" t="s">
        <v>5039</v>
      </c>
    </row>
    <row r="1869" spans="1:12" x14ac:dyDescent="0.35">
      <c r="A1869" t="s">
        <v>111</v>
      </c>
      <c r="B1869" t="s">
        <v>175</v>
      </c>
      <c r="C1869" t="s">
        <v>872</v>
      </c>
      <c r="D1869">
        <v>6.4999999999999997E-3</v>
      </c>
      <c r="F1869" t="s">
        <v>1813</v>
      </c>
      <c r="H1869" t="s">
        <v>3615</v>
      </c>
      <c r="I1869" t="s">
        <v>4926</v>
      </c>
      <c r="K1869" t="s">
        <v>5037</v>
      </c>
      <c r="L1869" t="s">
        <v>5039</v>
      </c>
    </row>
    <row r="1870" spans="1:12" x14ac:dyDescent="0.35">
      <c r="A1870" t="s">
        <v>111</v>
      </c>
      <c r="B1870" t="s">
        <v>175</v>
      </c>
      <c r="C1870" t="s">
        <v>866</v>
      </c>
      <c r="D1870">
        <v>0.23899999999999999</v>
      </c>
      <c r="F1870" t="s">
        <v>2068</v>
      </c>
      <c r="H1870" t="s">
        <v>3631</v>
      </c>
      <c r="I1870" t="s">
        <v>2334</v>
      </c>
      <c r="K1870" t="s">
        <v>5037</v>
      </c>
      <c r="L1870" t="s">
        <v>5039</v>
      </c>
    </row>
    <row r="1871" spans="1:12" x14ac:dyDescent="0.35">
      <c r="A1871" t="s">
        <v>111</v>
      </c>
      <c r="B1871" t="s">
        <v>175</v>
      </c>
      <c r="C1871" t="s">
        <v>826</v>
      </c>
      <c r="D1871">
        <v>0.159</v>
      </c>
      <c r="F1871" t="s">
        <v>2069</v>
      </c>
      <c r="H1871" t="s">
        <v>3613</v>
      </c>
      <c r="I1871" t="s">
        <v>2330</v>
      </c>
      <c r="K1871" t="s">
        <v>5037</v>
      </c>
      <c r="L1871" t="s">
        <v>5039</v>
      </c>
    </row>
    <row r="1872" spans="1:12" x14ac:dyDescent="0.35">
      <c r="A1872" t="s">
        <v>111</v>
      </c>
      <c r="B1872" t="s">
        <v>175</v>
      </c>
      <c r="C1872" t="s">
        <v>864</v>
      </c>
      <c r="D1872">
        <v>0.11700000000000001</v>
      </c>
      <c r="F1872" t="s">
        <v>1638</v>
      </c>
      <c r="H1872" t="s">
        <v>3607</v>
      </c>
      <c r="I1872" t="s">
        <v>2330</v>
      </c>
      <c r="K1872" t="s">
        <v>5037</v>
      </c>
      <c r="L1872" t="s">
        <v>5039</v>
      </c>
    </row>
    <row r="1873" spans="1:12" x14ac:dyDescent="0.35">
      <c r="A1873" t="s">
        <v>111</v>
      </c>
      <c r="B1873" t="s">
        <v>175</v>
      </c>
      <c r="C1873" t="s">
        <v>866</v>
      </c>
      <c r="D1873">
        <v>0.23100000000000001</v>
      </c>
      <c r="F1873" t="s">
        <v>2070</v>
      </c>
      <c r="H1873" t="s">
        <v>3632</v>
      </c>
      <c r="I1873" t="s">
        <v>2334</v>
      </c>
      <c r="K1873" t="s">
        <v>5037</v>
      </c>
      <c r="L1873" t="s">
        <v>5039</v>
      </c>
    </row>
    <row r="1874" spans="1:12" x14ac:dyDescent="0.35">
      <c r="A1874" t="s">
        <v>111</v>
      </c>
      <c r="B1874" t="s">
        <v>175</v>
      </c>
      <c r="C1874" t="s">
        <v>866</v>
      </c>
      <c r="D1874">
        <v>0.24399999999999999</v>
      </c>
      <c r="F1874" t="s">
        <v>1783</v>
      </c>
      <c r="H1874" t="s">
        <v>3633</v>
      </c>
      <c r="I1874" t="s">
        <v>2334</v>
      </c>
      <c r="K1874" t="s">
        <v>5037</v>
      </c>
      <c r="L1874" t="s">
        <v>5039</v>
      </c>
    </row>
    <row r="1875" spans="1:12" x14ac:dyDescent="0.35">
      <c r="A1875" t="s">
        <v>111</v>
      </c>
      <c r="B1875" t="s">
        <v>175</v>
      </c>
      <c r="C1875" t="s">
        <v>866</v>
      </c>
      <c r="D1875">
        <v>0.32500000000000001</v>
      </c>
      <c r="F1875" t="s">
        <v>2071</v>
      </c>
      <c r="H1875" t="s">
        <v>3606</v>
      </c>
      <c r="I1875" t="s">
        <v>1571</v>
      </c>
      <c r="K1875" t="s">
        <v>5037</v>
      </c>
      <c r="L1875" t="s">
        <v>5039</v>
      </c>
    </row>
    <row r="1876" spans="1:12" x14ac:dyDescent="0.35">
      <c r="A1876" t="s">
        <v>111</v>
      </c>
      <c r="B1876" t="s">
        <v>175</v>
      </c>
      <c r="C1876" t="s">
        <v>873</v>
      </c>
      <c r="D1876">
        <v>5.85</v>
      </c>
      <c r="F1876" t="s">
        <v>2072</v>
      </c>
      <c r="H1876" t="s">
        <v>3634</v>
      </c>
      <c r="I1876" t="s">
        <v>2330</v>
      </c>
      <c r="K1876" t="s">
        <v>5037</v>
      </c>
      <c r="L1876" t="s">
        <v>5039</v>
      </c>
    </row>
    <row r="1877" spans="1:12" x14ac:dyDescent="0.35">
      <c r="A1877" t="s">
        <v>111</v>
      </c>
      <c r="B1877" t="s">
        <v>175</v>
      </c>
      <c r="C1877" t="s">
        <v>805</v>
      </c>
      <c r="D1877">
        <v>8.5199999999999998E-2</v>
      </c>
      <c r="F1877" t="s">
        <v>2073</v>
      </c>
      <c r="H1877" t="s">
        <v>3635</v>
      </c>
      <c r="I1877" t="s">
        <v>1569</v>
      </c>
      <c r="K1877" t="s">
        <v>5037</v>
      </c>
      <c r="L1877" t="s">
        <v>5039</v>
      </c>
    </row>
    <row r="1878" spans="1:12" x14ac:dyDescent="0.35">
      <c r="A1878" t="s">
        <v>111</v>
      </c>
      <c r="B1878" t="s">
        <v>175</v>
      </c>
      <c r="C1878" t="s">
        <v>873</v>
      </c>
      <c r="D1878">
        <v>7.84</v>
      </c>
      <c r="F1878" t="s">
        <v>2074</v>
      </c>
      <c r="H1878" t="s">
        <v>3634</v>
      </c>
      <c r="I1878" t="s">
        <v>2330</v>
      </c>
      <c r="K1878" t="s">
        <v>5037</v>
      </c>
      <c r="L1878" t="s">
        <v>5039</v>
      </c>
    </row>
    <row r="1879" spans="1:12" x14ac:dyDescent="0.35">
      <c r="A1879" t="s">
        <v>111</v>
      </c>
      <c r="B1879" t="s">
        <v>175</v>
      </c>
      <c r="C1879" t="s">
        <v>817</v>
      </c>
      <c r="D1879">
        <v>0.3</v>
      </c>
      <c r="F1879" t="s">
        <v>1401</v>
      </c>
      <c r="H1879" t="s">
        <v>3636</v>
      </c>
      <c r="I1879" t="s">
        <v>4927</v>
      </c>
      <c r="K1879" t="s">
        <v>5037</v>
      </c>
      <c r="L1879" t="s">
        <v>5039</v>
      </c>
    </row>
    <row r="1880" spans="1:12" x14ac:dyDescent="0.35">
      <c r="A1880" t="s">
        <v>111</v>
      </c>
      <c r="B1880" t="s">
        <v>175</v>
      </c>
      <c r="C1880" t="s">
        <v>720</v>
      </c>
      <c r="D1880">
        <v>3.7999999999999999E-2</v>
      </c>
      <c r="F1880" t="s">
        <v>1803</v>
      </c>
      <c r="H1880" t="s">
        <v>3636</v>
      </c>
      <c r="I1880" t="s">
        <v>4927</v>
      </c>
      <c r="K1880" t="s">
        <v>5037</v>
      </c>
      <c r="L1880" t="s">
        <v>5039</v>
      </c>
    </row>
    <row r="1881" spans="1:12" x14ac:dyDescent="0.35">
      <c r="A1881" t="s">
        <v>111</v>
      </c>
      <c r="B1881" t="s">
        <v>175</v>
      </c>
      <c r="C1881" t="s">
        <v>863</v>
      </c>
      <c r="D1881">
        <v>7.8E-2</v>
      </c>
      <c r="F1881" t="s">
        <v>1649</v>
      </c>
      <c r="H1881" t="s">
        <v>3637</v>
      </c>
      <c r="I1881" t="s">
        <v>2346</v>
      </c>
      <c r="K1881" t="s">
        <v>5037</v>
      </c>
      <c r="L1881" t="s">
        <v>5039</v>
      </c>
    </row>
    <row r="1882" spans="1:12" x14ac:dyDescent="0.35">
      <c r="A1882" t="s">
        <v>111</v>
      </c>
      <c r="B1882" t="s">
        <v>175</v>
      </c>
      <c r="C1882" t="s">
        <v>829</v>
      </c>
      <c r="D1882">
        <v>5.5E-2</v>
      </c>
      <c r="F1882" t="s">
        <v>1613</v>
      </c>
      <c r="H1882" t="s">
        <v>3638</v>
      </c>
      <c r="I1882" t="s">
        <v>2346</v>
      </c>
      <c r="K1882" t="s">
        <v>5037</v>
      </c>
      <c r="L1882" t="s">
        <v>5039</v>
      </c>
    </row>
    <row r="1883" spans="1:12" x14ac:dyDescent="0.35">
      <c r="A1883" t="s">
        <v>111</v>
      </c>
      <c r="B1883" t="s">
        <v>175</v>
      </c>
      <c r="C1883" t="s">
        <v>829</v>
      </c>
      <c r="D1883">
        <v>2.2499999999999999E-2</v>
      </c>
      <c r="F1883" t="s">
        <v>2075</v>
      </c>
      <c r="H1883" t="s">
        <v>3639</v>
      </c>
      <c r="I1883" t="s">
        <v>2346</v>
      </c>
      <c r="K1883" t="s">
        <v>5037</v>
      </c>
      <c r="L1883" t="s">
        <v>5039</v>
      </c>
    </row>
    <row r="1884" spans="1:12" x14ac:dyDescent="0.35">
      <c r="A1884" t="s">
        <v>111</v>
      </c>
      <c r="B1884" t="s">
        <v>175</v>
      </c>
      <c r="C1884" t="s">
        <v>829</v>
      </c>
      <c r="D1884">
        <v>4</v>
      </c>
      <c r="F1884" t="s">
        <v>1379</v>
      </c>
      <c r="H1884" t="s">
        <v>3640</v>
      </c>
      <c r="I1884" t="s">
        <v>2346</v>
      </c>
      <c r="K1884" t="s">
        <v>5037</v>
      </c>
      <c r="L1884" t="s">
        <v>5039</v>
      </c>
    </row>
    <row r="1885" spans="1:12" x14ac:dyDescent="0.35">
      <c r="A1885" t="s">
        <v>111</v>
      </c>
      <c r="B1885" t="s">
        <v>175</v>
      </c>
      <c r="C1885" t="s">
        <v>835</v>
      </c>
      <c r="D1885">
        <v>0.13</v>
      </c>
      <c r="F1885" t="s">
        <v>1466</v>
      </c>
      <c r="H1885" t="s">
        <v>3636</v>
      </c>
      <c r="I1885" t="s">
        <v>4927</v>
      </c>
      <c r="K1885" t="s">
        <v>5037</v>
      </c>
      <c r="L1885" t="s">
        <v>5039</v>
      </c>
    </row>
    <row r="1886" spans="1:12" x14ac:dyDescent="0.35">
      <c r="A1886" t="s">
        <v>111</v>
      </c>
      <c r="B1886" t="s">
        <v>175</v>
      </c>
      <c r="C1886" t="s">
        <v>867</v>
      </c>
      <c r="D1886">
        <v>1.0900000000000001</v>
      </c>
      <c r="F1886" t="s">
        <v>2076</v>
      </c>
      <c r="H1886" t="s">
        <v>3641</v>
      </c>
      <c r="I1886" t="s">
        <v>4854</v>
      </c>
      <c r="K1886" t="s">
        <v>5037</v>
      </c>
      <c r="L1886" t="s">
        <v>5039</v>
      </c>
    </row>
    <row r="1887" spans="1:12" x14ac:dyDescent="0.35">
      <c r="A1887" t="s">
        <v>111</v>
      </c>
      <c r="B1887" t="s">
        <v>175</v>
      </c>
      <c r="C1887" t="s">
        <v>829</v>
      </c>
      <c r="D1887">
        <v>1.6</v>
      </c>
      <c r="F1887" t="s">
        <v>1328</v>
      </c>
      <c r="H1887" t="s">
        <v>3642</v>
      </c>
      <c r="I1887" t="s">
        <v>2346</v>
      </c>
      <c r="K1887" t="s">
        <v>5037</v>
      </c>
      <c r="L1887" t="s">
        <v>5039</v>
      </c>
    </row>
    <row r="1888" spans="1:12" x14ac:dyDescent="0.35">
      <c r="A1888" t="s">
        <v>111</v>
      </c>
      <c r="B1888" t="s">
        <v>175</v>
      </c>
      <c r="C1888" t="s">
        <v>863</v>
      </c>
      <c r="D1888">
        <v>4.3E-3</v>
      </c>
      <c r="F1888" t="s">
        <v>1765</v>
      </c>
      <c r="H1888" t="s">
        <v>3643</v>
      </c>
      <c r="I1888" t="s">
        <v>2346</v>
      </c>
      <c r="K1888" t="s">
        <v>5037</v>
      </c>
      <c r="L1888" t="s">
        <v>5039</v>
      </c>
    </row>
    <row r="1889" spans="1:12" x14ac:dyDescent="0.35">
      <c r="A1889" t="s">
        <v>111</v>
      </c>
      <c r="B1889" t="s">
        <v>175</v>
      </c>
      <c r="C1889" t="s">
        <v>863</v>
      </c>
      <c r="D1889">
        <v>8.8999999999999999E-3</v>
      </c>
      <c r="F1889" t="s">
        <v>1779</v>
      </c>
      <c r="H1889" t="s">
        <v>3644</v>
      </c>
      <c r="I1889" t="s">
        <v>2346</v>
      </c>
      <c r="K1889" t="s">
        <v>5037</v>
      </c>
      <c r="L1889" t="s">
        <v>5039</v>
      </c>
    </row>
    <row r="1890" spans="1:12" x14ac:dyDescent="0.35">
      <c r="A1890" t="s">
        <v>111</v>
      </c>
      <c r="B1890" t="s">
        <v>175</v>
      </c>
      <c r="C1890" t="s">
        <v>800</v>
      </c>
      <c r="D1890">
        <v>4.2999999999999997E-2</v>
      </c>
      <c r="F1890" t="s">
        <v>1437</v>
      </c>
      <c r="H1890" t="s">
        <v>3636</v>
      </c>
      <c r="I1890" t="s">
        <v>4927</v>
      </c>
      <c r="K1890" t="s">
        <v>5037</v>
      </c>
      <c r="L1890" t="s">
        <v>5039</v>
      </c>
    </row>
    <row r="1891" spans="1:12" x14ac:dyDescent="0.35">
      <c r="A1891" t="s">
        <v>111</v>
      </c>
      <c r="B1891" t="s">
        <v>175</v>
      </c>
      <c r="C1891" t="s">
        <v>863</v>
      </c>
      <c r="D1891">
        <v>9.1999999999999998E-3</v>
      </c>
      <c r="F1891" t="s">
        <v>1854</v>
      </c>
      <c r="H1891" t="s">
        <v>3645</v>
      </c>
      <c r="I1891" t="s">
        <v>2346</v>
      </c>
      <c r="K1891" t="s">
        <v>5037</v>
      </c>
      <c r="L1891" t="s">
        <v>5039</v>
      </c>
    </row>
    <row r="1892" spans="1:12" x14ac:dyDescent="0.35">
      <c r="A1892" t="s">
        <v>111</v>
      </c>
      <c r="B1892" t="s">
        <v>175</v>
      </c>
      <c r="C1892" t="s">
        <v>867</v>
      </c>
      <c r="D1892">
        <v>0.83199999999999996</v>
      </c>
      <c r="F1892" t="s">
        <v>2077</v>
      </c>
      <c r="H1892" t="s">
        <v>3646</v>
      </c>
      <c r="I1892" t="s">
        <v>4854</v>
      </c>
      <c r="K1892" t="s">
        <v>5037</v>
      </c>
      <c r="L1892" t="s">
        <v>5039</v>
      </c>
    </row>
    <row r="1893" spans="1:12" x14ac:dyDescent="0.35">
      <c r="A1893" t="s">
        <v>111</v>
      </c>
      <c r="B1893" t="s">
        <v>175</v>
      </c>
      <c r="C1893" t="s">
        <v>829</v>
      </c>
      <c r="D1893">
        <v>3.27E-2</v>
      </c>
      <c r="F1893" t="s">
        <v>2078</v>
      </c>
      <c r="H1893" t="s">
        <v>3647</v>
      </c>
      <c r="I1893" t="s">
        <v>2346</v>
      </c>
      <c r="K1893" t="s">
        <v>5037</v>
      </c>
      <c r="L1893" t="s">
        <v>5039</v>
      </c>
    </row>
    <row r="1894" spans="1:12" x14ac:dyDescent="0.35">
      <c r="A1894" t="s">
        <v>111</v>
      </c>
      <c r="B1894" t="s">
        <v>175</v>
      </c>
      <c r="C1894" t="s">
        <v>867</v>
      </c>
      <c r="D1894">
        <v>2.93</v>
      </c>
      <c r="F1894" t="s">
        <v>2079</v>
      </c>
      <c r="H1894" t="s">
        <v>3648</v>
      </c>
      <c r="I1894" t="s">
        <v>4854</v>
      </c>
      <c r="K1894" t="s">
        <v>5037</v>
      </c>
      <c r="L1894" t="s">
        <v>5039</v>
      </c>
    </row>
    <row r="1895" spans="1:12" x14ac:dyDescent="0.35">
      <c r="A1895" t="s">
        <v>111</v>
      </c>
      <c r="B1895" t="s">
        <v>175</v>
      </c>
      <c r="C1895" t="s">
        <v>829</v>
      </c>
      <c r="D1895">
        <v>3.15E-2</v>
      </c>
      <c r="F1895" t="s">
        <v>2080</v>
      </c>
      <c r="H1895" t="s">
        <v>3649</v>
      </c>
      <c r="I1895" t="s">
        <v>2346</v>
      </c>
      <c r="K1895" t="s">
        <v>5037</v>
      </c>
      <c r="L1895" t="s">
        <v>5039</v>
      </c>
    </row>
    <row r="1896" spans="1:12" x14ac:dyDescent="0.35">
      <c r="A1896" t="s">
        <v>111</v>
      </c>
      <c r="B1896" t="s">
        <v>175</v>
      </c>
      <c r="C1896" t="s">
        <v>863</v>
      </c>
      <c r="D1896">
        <v>5.6399999999999999E-2</v>
      </c>
      <c r="F1896" t="s">
        <v>2081</v>
      </c>
      <c r="H1896" t="s">
        <v>3650</v>
      </c>
      <c r="I1896" t="s">
        <v>2346</v>
      </c>
      <c r="K1896" t="s">
        <v>5037</v>
      </c>
      <c r="L1896" t="s">
        <v>5039</v>
      </c>
    </row>
    <row r="1897" spans="1:12" x14ac:dyDescent="0.35">
      <c r="A1897" t="s">
        <v>111</v>
      </c>
      <c r="B1897" t="s">
        <v>175</v>
      </c>
      <c r="C1897" t="s">
        <v>863</v>
      </c>
      <c r="D1897">
        <v>3.9300000000000002E-2</v>
      </c>
      <c r="F1897" t="s">
        <v>2082</v>
      </c>
      <c r="H1897" t="s">
        <v>3651</v>
      </c>
      <c r="I1897" t="s">
        <v>2346</v>
      </c>
      <c r="K1897" t="s">
        <v>5037</v>
      </c>
      <c r="L1897" t="s">
        <v>5039</v>
      </c>
    </row>
    <row r="1898" spans="1:12" x14ac:dyDescent="0.35">
      <c r="A1898" t="s">
        <v>111</v>
      </c>
      <c r="B1898" t="s">
        <v>175</v>
      </c>
      <c r="C1898" t="s">
        <v>829</v>
      </c>
      <c r="D1898">
        <v>4.7100000000000003E-2</v>
      </c>
      <c r="F1898" t="s">
        <v>2083</v>
      </c>
      <c r="H1898" t="s">
        <v>3652</v>
      </c>
      <c r="I1898" t="s">
        <v>2346</v>
      </c>
      <c r="K1898" t="s">
        <v>5037</v>
      </c>
      <c r="L1898" t="s">
        <v>5039</v>
      </c>
    </row>
    <row r="1899" spans="1:12" x14ac:dyDescent="0.35">
      <c r="A1899" t="s">
        <v>111</v>
      </c>
      <c r="B1899" t="s">
        <v>494</v>
      </c>
      <c r="C1899" t="s">
        <v>874</v>
      </c>
      <c r="D1899">
        <v>1.54</v>
      </c>
      <c r="F1899" t="s">
        <v>1781</v>
      </c>
      <c r="H1899" t="s">
        <v>3653</v>
      </c>
      <c r="I1899" t="s">
        <v>1752</v>
      </c>
      <c r="K1899" t="s">
        <v>5037</v>
      </c>
      <c r="L1899" t="s">
        <v>5039</v>
      </c>
    </row>
    <row r="1900" spans="1:12" x14ac:dyDescent="0.35">
      <c r="A1900" t="s">
        <v>111</v>
      </c>
      <c r="B1900" t="s">
        <v>494</v>
      </c>
      <c r="C1900" t="s">
        <v>720</v>
      </c>
      <c r="D1900">
        <v>0.59</v>
      </c>
      <c r="F1900" t="s">
        <v>1483</v>
      </c>
      <c r="H1900" t="s">
        <v>3654</v>
      </c>
      <c r="I1900" t="s">
        <v>4919</v>
      </c>
      <c r="K1900" t="s">
        <v>5037</v>
      </c>
      <c r="L1900" t="s">
        <v>5039</v>
      </c>
    </row>
    <row r="1901" spans="1:12" x14ac:dyDescent="0.35">
      <c r="A1901" t="s">
        <v>111</v>
      </c>
      <c r="B1901" t="s">
        <v>494</v>
      </c>
      <c r="C1901" t="s">
        <v>874</v>
      </c>
      <c r="D1901">
        <v>0.59</v>
      </c>
      <c r="F1901" t="s">
        <v>1483</v>
      </c>
      <c r="H1901" t="s">
        <v>3655</v>
      </c>
      <c r="I1901" t="s">
        <v>1752</v>
      </c>
      <c r="K1901" t="s">
        <v>5037</v>
      </c>
      <c r="L1901" t="s">
        <v>5039</v>
      </c>
    </row>
    <row r="1902" spans="1:12" x14ac:dyDescent="0.35">
      <c r="A1902" t="s">
        <v>111</v>
      </c>
      <c r="B1902" t="s">
        <v>494</v>
      </c>
      <c r="C1902" t="s">
        <v>720</v>
      </c>
      <c r="D1902">
        <v>0.71</v>
      </c>
      <c r="F1902" t="s">
        <v>1941</v>
      </c>
      <c r="H1902" t="s">
        <v>3656</v>
      </c>
      <c r="I1902" t="s">
        <v>4919</v>
      </c>
      <c r="K1902" t="s">
        <v>5037</v>
      </c>
      <c r="L1902" t="s">
        <v>5039</v>
      </c>
    </row>
    <row r="1903" spans="1:12" x14ac:dyDescent="0.35">
      <c r="A1903" t="s">
        <v>111</v>
      </c>
      <c r="B1903" t="s">
        <v>494</v>
      </c>
      <c r="C1903" t="s">
        <v>874</v>
      </c>
      <c r="D1903">
        <v>0.71</v>
      </c>
      <c r="F1903" t="s">
        <v>1941</v>
      </c>
      <c r="H1903" t="s">
        <v>3657</v>
      </c>
      <c r="I1903" t="s">
        <v>1705</v>
      </c>
      <c r="K1903" t="s">
        <v>5037</v>
      </c>
      <c r="L1903" t="s">
        <v>5039</v>
      </c>
    </row>
    <row r="1904" spans="1:12" x14ac:dyDescent="0.35">
      <c r="A1904" t="s">
        <v>111</v>
      </c>
      <c r="B1904" t="s">
        <v>494</v>
      </c>
      <c r="C1904" t="s">
        <v>720</v>
      </c>
      <c r="D1904">
        <v>0.63</v>
      </c>
      <c r="F1904" t="s">
        <v>1931</v>
      </c>
      <c r="H1904" t="s">
        <v>3658</v>
      </c>
      <c r="I1904" t="s">
        <v>4919</v>
      </c>
      <c r="K1904" t="s">
        <v>5037</v>
      </c>
      <c r="L1904" t="s">
        <v>5039</v>
      </c>
    </row>
    <row r="1905" spans="1:12" x14ac:dyDescent="0.35">
      <c r="A1905" t="s">
        <v>111</v>
      </c>
      <c r="B1905" t="s">
        <v>494</v>
      </c>
      <c r="C1905" t="s">
        <v>874</v>
      </c>
      <c r="D1905">
        <v>0.63</v>
      </c>
      <c r="F1905" t="s">
        <v>1931</v>
      </c>
      <c r="H1905" t="s">
        <v>3659</v>
      </c>
      <c r="I1905" t="s">
        <v>1705</v>
      </c>
      <c r="K1905" t="s">
        <v>5037</v>
      </c>
      <c r="L1905" t="s">
        <v>5039</v>
      </c>
    </row>
    <row r="1906" spans="1:12" x14ac:dyDescent="0.35">
      <c r="A1906" t="s">
        <v>111</v>
      </c>
      <c r="B1906" t="s">
        <v>494</v>
      </c>
      <c r="C1906" t="s">
        <v>708</v>
      </c>
      <c r="D1906">
        <v>0.76</v>
      </c>
      <c r="F1906" t="s">
        <v>1750</v>
      </c>
      <c r="H1906" t="s">
        <v>3660</v>
      </c>
      <c r="I1906" t="s">
        <v>4919</v>
      </c>
      <c r="K1906" t="s">
        <v>5037</v>
      </c>
      <c r="L1906" t="s">
        <v>5039</v>
      </c>
    </row>
    <row r="1907" spans="1:12" x14ac:dyDescent="0.35">
      <c r="A1907" t="s">
        <v>111</v>
      </c>
      <c r="B1907" t="s">
        <v>494</v>
      </c>
      <c r="C1907" t="s">
        <v>874</v>
      </c>
      <c r="D1907">
        <v>0.76</v>
      </c>
      <c r="F1907" t="s">
        <v>1750</v>
      </c>
      <c r="H1907" t="s">
        <v>3661</v>
      </c>
      <c r="I1907" t="s">
        <v>1752</v>
      </c>
      <c r="K1907" t="s">
        <v>5037</v>
      </c>
      <c r="L1907" t="s">
        <v>5039</v>
      </c>
    </row>
    <row r="1908" spans="1:12" x14ac:dyDescent="0.35">
      <c r="A1908" t="s">
        <v>111</v>
      </c>
      <c r="B1908" t="s">
        <v>494</v>
      </c>
      <c r="C1908" t="s">
        <v>708</v>
      </c>
      <c r="D1908">
        <v>7.89</v>
      </c>
      <c r="F1908" t="s">
        <v>2084</v>
      </c>
      <c r="H1908" t="s">
        <v>3654</v>
      </c>
      <c r="I1908" t="s">
        <v>4919</v>
      </c>
      <c r="K1908" t="s">
        <v>5037</v>
      </c>
      <c r="L1908" t="s">
        <v>5039</v>
      </c>
    </row>
    <row r="1909" spans="1:12" x14ac:dyDescent="0.35">
      <c r="A1909" t="s">
        <v>111</v>
      </c>
      <c r="B1909" t="s">
        <v>494</v>
      </c>
      <c r="C1909" t="s">
        <v>874</v>
      </c>
      <c r="D1909">
        <v>7.89</v>
      </c>
      <c r="F1909" t="s">
        <v>2084</v>
      </c>
      <c r="H1909" t="s">
        <v>3662</v>
      </c>
      <c r="I1909" t="s">
        <v>1752</v>
      </c>
      <c r="K1909" t="s">
        <v>5037</v>
      </c>
      <c r="L1909" t="s">
        <v>5039</v>
      </c>
    </row>
    <row r="1910" spans="1:12" x14ac:dyDescent="0.35">
      <c r="A1910" t="s">
        <v>111</v>
      </c>
      <c r="B1910" t="s">
        <v>494</v>
      </c>
      <c r="C1910" t="s">
        <v>720</v>
      </c>
      <c r="D1910">
        <v>0.68</v>
      </c>
      <c r="F1910" t="s">
        <v>1735</v>
      </c>
      <c r="H1910" t="s">
        <v>3663</v>
      </c>
      <c r="I1910" t="s">
        <v>4919</v>
      </c>
      <c r="K1910" t="s">
        <v>5037</v>
      </c>
      <c r="L1910" t="s">
        <v>5039</v>
      </c>
    </row>
    <row r="1911" spans="1:12" x14ac:dyDescent="0.35">
      <c r="A1911" t="s">
        <v>111</v>
      </c>
      <c r="B1911" t="s">
        <v>494</v>
      </c>
      <c r="C1911" t="s">
        <v>874</v>
      </c>
      <c r="D1911">
        <v>0.68</v>
      </c>
      <c r="F1911" t="s">
        <v>1735</v>
      </c>
      <c r="H1911" t="s">
        <v>3664</v>
      </c>
      <c r="I1911" t="s">
        <v>1705</v>
      </c>
      <c r="K1911" t="s">
        <v>5037</v>
      </c>
      <c r="L1911" t="s">
        <v>5039</v>
      </c>
    </row>
    <row r="1912" spans="1:12" x14ac:dyDescent="0.35">
      <c r="A1912" t="s">
        <v>111</v>
      </c>
      <c r="B1912" t="s">
        <v>494</v>
      </c>
      <c r="C1912" t="s">
        <v>874</v>
      </c>
      <c r="D1912">
        <v>1.35</v>
      </c>
      <c r="F1912" t="s">
        <v>2085</v>
      </c>
      <c r="H1912" t="s">
        <v>3665</v>
      </c>
      <c r="I1912" t="s">
        <v>1752</v>
      </c>
      <c r="K1912" t="s">
        <v>5037</v>
      </c>
      <c r="L1912" t="s">
        <v>5039</v>
      </c>
    </row>
    <row r="1913" spans="1:12" x14ac:dyDescent="0.35">
      <c r="A1913" t="s">
        <v>111</v>
      </c>
      <c r="B1913" t="s">
        <v>494</v>
      </c>
      <c r="C1913" t="s">
        <v>874</v>
      </c>
      <c r="D1913">
        <v>1.22</v>
      </c>
      <c r="F1913" t="s">
        <v>1959</v>
      </c>
      <c r="H1913" t="s">
        <v>3666</v>
      </c>
      <c r="I1913" t="s">
        <v>1752</v>
      </c>
      <c r="K1913" t="s">
        <v>5037</v>
      </c>
      <c r="L1913" t="s">
        <v>5039</v>
      </c>
    </row>
    <row r="1914" spans="1:12" x14ac:dyDescent="0.35">
      <c r="A1914" t="s">
        <v>111</v>
      </c>
      <c r="B1914" t="s">
        <v>494</v>
      </c>
      <c r="C1914" t="s">
        <v>874</v>
      </c>
      <c r="D1914">
        <v>1.42</v>
      </c>
      <c r="F1914" t="s">
        <v>1865</v>
      </c>
      <c r="H1914" t="s">
        <v>3667</v>
      </c>
      <c r="I1914" t="s">
        <v>1752</v>
      </c>
      <c r="K1914" t="s">
        <v>5037</v>
      </c>
      <c r="L1914" t="s">
        <v>5039</v>
      </c>
    </row>
    <row r="1915" spans="1:12" x14ac:dyDescent="0.35">
      <c r="A1915" t="s">
        <v>111</v>
      </c>
      <c r="B1915" t="s">
        <v>494</v>
      </c>
      <c r="C1915" t="s">
        <v>874</v>
      </c>
      <c r="D1915">
        <v>1.58</v>
      </c>
      <c r="F1915" t="s">
        <v>2086</v>
      </c>
      <c r="H1915" t="s">
        <v>3668</v>
      </c>
      <c r="I1915" t="s">
        <v>1752</v>
      </c>
      <c r="K1915" t="s">
        <v>5037</v>
      </c>
      <c r="L1915" t="s">
        <v>5039</v>
      </c>
    </row>
    <row r="1916" spans="1:12" x14ac:dyDescent="0.35">
      <c r="A1916" t="s">
        <v>111</v>
      </c>
      <c r="B1916" t="s">
        <v>494</v>
      </c>
      <c r="C1916" t="s">
        <v>874</v>
      </c>
      <c r="D1916">
        <v>1.55</v>
      </c>
      <c r="F1916" t="s">
        <v>1726</v>
      </c>
      <c r="H1916" t="s">
        <v>3669</v>
      </c>
      <c r="I1916" t="s">
        <v>1752</v>
      </c>
      <c r="K1916" t="s">
        <v>5037</v>
      </c>
      <c r="L1916" t="s">
        <v>5039</v>
      </c>
    </row>
    <row r="1917" spans="1:12" x14ac:dyDescent="0.35">
      <c r="A1917" t="s">
        <v>111</v>
      </c>
      <c r="B1917" t="s">
        <v>494</v>
      </c>
      <c r="C1917" t="s">
        <v>874</v>
      </c>
      <c r="D1917">
        <v>1.46</v>
      </c>
      <c r="F1917" t="s">
        <v>1756</v>
      </c>
      <c r="H1917" t="s">
        <v>3670</v>
      </c>
      <c r="I1917" t="s">
        <v>1752</v>
      </c>
      <c r="K1917" t="s">
        <v>5037</v>
      </c>
      <c r="L1917" t="s">
        <v>5039</v>
      </c>
    </row>
    <row r="1918" spans="1:12" x14ac:dyDescent="0.35">
      <c r="A1918" t="s">
        <v>111</v>
      </c>
      <c r="B1918" t="s">
        <v>494</v>
      </c>
      <c r="C1918" t="s">
        <v>874</v>
      </c>
      <c r="D1918">
        <v>1.61</v>
      </c>
      <c r="F1918" t="s">
        <v>2087</v>
      </c>
      <c r="H1918" t="s">
        <v>3671</v>
      </c>
      <c r="I1918" t="s">
        <v>1752</v>
      </c>
      <c r="K1918" t="s">
        <v>5037</v>
      </c>
      <c r="L1918" t="s">
        <v>5039</v>
      </c>
    </row>
    <row r="1919" spans="1:12" x14ac:dyDescent="0.35">
      <c r="A1919" t="s">
        <v>111</v>
      </c>
      <c r="B1919" t="s">
        <v>494</v>
      </c>
      <c r="C1919" t="s">
        <v>874</v>
      </c>
      <c r="D1919">
        <v>1.26</v>
      </c>
      <c r="F1919" t="s">
        <v>2020</v>
      </c>
      <c r="H1919" t="s">
        <v>3672</v>
      </c>
      <c r="I1919" t="s">
        <v>1752</v>
      </c>
      <c r="K1919" t="s">
        <v>5037</v>
      </c>
      <c r="L1919" t="s">
        <v>5039</v>
      </c>
    </row>
    <row r="1920" spans="1:12" x14ac:dyDescent="0.35">
      <c r="A1920" t="s">
        <v>111</v>
      </c>
      <c r="B1920" t="s">
        <v>494</v>
      </c>
      <c r="C1920" t="s">
        <v>874</v>
      </c>
      <c r="D1920">
        <v>1.51</v>
      </c>
      <c r="F1920" t="s">
        <v>1917</v>
      </c>
      <c r="H1920" t="s">
        <v>3673</v>
      </c>
      <c r="I1920" t="s">
        <v>1752</v>
      </c>
      <c r="K1920" t="s">
        <v>5037</v>
      </c>
      <c r="L1920" t="s">
        <v>5039</v>
      </c>
    </row>
    <row r="1921" spans="1:12" x14ac:dyDescent="0.35">
      <c r="A1921" t="s">
        <v>111</v>
      </c>
      <c r="B1921" t="s">
        <v>494</v>
      </c>
      <c r="C1921" t="s">
        <v>708</v>
      </c>
      <c r="D1921">
        <v>8.4499999999999993</v>
      </c>
      <c r="F1921" t="s">
        <v>2088</v>
      </c>
      <c r="H1921" t="s">
        <v>3656</v>
      </c>
      <c r="I1921" t="s">
        <v>4919</v>
      </c>
      <c r="K1921" t="s">
        <v>5037</v>
      </c>
      <c r="L1921" t="s">
        <v>5039</v>
      </c>
    </row>
    <row r="1922" spans="1:12" x14ac:dyDescent="0.35">
      <c r="A1922" t="s">
        <v>111</v>
      </c>
      <c r="B1922" t="s">
        <v>494</v>
      </c>
      <c r="C1922" t="s">
        <v>874</v>
      </c>
      <c r="D1922">
        <v>8.4499999999999993</v>
      </c>
      <c r="F1922" t="s">
        <v>2088</v>
      </c>
      <c r="H1922" t="s">
        <v>3674</v>
      </c>
      <c r="I1922" t="s">
        <v>1705</v>
      </c>
      <c r="K1922" t="s">
        <v>5037</v>
      </c>
      <c r="L1922" t="s">
        <v>5039</v>
      </c>
    </row>
    <row r="1923" spans="1:12" x14ac:dyDescent="0.35">
      <c r="A1923" t="s">
        <v>111</v>
      </c>
      <c r="B1923" t="s">
        <v>494</v>
      </c>
      <c r="C1923" t="s">
        <v>708</v>
      </c>
      <c r="D1923">
        <v>8.0299999999999994</v>
      </c>
      <c r="F1923" t="s">
        <v>2089</v>
      </c>
      <c r="H1923" t="s">
        <v>3658</v>
      </c>
      <c r="I1923" t="s">
        <v>4919</v>
      </c>
      <c r="K1923" t="s">
        <v>5037</v>
      </c>
      <c r="L1923" t="s">
        <v>5039</v>
      </c>
    </row>
    <row r="1924" spans="1:12" x14ac:dyDescent="0.35">
      <c r="A1924" t="s">
        <v>111</v>
      </c>
      <c r="B1924" t="s">
        <v>494</v>
      </c>
      <c r="C1924" t="s">
        <v>874</v>
      </c>
      <c r="D1924">
        <v>8.0299999999999994</v>
      </c>
      <c r="F1924" t="s">
        <v>2089</v>
      </c>
      <c r="H1924" t="s">
        <v>3675</v>
      </c>
      <c r="I1924" t="s">
        <v>1705</v>
      </c>
      <c r="K1924" t="s">
        <v>5037</v>
      </c>
      <c r="L1924" t="s">
        <v>5039</v>
      </c>
    </row>
    <row r="1925" spans="1:12" x14ac:dyDescent="0.35">
      <c r="A1925" t="s">
        <v>111</v>
      </c>
      <c r="B1925" t="s">
        <v>494</v>
      </c>
      <c r="C1925" t="s">
        <v>708</v>
      </c>
      <c r="D1925">
        <v>8.67</v>
      </c>
      <c r="F1925" t="s">
        <v>2090</v>
      </c>
      <c r="H1925" t="s">
        <v>3663</v>
      </c>
      <c r="I1925" t="s">
        <v>4919</v>
      </c>
      <c r="K1925" t="s">
        <v>5037</v>
      </c>
      <c r="L1925" t="s">
        <v>5039</v>
      </c>
    </row>
    <row r="1926" spans="1:12" x14ac:dyDescent="0.35">
      <c r="A1926" t="s">
        <v>111</v>
      </c>
      <c r="B1926" t="s">
        <v>494</v>
      </c>
      <c r="C1926" t="s">
        <v>874</v>
      </c>
      <c r="D1926">
        <v>8.67</v>
      </c>
      <c r="F1926" t="s">
        <v>2090</v>
      </c>
      <c r="H1926" t="s">
        <v>3676</v>
      </c>
      <c r="I1926" t="s">
        <v>1705</v>
      </c>
      <c r="K1926" t="s">
        <v>5037</v>
      </c>
      <c r="L1926" t="s">
        <v>5039</v>
      </c>
    </row>
    <row r="1927" spans="1:12" x14ac:dyDescent="0.35">
      <c r="A1927" t="s">
        <v>111</v>
      </c>
      <c r="B1927" t="s">
        <v>494</v>
      </c>
      <c r="C1927" t="s">
        <v>720</v>
      </c>
      <c r="D1927">
        <v>10.27</v>
      </c>
      <c r="F1927" t="s">
        <v>2091</v>
      </c>
      <c r="H1927" t="s">
        <v>3660</v>
      </c>
      <c r="I1927" t="s">
        <v>4919</v>
      </c>
      <c r="K1927" t="s">
        <v>5037</v>
      </c>
      <c r="L1927" t="s">
        <v>5039</v>
      </c>
    </row>
    <row r="1928" spans="1:12" x14ac:dyDescent="0.35">
      <c r="A1928" t="s">
        <v>111</v>
      </c>
      <c r="B1928" t="s">
        <v>494</v>
      </c>
      <c r="C1928" t="s">
        <v>874</v>
      </c>
      <c r="D1928">
        <v>10.27</v>
      </c>
      <c r="F1928" t="s">
        <v>2091</v>
      </c>
      <c r="H1928" t="s">
        <v>3677</v>
      </c>
      <c r="I1928" t="s">
        <v>1752</v>
      </c>
      <c r="K1928" t="s">
        <v>5037</v>
      </c>
      <c r="L1928" t="s">
        <v>5039</v>
      </c>
    </row>
    <row r="1929" spans="1:12" x14ac:dyDescent="0.35">
      <c r="A1929" t="s">
        <v>111</v>
      </c>
      <c r="B1929" t="s">
        <v>179</v>
      </c>
      <c r="C1929" t="s">
        <v>817</v>
      </c>
      <c r="D1929">
        <v>1.5E-6</v>
      </c>
      <c r="F1929" t="s">
        <v>2092</v>
      </c>
      <c r="H1929" t="s">
        <v>3678</v>
      </c>
      <c r="I1929" t="s">
        <v>4904</v>
      </c>
      <c r="K1929" t="s">
        <v>5037</v>
      </c>
      <c r="L1929" t="s">
        <v>5039</v>
      </c>
    </row>
    <row r="1930" spans="1:12" x14ac:dyDescent="0.35">
      <c r="A1930" t="s">
        <v>111</v>
      </c>
      <c r="B1930" t="s">
        <v>179</v>
      </c>
      <c r="C1930" t="s">
        <v>817</v>
      </c>
      <c r="D1930">
        <v>1.7999999999999999E-6</v>
      </c>
      <c r="F1930" t="s">
        <v>2093</v>
      </c>
      <c r="H1930" t="s">
        <v>3679</v>
      </c>
      <c r="I1930" t="s">
        <v>4904</v>
      </c>
      <c r="K1930" t="s">
        <v>5037</v>
      </c>
      <c r="L1930" t="s">
        <v>5039</v>
      </c>
    </row>
    <row r="1931" spans="1:12" x14ac:dyDescent="0.35">
      <c r="A1931" t="s">
        <v>111</v>
      </c>
      <c r="B1931" t="s">
        <v>179</v>
      </c>
      <c r="C1931" t="s">
        <v>800</v>
      </c>
      <c r="D1931">
        <v>2.9999999999999999E-7</v>
      </c>
      <c r="F1931" t="s">
        <v>2094</v>
      </c>
      <c r="H1931" t="s">
        <v>3680</v>
      </c>
      <c r="I1931" t="s">
        <v>4904</v>
      </c>
      <c r="K1931" t="s">
        <v>5037</v>
      </c>
      <c r="L1931" t="s">
        <v>5039</v>
      </c>
    </row>
    <row r="1932" spans="1:12" x14ac:dyDescent="0.35">
      <c r="A1932" t="s">
        <v>111</v>
      </c>
      <c r="B1932" t="s">
        <v>489</v>
      </c>
      <c r="C1932" t="s">
        <v>708</v>
      </c>
      <c r="D1932">
        <v>0.3</v>
      </c>
      <c r="F1932" t="s">
        <v>1401</v>
      </c>
      <c r="H1932" t="s">
        <v>3681</v>
      </c>
      <c r="I1932" t="s">
        <v>2323</v>
      </c>
      <c r="K1932" t="s">
        <v>5037</v>
      </c>
      <c r="L1932" t="s">
        <v>5039</v>
      </c>
    </row>
    <row r="1933" spans="1:12" x14ac:dyDescent="0.35">
      <c r="A1933" t="s">
        <v>111</v>
      </c>
      <c r="B1933" t="s">
        <v>489</v>
      </c>
      <c r="C1933" t="s">
        <v>829</v>
      </c>
      <c r="D1933">
        <v>2.5999999999999999E-3</v>
      </c>
      <c r="F1933" t="s">
        <v>1592</v>
      </c>
      <c r="H1933" t="s">
        <v>3682</v>
      </c>
      <c r="I1933" t="s">
        <v>2323</v>
      </c>
      <c r="K1933" t="s">
        <v>5037</v>
      </c>
      <c r="L1933" t="s">
        <v>5039</v>
      </c>
    </row>
    <row r="1934" spans="1:12" x14ac:dyDescent="0.35">
      <c r="A1934" t="s">
        <v>111</v>
      </c>
      <c r="B1934" t="s">
        <v>489</v>
      </c>
      <c r="C1934" t="s">
        <v>720</v>
      </c>
      <c r="D1934">
        <v>2.2000000000000001E-3</v>
      </c>
      <c r="F1934" t="s">
        <v>2095</v>
      </c>
      <c r="H1934" t="s">
        <v>3682</v>
      </c>
      <c r="I1934" t="s">
        <v>2323</v>
      </c>
      <c r="K1934" t="s">
        <v>5037</v>
      </c>
      <c r="L1934" t="s">
        <v>5039</v>
      </c>
    </row>
    <row r="1935" spans="1:12" x14ac:dyDescent="0.35">
      <c r="A1935" t="s">
        <v>111</v>
      </c>
      <c r="B1935" t="s">
        <v>489</v>
      </c>
      <c r="C1935" t="s">
        <v>817</v>
      </c>
      <c r="D1935">
        <v>0.38600000000000001</v>
      </c>
      <c r="F1935" t="s">
        <v>2096</v>
      </c>
      <c r="H1935" t="s">
        <v>3683</v>
      </c>
      <c r="I1935" t="s">
        <v>2323</v>
      </c>
      <c r="K1935" t="s">
        <v>5037</v>
      </c>
      <c r="L1935" t="s">
        <v>5039</v>
      </c>
    </row>
    <row r="1936" spans="1:12" x14ac:dyDescent="0.35">
      <c r="A1936" t="s">
        <v>111</v>
      </c>
      <c r="B1936" t="s">
        <v>489</v>
      </c>
      <c r="C1936" t="s">
        <v>835</v>
      </c>
      <c r="D1936">
        <v>0.35399999999999998</v>
      </c>
      <c r="F1936" t="s">
        <v>2097</v>
      </c>
      <c r="H1936" t="s">
        <v>3683</v>
      </c>
      <c r="I1936" t="s">
        <v>2323</v>
      </c>
      <c r="K1936" t="s">
        <v>5037</v>
      </c>
      <c r="L1936" t="s">
        <v>5039</v>
      </c>
    </row>
    <row r="1937" spans="1:12" x14ac:dyDescent="0.35">
      <c r="A1937" t="s">
        <v>111</v>
      </c>
      <c r="B1937" t="s">
        <v>489</v>
      </c>
      <c r="C1937" t="s">
        <v>835</v>
      </c>
      <c r="D1937">
        <v>0.12</v>
      </c>
      <c r="F1937" t="s">
        <v>1473</v>
      </c>
      <c r="H1937" t="s">
        <v>3684</v>
      </c>
      <c r="I1937" t="s">
        <v>2323</v>
      </c>
      <c r="K1937" t="s">
        <v>5037</v>
      </c>
      <c r="L1937" t="s">
        <v>5039</v>
      </c>
    </row>
    <row r="1938" spans="1:12" x14ac:dyDescent="0.35">
      <c r="A1938" t="s">
        <v>111</v>
      </c>
      <c r="B1938" t="s">
        <v>489</v>
      </c>
      <c r="C1938" t="s">
        <v>708</v>
      </c>
      <c r="D1938">
        <v>0.43</v>
      </c>
      <c r="F1938" t="s">
        <v>1441</v>
      </c>
      <c r="H1938" t="s">
        <v>3685</v>
      </c>
      <c r="I1938" t="s">
        <v>2323</v>
      </c>
      <c r="K1938" t="s">
        <v>5037</v>
      </c>
      <c r="L1938" t="s">
        <v>5039</v>
      </c>
    </row>
    <row r="1939" spans="1:12" x14ac:dyDescent="0.35">
      <c r="A1939" t="s">
        <v>111</v>
      </c>
      <c r="B1939" t="s">
        <v>489</v>
      </c>
      <c r="C1939" t="s">
        <v>817</v>
      </c>
      <c r="D1939">
        <v>4.2999999999999997E-2</v>
      </c>
      <c r="F1939" t="s">
        <v>1437</v>
      </c>
      <c r="H1939" t="s">
        <v>3684</v>
      </c>
      <c r="I1939" t="s">
        <v>2323</v>
      </c>
      <c r="K1939" t="s">
        <v>5037</v>
      </c>
      <c r="L1939" t="s">
        <v>5039</v>
      </c>
    </row>
    <row r="1940" spans="1:12" x14ac:dyDescent="0.35">
      <c r="A1940" t="s">
        <v>111</v>
      </c>
      <c r="B1940" t="s">
        <v>489</v>
      </c>
      <c r="C1940" t="s">
        <v>829</v>
      </c>
      <c r="D1940">
        <v>1.83E-3</v>
      </c>
      <c r="F1940" t="s">
        <v>2098</v>
      </c>
      <c r="H1940" t="s">
        <v>3685</v>
      </c>
      <c r="I1940" t="s">
        <v>2323</v>
      </c>
      <c r="K1940" t="s">
        <v>5037</v>
      </c>
      <c r="L1940" t="s">
        <v>5039</v>
      </c>
    </row>
    <row r="1941" spans="1:12" x14ac:dyDescent="0.35">
      <c r="A1941" t="s">
        <v>111</v>
      </c>
      <c r="B1941" t="s">
        <v>489</v>
      </c>
      <c r="C1941" t="s">
        <v>720</v>
      </c>
      <c r="D1941">
        <v>2.14E-3</v>
      </c>
      <c r="F1941" t="s">
        <v>2099</v>
      </c>
      <c r="H1941" t="s">
        <v>3685</v>
      </c>
      <c r="I1941" t="s">
        <v>2323</v>
      </c>
      <c r="K1941" t="s">
        <v>5037</v>
      </c>
      <c r="L1941" t="s">
        <v>5039</v>
      </c>
    </row>
    <row r="1942" spans="1:12" x14ac:dyDescent="0.35">
      <c r="A1942" t="s">
        <v>111</v>
      </c>
      <c r="B1942" t="s">
        <v>489</v>
      </c>
      <c r="C1942" t="s">
        <v>829</v>
      </c>
      <c r="D1942">
        <v>7.8E-2</v>
      </c>
      <c r="F1942" t="s">
        <v>1649</v>
      </c>
      <c r="H1942" t="s">
        <v>3686</v>
      </c>
      <c r="I1942" t="s">
        <v>2323</v>
      </c>
      <c r="K1942" t="s">
        <v>5037</v>
      </c>
      <c r="L1942" t="s">
        <v>5039</v>
      </c>
    </row>
    <row r="1943" spans="1:12" x14ac:dyDescent="0.35">
      <c r="A1943" t="s">
        <v>111</v>
      </c>
      <c r="B1943" t="s">
        <v>489</v>
      </c>
      <c r="C1943" t="s">
        <v>817</v>
      </c>
      <c r="D1943">
        <v>0.435</v>
      </c>
      <c r="F1943" t="s">
        <v>2100</v>
      </c>
      <c r="H1943" t="s">
        <v>3687</v>
      </c>
      <c r="I1943" t="s">
        <v>2323</v>
      </c>
      <c r="K1943" t="s">
        <v>5037</v>
      </c>
      <c r="L1943" t="s">
        <v>5039</v>
      </c>
    </row>
    <row r="1944" spans="1:12" x14ac:dyDescent="0.35">
      <c r="A1944" t="s">
        <v>111</v>
      </c>
      <c r="B1944" t="s">
        <v>489</v>
      </c>
      <c r="C1944" t="s">
        <v>720</v>
      </c>
      <c r="D1944">
        <v>2.18E-2</v>
      </c>
      <c r="F1944" t="s">
        <v>2101</v>
      </c>
      <c r="H1944" t="s">
        <v>3686</v>
      </c>
      <c r="I1944" t="s">
        <v>2323</v>
      </c>
      <c r="K1944" t="s">
        <v>5037</v>
      </c>
      <c r="L1944" t="s">
        <v>5039</v>
      </c>
    </row>
    <row r="1945" spans="1:12" x14ac:dyDescent="0.35">
      <c r="A1945" t="s">
        <v>111</v>
      </c>
      <c r="B1945" t="s">
        <v>489</v>
      </c>
      <c r="C1945" t="s">
        <v>835</v>
      </c>
      <c r="D1945">
        <v>0.33800000000000002</v>
      </c>
      <c r="F1945" t="s">
        <v>2102</v>
      </c>
      <c r="H1945" t="s">
        <v>3687</v>
      </c>
      <c r="I1945" t="s">
        <v>2323</v>
      </c>
      <c r="K1945" t="s">
        <v>5037</v>
      </c>
      <c r="L1945" t="s">
        <v>5039</v>
      </c>
    </row>
    <row r="1946" spans="1:12" x14ac:dyDescent="0.35">
      <c r="A1946" t="s">
        <v>111</v>
      </c>
      <c r="B1946" t="s">
        <v>380</v>
      </c>
      <c r="C1946" t="s">
        <v>875</v>
      </c>
      <c r="D1946">
        <v>0.11600000000000001</v>
      </c>
      <c r="F1946" t="s">
        <v>1616</v>
      </c>
      <c r="H1946" t="s">
        <v>3688</v>
      </c>
      <c r="I1946" t="s">
        <v>4928</v>
      </c>
      <c r="K1946" t="s">
        <v>5037</v>
      </c>
      <c r="L1946" t="s">
        <v>5039</v>
      </c>
    </row>
    <row r="1947" spans="1:12" x14ac:dyDescent="0.35">
      <c r="A1947" t="s">
        <v>111</v>
      </c>
      <c r="B1947" t="s">
        <v>380</v>
      </c>
      <c r="C1947" t="s">
        <v>800</v>
      </c>
      <c r="D1947">
        <v>1.9900000000000001E-2</v>
      </c>
      <c r="F1947" t="s">
        <v>2103</v>
      </c>
      <c r="H1947" t="s">
        <v>3689</v>
      </c>
      <c r="I1947" t="s">
        <v>4928</v>
      </c>
      <c r="K1947" t="s">
        <v>5037</v>
      </c>
      <c r="L1947" t="s">
        <v>5039</v>
      </c>
    </row>
    <row r="1948" spans="1:12" x14ac:dyDescent="0.35">
      <c r="A1948" t="s">
        <v>111</v>
      </c>
      <c r="B1948" t="s">
        <v>380</v>
      </c>
      <c r="C1948" t="s">
        <v>876</v>
      </c>
      <c r="D1948">
        <v>0.46899999999999997</v>
      </c>
      <c r="F1948" t="s">
        <v>2104</v>
      </c>
      <c r="H1948" t="s">
        <v>3690</v>
      </c>
      <c r="I1948" t="s">
        <v>4928</v>
      </c>
      <c r="K1948" t="s">
        <v>5037</v>
      </c>
      <c r="L1948" t="s">
        <v>5039</v>
      </c>
    </row>
    <row r="1949" spans="1:12" x14ac:dyDescent="0.35">
      <c r="A1949" t="s">
        <v>111</v>
      </c>
      <c r="B1949" t="s">
        <v>490</v>
      </c>
      <c r="C1949" t="s">
        <v>169</v>
      </c>
      <c r="D1949">
        <v>2.2000000000000002</v>
      </c>
      <c r="F1949" t="s">
        <v>1417</v>
      </c>
      <c r="H1949" t="s">
        <v>3691</v>
      </c>
      <c r="I1949" t="s">
        <v>4892</v>
      </c>
      <c r="K1949" t="s">
        <v>5037</v>
      </c>
      <c r="L1949" t="s">
        <v>5039</v>
      </c>
    </row>
    <row r="1950" spans="1:12" x14ac:dyDescent="0.35">
      <c r="A1950" t="s">
        <v>111</v>
      </c>
      <c r="B1950" t="s">
        <v>490</v>
      </c>
      <c r="C1950" t="s">
        <v>720</v>
      </c>
      <c r="D1950">
        <v>7.4999999999999997E-2</v>
      </c>
      <c r="F1950" t="s">
        <v>1460</v>
      </c>
      <c r="H1950" t="s">
        <v>3691</v>
      </c>
      <c r="I1950" t="s">
        <v>4892</v>
      </c>
      <c r="K1950" t="s">
        <v>5037</v>
      </c>
      <c r="L1950" t="s">
        <v>5039</v>
      </c>
    </row>
    <row r="1951" spans="1:12" x14ac:dyDescent="0.35">
      <c r="A1951" t="s">
        <v>111</v>
      </c>
      <c r="B1951" t="s">
        <v>490</v>
      </c>
      <c r="C1951" t="s">
        <v>828</v>
      </c>
      <c r="D1951">
        <v>10.8</v>
      </c>
      <c r="F1951" t="s">
        <v>1699</v>
      </c>
      <c r="H1951" t="s">
        <v>3691</v>
      </c>
      <c r="I1951" t="s">
        <v>4892</v>
      </c>
      <c r="K1951" t="s">
        <v>5037</v>
      </c>
      <c r="L1951" t="s">
        <v>5039</v>
      </c>
    </row>
    <row r="1952" spans="1:12" x14ac:dyDescent="0.35">
      <c r="A1952" t="s">
        <v>111</v>
      </c>
      <c r="B1952" t="s">
        <v>319</v>
      </c>
      <c r="C1952" t="s">
        <v>877</v>
      </c>
      <c r="D1952">
        <v>0.3</v>
      </c>
      <c r="F1952" t="s">
        <v>1401</v>
      </c>
      <c r="H1952" t="s">
        <v>3692</v>
      </c>
      <c r="I1952" t="s">
        <v>4907</v>
      </c>
      <c r="K1952" t="s">
        <v>5037</v>
      </c>
      <c r="L1952" t="s">
        <v>5039</v>
      </c>
    </row>
    <row r="1953" spans="1:12" x14ac:dyDescent="0.35">
      <c r="A1953" t="s">
        <v>111</v>
      </c>
      <c r="B1953" t="s">
        <v>319</v>
      </c>
      <c r="C1953" t="s">
        <v>878</v>
      </c>
      <c r="D1953">
        <v>6</v>
      </c>
      <c r="F1953" t="s">
        <v>1766</v>
      </c>
      <c r="H1953" t="s">
        <v>3692</v>
      </c>
      <c r="I1953" t="s">
        <v>4907</v>
      </c>
      <c r="K1953" t="s">
        <v>5037</v>
      </c>
      <c r="L1953" t="s">
        <v>5039</v>
      </c>
    </row>
    <row r="1954" spans="1:12" x14ac:dyDescent="0.35">
      <c r="A1954" t="s">
        <v>111</v>
      </c>
      <c r="B1954" t="s">
        <v>319</v>
      </c>
      <c r="C1954" t="s">
        <v>879</v>
      </c>
      <c r="D1954">
        <v>4.9000000000000004</v>
      </c>
      <c r="F1954" t="s">
        <v>1669</v>
      </c>
      <c r="H1954" t="s">
        <v>3692</v>
      </c>
      <c r="I1954" t="s">
        <v>4907</v>
      </c>
      <c r="K1954" t="s">
        <v>5037</v>
      </c>
      <c r="L1954" t="s">
        <v>5039</v>
      </c>
    </row>
    <row r="1955" spans="1:12" x14ac:dyDescent="0.35">
      <c r="A1955" t="s">
        <v>111</v>
      </c>
      <c r="B1955" t="s">
        <v>356</v>
      </c>
      <c r="C1955" t="s">
        <v>720</v>
      </c>
      <c r="D1955">
        <v>5.3900000000000003E-2</v>
      </c>
      <c r="F1955" t="s">
        <v>2105</v>
      </c>
      <c r="H1955" t="s">
        <v>3693</v>
      </c>
      <c r="I1955" t="s">
        <v>4853</v>
      </c>
      <c r="K1955" t="s">
        <v>5037</v>
      </c>
      <c r="L1955" t="s">
        <v>5039</v>
      </c>
    </row>
    <row r="1956" spans="1:12" x14ac:dyDescent="0.35">
      <c r="A1956" t="s">
        <v>111</v>
      </c>
      <c r="B1956" t="s">
        <v>356</v>
      </c>
      <c r="C1956" t="s">
        <v>832</v>
      </c>
      <c r="D1956">
        <v>1.855</v>
      </c>
      <c r="F1956" t="s">
        <v>2106</v>
      </c>
      <c r="H1956" t="s">
        <v>3693</v>
      </c>
      <c r="I1956" t="s">
        <v>4853</v>
      </c>
      <c r="K1956" t="s">
        <v>5037</v>
      </c>
      <c r="L1956" t="s">
        <v>5039</v>
      </c>
    </row>
    <row r="1957" spans="1:12" x14ac:dyDescent="0.35">
      <c r="A1957" t="s">
        <v>111</v>
      </c>
      <c r="B1957" t="s">
        <v>329</v>
      </c>
      <c r="C1957" t="s">
        <v>800</v>
      </c>
      <c r="D1957">
        <v>7.5999999999999998E-2</v>
      </c>
      <c r="F1957" t="s">
        <v>2107</v>
      </c>
      <c r="H1957" t="s">
        <v>3694</v>
      </c>
      <c r="I1957" t="s">
        <v>4928</v>
      </c>
      <c r="K1957" t="s">
        <v>5037</v>
      </c>
      <c r="L1957" t="s">
        <v>5039</v>
      </c>
    </row>
    <row r="1958" spans="1:12" x14ac:dyDescent="0.35">
      <c r="A1958" t="s">
        <v>111</v>
      </c>
      <c r="B1958" t="s">
        <v>329</v>
      </c>
      <c r="C1958" t="s">
        <v>875</v>
      </c>
      <c r="D1958">
        <v>0.105</v>
      </c>
      <c r="F1958" t="s">
        <v>1435</v>
      </c>
      <c r="H1958" t="s">
        <v>3688</v>
      </c>
      <c r="I1958" t="s">
        <v>4928</v>
      </c>
      <c r="K1958" t="s">
        <v>5037</v>
      </c>
      <c r="L1958" t="s">
        <v>5039</v>
      </c>
    </row>
    <row r="1959" spans="1:12" x14ac:dyDescent="0.35">
      <c r="A1959" t="s">
        <v>111</v>
      </c>
      <c r="B1959" t="s">
        <v>329</v>
      </c>
      <c r="C1959" t="s">
        <v>876</v>
      </c>
      <c r="D1959">
        <v>0.156</v>
      </c>
      <c r="F1959" t="s">
        <v>1925</v>
      </c>
      <c r="H1959" t="s">
        <v>3690</v>
      </c>
      <c r="I1959" t="s">
        <v>4928</v>
      </c>
      <c r="K1959" t="s">
        <v>5037</v>
      </c>
      <c r="L1959" t="s">
        <v>5039</v>
      </c>
    </row>
    <row r="1960" spans="1:12" x14ac:dyDescent="0.35">
      <c r="A1960" t="s">
        <v>111</v>
      </c>
      <c r="B1960" t="s">
        <v>490</v>
      </c>
      <c r="C1960" t="s">
        <v>828</v>
      </c>
      <c r="D1960">
        <v>5.7</v>
      </c>
      <c r="F1960" t="s">
        <v>1476</v>
      </c>
      <c r="H1960" t="s">
        <v>3695</v>
      </c>
      <c r="I1960" t="s">
        <v>4892</v>
      </c>
      <c r="K1960" t="s">
        <v>5037</v>
      </c>
      <c r="L1960" t="s">
        <v>5039</v>
      </c>
    </row>
    <row r="1961" spans="1:12" x14ac:dyDescent="0.35">
      <c r="A1961" t="s">
        <v>111</v>
      </c>
      <c r="B1961" t="s">
        <v>490</v>
      </c>
      <c r="C1961" t="s">
        <v>880</v>
      </c>
      <c r="D1961">
        <v>4.8</v>
      </c>
      <c r="F1961" t="s">
        <v>1567</v>
      </c>
      <c r="H1961" t="s">
        <v>3695</v>
      </c>
      <c r="I1961" t="s">
        <v>4892</v>
      </c>
      <c r="K1961" t="s">
        <v>5037</v>
      </c>
      <c r="L1961" t="s">
        <v>5039</v>
      </c>
    </row>
    <row r="1962" spans="1:12" x14ac:dyDescent="0.35">
      <c r="A1962" t="s">
        <v>111</v>
      </c>
      <c r="B1962" t="s">
        <v>490</v>
      </c>
      <c r="C1962" t="s">
        <v>720</v>
      </c>
      <c r="D1962">
        <v>6.1199999999999997E-2</v>
      </c>
      <c r="F1962" t="s">
        <v>2108</v>
      </c>
      <c r="H1962" t="s">
        <v>3695</v>
      </c>
      <c r="I1962" t="s">
        <v>4892</v>
      </c>
      <c r="K1962" t="s">
        <v>5037</v>
      </c>
      <c r="L1962" t="s">
        <v>5039</v>
      </c>
    </row>
    <row r="1963" spans="1:12" x14ac:dyDescent="0.35">
      <c r="A1963" t="s">
        <v>111</v>
      </c>
      <c r="B1963" t="s">
        <v>495</v>
      </c>
      <c r="C1963" t="s">
        <v>720</v>
      </c>
      <c r="D1963">
        <v>3.4000000000000002E-2</v>
      </c>
      <c r="F1963" t="s">
        <v>1323</v>
      </c>
      <c r="H1963" t="s">
        <v>3696</v>
      </c>
      <c r="I1963" t="s">
        <v>4929</v>
      </c>
      <c r="K1963" t="s">
        <v>5037</v>
      </c>
      <c r="L1963" t="s">
        <v>5039</v>
      </c>
    </row>
    <row r="1964" spans="1:12" x14ac:dyDescent="0.35">
      <c r="A1964" t="s">
        <v>111</v>
      </c>
      <c r="B1964" t="s">
        <v>495</v>
      </c>
      <c r="C1964" t="s">
        <v>881</v>
      </c>
      <c r="D1964">
        <v>1.6</v>
      </c>
      <c r="F1964" t="s">
        <v>1328</v>
      </c>
      <c r="H1964" t="s">
        <v>3696</v>
      </c>
      <c r="I1964" t="s">
        <v>4929</v>
      </c>
      <c r="K1964" t="s">
        <v>5037</v>
      </c>
      <c r="L1964" t="s">
        <v>5039</v>
      </c>
    </row>
    <row r="1965" spans="1:12" x14ac:dyDescent="0.35">
      <c r="A1965" t="s">
        <v>111</v>
      </c>
      <c r="B1965" t="s">
        <v>495</v>
      </c>
      <c r="C1965" t="s">
        <v>881</v>
      </c>
      <c r="D1965">
        <v>0.43</v>
      </c>
      <c r="F1965" t="s">
        <v>1441</v>
      </c>
      <c r="H1965" t="s">
        <v>3697</v>
      </c>
      <c r="I1965" t="s">
        <v>4929</v>
      </c>
      <c r="K1965" t="s">
        <v>5037</v>
      </c>
      <c r="L1965" t="s">
        <v>5039</v>
      </c>
    </row>
    <row r="1966" spans="1:12" x14ac:dyDescent="0.35">
      <c r="A1966" t="s">
        <v>111</v>
      </c>
      <c r="B1966" t="s">
        <v>495</v>
      </c>
      <c r="C1966" t="s">
        <v>720</v>
      </c>
      <c r="D1966">
        <v>2.8000000000000001E-2</v>
      </c>
      <c r="F1966" t="s">
        <v>2039</v>
      </c>
      <c r="H1966" t="s">
        <v>3697</v>
      </c>
      <c r="I1966" t="s">
        <v>4929</v>
      </c>
      <c r="K1966" t="s">
        <v>5037</v>
      </c>
      <c r="L1966" t="s">
        <v>5039</v>
      </c>
    </row>
    <row r="1967" spans="1:12" x14ac:dyDescent="0.35">
      <c r="A1967" t="s">
        <v>111</v>
      </c>
      <c r="B1967" t="s">
        <v>335</v>
      </c>
      <c r="C1967" t="s">
        <v>805</v>
      </c>
      <c r="D1967">
        <v>0.104</v>
      </c>
      <c r="F1967" t="s">
        <v>2109</v>
      </c>
      <c r="H1967" t="s">
        <v>3698</v>
      </c>
      <c r="I1967" t="s">
        <v>4855</v>
      </c>
      <c r="K1967" t="s">
        <v>5037</v>
      </c>
      <c r="L1967" t="s">
        <v>5039</v>
      </c>
    </row>
    <row r="1968" spans="1:12" x14ac:dyDescent="0.35">
      <c r="A1968" t="s">
        <v>111</v>
      </c>
      <c r="B1968" t="s">
        <v>335</v>
      </c>
      <c r="C1968" t="s">
        <v>800</v>
      </c>
      <c r="D1968">
        <v>0.11799999999999999</v>
      </c>
      <c r="F1968" t="s">
        <v>2110</v>
      </c>
      <c r="H1968" t="s">
        <v>3698</v>
      </c>
      <c r="I1968" t="s">
        <v>4855</v>
      </c>
      <c r="K1968" t="s">
        <v>5037</v>
      </c>
      <c r="L1968" t="s">
        <v>5039</v>
      </c>
    </row>
    <row r="1969" spans="1:12" x14ac:dyDescent="0.35">
      <c r="A1969" t="s">
        <v>111</v>
      </c>
      <c r="B1969" t="s">
        <v>335</v>
      </c>
      <c r="C1969" t="s">
        <v>800</v>
      </c>
      <c r="D1969">
        <v>0.52700000000000002</v>
      </c>
      <c r="F1969" t="s">
        <v>2111</v>
      </c>
      <c r="H1969" t="s">
        <v>3699</v>
      </c>
      <c r="I1969" t="s">
        <v>4855</v>
      </c>
      <c r="K1969" t="s">
        <v>5037</v>
      </c>
      <c r="L1969" t="s">
        <v>5039</v>
      </c>
    </row>
    <row r="1970" spans="1:12" x14ac:dyDescent="0.35">
      <c r="A1970" t="s">
        <v>111</v>
      </c>
      <c r="B1970" t="s">
        <v>335</v>
      </c>
      <c r="C1970" t="s">
        <v>805</v>
      </c>
      <c r="D1970">
        <v>0.188</v>
      </c>
      <c r="F1970" t="s">
        <v>2112</v>
      </c>
      <c r="H1970" t="s">
        <v>3699</v>
      </c>
      <c r="I1970" t="s">
        <v>4855</v>
      </c>
      <c r="K1970" t="s">
        <v>5037</v>
      </c>
      <c r="L1970" t="s">
        <v>5039</v>
      </c>
    </row>
    <row r="1971" spans="1:12" x14ac:dyDescent="0.35">
      <c r="A1971" t="s">
        <v>111</v>
      </c>
      <c r="B1971" t="s">
        <v>496</v>
      </c>
      <c r="C1971" t="s">
        <v>856</v>
      </c>
      <c r="D1971">
        <v>0.7</v>
      </c>
      <c r="F1971" t="s">
        <v>1378</v>
      </c>
      <c r="H1971" t="s">
        <v>3700</v>
      </c>
      <c r="I1971" t="s">
        <v>4930</v>
      </c>
      <c r="K1971" t="s">
        <v>5037</v>
      </c>
      <c r="L1971" t="s">
        <v>5039</v>
      </c>
    </row>
    <row r="1972" spans="1:12" x14ac:dyDescent="0.35">
      <c r="A1972" t="s">
        <v>111</v>
      </c>
      <c r="B1972" t="s">
        <v>496</v>
      </c>
      <c r="C1972" t="s">
        <v>863</v>
      </c>
      <c r="D1972">
        <v>1.4500000000000001E-2</v>
      </c>
      <c r="F1972" t="s">
        <v>2113</v>
      </c>
      <c r="H1972" t="s">
        <v>3700</v>
      </c>
      <c r="I1972" t="s">
        <v>4930</v>
      </c>
      <c r="K1972" t="s">
        <v>5037</v>
      </c>
      <c r="L1972" t="s">
        <v>5039</v>
      </c>
    </row>
    <row r="1973" spans="1:12" x14ac:dyDescent="0.35">
      <c r="A1973" t="s">
        <v>111</v>
      </c>
      <c r="B1973" t="s">
        <v>496</v>
      </c>
      <c r="C1973" t="s">
        <v>720</v>
      </c>
      <c r="D1973">
        <v>0.11600000000000001</v>
      </c>
      <c r="F1973" t="s">
        <v>1616</v>
      </c>
      <c r="H1973" t="s">
        <v>3700</v>
      </c>
      <c r="I1973" t="s">
        <v>4930</v>
      </c>
      <c r="K1973" t="s">
        <v>5037</v>
      </c>
      <c r="L1973" t="s">
        <v>5039</v>
      </c>
    </row>
    <row r="1974" spans="1:12" x14ac:dyDescent="0.35">
      <c r="A1974" t="s">
        <v>111</v>
      </c>
      <c r="B1974" t="s">
        <v>496</v>
      </c>
      <c r="C1974" t="s">
        <v>882</v>
      </c>
      <c r="D1974">
        <v>0.17599999999999999</v>
      </c>
      <c r="F1974" t="s">
        <v>2114</v>
      </c>
      <c r="H1974" t="s">
        <v>3700</v>
      </c>
      <c r="I1974" t="s">
        <v>4930</v>
      </c>
      <c r="K1974" t="s">
        <v>5037</v>
      </c>
      <c r="L1974" t="s">
        <v>5039</v>
      </c>
    </row>
    <row r="1975" spans="1:12" x14ac:dyDescent="0.35">
      <c r="A1975" t="s">
        <v>111</v>
      </c>
      <c r="B1975" t="s">
        <v>329</v>
      </c>
      <c r="C1975" t="s">
        <v>883</v>
      </c>
      <c r="D1975">
        <v>0.03</v>
      </c>
      <c r="F1975" t="s">
        <v>1266</v>
      </c>
      <c r="H1975" t="s">
        <v>3701</v>
      </c>
      <c r="I1975" t="s">
        <v>1353</v>
      </c>
      <c r="K1975" t="s">
        <v>5037</v>
      </c>
      <c r="L1975" t="s">
        <v>5039</v>
      </c>
    </row>
    <row r="1976" spans="1:12" x14ac:dyDescent="0.35">
      <c r="A1976" t="s">
        <v>111</v>
      </c>
      <c r="B1976" t="s">
        <v>329</v>
      </c>
      <c r="C1976" t="s">
        <v>853</v>
      </c>
      <c r="D1976">
        <v>0.05</v>
      </c>
      <c r="F1976" t="s">
        <v>1559</v>
      </c>
      <c r="H1976" t="s">
        <v>3701</v>
      </c>
      <c r="I1976" t="s">
        <v>1353</v>
      </c>
      <c r="K1976" t="s">
        <v>5037</v>
      </c>
      <c r="L1976" t="s">
        <v>5039</v>
      </c>
    </row>
    <row r="1977" spans="1:12" x14ac:dyDescent="0.35">
      <c r="A1977" t="s">
        <v>111</v>
      </c>
      <c r="B1977" t="s">
        <v>329</v>
      </c>
      <c r="C1977" t="s">
        <v>882</v>
      </c>
      <c r="D1977">
        <v>0.18</v>
      </c>
      <c r="F1977" t="s">
        <v>1531</v>
      </c>
      <c r="H1977" t="s">
        <v>3701</v>
      </c>
      <c r="I1977" t="s">
        <v>1353</v>
      </c>
      <c r="K1977" t="s">
        <v>5037</v>
      </c>
      <c r="L1977" t="s">
        <v>5039</v>
      </c>
    </row>
    <row r="1978" spans="1:12" x14ac:dyDescent="0.35">
      <c r="A1978" t="s">
        <v>111</v>
      </c>
      <c r="B1978" t="s">
        <v>329</v>
      </c>
      <c r="C1978" t="s">
        <v>884</v>
      </c>
      <c r="D1978">
        <v>1E-3</v>
      </c>
      <c r="F1978" t="s">
        <v>1722</v>
      </c>
      <c r="H1978" t="s">
        <v>3701</v>
      </c>
      <c r="I1978" t="s">
        <v>1353</v>
      </c>
      <c r="K1978" t="s">
        <v>5037</v>
      </c>
      <c r="L1978" t="s">
        <v>5039</v>
      </c>
    </row>
    <row r="1979" spans="1:12" x14ac:dyDescent="0.35">
      <c r="A1979" t="s">
        <v>111</v>
      </c>
      <c r="B1979" t="s">
        <v>329</v>
      </c>
      <c r="C1979" t="s">
        <v>800</v>
      </c>
      <c r="D1979">
        <v>0.04</v>
      </c>
      <c r="F1979" t="s">
        <v>1334</v>
      </c>
      <c r="H1979" t="s">
        <v>3701</v>
      </c>
      <c r="I1979" t="s">
        <v>1353</v>
      </c>
      <c r="K1979" t="s">
        <v>5037</v>
      </c>
      <c r="L1979" t="s">
        <v>5039</v>
      </c>
    </row>
    <row r="1980" spans="1:12" x14ac:dyDescent="0.35">
      <c r="A1980" t="s">
        <v>111</v>
      </c>
      <c r="B1980" t="s">
        <v>329</v>
      </c>
      <c r="C1980" t="s">
        <v>885</v>
      </c>
      <c r="D1980">
        <v>0.04</v>
      </c>
      <c r="F1980" t="s">
        <v>1334</v>
      </c>
      <c r="H1980" t="s">
        <v>3701</v>
      </c>
      <c r="I1980" t="s">
        <v>1353</v>
      </c>
      <c r="K1980" t="s">
        <v>5037</v>
      </c>
      <c r="L1980" t="s">
        <v>5039</v>
      </c>
    </row>
    <row r="1981" spans="1:12" x14ac:dyDescent="0.35">
      <c r="A1981" t="s">
        <v>111</v>
      </c>
      <c r="B1981" t="s">
        <v>329</v>
      </c>
      <c r="C1981" t="s">
        <v>829</v>
      </c>
      <c r="D1981">
        <v>0.04</v>
      </c>
      <c r="F1981" t="s">
        <v>1334</v>
      </c>
      <c r="H1981" t="s">
        <v>3701</v>
      </c>
      <c r="I1981" t="s">
        <v>1353</v>
      </c>
      <c r="K1981" t="s">
        <v>5037</v>
      </c>
      <c r="L1981" t="s">
        <v>5039</v>
      </c>
    </row>
    <row r="1982" spans="1:12" x14ac:dyDescent="0.35">
      <c r="A1982" t="s">
        <v>111</v>
      </c>
      <c r="B1982" t="s">
        <v>329</v>
      </c>
      <c r="C1982" t="s">
        <v>835</v>
      </c>
      <c r="D1982">
        <v>0.44</v>
      </c>
      <c r="F1982" t="s">
        <v>1723</v>
      </c>
      <c r="H1982" t="s">
        <v>3701</v>
      </c>
      <c r="I1982" t="s">
        <v>1353</v>
      </c>
      <c r="K1982" t="s">
        <v>5037</v>
      </c>
      <c r="L1982" t="s">
        <v>5039</v>
      </c>
    </row>
    <row r="1983" spans="1:12" x14ac:dyDescent="0.35">
      <c r="A1983" t="s">
        <v>111</v>
      </c>
      <c r="B1983" t="s">
        <v>320</v>
      </c>
      <c r="C1983" t="s">
        <v>866</v>
      </c>
      <c r="D1983">
        <v>0.13</v>
      </c>
      <c r="F1983" t="s">
        <v>1466</v>
      </c>
      <c r="H1983" t="s">
        <v>3702</v>
      </c>
      <c r="I1983" t="s">
        <v>4931</v>
      </c>
      <c r="K1983" t="s">
        <v>5037</v>
      </c>
      <c r="L1983" t="s">
        <v>5039</v>
      </c>
    </row>
    <row r="1984" spans="1:12" x14ac:dyDescent="0.35">
      <c r="A1984" t="s">
        <v>111</v>
      </c>
      <c r="B1984" t="s">
        <v>320</v>
      </c>
      <c r="C1984" t="s">
        <v>720</v>
      </c>
      <c r="D1984">
        <v>9.9000000000000005E-2</v>
      </c>
      <c r="F1984" t="s">
        <v>2005</v>
      </c>
      <c r="H1984" t="s">
        <v>3702</v>
      </c>
      <c r="I1984" t="s">
        <v>4931</v>
      </c>
      <c r="K1984" t="s">
        <v>5037</v>
      </c>
      <c r="L1984" t="s">
        <v>5039</v>
      </c>
    </row>
    <row r="1985" spans="1:12" x14ac:dyDescent="0.35">
      <c r="A1985" t="s">
        <v>111</v>
      </c>
      <c r="B1985" t="s">
        <v>320</v>
      </c>
      <c r="C1985" t="s">
        <v>866</v>
      </c>
      <c r="D1985">
        <v>4.1000000000000002E-2</v>
      </c>
      <c r="F1985" t="s">
        <v>1814</v>
      </c>
      <c r="H1985" t="s">
        <v>3703</v>
      </c>
      <c r="I1985" t="s">
        <v>4931</v>
      </c>
      <c r="K1985" t="s">
        <v>5037</v>
      </c>
      <c r="L1985" t="s">
        <v>5039</v>
      </c>
    </row>
    <row r="1986" spans="1:12" x14ac:dyDescent="0.35">
      <c r="A1986" t="s">
        <v>111</v>
      </c>
      <c r="B1986" t="s">
        <v>320</v>
      </c>
      <c r="C1986" t="s">
        <v>720</v>
      </c>
      <c r="D1986">
        <v>7.3999999999999996E-2</v>
      </c>
      <c r="F1986" t="s">
        <v>1562</v>
      </c>
      <c r="H1986" t="s">
        <v>3703</v>
      </c>
      <c r="I1986" t="s">
        <v>4931</v>
      </c>
      <c r="K1986" t="s">
        <v>5037</v>
      </c>
      <c r="L1986" t="s">
        <v>5039</v>
      </c>
    </row>
    <row r="1987" spans="1:12" x14ac:dyDescent="0.35">
      <c r="A1987" t="s">
        <v>111</v>
      </c>
      <c r="B1987" t="s">
        <v>175</v>
      </c>
      <c r="C1987" t="s">
        <v>800</v>
      </c>
      <c r="D1987">
        <v>0.03</v>
      </c>
      <c r="F1987" t="s">
        <v>1266</v>
      </c>
      <c r="I1987" t="s">
        <v>1851</v>
      </c>
      <c r="K1987" t="s">
        <v>5037</v>
      </c>
      <c r="L1987" t="s">
        <v>5039</v>
      </c>
    </row>
    <row r="1988" spans="1:12" x14ac:dyDescent="0.35">
      <c r="A1988" t="s">
        <v>111</v>
      </c>
      <c r="B1988" t="s">
        <v>175</v>
      </c>
      <c r="C1988" t="s">
        <v>886</v>
      </c>
      <c r="D1988">
        <v>0.05</v>
      </c>
      <c r="F1988" t="s">
        <v>1559</v>
      </c>
      <c r="H1988" t="s">
        <v>3704</v>
      </c>
      <c r="I1988" t="s">
        <v>1851</v>
      </c>
      <c r="K1988" t="s">
        <v>5037</v>
      </c>
      <c r="L1988" t="s">
        <v>5039</v>
      </c>
    </row>
    <row r="1989" spans="1:12" x14ac:dyDescent="0.35">
      <c r="A1989" t="s">
        <v>111</v>
      </c>
      <c r="B1989" t="s">
        <v>175</v>
      </c>
      <c r="C1989" t="s">
        <v>883</v>
      </c>
      <c r="D1989">
        <v>0.1</v>
      </c>
      <c r="F1989" t="s">
        <v>1309</v>
      </c>
      <c r="I1989" t="s">
        <v>1851</v>
      </c>
      <c r="K1989" t="s">
        <v>5037</v>
      </c>
      <c r="L1989" t="s">
        <v>5039</v>
      </c>
    </row>
    <row r="1990" spans="1:12" x14ac:dyDescent="0.35">
      <c r="A1990" t="s">
        <v>111</v>
      </c>
      <c r="B1990" t="s">
        <v>175</v>
      </c>
      <c r="C1990" t="s">
        <v>886</v>
      </c>
      <c r="D1990">
        <v>0.1</v>
      </c>
      <c r="F1990" t="s">
        <v>1309</v>
      </c>
      <c r="I1990" t="s">
        <v>1851</v>
      </c>
      <c r="K1990" t="s">
        <v>5037</v>
      </c>
      <c r="L1990" t="s">
        <v>5039</v>
      </c>
    </row>
    <row r="1991" spans="1:12" x14ac:dyDescent="0.35">
      <c r="A1991" t="s">
        <v>111</v>
      </c>
      <c r="B1991" t="s">
        <v>175</v>
      </c>
      <c r="C1991" t="s">
        <v>805</v>
      </c>
      <c r="D1991">
        <v>0.3</v>
      </c>
      <c r="F1991" t="s">
        <v>1401</v>
      </c>
      <c r="I1991" t="s">
        <v>1851</v>
      </c>
      <c r="K1991" t="s">
        <v>5037</v>
      </c>
      <c r="L1991" t="s">
        <v>5039</v>
      </c>
    </row>
    <row r="1992" spans="1:12" x14ac:dyDescent="0.35">
      <c r="A1992" t="s">
        <v>111</v>
      </c>
      <c r="B1992" t="s">
        <v>175</v>
      </c>
      <c r="C1992" t="s">
        <v>887</v>
      </c>
      <c r="D1992">
        <v>0.3</v>
      </c>
      <c r="F1992" t="s">
        <v>1401</v>
      </c>
      <c r="I1992" t="s">
        <v>1851</v>
      </c>
      <c r="K1992" t="s">
        <v>5037</v>
      </c>
      <c r="L1992" t="s">
        <v>5039</v>
      </c>
    </row>
    <row r="1993" spans="1:12" x14ac:dyDescent="0.35">
      <c r="A1993" t="s">
        <v>111</v>
      </c>
      <c r="B1993" t="s">
        <v>175</v>
      </c>
      <c r="C1993" t="s">
        <v>800</v>
      </c>
      <c r="D1993">
        <v>2.5000000000000001E-2</v>
      </c>
      <c r="F1993" t="s">
        <v>1282</v>
      </c>
      <c r="H1993" t="s">
        <v>3705</v>
      </c>
      <c r="I1993" t="s">
        <v>1943</v>
      </c>
      <c r="K1993" t="s">
        <v>5037</v>
      </c>
      <c r="L1993" t="s">
        <v>5039</v>
      </c>
    </row>
    <row r="1994" spans="1:12" x14ac:dyDescent="0.35">
      <c r="A1994" t="s">
        <v>111</v>
      </c>
      <c r="B1994" t="s">
        <v>175</v>
      </c>
      <c r="C1994" t="s">
        <v>888</v>
      </c>
      <c r="D1994">
        <v>0.45</v>
      </c>
      <c r="F1994" t="s">
        <v>1316</v>
      </c>
      <c r="H1994" t="s">
        <v>3706</v>
      </c>
      <c r="I1994" t="s">
        <v>1372</v>
      </c>
      <c r="K1994" t="s">
        <v>5037</v>
      </c>
      <c r="L1994" t="s">
        <v>5039</v>
      </c>
    </row>
    <row r="1995" spans="1:12" x14ac:dyDescent="0.35">
      <c r="A1995" t="s">
        <v>111</v>
      </c>
      <c r="B1995" t="s">
        <v>175</v>
      </c>
      <c r="C1995" t="s">
        <v>880</v>
      </c>
      <c r="D1995">
        <v>1</v>
      </c>
      <c r="F1995" t="s">
        <v>1317</v>
      </c>
      <c r="I1995" t="s">
        <v>1851</v>
      </c>
      <c r="K1995" t="s">
        <v>5037</v>
      </c>
      <c r="L1995" t="s">
        <v>5039</v>
      </c>
    </row>
    <row r="1996" spans="1:12" x14ac:dyDescent="0.35">
      <c r="A1996" t="s">
        <v>111</v>
      </c>
      <c r="B1996" t="s">
        <v>175</v>
      </c>
      <c r="C1996" t="s">
        <v>800</v>
      </c>
      <c r="D1996">
        <v>4.2000000000000003E-2</v>
      </c>
      <c r="F1996" t="s">
        <v>1338</v>
      </c>
      <c r="H1996" t="s">
        <v>3707</v>
      </c>
      <c r="I1996" t="s">
        <v>2052</v>
      </c>
      <c r="K1996" t="s">
        <v>5037</v>
      </c>
      <c r="L1996" t="s">
        <v>5039</v>
      </c>
    </row>
    <row r="1997" spans="1:12" x14ac:dyDescent="0.35">
      <c r="A1997" t="s">
        <v>111</v>
      </c>
      <c r="B1997" t="s">
        <v>175</v>
      </c>
      <c r="C1997" t="s">
        <v>805</v>
      </c>
      <c r="D1997">
        <v>0.14000000000000001</v>
      </c>
      <c r="F1997" t="s">
        <v>1361</v>
      </c>
      <c r="H1997" t="s">
        <v>3708</v>
      </c>
      <c r="I1997" t="s">
        <v>2052</v>
      </c>
      <c r="K1997" t="s">
        <v>5037</v>
      </c>
      <c r="L1997" t="s">
        <v>5039</v>
      </c>
    </row>
    <row r="1998" spans="1:12" x14ac:dyDescent="0.35">
      <c r="A1998" t="s">
        <v>111</v>
      </c>
      <c r="B1998" t="s">
        <v>175</v>
      </c>
      <c r="C1998" t="s">
        <v>889</v>
      </c>
      <c r="D1998">
        <v>0.8</v>
      </c>
      <c r="F1998" t="s">
        <v>1319</v>
      </c>
      <c r="I1998" t="s">
        <v>1851</v>
      </c>
      <c r="K1998" t="s">
        <v>5037</v>
      </c>
      <c r="L1998" t="s">
        <v>5039</v>
      </c>
    </row>
    <row r="1999" spans="1:12" x14ac:dyDescent="0.35">
      <c r="A1999" t="s">
        <v>111</v>
      </c>
      <c r="B1999" t="s">
        <v>175</v>
      </c>
      <c r="C1999" t="s">
        <v>890</v>
      </c>
      <c r="D1999">
        <v>1.4</v>
      </c>
      <c r="F1999" t="s">
        <v>1469</v>
      </c>
      <c r="I1999" t="s">
        <v>1851</v>
      </c>
      <c r="K1999" t="s">
        <v>5037</v>
      </c>
      <c r="L1999" t="s">
        <v>5039</v>
      </c>
    </row>
    <row r="2000" spans="1:12" x14ac:dyDescent="0.35">
      <c r="A2000" t="s">
        <v>111</v>
      </c>
      <c r="B2000" t="s">
        <v>175</v>
      </c>
      <c r="C2000" t="s">
        <v>891</v>
      </c>
      <c r="D2000">
        <v>1.8</v>
      </c>
      <c r="F2000" t="s">
        <v>1375</v>
      </c>
      <c r="I2000" t="s">
        <v>1851</v>
      </c>
      <c r="K2000" t="s">
        <v>5037</v>
      </c>
      <c r="L2000" t="s">
        <v>5039</v>
      </c>
    </row>
    <row r="2001" spans="1:12" x14ac:dyDescent="0.35">
      <c r="A2001" t="s">
        <v>111</v>
      </c>
      <c r="B2001" t="s">
        <v>175</v>
      </c>
      <c r="C2001" t="s">
        <v>883</v>
      </c>
      <c r="D2001">
        <v>0.32</v>
      </c>
      <c r="F2001" t="s">
        <v>1470</v>
      </c>
      <c r="H2001" t="s">
        <v>3708</v>
      </c>
      <c r="I2001" t="s">
        <v>2052</v>
      </c>
      <c r="K2001" t="s">
        <v>5037</v>
      </c>
      <c r="L2001" t="s">
        <v>5039</v>
      </c>
    </row>
    <row r="2002" spans="1:12" x14ac:dyDescent="0.35">
      <c r="A2002" t="s">
        <v>111</v>
      </c>
      <c r="B2002" t="s">
        <v>175</v>
      </c>
      <c r="C2002" t="s">
        <v>892</v>
      </c>
      <c r="D2002">
        <v>0.15</v>
      </c>
      <c r="F2002" t="s">
        <v>1269</v>
      </c>
      <c r="H2002" t="s">
        <v>3709</v>
      </c>
      <c r="I2002" t="s">
        <v>1526</v>
      </c>
      <c r="K2002" t="s">
        <v>5037</v>
      </c>
      <c r="L2002" t="s">
        <v>5039</v>
      </c>
    </row>
    <row r="2003" spans="1:12" x14ac:dyDescent="0.35">
      <c r="A2003" t="s">
        <v>111</v>
      </c>
      <c r="B2003" t="s">
        <v>175</v>
      </c>
      <c r="C2003" t="s">
        <v>893</v>
      </c>
      <c r="D2003">
        <v>3.3000000000000002E-2</v>
      </c>
      <c r="F2003" t="s">
        <v>1340</v>
      </c>
      <c r="H2003" t="s">
        <v>3710</v>
      </c>
      <c r="I2003" t="s">
        <v>4932</v>
      </c>
      <c r="K2003" t="s">
        <v>5037</v>
      </c>
      <c r="L2003" t="s">
        <v>5039</v>
      </c>
    </row>
    <row r="2004" spans="1:12" x14ac:dyDescent="0.35">
      <c r="A2004" t="s">
        <v>111</v>
      </c>
      <c r="B2004" t="s">
        <v>175</v>
      </c>
      <c r="C2004" t="s">
        <v>800</v>
      </c>
      <c r="D2004">
        <v>5.5E-2</v>
      </c>
      <c r="F2004" t="s">
        <v>1613</v>
      </c>
      <c r="H2004" t="s">
        <v>3708</v>
      </c>
      <c r="I2004" t="s">
        <v>2052</v>
      </c>
      <c r="K2004" t="s">
        <v>5037</v>
      </c>
      <c r="L2004" t="s">
        <v>5039</v>
      </c>
    </row>
    <row r="2005" spans="1:12" x14ac:dyDescent="0.35">
      <c r="A2005" t="s">
        <v>111</v>
      </c>
      <c r="B2005" t="s">
        <v>175</v>
      </c>
      <c r="C2005" t="s">
        <v>720</v>
      </c>
      <c r="D2005">
        <v>8.5000000000000006E-2</v>
      </c>
      <c r="F2005" t="s">
        <v>1459</v>
      </c>
      <c r="H2005" t="s">
        <v>3711</v>
      </c>
      <c r="I2005" t="s">
        <v>1359</v>
      </c>
      <c r="K2005" t="s">
        <v>5037</v>
      </c>
      <c r="L2005" t="s">
        <v>5039</v>
      </c>
    </row>
    <row r="2006" spans="1:12" x14ac:dyDescent="0.35">
      <c r="A2006" t="s">
        <v>111</v>
      </c>
      <c r="B2006" t="s">
        <v>175</v>
      </c>
      <c r="C2006" t="s">
        <v>805</v>
      </c>
      <c r="D2006">
        <v>0.13</v>
      </c>
      <c r="F2006" t="s">
        <v>1466</v>
      </c>
      <c r="H2006" t="s">
        <v>3706</v>
      </c>
      <c r="I2006" t="s">
        <v>1372</v>
      </c>
      <c r="K2006" t="s">
        <v>5037</v>
      </c>
      <c r="L2006" t="s">
        <v>5039</v>
      </c>
    </row>
    <row r="2007" spans="1:12" x14ac:dyDescent="0.35">
      <c r="A2007" t="s">
        <v>111</v>
      </c>
      <c r="B2007" t="s">
        <v>175</v>
      </c>
      <c r="C2007" t="s">
        <v>835</v>
      </c>
      <c r="D2007">
        <v>1.1000000000000001</v>
      </c>
      <c r="F2007" t="s">
        <v>1505</v>
      </c>
      <c r="I2007" t="s">
        <v>1851</v>
      </c>
      <c r="K2007" t="s">
        <v>5037</v>
      </c>
      <c r="L2007" t="s">
        <v>5039</v>
      </c>
    </row>
    <row r="2008" spans="1:12" x14ac:dyDescent="0.35">
      <c r="A2008" t="s">
        <v>111</v>
      </c>
      <c r="B2008" t="s">
        <v>175</v>
      </c>
      <c r="C2008" t="s">
        <v>800</v>
      </c>
      <c r="D2008">
        <v>2.29E-2</v>
      </c>
      <c r="F2008" t="s">
        <v>2115</v>
      </c>
      <c r="H2008" t="s">
        <v>3711</v>
      </c>
      <c r="I2008" t="s">
        <v>1359</v>
      </c>
      <c r="K2008" t="s">
        <v>5037</v>
      </c>
      <c r="L2008" t="s">
        <v>5039</v>
      </c>
    </row>
    <row r="2009" spans="1:12" x14ac:dyDescent="0.35">
      <c r="A2009" t="s">
        <v>111</v>
      </c>
      <c r="B2009" t="s">
        <v>175</v>
      </c>
      <c r="C2009" t="s">
        <v>883</v>
      </c>
      <c r="D2009">
        <v>0.24</v>
      </c>
      <c r="F2009" t="s">
        <v>1488</v>
      </c>
      <c r="H2009" t="s">
        <v>3709</v>
      </c>
      <c r="I2009" t="s">
        <v>1526</v>
      </c>
      <c r="K2009" t="s">
        <v>5037</v>
      </c>
      <c r="L2009" t="s">
        <v>5039</v>
      </c>
    </row>
    <row r="2010" spans="1:12" x14ac:dyDescent="0.35">
      <c r="A2010" t="s">
        <v>111</v>
      </c>
      <c r="B2010" t="s">
        <v>175</v>
      </c>
      <c r="C2010" t="s">
        <v>805</v>
      </c>
      <c r="D2010">
        <v>0.17299999999999999</v>
      </c>
      <c r="F2010" t="s">
        <v>2116</v>
      </c>
      <c r="H2010" t="s">
        <v>3707</v>
      </c>
      <c r="I2010" t="s">
        <v>2052</v>
      </c>
      <c r="K2010" t="s">
        <v>5037</v>
      </c>
      <c r="L2010" t="s">
        <v>5039</v>
      </c>
    </row>
    <row r="2011" spans="1:12" x14ac:dyDescent="0.35">
      <c r="A2011" t="s">
        <v>111</v>
      </c>
      <c r="B2011" t="s">
        <v>175</v>
      </c>
      <c r="C2011" t="s">
        <v>894</v>
      </c>
      <c r="D2011">
        <v>0.34499999999999997</v>
      </c>
      <c r="F2011" t="s">
        <v>2117</v>
      </c>
      <c r="H2011" t="s">
        <v>3712</v>
      </c>
      <c r="I2011" t="s">
        <v>1943</v>
      </c>
      <c r="K2011" t="s">
        <v>5037</v>
      </c>
      <c r="L2011" t="s">
        <v>5039</v>
      </c>
    </row>
    <row r="2012" spans="1:12" x14ac:dyDescent="0.35">
      <c r="A2012" t="s">
        <v>111</v>
      </c>
      <c r="B2012" t="s">
        <v>175</v>
      </c>
      <c r="C2012" t="s">
        <v>895</v>
      </c>
      <c r="D2012">
        <v>0.32900000000000001</v>
      </c>
      <c r="F2012" t="s">
        <v>2118</v>
      </c>
      <c r="H2012" t="s">
        <v>3713</v>
      </c>
      <c r="I2012" t="s">
        <v>1943</v>
      </c>
      <c r="K2012" t="s">
        <v>5037</v>
      </c>
      <c r="L2012" t="s">
        <v>5039</v>
      </c>
    </row>
    <row r="2013" spans="1:12" x14ac:dyDescent="0.35">
      <c r="A2013" t="s">
        <v>111</v>
      </c>
      <c r="B2013" t="s">
        <v>175</v>
      </c>
      <c r="C2013" t="s">
        <v>883</v>
      </c>
      <c r="D2013">
        <v>0.309</v>
      </c>
      <c r="F2013" t="s">
        <v>2119</v>
      </c>
      <c r="H2013" t="s">
        <v>3707</v>
      </c>
      <c r="I2013" t="s">
        <v>2052</v>
      </c>
      <c r="K2013" t="s">
        <v>5037</v>
      </c>
      <c r="L2013" t="s">
        <v>5039</v>
      </c>
    </row>
    <row r="2014" spans="1:12" x14ac:dyDescent="0.35">
      <c r="A2014" t="s">
        <v>111</v>
      </c>
      <c r="B2014" t="s">
        <v>175</v>
      </c>
      <c r="C2014" t="s">
        <v>720</v>
      </c>
      <c r="D2014">
        <v>9.0499999999999997E-2</v>
      </c>
      <c r="F2014" t="s">
        <v>2120</v>
      </c>
      <c r="H2014" t="s">
        <v>3714</v>
      </c>
      <c r="I2014" t="s">
        <v>1359</v>
      </c>
      <c r="K2014" t="s">
        <v>5037</v>
      </c>
      <c r="L2014" t="s">
        <v>5039</v>
      </c>
    </row>
    <row r="2015" spans="1:12" x14ac:dyDescent="0.35">
      <c r="A2015" t="s">
        <v>111</v>
      </c>
      <c r="B2015" t="s">
        <v>175</v>
      </c>
      <c r="C2015" t="s">
        <v>800</v>
      </c>
      <c r="D2015">
        <v>2.46E-2</v>
      </c>
      <c r="F2015" t="s">
        <v>2121</v>
      </c>
      <c r="H2015" t="s">
        <v>3714</v>
      </c>
      <c r="I2015" t="s">
        <v>1359</v>
      </c>
      <c r="K2015" t="s">
        <v>5037</v>
      </c>
      <c r="L2015" t="s">
        <v>5039</v>
      </c>
    </row>
    <row r="2016" spans="1:12" x14ac:dyDescent="0.35">
      <c r="A2016" t="s">
        <v>111</v>
      </c>
      <c r="B2016" t="s">
        <v>175</v>
      </c>
      <c r="C2016" t="s">
        <v>720</v>
      </c>
      <c r="D2016">
        <v>0.34300000000000003</v>
      </c>
      <c r="F2016" t="s">
        <v>2122</v>
      </c>
      <c r="H2016" t="s">
        <v>3708</v>
      </c>
      <c r="I2016" t="s">
        <v>2052</v>
      </c>
      <c r="K2016" t="s">
        <v>5037</v>
      </c>
      <c r="L2016" t="s">
        <v>5039</v>
      </c>
    </row>
    <row r="2017" spans="1:12" x14ac:dyDescent="0.35">
      <c r="A2017" t="s">
        <v>111</v>
      </c>
      <c r="B2017" t="s">
        <v>175</v>
      </c>
      <c r="C2017" t="s">
        <v>800</v>
      </c>
      <c r="D2017">
        <v>0.05</v>
      </c>
      <c r="F2017" t="s">
        <v>1559</v>
      </c>
      <c r="H2017" t="s">
        <v>3715</v>
      </c>
      <c r="I2017" t="s">
        <v>1526</v>
      </c>
      <c r="K2017" t="s">
        <v>5037</v>
      </c>
      <c r="L2017" t="s">
        <v>5039</v>
      </c>
    </row>
    <row r="2018" spans="1:12" x14ac:dyDescent="0.35">
      <c r="A2018" t="s">
        <v>111</v>
      </c>
      <c r="B2018" t="s">
        <v>175</v>
      </c>
      <c r="C2018" t="s">
        <v>720</v>
      </c>
      <c r="D2018">
        <v>4.0000000000000001E-3</v>
      </c>
      <c r="F2018" t="s">
        <v>1838</v>
      </c>
      <c r="H2018" t="s">
        <v>3716</v>
      </c>
      <c r="I2018" t="s">
        <v>1372</v>
      </c>
      <c r="K2018" t="s">
        <v>5037</v>
      </c>
      <c r="L2018" t="s">
        <v>5039</v>
      </c>
    </row>
    <row r="2019" spans="1:12" x14ac:dyDescent="0.35">
      <c r="A2019" t="s">
        <v>111</v>
      </c>
      <c r="B2019" t="s">
        <v>175</v>
      </c>
      <c r="C2019" t="s">
        <v>896</v>
      </c>
      <c r="D2019">
        <v>1.4999999999999999E-2</v>
      </c>
      <c r="F2019" t="s">
        <v>1336</v>
      </c>
      <c r="H2019" t="s">
        <v>3717</v>
      </c>
      <c r="I2019" t="s">
        <v>1372</v>
      </c>
      <c r="K2019" t="s">
        <v>5037</v>
      </c>
      <c r="L2019" t="s">
        <v>5039</v>
      </c>
    </row>
    <row r="2020" spans="1:12" x14ac:dyDescent="0.35">
      <c r="A2020" t="s">
        <v>111</v>
      </c>
      <c r="B2020" t="s">
        <v>175</v>
      </c>
      <c r="C2020" t="s">
        <v>800</v>
      </c>
      <c r="D2020">
        <v>4.4999999999999998E-2</v>
      </c>
      <c r="F2020" t="s">
        <v>1290</v>
      </c>
      <c r="H2020" t="s">
        <v>3717</v>
      </c>
      <c r="I2020" t="s">
        <v>1372</v>
      </c>
      <c r="K2020" t="s">
        <v>5037</v>
      </c>
      <c r="L2020" t="s">
        <v>5039</v>
      </c>
    </row>
    <row r="2021" spans="1:12" x14ac:dyDescent="0.35">
      <c r="A2021" t="s">
        <v>111</v>
      </c>
      <c r="B2021" t="s">
        <v>175</v>
      </c>
      <c r="C2021" t="s">
        <v>897</v>
      </c>
      <c r="D2021">
        <v>0.14000000000000001</v>
      </c>
      <c r="F2021" t="s">
        <v>1361</v>
      </c>
      <c r="H2021" t="s">
        <v>3718</v>
      </c>
      <c r="I2021" t="s">
        <v>1526</v>
      </c>
      <c r="K2021" t="s">
        <v>5037</v>
      </c>
      <c r="L2021" t="s">
        <v>5039</v>
      </c>
    </row>
    <row r="2022" spans="1:12" x14ac:dyDescent="0.35">
      <c r="A2022" t="s">
        <v>111</v>
      </c>
      <c r="B2022" t="s">
        <v>175</v>
      </c>
      <c r="C2022" t="s">
        <v>817</v>
      </c>
      <c r="D2022">
        <v>0.31</v>
      </c>
      <c r="F2022" t="s">
        <v>1714</v>
      </c>
      <c r="H2022" t="s">
        <v>3718</v>
      </c>
      <c r="I2022" t="s">
        <v>1526</v>
      </c>
      <c r="K2022" t="s">
        <v>5037</v>
      </c>
      <c r="L2022" t="s">
        <v>5039</v>
      </c>
    </row>
    <row r="2023" spans="1:12" x14ac:dyDescent="0.35">
      <c r="A2023" t="s">
        <v>111</v>
      </c>
      <c r="B2023" t="s">
        <v>175</v>
      </c>
      <c r="C2023" t="s">
        <v>898</v>
      </c>
      <c r="D2023">
        <v>0.38</v>
      </c>
      <c r="F2023" t="s">
        <v>1624</v>
      </c>
      <c r="H2023" t="s">
        <v>3718</v>
      </c>
      <c r="I2023" t="s">
        <v>1526</v>
      </c>
      <c r="K2023" t="s">
        <v>5037</v>
      </c>
      <c r="L2023" t="s">
        <v>5039</v>
      </c>
    </row>
    <row r="2024" spans="1:12" x14ac:dyDescent="0.35">
      <c r="A2024" t="s">
        <v>111</v>
      </c>
      <c r="B2024" t="s">
        <v>175</v>
      </c>
      <c r="C2024" t="s">
        <v>890</v>
      </c>
      <c r="D2024">
        <v>0.49</v>
      </c>
      <c r="F2024" t="s">
        <v>1724</v>
      </c>
      <c r="H2024" t="s">
        <v>3719</v>
      </c>
      <c r="I2024" t="s">
        <v>1526</v>
      </c>
      <c r="K2024" t="s">
        <v>5037</v>
      </c>
      <c r="L2024" t="s">
        <v>5039</v>
      </c>
    </row>
    <row r="2025" spans="1:12" x14ac:dyDescent="0.35">
      <c r="A2025" t="s">
        <v>111</v>
      </c>
      <c r="B2025" t="s">
        <v>175</v>
      </c>
      <c r="C2025" t="s">
        <v>835</v>
      </c>
      <c r="D2025">
        <v>1.3</v>
      </c>
      <c r="F2025" t="s">
        <v>1358</v>
      </c>
      <c r="H2025" t="s">
        <v>3718</v>
      </c>
      <c r="I2025" t="s">
        <v>1526</v>
      </c>
      <c r="K2025" t="s">
        <v>5037</v>
      </c>
      <c r="L2025" t="s">
        <v>5039</v>
      </c>
    </row>
    <row r="2026" spans="1:12" x14ac:dyDescent="0.35">
      <c r="A2026" t="s">
        <v>111</v>
      </c>
      <c r="B2026" t="s">
        <v>175</v>
      </c>
      <c r="C2026" t="s">
        <v>807</v>
      </c>
      <c r="D2026">
        <v>1.3</v>
      </c>
      <c r="F2026" t="s">
        <v>1358</v>
      </c>
      <c r="H2026" t="s">
        <v>3718</v>
      </c>
      <c r="I2026" t="s">
        <v>1526</v>
      </c>
      <c r="K2026" t="s">
        <v>5037</v>
      </c>
      <c r="L2026" t="s">
        <v>5039</v>
      </c>
    </row>
    <row r="2027" spans="1:12" x14ac:dyDescent="0.35">
      <c r="A2027" t="s">
        <v>111</v>
      </c>
      <c r="B2027" t="s">
        <v>175</v>
      </c>
      <c r="C2027" t="s">
        <v>835</v>
      </c>
      <c r="D2027">
        <v>1.6</v>
      </c>
      <c r="F2027" t="s">
        <v>1328</v>
      </c>
      <c r="H2027" t="s">
        <v>3717</v>
      </c>
      <c r="I2027" t="s">
        <v>1372</v>
      </c>
      <c r="K2027" t="s">
        <v>5037</v>
      </c>
      <c r="L2027" t="s">
        <v>5039</v>
      </c>
    </row>
    <row r="2028" spans="1:12" x14ac:dyDescent="0.35">
      <c r="A2028" t="s">
        <v>111</v>
      </c>
      <c r="B2028" t="s">
        <v>175</v>
      </c>
      <c r="C2028" t="s">
        <v>880</v>
      </c>
      <c r="D2028">
        <v>4</v>
      </c>
      <c r="F2028" t="s">
        <v>1379</v>
      </c>
      <c r="H2028" t="s">
        <v>3717</v>
      </c>
      <c r="I2028" t="s">
        <v>1372</v>
      </c>
      <c r="K2028" t="s">
        <v>5037</v>
      </c>
      <c r="L2028" t="s">
        <v>5039</v>
      </c>
    </row>
    <row r="2029" spans="1:12" x14ac:dyDescent="0.35">
      <c r="A2029" t="s">
        <v>111</v>
      </c>
      <c r="B2029" t="s">
        <v>175</v>
      </c>
      <c r="C2029" t="s">
        <v>720</v>
      </c>
      <c r="D2029">
        <v>0.247</v>
      </c>
      <c r="F2029" t="s">
        <v>2123</v>
      </c>
      <c r="H2029" t="s">
        <v>3707</v>
      </c>
      <c r="I2029" t="s">
        <v>2052</v>
      </c>
      <c r="K2029" t="s">
        <v>5037</v>
      </c>
      <c r="L2029" t="s">
        <v>5039</v>
      </c>
    </row>
    <row r="2030" spans="1:12" x14ac:dyDescent="0.35">
      <c r="A2030" t="s">
        <v>111</v>
      </c>
      <c r="B2030" t="s">
        <v>175</v>
      </c>
      <c r="C2030" t="s">
        <v>800</v>
      </c>
      <c r="D2030">
        <v>6.7000000000000004E-8</v>
      </c>
      <c r="F2030" t="s">
        <v>2124</v>
      </c>
      <c r="H2030" t="s">
        <v>3720</v>
      </c>
      <c r="I2030" t="s">
        <v>4904</v>
      </c>
      <c r="K2030" t="s">
        <v>5037</v>
      </c>
      <c r="L2030" t="s">
        <v>5039</v>
      </c>
    </row>
    <row r="2031" spans="1:12" x14ac:dyDescent="0.35">
      <c r="A2031" t="s">
        <v>111</v>
      </c>
      <c r="B2031" t="s">
        <v>175</v>
      </c>
      <c r="C2031" t="s">
        <v>817</v>
      </c>
      <c r="D2031">
        <v>5.2999999999999998E-8</v>
      </c>
      <c r="F2031" t="s">
        <v>2125</v>
      </c>
      <c r="H2031" t="s">
        <v>3720</v>
      </c>
      <c r="I2031" t="s">
        <v>4904</v>
      </c>
      <c r="K2031" t="s">
        <v>5037</v>
      </c>
      <c r="L2031" t="s">
        <v>5039</v>
      </c>
    </row>
    <row r="2032" spans="1:12" x14ac:dyDescent="0.35">
      <c r="A2032" t="s">
        <v>111</v>
      </c>
      <c r="B2032" t="s">
        <v>175</v>
      </c>
      <c r="C2032" t="s">
        <v>800</v>
      </c>
      <c r="D2032">
        <v>7.9000000000000006E-8</v>
      </c>
      <c r="F2032" t="s">
        <v>2126</v>
      </c>
      <c r="H2032" t="s">
        <v>3721</v>
      </c>
      <c r="I2032" t="s">
        <v>4904</v>
      </c>
      <c r="K2032" t="s">
        <v>5037</v>
      </c>
      <c r="L2032" t="s">
        <v>5039</v>
      </c>
    </row>
    <row r="2033" spans="1:12" x14ac:dyDescent="0.35">
      <c r="A2033" t="s">
        <v>111</v>
      </c>
      <c r="B2033" t="s">
        <v>175</v>
      </c>
      <c r="C2033" t="s">
        <v>817</v>
      </c>
      <c r="D2033">
        <v>5.8000000000000003E-8</v>
      </c>
      <c r="F2033" t="s">
        <v>2127</v>
      </c>
      <c r="H2033" t="s">
        <v>3721</v>
      </c>
      <c r="I2033" t="s">
        <v>4904</v>
      </c>
      <c r="K2033" t="s">
        <v>5037</v>
      </c>
      <c r="L2033" t="s">
        <v>5039</v>
      </c>
    </row>
    <row r="2034" spans="1:12" x14ac:dyDescent="0.35">
      <c r="A2034" t="s">
        <v>111</v>
      </c>
      <c r="B2034" t="s">
        <v>380</v>
      </c>
      <c r="C2034" t="s">
        <v>829</v>
      </c>
      <c r="D2034">
        <v>0.03</v>
      </c>
      <c r="F2034" t="s">
        <v>1266</v>
      </c>
      <c r="H2034" t="s">
        <v>3722</v>
      </c>
      <c r="I2034" t="s">
        <v>1707</v>
      </c>
      <c r="K2034" t="s">
        <v>5037</v>
      </c>
      <c r="L2034" t="s">
        <v>5039</v>
      </c>
    </row>
    <row r="2035" spans="1:12" x14ac:dyDescent="0.35">
      <c r="A2035" t="s">
        <v>111</v>
      </c>
      <c r="B2035" t="s">
        <v>380</v>
      </c>
      <c r="C2035" t="s">
        <v>822</v>
      </c>
      <c r="D2035">
        <v>0.05</v>
      </c>
      <c r="F2035" t="s">
        <v>1559</v>
      </c>
      <c r="H2035" t="s">
        <v>3723</v>
      </c>
      <c r="I2035" t="s">
        <v>1878</v>
      </c>
      <c r="K2035" t="s">
        <v>5037</v>
      </c>
      <c r="L2035" t="s">
        <v>5039</v>
      </c>
    </row>
    <row r="2036" spans="1:12" x14ac:dyDescent="0.35">
      <c r="A2036" t="s">
        <v>111</v>
      </c>
      <c r="B2036" t="s">
        <v>380</v>
      </c>
      <c r="C2036" t="s">
        <v>899</v>
      </c>
      <c r="D2036">
        <v>8.3000000000000004E-2</v>
      </c>
      <c r="F2036" t="s">
        <v>1603</v>
      </c>
      <c r="H2036" t="s">
        <v>3724</v>
      </c>
      <c r="I2036" t="s">
        <v>2253</v>
      </c>
      <c r="K2036" t="s">
        <v>5037</v>
      </c>
      <c r="L2036" t="s">
        <v>5039</v>
      </c>
    </row>
    <row r="2037" spans="1:12" x14ac:dyDescent="0.35">
      <c r="A2037" t="s">
        <v>111</v>
      </c>
      <c r="B2037" t="s">
        <v>380</v>
      </c>
      <c r="C2037" t="s">
        <v>808</v>
      </c>
      <c r="D2037">
        <v>0.16</v>
      </c>
      <c r="F2037" t="s">
        <v>1573</v>
      </c>
      <c r="H2037" t="s">
        <v>3725</v>
      </c>
      <c r="I2037" t="s">
        <v>1878</v>
      </c>
      <c r="K2037" t="s">
        <v>5037</v>
      </c>
      <c r="L2037" t="s">
        <v>5039</v>
      </c>
    </row>
    <row r="2038" spans="1:12" x14ac:dyDescent="0.35">
      <c r="A2038" t="s">
        <v>111</v>
      </c>
      <c r="B2038" t="s">
        <v>380</v>
      </c>
      <c r="C2038" t="s">
        <v>883</v>
      </c>
      <c r="D2038">
        <v>0.16</v>
      </c>
      <c r="F2038" t="s">
        <v>1573</v>
      </c>
      <c r="I2038" t="s">
        <v>1961</v>
      </c>
      <c r="K2038" t="s">
        <v>5037</v>
      </c>
      <c r="L2038" t="s">
        <v>5039</v>
      </c>
    </row>
    <row r="2039" spans="1:12" x14ac:dyDescent="0.35">
      <c r="A2039" t="s">
        <v>111</v>
      </c>
      <c r="B2039" t="s">
        <v>380</v>
      </c>
      <c r="C2039" t="s">
        <v>820</v>
      </c>
      <c r="D2039">
        <v>0.17</v>
      </c>
      <c r="F2039" t="s">
        <v>1409</v>
      </c>
      <c r="H2039" t="s">
        <v>3726</v>
      </c>
      <c r="I2039" t="s">
        <v>1878</v>
      </c>
      <c r="K2039" t="s">
        <v>5037</v>
      </c>
      <c r="L2039" t="s">
        <v>5039</v>
      </c>
    </row>
    <row r="2040" spans="1:12" x14ac:dyDescent="0.35">
      <c r="A2040" t="s">
        <v>111</v>
      </c>
      <c r="B2040" t="s">
        <v>380</v>
      </c>
      <c r="C2040" t="s">
        <v>800</v>
      </c>
      <c r="D2040">
        <v>0.31</v>
      </c>
      <c r="F2040" t="s">
        <v>1714</v>
      </c>
      <c r="I2040" t="s">
        <v>1961</v>
      </c>
      <c r="K2040" t="s">
        <v>5037</v>
      </c>
      <c r="L2040" t="s">
        <v>5039</v>
      </c>
    </row>
    <row r="2041" spans="1:12" x14ac:dyDescent="0.35">
      <c r="A2041" t="s">
        <v>111</v>
      </c>
      <c r="B2041" t="s">
        <v>380</v>
      </c>
      <c r="C2041" t="s">
        <v>900</v>
      </c>
      <c r="D2041">
        <v>3.0000000000000001E-3</v>
      </c>
      <c r="F2041" t="s">
        <v>1279</v>
      </c>
      <c r="H2041" t="s">
        <v>3727</v>
      </c>
      <c r="I2041" t="s">
        <v>2253</v>
      </c>
      <c r="K2041" t="s">
        <v>5037</v>
      </c>
      <c r="L2041" t="s">
        <v>5039</v>
      </c>
    </row>
    <row r="2042" spans="1:12" x14ac:dyDescent="0.35">
      <c r="A2042" t="s">
        <v>111</v>
      </c>
      <c r="B2042" t="s">
        <v>380</v>
      </c>
      <c r="C2042" t="s">
        <v>819</v>
      </c>
      <c r="D2042">
        <v>4.0000000000000001E-3</v>
      </c>
      <c r="F2042" t="s">
        <v>1838</v>
      </c>
      <c r="H2042" t="s">
        <v>3722</v>
      </c>
      <c r="I2042" t="s">
        <v>1707</v>
      </c>
      <c r="K2042" t="s">
        <v>5037</v>
      </c>
      <c r="L2042" t="s">
        <v>5039</v>
      </c>
    </row>
    <row r="2043" spans="1:12" x14ac:dyDescent="0.35">
      <c r="A2043" t="s">
        <v>111</v>
      </c>
      <c r="B2043" t="s">
        <v>380</v>
      </c>
      <c r="C2043" t="s">
        <v>901</v>
      </c>
      <c r="D2043">
        <v>2E-3</v>
      </c>
      <c r="F2043" t="s">
        <v>1286</v>
      </c>
      <c r="I2043" t="s">
        <v>1961</v>
      </c>
      <c r="K2043" t="s">
        <v>5037</v>
      </c>
      <c r="L2043" t="s">
        <v>5039</v>
      </c>
    </row>
    <row r="2044" spans="1:12" x14ac:dyDescent="0.35">
      <c r="A2044" t="s">
        <v>111</v>
      </c>
      <c r="B2044" t="s">
        <v>380</v>
      </c>
      <c r="C2044" t="s">
        <v>902</v>
      </c>
      <c r="D2044">
        <v>0.04</v>
      </c>
      <c r="F2044" t="s">
        <v>1334</v>
      </c>
      <c r="H2044" t="s">
        <v>3728</v>
      </c>
      <c r="I2044" t="s">
        <v>1707</v>
      </c>
      <c r="K2044" t="s">
        <v>5037</v>
      </c>
      <c r="L2044" t="s">
        <v>5039</v>
      </c>
    </row>
    <row r="2045" spans="1:12" x14ac:dyDescent="0.35">
      <c r="A2045" t="s">
        <v>111</v>
      </c>
      <c r="B2045" t="s">
        <v>380</v>
      </c>
      <c r="C2045" t="s">
        <v>903</v>
      </c>
      <c r="D2045">
        <v>0.02</v>
      </c>
      <c r="F2045" t="s">
        <v>1448</v>
      </c>
      <c r="H2045" t="s">
        <v>3723</v>
      </c>
      <c r="I2045" t="s">
        <v>1878</v>
      </c>
      <c r="K2045" t="s">
        <v>5037</v>
      </c>
      <c r="L2045" t="s">
        <v>5039</v>
      </c>
    </row>
    <row r="2046" spans="1:12" x14ac:dyDescent="0.35">
      <c r="A2046" t="s">
        <v>111</v>
      </c>
      <c r="B2046" t="s">
        <v>380</v>
      </c>
      <c r="C2046" t="s">
        <v>815</v>
      </c>
      <c r="D2046">
        <v>7.8E-2</v>
      </c>
      <c r="F2046" t="s">
        <v>1649</v>
      </c>
      <c r="H2046" t="s">
        <v>3729</v>
      </c>
      <c r="I2046" t="s">
        <v>1360</v>
      </c>
      <c r="K2046" t="s">
        <v>5037</v>
      </c>
      <c r="L2046" t="s">
        <v>5039</v>
      </c>
    </row>
    <row r="2047" spans="1:12" x14ac:dyDescent="0.35">
      <c r="A2047" t="s">
        <v>111</v>
      </c>
      <c r="B2047" t="s">
        <v>380</v>
      </c>
      <c r="C2047" t="s">
        <v>804</v>
      </c>
      <c r="D2047">
        <v>0.09</v>
      </c>
      <c r="F2047" t="s">
        <v>1310</v>
      </c>
      <c r="H2047" t="s">
        <v>3725</v>
      </c>
      <c r="I2047" t="s">
        <v>1878</v>
      </c>
      <c r="K2047" t="s">
        <v>5037</v>
      </c>
      <c r="L2047" t="s">
        <v>5039</v>
      </c>
    </row>
    <row r="2048" spans="1:12" x14ac:dyDescent="0.35">
      <c r="A2048" t="s">
        <v>111</v>
      </c>
      <c r="B2048" t="s">
        <v>380</v>
      </c>
      <c r="C2048" t="s">
        <v>830</v>
      </c>
      <c r="D2048">
        <v>0.09</v>
      </c>
      <c r="F2048" t="s">
        <v>1310</v>
      </c>
      <c r="H2048" t="s">
        <v>3722</v>
      </c>
      <c r="I2048" t="s">
        <v>1707</v>
      </c>
      <c r="K2048" t="s">
        <v>5037</v>
      </c>
      <c r="L2048" t="s">
        <v>5039</v>
      </c>
    </row>
    <row r="2049" spans="1:12" x14ac:dyDescent="0.35">
      <c r="A2049" t="s">
        <v>111</v>
      </c>
      <c r="B2049" t="s">
        <v>380</v>
      </c>
      <c r="C2049" t="s">
        <v>904</v>
      </c>
      <c r="D2049">
        <v>0.09</v>
      </c>
      <c r="F2049" t="s">
        <v>1310</v>
      </c>
      <c r="H2049" t="s">
        <v>3730</v>
      </c>
      <c r="I2049" t="s">
        <v>1878</v>
      </c>
      <c r="K2049" t="s">
        <v>5037</v>
      </c>
      <c r="L2049" t="s">
        <v>5039</v>
      </c>
    </row>
    <row r="2050" spans="1:12" x14ac:dyDescent="0.35">
      <c r="A2050" t="s">
        <v>111</v>
      </c>
      <c r="B2050" t="s">
        <v>380</v>
      </c>
      <c r="C2050" t="s">
        <v>825</v>
      </c>
      <c r="D2050">
        <v>2.1000000000000001E-2</v>
      </c>
      <c r="F2050" t="s">
        <v>1617</v>
      </c>
      <c r="H2050" t="s">
        <v>3722</v>
      </c>
      <c r="I2050" t="s">
        <v>1707</v>
      </c>
      <c r="K2050" t="s">
        <v>5037</v>
      </c>
      <c r="L2050" t="s">
        <v>5039</v>
      </c>
    </row>
    <row r="2051" spans="1:12" x14ac:dyDescent="0.35">
      <c r="A2051" t="s">
        <v>111</v>
      </c>
      <c r="B2051" t="s">
        <v>380</v>
      </c>
      <c r="C2051" t="s">
        <v>835</v>
      </c>
      <c r="D2051">
        <v>0.2</v>
      </c>
      <c r="F2051" t="s">
        <v>1371</v>
      </c>
      <c r="H2051" t="s">
        <v>3725</v>
      </c>
      <c r="I2051" t="s">
        <v>1878</v>
      </c>
      <c r="K2051" t="s">
        <v>5037</v>
      </c>
      <c r="L2051" t="s">
        <v>5039</v>
      </c>
    </row>
    <row r="2052" spans="1:12" x14ac:dyDescent="0.35">
      <c r="A2052" t="s">
        <v>111</v>
      </c>
      <c r="B2052" t="s">
        <v>380</v>
      </c>
      <c r="C2052" t="s">
        <v>835</v>
      </c>
      <c r="D2052">
        <v>0.45</v>
      </c>
      <c r="F2052" t="s">
        <v>1316</v>
      </c>
      <c r="I2052" t="s">
        <v>1961</v>
      </c>
      <c r="K2052" t="s">
        <v>5037</v>
      </c>
      <c r="L2052" t="s">
        <v>5039</v>
      </c>
    </row>
    <row r="2053" spans="1:12" x14ac:dyDescent="0.35">
      <c r="A2053" t="s">
        <v>111</v>
      </c>
      <c r="B2053" t="s">
        <v>380</v>
      </c>
      <c r="C2053" t="s">
        <v>800</v>
      </c>
      <c r="D2053">
        <v>0.28999999999999998</v>
      </c>
      <c r="F2053" t="s">
        <v>1396</v>
      </c>
      <c r="H2053" t="s">
        <v>3731</v>
      </c>
      <c r="I2053" t="s">
        <v>1878</v>
      </c>
      <c r="K2053" t="s">
        <v>5037</v>
      </c>
      <c r="L2053" t="s">
        <v>5039</v>
      </c>
    </row>
    <row r="2054" spans="1:12" x14ac:dyDescent="0.35">
      <c r="A2054" t="s">
        <v>111</v>
      </c>
      <c r="B2054" t="s">
        <v>380</v>
      </c>
      <c r="C2054" t="s">
        <v>817</v>
      </c>
      <c r="D2054">
        <v>0.28999999999999998</v>
      </c>
      <c r="F2054" t="s">
        <v>1396</v>
      </c>
      <c r="H2054" t="s">
        <v>3732</v>
      </c>
      <c r="I2054" t="s">
        <v>1878</v>
      </c>
      <c r="K2054" t="s">
        <v>5037</v>
      </c>
      <c r="L2054" t="s">
        <v>5039</v>
      </c>
    </row>
    <row r="2055" spans="1:12" x14ac:dyDescent="0.35">
      <c r="A2055" t="s">
        <v>111</v>
      </c>
      <c r="B2055" t="s">
        <v>380</v>
      </c>
      <c r="C2055" t="s">
        <v>802</v>
      </c>
      <c r="D2055">
        <v>1.4</v>
      </c>
      <c r="F2055" t="s">
        <v>1469</v>
      </c>
      <c r="H2055" t="s">
        <v>3732</v>
      </c>
      <c r="I2055" t="s">
        <v>1878</v>
      </c>
      <c r="K2055" t="s">
        <v>5037</v>
      </c>
      <c r="L2055" t="s">
        <v>5039</v>
      </c>
    </row>
    <row r="2056" spans="1:12" x14ac:dyDescent="0.35">
      <c r="A2056" t="s">
        <v>111</v>
      </c>
      <c r="B2056" t="s">
        <v>380</v>
      </c>
      <c r="C2056" t="s">
        <v>827</v>
      </c>
      <c r="D2056">
        <v>8.5999999999999993E-2</v>
      </c>
      <c r="F2056" t="s">
        <v>1582</v>
      </c>
      <c r="H2056" t="s">
        <v>3722</v>
      </c>
      <c r="I2056" t="s">
        <v>1707</v>
      </c>
      <c r="K2056" t="s">
        <v>5037</v>
      </c>
      <c r="L2056" t="s">
        <v>5039</v>
      </c>
    </row>
    <row r="2057" spans="1:12" x14ac:dyDescent="0.35">
      <c r="A2057" t="s">
        <v>111</v>
      </c>
      <c r="B2057" t="s">
        <v>380</v>
      </c>
      <c r="C2057" t="s">
        <v>815</v>
      </c>
      <c r="D2057">
        <v>2.8000000000000001E-2</v>
      </c>
      <c r="F2057" t="s">
        <v>2039</v>
      </c>
      <c r="H2057" t="s">
        <v>3722</v>
      </c>
      <c r="I2057" t="s">
        <v>1707</v>
      </c>
      <c r="K2057" t="s">
        <v>5037</v>
      </c>
      <c r="L2057" t="s">
        <v>5039</v>
      </c>
    </row>
    <row r="2058" spans="1:12" x14ac:dyDescent="0.35">
      <c r="A2058" t="s">
        <v>111</v>
      </c>
      <c r="B2058" t="s">
        <v>380</v>
      </c>
      <c r="C2058" t="s">
        <v>807</v>
      </c>
      <c r="D2058">
        <v>1.2</v>
      </c>
      <c r="F2058" t="s">
        <v>1421</v>
      </c>
      <c r="H2058" t="s">
        <v>3725</v>
      </c>
      <c r="I2058" t="s">
        <v>1878</v>
      </c>
      <c r="K2058" t="s">
        <v>5037</v>
      </c>
      <c r="L2058" t="s">
        <v>5039</v>
      </c>
    </row>
    <row r="2059" spans="1:12" x14ac:dyDescent="0.35">
      <c r="A2059" t="s">
        <v>111</v>
      </c>
      <c r="B2059" t="s">
        <v>380</v>
      </c>
      <c r="C2059" t="s">
        <v>905</v>
      </c>
      <c r="D2059">
        <v>0.89</v>
      </c>
      <c r="F2059" t="s">
        <v>1840</v>
      </c>
      <c r="H2059" t="s">
        <v>3726</v>
      </c>
      <c r="I2059" t="s">
        <v>1878</v>
      </c>
      <c r="K2059" t="s">
        <v>5037</v>
      </c>
      <c r="L2059" t="s">
        <v>5039</v>
      </c>
    </row>
    <row r="2060" spans="1:12" x14ac:dyDescent="0.35">
      <c r="A2060" t="s">
        <v>111</v>
      </c>
      <c r="B2060" t="s">
        <v>380</v>
      </c>
      <c r="C2060" t="s">
        <v>906</v>
      </c>
      <c r="D2060">
        <v>0.13</v>
      </c>
      <c r="F2060" t="s">
        <v>1466</v>
      </c>
      <c r="H2060" t="s">
        <v>3722</v>
      </c>
      <c r="I2060" t="s">
        <v>1707</v>
      </c>
      <c r="K2060" t="s">
        <v>5037</v>
      </c>
      <c r="L2060" t="s">
        <v>5039</v>
      </c>
    </row>
    <row r="2061" spans="1:12" x14ac:dyDescent="0.35">
      <c r="A2061" t="s">
        <v>111</v>
      </c>
      <c r="B2061" t="s">
        <v>380</v>
      </c>
      <c r="C2061" t="s">
        <v>825</v>
      </c>
      <c r="D2061">
        <v>3.6999999999999998E-2</v>
      </c>
      <c r="F2061" t="s">
        <v>1534</v>
      </c>
      <c r="H2061" t="s">
        <v>3729</v>
      </c>
      <c r="I2061" t="s">
        <v>1360</v>
      </c>
      <c r="K2061" t="s">
        <v>5037</v>
      </c>
      <c r="L2061" t="s">
        <v>5039</v>
      </c>
    </row>
    <row r="2062" spans="1:12" x14ac:dyDescent="0.35">
      <c r="A2062" t="s">
        <v>111</v>
      </c>
      <c r="B2062" t="s">
        <v>380</v>
      </c>
      <c r="C2062" t="s">
        <v>907</v>
      </c>
      <c r="D2062">
        <v>0.47</v>
      </c>
      <c r="F2062" t="s">
        <v>1795</v>
      </c>
      <c r="H2062" t="s">
        <v>3722</v>
      </c>
      <c r="I2062" t="s">
        <v>1707</v>
      </c>
      <c r="K2062" t="s">
        <v>5037</v>
      </c>
      <c r="L2062" t="s">
        <v>5039</v>
      </c>
    </row>
    <row r="2063" spans="1:12" x14ac:dyDescent="0.35">
      <c r="A2063" t="s">
        <v>111</v>
      </c>
      <c r="B2063" t="s">
        <v>380</v>
      </c>
      <c r="C2063" t="s">
        <v>822</v>
      </c>
      <c r="D2063">
        <v>4.8000000000000001E-2</v>
      </c>
      <c r="F2063" t="s">
        <v>1434</v>
      </c>
      <c r="H2063" t="s">
        <v>3729</v>
      </c>
      <c r="I2063" t="s">
        <v>1360</v>
      </c>
      <c r="K2063" t="s">
        <v>5037</v>
      </c>
      <c r="L2063" t="s">
        <v>5039</v>
      </c>
    </row>
    <row r="2064" spans="1:12" x14ac:dyDescent="0.35">
      <c r="A2064" t="s">
        <v>111</v>
      </c>
      <c r="B2064" t="s">
        <v>380</v>
      </c>
      <c r="C2064" t="s">
        <v>908</v>
      </c>
      <c r="D2064">
        <v>3.1E-2</v>
      </c>
      <c r="F2064" t="s">
        <v>1423</v>
      </c>
      <c r="H2064" t="s">
        <v>3722</v>
      </c>
      <c r="I2064" t="s">
        <v>1707</v>
      </c>
      <c r="K2064" t="s">
        <v>5037</v>
      </c>
      <c r="L2064" t="s">
        <v>5039</v>
      </c>
    </row>
    <row r="2065" spans="1:12" x14ac:dyDescent="0.35">
      <c r="A2065" t="s">
        <v>111</v>
      </c>
      <c r="B2065" t="s">
        <v>380</v>
      </c>
      <c r="C2065" t="s">
        <v>836</v>
      </c>
      <c r="D2065">
        <v>4.5</v>
      </c>
      <c r="F2065" t="s">
        <v>1828</v>
      </c>
      <c r="H2065" t="s">
        <v>3722</v>
      </c>
      <c r="I2065" t="s">
        <v>1707</v>
      </c>
      <c r="K2065" t="s">
        <v>5037</v>
      </c>
      <c r="L2065" t="s">
        <v>5039</v>
      </c>
    </row>
    <row r="2066" spans="1:12" x14ac:dyDescent="0.35">
      <c r="A2066" t="s">
        <v>111</v>
      </c>
      <c r="B2066" t="s">
        <v>380</v>
      </c>
      <c r="C2066" t="s">
        <v>806</v>
      </c>
      <c r="D2066">
        <v>0.76</v>
      </c>
      <c r="F2066" t="s">
        <v>1750</v>
      </c>
      <c r="H2066" t="s">
        <v>3732</v>
      </c>
      <c r="I2066" t="s">
        <v>1878</v>
      </c>
      <c r="K2066" t="s">
        <v>5037</v>
      </c>
      <c r="L2066" t="s">
        <v>5039</v>
      </c>
    </row>
    <row r="2067" spans="1:12" x14ac:dyDescent="0.35">
      <c r="A2067" t="s">
        <v>111</v>
      </c>
      <c r="B2067" t="s">
        <v>380</v>
      </c>
      <c r="C2067" t="s">
        <v>803</v>
      </c>
      <c r="D2067">
        <v>11.4</v>
      </c>
      <c r="F2067" t="s">
        <v>1668</v>
      </c>
      <c r="H2067" t="s">
        <v>3725</v>
      </c>
      <c r="I2067" t="s">
        <v>1878</v>
      </c>
      <c r="K2067" t="s">
        <v>5037</v>
      </c>
      <c r="L2067" t="s">
        <v>5039</v>
      </c>
    </row>
    <row r="2068" spans="1:12" x14ac:dyDescent="0.35">
      <c r="A2068" t="s">
        <v>111</v>
      </c>
      <c r="B2068" t="s">
        <v>380</v>
      </c>
      <c r="C2068" t="s">
        <v>801</v>
      </c>
      <c r="D2068">
        <v>0.93</v>
      </c>
      <c r="F2068" t="s">
        <v>1558</v>
      </c>
      <c r="H2068" t="s">
        <v>3725</v>
      </c>
      <c r="I2068" t="s">
        <v>1878</v>
      </c>
      <c r="K2068" t="s">
        <v>5037</v>
      </c>
      <c r="L2068" t="s">
        <v>5039</v>
      </c>
    </row>
    <row r="2069" spans="1:12" x14ac:dyDescent="0.35">
      <c r="A2069" t="s">
        <v>111</v>
      </c>
      <c r="B2069" t="s">
        <v>380</v>
      </c>
      <c r="C2069" t="s">
        <v>822</v>
      </c>
      <c r="D2069">
        <v>5.1999999999999998E-2</v>
      </c>
      <c r="F2069" t="s">
        <v>1529</v>
      </c>
      <c r="H2069" t="s">
        <v>3722</v>
      </c>
      <c r="I2069" t="s">
        <v>1707</v>
      </c>
      <c r="K2069" t="s">
        <v>5037</v>
      </c>
      <c r="L2069" t="s">
        <v>5039</v>
      </c>
    </row>
    <row r="2070" spans="1:12" x14ac:dyDescent="0.35">
      <c r="A2070" t="s">
        <v>111</v>
      </c>
      <c r="B2070" t="s">
        <v>380</v>
      </c>
      <c r="C2070" t="s">
        <v>905</v>
      </c>
      <c r="D2070">
        <v>0.249</v>
      </c>
      <c r="F2070" t="s">
        <v>2128</v>
      </c>
      <c r="H2070" t="s">
        <v>3729</v>
      </c>
      <c r="I2070" t="s">
        <v>1360</v>
      </c>
      <c r="K2070" t="s">
        <v>5037</v>
      </c>
      <c r="L2070" t="s">
        <v>5039</v>
      </c>
    </row>
    <row r="2071" spans="1:12" x14ac:dyDescent="0.35">
      <c r="A2071" t="s">
        <v>111</v>
      </c>
      <c r="B2071" t="s">
        <v>380</v>
      </c>
      <c r="C2071" t="s">
        <v>909</v>
      </c>
      <c r="D2071">
        <v>8.4000000000000005E-2</v>
      </c>
      <c r="F2071" t="s">
        <v>2129</v>
      </c>
      <c r="H2071" t="s">
        <v>3729</v>
      </c>
      <c r="I2071" t="s">
        <v>1360</v>
      </c>
      <c r="K2071" t="s">
        <v>5037</v>
      </c>
      <c r="L2071" t="s">
        <v>5039</v>
      </c>
    </row>
    <row r="2072" spans="1:12" x14ac:dyDescent="0.35">
      <c r="A2072" t="s">
        <v>111</v>
      </c>
      <c r="B2072" t="s">
        <v>380</v>
      </c>
      <c r="C2072" t="s">
        <v>863</v>
      </c>
      <c r="D2072">
        <v>2E-3</v>
      </c>
      <c r="F2072" t="s">
        <v>1286</v>
      </c>
      <c r="H2072" t="s">
        <v>3733</v>
      </c>
      <c r="I2072" t="s">
        <v>4861</v>
      </c>
      <c r="K2072" t="s">
        <v>5037</v>
      </c>
      <c r="L2072" t="s">
        <v>5039</v>
      </c>
    </row>
    <row r="2073" spans="1:12" x14ac:dyDescent="0.35">
      <c r="A2073" t="s">
        <v>236</v>
      </c>
      <c r="B2073" t="s">
        <v>378</v>
      </c>
      <c r="C2073" t="s">
        <v>720</v>
      </c>
      <c r="D2073">
        <v>0.05</v>
      </c>
      <c r="F2073" t="s">
        <v>1559</v>
      </c>
      <c r="H2073" t="s">
        <v>3734</v>
      </c>
      <c r="I2073" t="s">
        <v>1354</v>
      </c>
      <c r="K2073" t="s">
        <v>5037</v>
      </c>
      <c r="L2073" t="s">
        <v>5039</v>
      </c>
    </row>
    <row r="2074" spans="1:12" x14ac:dyDescent="0.35">
      <c r="A2074" t="s">
        <v>236</v>
      </c>
      <c r="B2074" t="s">
        <v>378</v>
      </c>
      <c r="C2074" t="s">
        <v>708</v>
      </c>
      <c r="D2074">
        <v>4.0000000000000001E-3</v>
      </c>
      <c r="F2074" t="s">
        <v>1838</v>
      </c>
      <c r="H2074" t="s">
        <v>3735</v>
      </c>
      <c r="I2074" t="s">
        <v>1354</v>
      </c>
      <c r="K2074" t="s">
        <v>5037</v>
      </c>
      <c r="L2074" t="s">
        <v>5039</v>
      </c>
    </row>
    <row r="2075" spans="1:12" x14ac:dyDescent="0.35">
      <c r="A2075" t="s">
        <v>236</v>
      </c>
      <c r="B2075" t="s">
        <v>378</v>
      </c>
      <c r="C2075" t="s">
        <v>720</v>
      </c>
      <c r="D2075">
        <v>2E-3</v>
      </c>
      <c r="F2075" t="s">
        <v>1286</v>
      </c>
      <c r="H2075" t="s">
        <v>3736</v>
      </c>
      <c r="I2075" t="s">
        <v>1354</v>
      </c>
      <c r="K2075" t="s">
        <v>5037</v>
      </c>
      <c r="L2075" t="s">
        <v>5039</v>
      </c>
    </row>
    <row r="2076" spans="1:12" x14ac:dyDescent="0.35">
      <c r="A2076" t="s">
        <v>236</v>
      </c>
      <c r="B2076" t="s">
        <v>378</v>
      </c>
      <c r="C2076" t="s">
        <v>720</v>
      </c>
      <c r="D2076">
        <v>0.02</v>
      </c>
      <c r="F2076" t="s">
        <v>1448</v>
      </c>
      <c r="H2076" t="s">
        <v>3737</v>
      </c>
      <c r="I2076" t="s">
        <v>1354</v>
      </c>
      <c r="K2076" t="s">
        <v>5037</v>
      </c>
      <c r="L2076" t="s">
        <v>5039</v>
      </c>
    </row>
    <row r="2077" spans="1:12" x14ac:dyDescent="0.35">
      <c r="A2077" t="s">
        <v>236</v>
      </c>
      <c r="B2077" t="s">
        <v>378</v>
      </c>
      <c r="C2077" t="s">
        <v>708</v>
      </c>
      <c r="D2077">
        <v>0.02</v>
      </c>
      <c r="F2077" t="s">
        <v>1448</v>
      </c>
      <c r="H2077" t="s">
        <v>3738</v>
      </c>
      <c r="I2077" t="s">
        <v>1354</v>
      </c>
      <c r="K2077" t="s">
        <v>5037</v>
      </c>
      <c r="L2077" t="s">
        <v>5039</v>
      </c>
    </row>
    <row r="2078" spans="1:12" x14ac:dyDescent="0.35">
      <c r="A2078" t="s">
        <v>236</v>
      </c>
      <c r="B2078" t="s">
        <v>378</v>
      </c>
      <c r="C2078" t="s">
        <v>720</v>
      </c>
      <c r="D2078">
        <v>2.5000000000000001E-3</v>
      </c>
      <c r="F2078" t="s">
        <v>2130</v>
      </c>
      <c r="H2078" t="s">
        <v>3739</v>
      </c>
      <c r="I2078" t="s">
        <v>1354</v>
      </c>
      <c r="K2078" t="s">
        <v>5037</v>
      </c>
      <c r="L2078" t="s">
        <v>5039</v>
      </c>
    </row>
    <row r="2079" spans="1:12" x14ac:dyDescent="0.35">
      <c r="A2079" t="s">
        <v>236</v>
      </c>
      <c r="B2079" t="s">
        <v>378</v>
      </c>
      <c r="C2079" t="s">
        <v>708</v>
      </c>
      <c r="D2079">
        <v>1.43</v>
      </c>
      <c r="F2079" t="s">
        <v>1482</v>
      </c>
      <c r="H2079" t="s">
        <v>3740</v>
      </c>
      <c r="I2079" t="s">
        <v>1354</v>
      </c>
      <c r="K2079" t="s">
        <v>5037</v>
      </c>
      <c r="L2079" t="s">
        <v>5039</v>
      </c>
    </row>
    <row r="2080" spans="1:12" x14ac:dyDescent="0.35">
      <c r="A2080" t="s">
        <v>236</v>
      </c>
      <c r="B2080" t="s">
        <v>378</v>
      </c>
      <c r="C2080" t="s">
        <v>708</v>
      </c>
      <c r="D2080">
        <v>0.01</v>
      </c>
      <c r="F2080" t="s">
        <v>1376</v>
      </c>
      <c r="H2080" t="s">
        <v>3741</v>
      </c>
      <c r="I2080" t="s">
        <v>1354</v>
      </c>
      <c r="K2080" t="s">
        <v>5037</v>
      </c>
      <c r="L2080" t="s">
        <v>5039</v>
      </c>
    </row>
    <row r="2081" spans="1:12" x14ac:dyDescent="0.35">
      <c r="A2081" t="s">
        <v>236</v>
      </c>
      <c r="B2081" t="s">
        <v>378</v>
      </c>
      <c r="C2081" t="s">
        <v>708</v>
      </c>
      <c r="D2081">
        <v>0.54</v>
      </c>
      <c r="F2081" t="s">
        <v>1748</v>
      </c>
      <c r="H2081" t="s">
        <v>3742</v>
      </c>
      <c r="I2081" t="s">
        <v>1354</v>
      </c>
      <c r="K2081" t="s">
        <v>5037</v>
      </c>
      <c r="L2081" t="s">
        <v>5039</v>
      </c>
    </row>
    <row r="2082" spans="1:12" x14ac:dyDescent="0.35">
      <c r="A2082" t="s">
        <v>236</v>
      </c>
      <c r="B2082" t="s">
        <v>378</v>
      </c>
      <c r="C2082" t="s">
        <v>708</v>
      </c>
      <c r="D2082">
        <v>0.33</v>
      </c>
      <c r="F2082" t="s">
        <v>1397</v>
      </c>
      <c r="H2082" t="s">
        <v>3743</v>
      </c>
      <c r="I2082" t="s">
        <v>1354</v>
      </c>
      <c r="K2082" t="s">
        <v>5037</v>
      </c>
      <c r="L2082" t="s">
        <v>5039</v>
      </c>
    </row>
    <row r="2083" spans="1:12" x14ac:dyDescent="0.35">
      <c r="A2083" t="s">
        <v>236</v>
      </c>
      <c r="B2083" t="s">
        <v>378</v>
      </c>
      <c r="C2083" t="s">
        <v>720</v>
      </c>
      <c r="D2083">
        <v>0.13</v>
      </c>
      <c r="F2083" t="s">
        <v>1466</v>
      </c>
      <c r="H2083" t="s">
        <v>3744</v>
      </c>
      <c r="I2083" t="s">
        <v>1354</v>
      </c>
      <c r="K2083" t="s">
        <v>5037</v>
      </c>
      <c r="L2083" t="s">
        <v>5039</v>
      </c>
    </row>
    <row r="2084" spans="1:12" x14ac:dyDescent="0.35">
      <c r="A2084" t="s">
        <v>236</v>
      </c>
      <c r="B2084" t="s">
        <v>497</v>
      </c>
      <c r="C2084" t="s">
        <v>910</v>
      </c>
      <c r="D2084">
        <v>0.10199999999999999</v>
      </c>
      <c r="F2084" t="s">
        <v>2131</v>
      </c>
      <c r="H2084" t="s">
        <v>3745</v>
      </c>
      <c r="I2084" t="s">
        <v>1394</v>
      </c>
      <c r="K2084" t="s">
        <v>5037</v>
      </c>
      <c r="L2084" t="s">
        <v>5039</v>
      </c>
    </row>
    <row r="2085" spans="1:12" x14ac:dyDescent="0.35">
      <c r="A2085" t="s">
        <v>236</v>
      </c>
      <c r="B2085" t="s">
        <v>497</v>
      </c>
      <c r="C2085" t="s">
        <v>911</v>
      </c>
      <c r="D2085">
        <v>1.6500000000000001E-2</v>
      </c>
      <c r="F2085" t="s">
        <v>2132</v>
      </c>
      <c r="H2085" t="s">
        <v>3745</v>
      </c>
      <c r="I2085" t="s">
        <v>1394</v>
      </c>
      <c r="K2085" t="s">
        <v>5037</v>
      </c>
      <c r="L2085" t="s">
        <v>5039</v>
      </c>
    </row>
    <row r="2086" spans="1:12" x14ac:dyDescent="0.35">
      <c r="A2086" t="s">
        <v>236</v>
      </c>
      <c r="B2086" t="s">
        <v>497</v>
      </c>
      <c r="C2086" t="s">
        <v>912</v>
      </c>
      <c r="D2086">
        <v>1.6500000000000001E-2</v>
      </c>
      <c r="F2086" t="s">
        <v>2132</v>
      </c>
      <c r="H2086" t="s">
        <v>3746</v>
      </c>
      <c r="I2086" t="s">
        <v>1394</v>
      </c>
      <c r="K2086" t="s">
        <v>5037</v>
      </c>
      <c r="L2086" t="s">
        <v>5039</v>
      </c>
    </row>
    <row r="2087" spans="1:12" x14ac:dyDescent="0.35">
      <c r="A2087" t="s">
        <v>236</v>
      </c>
      <c r="B2087" t="s">
        <v>497</v>
      </c>
      <c r="C2087" t="s">
        <v>913</v>
      </c>
      <c r="D2087">
        <v>1.18E-2</v>
      </c>
      <c r="F2087" t="s">
        <v>2133</v>
      </c>
      <c r="H2087" t="s">
        <v>3745</v>
      </c>
      <c r="I2087" t="s">
        <v>1394</v>
      </c>
      <c r="K2087" t="s">
        <v>5037</v>
      </c>
      <c r="L2087" t="s">
        <v>5039</v>
      </c>
    </row>
    <row r="2088" spans="1:12" x14ac:dyDescent="0.35">
      <c r="A2088" t="s">
        <v>236</v>
      </c>
      <c r="B2088" t="s">
        <v>497</v>
      </c>
      <c r="C2088" t="s">
        <v>914</v>
      </c>
      <c r="D2088">
        <v>4.1000000000000003E-3</v>
      </c>
      <c r="F2088" t="s">
        <v>1913</v>
      </c>
      <c r="H2088" t="s">
        <v>3745</v>
      </c>
      <c r="I2088" t="s">
        <v>1394</v>
      </c>
      <c r="K2088" t="s">
        <v>5037</v>
      </c>
      <c r="L2088" t="s">
        <v>5039</v>
      </c>
    </row>
    <row r="2089" spans="1:12" x14ac:dyDescent="0.35">
      <c r="A2089" t="s">
        <v>236</v>
      </c>
      <c r="B2089" t="s">
        <v>497</v>
      </c>
      <c r="C2089" t="s">
        <v>915</v>
      </c>
      <c r="D2089">
        <v>3.8600000000000002E-2</v>
      </c>
      <c r="F2089" t="s">
        <v>2134</v>
      </c>
      <c r="H2089" t="s">
        <v>3747</v>
      </c>
      <c r="I2089" t="s">
        <v>1394</v>
      </c>
      <c r="K2089" t="s">
        <v>5037</v>
      </c>
      <c r="L2089" t="s">
        <v>5039</v>
      </c>
    </row>
    <row r="2090" spans="1:12" x14ac:dyDescent="0.35">
      <c r="A2090" t="s">
        <v>236</v>
      </c>
      <c r="B2090" t="s">
        <v>497</v>
      </c>
      <c r="C2090" t="s">
        <v>916</v>
      </c>
      <c r="D2090">
        <v>5.0900000000000001E-2</v>
      </c>
      <c r="F2090" t="s">
        <v>2135</v>
      </c>
      <c r="H2090" t="s">
        <v>3747</v>
      </c>
      <c r="I2090" t="s">
        <v>1394</v>
      </c>
      <c r="K2090" t="s">
        <v>5037</v>
      </c>
      <c r="L2090" t="s">
        <v>5039</v>
      </c>
    </row>
    <row r="2091" spans="1:12" x14ac:dyDescent="0.35">
      <c r="A2091" t="s">
        <v>236</v>
      </c>
      <c r="B2091" t="s">
        <v>497</v>
      </c>
      <c r="C2091" t="s">
        <v>917</v>
      </c>
      <c r="D2091">
        <v>1.29E-2</v>
      </c>
      <c r="F2091" t="s">
        <v>2136</v>
      </c>
      <c r="H2091" t="s">
        <v>3746</v>
      </c>
      <c r="I2091" t="s">
        <v>1394</v>
      </c>
      <c r="K2091" t="s">
        <v>5037</v>
      </c>
      <c r="L2091" t="s">
        <v>5039</v>
      </c>
    </row>
    <row r="2092" spans="1:12" x14ac:dyDescent="0.35">
      <c r="A2092" t="s">
        <v>236</v>
      </c>
      <c r="B2092" t="s">
        <v>497</v>
      </c>
      <c r="C2092" t="s">
        <v>918</v>
      </c>
      <c r="D2092">
        <v>5.5100000000000003E-2</v>
      </c>
      <c r="F2092" t="s">
        <v>2137</v>
      </c>
      <c r="H2092" t="s">
        <v>3745</v>
      </c>
      <c r="I2092" t="s">
        <v>1394</v>
      </c>
      <c r="K2092" t="s">
        <v>5037</v>
      </c>
      <c r="L2092" t="s">
        <v>5039</v>
      </c>
    </row>
    <row r="2093" spans="1:12" x14ac:dyDescent="0.35">
      <c r="A2093" t="s">
        <v>236</v>
      </c>
      <c r="B2093" t="s">
        <v>498</v>
      </c>
      <c r="C2093" t="s">
        <v>919</v>
      </c>
      <c r="D2093">
        <v>0.11</v>
      </c>
      <c r="F2093" t="s">
        <v>1295</v>
      </c>
      <c r="H2093" t="s">
        <v>3748</v>
      </c>
      <c r="I2093" t="s">
        <v>1766</v>
      </c>
      <c r="K2093" t="s">
        <v>5037</v>
      </c>
      <c r="L2093" t="s">
        <v>5039</v>
      </c>
    </row>
    <row r="2094" spans="1:12" x14ac:dyDescent="0.35">
      <c r="A2094" t="s">
        <v>236</v>
      </c>
      <c r="B2094" t="s">
        <v>498</v>
      </c>
      <c r="C2094" t="s">
        <v>919</v>
      </c>
      <c r="D2094">
        <v>2.3E-2</v>
      </c>
      <c r="F2094" t="s">
        <v>1457</v>
      </c>
      <c r="H2094" t="s">
        <v>3749</v>
      </c>
      <c r="I2094" t="s">
        <v>1766</v>
      </c>
      <c r="K2094" t="s">
        <v>5037</v>
      </c>
      <c r="L2094" t="s">
        <v>5039</v>
      </c>
    </row>
    <row r="2095" spans="1:12" x14ac:dyDescent="0.35">
      <c r="A2095" t="s">
        <v>236</v>
      </c>
      <c r="B2095" t="s">
        <v>498</v>
      </c>
      <c r="C2095" t="s">
        <v>920</v>
      </c>
      <c r="D2095">
        <v>7.4999999999999997E-2</v>
      </c>
      <c r="F2095" t="s">
        <v>1460</v>
      </c>
      <c r="H2095" t="s">
        <v>3749</v>
      </c>
      <c r="I2095" t="s">
        <v>1766</v>
      </c>
      <c r="K2095" t="s">
        <v>5037</v>
      </c>
      <c r="L2095" t="s">
        <v>5039</v>
      </c>
    </row>
    <row r="2096" spans="1:12" x14ac:dyDescent="0.35">
      <c r="A2096" t="s">
        <v>236</v>
      </c>
      <c r="B2096" t="s">
        <v>498</v>
      </c>
      <c r="C2096" t="s">
        <v>920</v>
      </c>
      <c r="D2096">
        <v>8.4000000000000005E-2</v>
      </c>
      <c r="F2096" t="s">
        <v>2129</v>
      </c>
      <c r="H2096" t="s">
        <v>3748</v>
      </c>
      <c r="I2096" t="s">
        <v>1766</v>
      </c>
      <c r="K2096" t="s">
        <v>5037</v>
      </c>
      <c r="L2096" t="s">
        <v>5039</v>
      </c>
    </row>
    <row r="2097" spans="1:12" x14ac:dyDescent="0.35">
      <c r="A2097" t="s">
        <v>236</v>
      </c>
      <c r="B2097" t="s">
        <v>356</v>
      </c>
      <c r="C2097" t="s">
        <v>921</v>
      </c>
      <c r="D2097">
        <v>6.4000000000000003E-3</v>
      </c>
      <c r="F2097" t="s">
        <v>2138</v>
      </c>
      <c r="H2097" t="s">
        <v>3750</v>
      </c>
      <c r="I2097" t="s">
        <v>1841</v>
      </c>
      <c r="K2097" t="s">
        <v>5037</v>
      </c>
      <c r="L2097" t="s">
        <v>5039</v>
      </c>
    </row>
    <row r="2098" spans="1:12" x14ac:dyDescent="0.35">
      <c r="A2098" t="s">
        <v>236</v>
      </c>
      <c r="B2098" t="s">
        <v>356</v>
      </c>
      <c r="C2098" t="s">
        <v>922</v>
      </c>
      <c r="D2098">
        <v>1.04E-2</v>
      </c>
      <c r="F2098" t="s">
        <v>2139</v>
      </c>
      <c r="H2098" t="s">
        <v>3750</v>
      </c>
      <c r="I2098" t="s">
        <v>1841</v>
      </c>
      <c r="K2098" t="s">
        <v>5037</v>
      </c>
      <c r="L2098" t="s">
        <v>5039</v>
      </c>
    </row>
    <row r="2099" spans="1:12" x14ac:dyDescent="0.35">
      <c r="A2099" t="s">
        <v>236</v>
      </c>
      <c r="B2099" t="s">
        <v>356</v>
      </c>
      <c r="C2099" t="s">
        <v>922</v>
      </c>
      <c r="D2099">
        <v>6.4999999999999997E-3</v>
      </c>
      <c r="F2099" t="s">
        <v>1813</v>
      </c>
      <c r="H2099" t="s">
        <v>3750</v>
      </c>
      <c r="I2099" t="s">
        <v>1841</v>
      </c>
      <c r="K2099" t="s">
        <v>5037</v>
      </c>
      <c r="L2099" t="s">
        <v>5039</v>
      </c>
    </row>
    <row r="2100" spans="1:12" x14ac:dyDescent="0.35">
      <c r="A2100" t="s">
        <v>236</v>
      </c>
      <c r="B2100" t="s">
        <v>356</v>
      </c>
      <c r="C2100" t="s">
        <v>921</v>
      </c>
      <c r="D2100">
        <v>2.4500000000000001E-2</v>
      </c>
      <c r="F2100" t="s">
        <v>2140</v>
      </c>
      <c r="H2100" t="s">
        <v>3750</v>
      </c>
      <c r="I2100" t="s">
        <v>1841</v>
      </c>
      <c r="K2100" t="s">
        <v>5037</v>
      </c>
      <c r="L2100" t="s">
        <v>5039</v>
      </c>
    </row>
    <row r="2101" spans="1:12" x14ac:dyDescent="0.35">
      <c r="A2101" t="s">
        <v>236</v>
      </c>
      <c r="B2101" t="s">
        <v>356</v>
      </c>
      <c r="C2101" t="s">
        <v>923</v>
      </c>
      <c r="D2101">
        <v>3.1899999999999998E-2</v>
      </c>
      <c r="F2101" t="s">
        <v>2141</v>
      </c>
      <c r="H2101" t="s">
        <v>3750</v>
      </c>
      <c r="I2101" t="s">
        <v>1841</v>
      </c>
      <c r="K2101" t="s">
        <v>5037</v>
      </c>
      <c r="L2101" t="s">
        <v>5039</v>
      </c>
    </row>
    <row r="2102" spans="1:12" x14ac:dyDescent="0.35">
      <c r="A2102" t="s">
        <v>236</v>
      </c>
      <c r="B2102" t="s">
        <v>356</v>
      </c>
      <c r="C2102" t="s">
        <v>923</v>
      </c>
      <c r="D2102">
        <v>6.1800000000000001E-2</v>
      </c>
      <c r="F2102" t="s">
        <v>2142</v>
      </c>
      <c r="H2102" t="s">
        <v>3750</v>
      </c>
      <c r="I2102" t="s">
        <v>1841</v>
      </c>
      <c r="K2102" t="s">
        <v>5037</v>
      </c>
      <c r="L2102" t="s">
        <v>5039</v>
      </c>
    </row>
    <row r="2103" spans="1:12" x14ac:dyDescent="0.35">
      <c r="A2103" t="s">
        <v>236</v>
      </c>
      <c r="B2103" t="s">
        <v>175</v>
      </c>
      <c r="C2103" t="s">
        <v>924</v>
      </c>
      <c r="D2103">
        <v>5.7000000000000002E-2</v>
      </c>
      <c r="F2103" t="s">
        <v>1530</v>
      </c>
      <c r="H2103" t="s">
        <v>3751</v>
      </c>
      <c r="I2103" t="s">
        <v>4921</v>
      </c>
      <c r="K2103" t="s">
        <v>5037</v>
      </c>
      <c r="L2103" t="s">
        <v>5039</v>
      </c>
    </row>
    <row r="2104" spans="1:12" x14ac:dyDescent="0.35">
      <c r="A2104" t="s">
        <v>236</v>
      </c>
      <c r="B2104" t="s">
        <v>175</v>
      </c>
      <c r="C2104" t="s">
        <v>924</v>
      </c>
      <c r="D2104">
        <v>6.3E-2</v>
      </c>
      <c r="F2104" t="s">
        <v>2017</v>
      </c>
      <c r="H2104" t="s">
        <v>3751</v>
      </c>
      <c r="I2104" t="s">
        <v>4921</v>
      </c>
      <c r="K2104" t="s">
        <v>5037</v>
      </c>
      <c r="L2104" t="s">
        <v>5039</v>
      </c>
    </row>
    <row r="2105" spans="1:12" x14ac:dyDescent="0.35">
      <c r="A2105" t="s">
        <v>236</v>
      </c>
      <c r="B2105" t="s">
        <v>175</v>
      </c>
      <c r="C2105" t="s">
        <v>925</v>
      </c>
      <c r="D2105">
        <v>8.8999999999999996E-2</v>
      </c>
      <c r="F2105" t="s">
        <v>1970</v>
      </c>
      <c r="H2105" t="s">
        <v>3752</v>
      </c>
      <c r="I2105" t="s">
        <v>4919</v>
      </c>
      <c r="K2105" t="s">
        <v>5037</v>
      </c>
      <c r="L2105" t="s">
        <v>5039</v>
      </c>
    </row>
    <row r="2106" spans="1:12" x14ac:dyDescent="0.35">
      <c r="A2106" t="s">
        <v>236</v>
      </c>
      <c r="B2106" t="s">
        <v>175</v>
      </c>
      <c r="C2106" t="s">
        <v>925</v>
      </c>
      <c r="D2106">
        <v>1.2E-2</v>
      </c>
      <c r="F2106" t="s">
        <v>1280</v>
      </c>
      <c r="H2106" t="s">
        <v>3753</v>
      </c>
      <c r="I2106" t="s">
        <v>4919</v>
      </c>
      <c r="K2106" t="s">
        <v>5037</v>
      </c>
      <c r="L2106" t="s">
        <v>5039</v>
      </c>
    </row>
    <row r="2107" spans="1:12" x14ac:dyDescent="0.35">
      <c r="A2107" t="s">
        <v>236</v>
      </c>
      <c r="B2107" t="s">
        <v>175</v>
      </c>
      <c r="C2107" t="s">
        <v>925</v>
      </c>
      <c r="D2107">
        <v>8.0000000000000002E-3</v>
      </c>
      <c r="F2107" t="s">
        <v>1801</v>
      </c>
      <c r="H2107" t="s">
        <v>3754</v>
      </c>
      <c r="I2107" t="s">
        <v>4919</v>
      </c>
      <c r="K2107" t="s">
        <v>5037</v>
      </c>
      <c r="L2107" t="s">
        <v>5039</v>
      </c>
    </row>
    <row r="2108" spans="1:12" x14ac:dyDescent="0.35">
      <c r="A2108" t="s">
        <v>236</v>
      </c>
      <c r="B2108" t="s">
        <v>175</v>
      </c>
      <c r="C2108" t="s">
        <v>926</v>
      </c>
      <c r="D2108">
        <v>1.7999999999999999E-2</v>
      </c>
      <c r="F2108" t="s">
        <v>1611</v>
      </c>
      <c r="H2108" t="s">
        <v>3755</v>
      </c>
      <c r="I2108" t="s">
        <v>4919</v>
      </c>
      <c r="K2108" t="s">
        <v>5037</v>
      </c>
      <c r="L2108" t="s">
        <v>5039</v>
      </c>
    </row>
    <row r="2109" spans="1:12" x14ac:dyDescent="0.35">
      <c r="A2109" t="s">
        <v>236</v>
      </c>
      <c r="B2109" t="s">
        <v>175</v>
      </c>
      <c r="C2109" t="s">
        <v>927</v>
      </c>
      <c r="D2109">
        <v>5.5E-2</v>
      </c>
      <c r="F2109" t="s">
        <v>1613</v>
      </c>
      <c r="H2109" t="s">
        <v>3756</v>
      </c>
      <c r="I2109" t="s">
        <v>4921</v>
      </c>
      <c r="K2109" t="s">
        <v>5037</v>
      </c>
      <c r="L2109" t="s">
        <v>5039</v>
      </c>
    </row>
    <row r="2110" spans="1:12" x14ac:dyDescent="0.35">
      <c r="A2110" t="s">
        <v>236</v>
      </c>
      <c r="B2110" t="s">
        <v>175</v>
      </c>
      <c r="C2110" t="s">
        <v>925</v>
      </c>
      <c r="D2110">
        <v>2.3999999999999998E-3</v>
      </c>
      <c r="F2110" t="s">
        <v>1326</v>
      </c>
      <c r="H2110" t="s">
        <v>3757</v>
      </c>
      <c r="I2110" t="s">
        <v>4919</v>
      </c>
      <c r="K2110" t="s">
        <v>5037</v>
      </c>
      <c r="L2110" t="s">
        <v>5039</v>
      </c>
    </row>
    <row r="2111" spans="1:12" x14ac:dyDescent="0.35">
      <c r="A2111" t="s">
        <v>236</v>
      </c>
      <c r="B2111" t="s">
        <v>175</v>
      </c>
      <c r="C2111" t="s">
        <v>925</v>
      </c>
      <c r="D2111">
        <v>6.0000000000000001E-3</v>
      </c>
      <c r="F2111" t="s">
        <v>1273</v>
      </c>
      <c r="H2111" t="s">
        <v>3758</v>
      </c>
      <c r="I2111" t="s">
        <v>4919</v>
      </c>
      <c r="K2111" t="s">
        <v>5037</v>
      </c>
      <c r="L2111" t="s">
        <v>5039</v>
      </c>
    </row>
    <row r="2112" spans="1:12" x14ac:dyDescent="0.35">
      <c r="A2112" t="s">
        <v>236</v>
      </c>
      <c r="B2112" t="s">
        <v>175</v>
      </c>
      <c r="C2112" t="s">
        <v>927</v>
      </c>
      <c r="D2112">
        <v>6.0999999999999999E-2</v>
      </c>
      <c r="F2112" t="s">
        <v>1646</v>
      </c>
      <c r="H2112" t="s">
        <v>3756</v>
      </c>
      <c r="I2112" t="s">
        <v>4921</v>
      </c>
      <c r="K2112" t="s">
        <v>5037</v>
      </c>
      <c r="L2112" t="s">
        <v>5039</v>
      </c>
    </row>
    <row r="2113" spans="1:12" x14ac:dyDescent="0.35">
      <c r="A2113" t="s">
        <v>236</v>
      </c>
      <c r="B2113" t="s">
        <v>175</v>
      </c>
      <c r="C2113" t="s">
        <v>928</v>
      </c>
      <c r="D2113">
        <v>0.10100000000000001</v>
      </c>
      <c r="F2113" t="s">
        <v>2143</v>
      </c>
      <c r="H2113" t="s">
        <v>3751</v>
      </c>
      <c r="I2113" t="s">
        <v>4921</v>
      </c>
      <c r="K2113" t="s">
        <v>5037</v>
      </c>
      <c r="L2113" t="s">
        <v>5039</v>
      </c>
    </row>
    <row r="2114" spans="1:12" x14ac:dyDescent="0.35">
      <c r="A2114" t="s">
        <v>236</v>
      </c>
      <c r="B2114" t="s">
        <v>175</v>
      </c>
      <c r="C2114" t="s">
        <v>925</v>
      </c>
      <c r="D2114">
        <v>4.4000000000000003E-3</v>
      </c>
      <c r="F2114" t="s">
        <v>2144</v>
      </c>
      <c r="H2114" t="s">
        <v>3759</v>
      </c>
      <c r="I2114" t="s">
        <v>4919</v>
      </c>
      <c r="K2114" t="s">
        <v>5037</v>
      </c>
      <c r="L2114" t="s">
        <v>5039</v>
      </c>
    </row>
    <row r="2115" spans="1:12" x14ac:dyDescent="0.35">
      <c r="A2115" t="s">
        <v>236</v>
      </c>
      <c r="B2115" t="s">
        <v>175</v>
      </c>
      <c r="C2115" t="s">
        <v>929</v>
      </c>
      <c r="D2115">
        <v>0.115</v>
      </c>
      <c r="F2115" t="s">
        <v>2145</v>
      </c>
      <c r="H2115" t="s">
        <v>3756</v>
      </c>
      <c r="I2115" t="s">
        <v>4921</v>
      </c>
      <c r="K2115" t="s">
        <v>5037</v>
      </c>
      <c r="L2115" t="s">
        <v>5039</v>
      </c>
    </row>
    <row r="2116" spans="1:12" x14ac:dyDescent="0.35">
      <c r="A2116" t="s">
        <v>236</v>
      </c>
      <c r="B2116" t="s">
        <v>175</v>
      </c>
      <c r="C2116" t="s">
        <v>925</v>
      </c>
      <c r="D2116">
        <v>0.13100000000000001</v>
      </c>
      <c r="F2116" t="s">
        <v>2146</v>
      </c>
      <c r="H2116" t="s">
        <v>3760</v>
      </c>
      <c r="I2116" t="s">
        <v>4919</v>
      </c>
      <c r="K2116" t="s">
        <v>5037</v>
      </c>
      <c r="L2116" t="s">
        <v>5039</v>
      </c>
    </row>
    <row r="2117" spans="1:12" x14ac:dyDescent="0.35">
      <c r="A2117" t="s">
        <v>236</v>
      </c>
      <c r="B2117" t="s">
        <v>175</v>
      </c>
      <c r="C2117" t="s">
        <v>929</v>
      </c>
      <c r="D2117">
        <v>0.13100000000000001</v>
      </c>
      <c r="F2117" t="s">
        <v>2146</v>
      </c>
      <c r="H2117" t="s">
        <v>3756</v>
      </c>
      <c r="I2117" t="s">
        <v>4921</v>
      </c>
      <c r="K2117" t="s">
        <v>5037</v>
      </c>
      <c r="L2117" t="s">
        <v>5039</v>
      </c>
    </row>
    <row r="2118" spans="1:12" x14ac:dyDescent="0.35">
      <c r="A2118" t="s">
        <v>236</v>
      </c>
      <c r="B2118" t="s">
        <v>175</v>
      </c>
      <c r="C2118" t="s">
        <v>928</v>
      </c>
      <c r="D2118">
        <v>0.106</v>
      </c>
      <c r="F2118" t="s">
        <v>2147</v>
      </c>
      <c r="H2118" t="s">
        <v>3751</v>
      </c>
      <c r="I2118" t="s">
        <v>4921</v>
      </c>
      <c r="K2118" t="s">
        <v>5037</v>
      </c>
      <c r="L2118" t="s">
        <v>5039</v>
      </c>
    </row>
    <row r="2119" spans="1:12" x14ac:dyDescent="0.35">
      <c r="A2119" t="s">
        <v>236</v>
      </c>
      <c r="B2119" t="s">
        <v>499</v>
      </c>
      <c r="C2119" t="s">
        <v>720</v>
      </c>
      <c r="D2119">
        <v>3.3999999999999998E-3</v>
      </c>
      <c r="F2119" t="s">
        <v>1830</v>
      </c>
      <c r="H2119" t="s">
        <v>3761</v>
      </c>
      <c r="I2119" t="s">
        <v>1383</v>
      </c>
      <c r="K2119" t="s">
        <v>5037</v>
      </c>
      <c r="L2119" t="s">
        <v>5039</v>
      </c>
    </row>
    <row r="2120" spans="1:12" x14ac:dyDescent="0.35">
      <c r="A2120" t="s">
        <v>236</v>
      </c>
      <c r="B2120" t="s">
        <v>499</v>
      </c>
      <c r="C2120" t="s">
        <v>708</v>
      </c>
      <c r="D2120">
        <v>0.126</v>
      </c>
      <c r="F2120" t="s">
        <v>2148</v>
      </c>
      <c r="H2120" t="s">
        <v>3761</v>
      </c>
      <c r="I2120" t="s">
        <v>1383</v>
      </c>
      <c r="K2120" t="s">
        <v>5037</v>
      </c>
      <c r="L2120" t="s">
        <v>5039</v>
      </c>
    </row>
    <row r="2121" spans="1:12" x14ac:dyDescent="0.35">
      <c r="A2121" t="s">
        <v>236</v>
      </c>
      <c r="B2121" t="s">
        <v>175</v>
      </c>
      <c r="C2121" t="s">
        <v>925</v>
      </c>
      <c r="D2121">
        <v>1.6000000000000001E-3</v>
      </c>
      <c r="F2121" t="s">
        <v>1283</v>
      </c>
      <c r="H2121" t="s">
        <v>3762</v>
      </c>
      <c r="I2121" t="s">
        <v>4919</v>
      </c>
      <c r="K2121" t="s">
        <v>5037</v>
      </c>
      <c r="L2121" t="s">
        <v>5039</v>
      </c>
    </row>
    <row r="2122" spans="1:12" x14ac:dyDescent="0.35">
      <c r="A2122" t="s">
        <v>236</v>
      </c>
      <c r="B2122" t="s">
        <v>175</v>
      </c>
      <c r="C2122" t="s">
        <v>925</v>
      </c>
      <c r="D2122">
        <v>2.2000000000000001E-3</v>
      </c>
      <c r="F2122" t="s">
        <v>2095</v>
      </c>
      <c r="H2122" t="s">
        <v>3763</v>
      </c>
      <c r="I2122" t="s">
        <v>4919</v>
      </c>
      <c r="K2122" t="s">
        <v>5037</v>
      </c>
      <c r="L2122" t="s">
        <v>5039</v>
      </c>
    </row>
    <row r="2123" spans="1:12" x14ac:dyDescent="0.35">
      <c r="A2123" t="s">
        <v>236</v>
      </c>
      <c r="B2123" t="s">
        <v>175</v>
      </c>
      <c r="C2123" t="s">
        <v>925</v>
      </c>
      <c r="D2123">
        <v>0.01</v>
      </c>
      <c r="F2123" t="s">
        <v>1376</v>
      </c>
      <c r="H2123" t="s">
        <v>3764</v>
      </c>
      <c r="I2123" t="s">
        <v>4919</v>
      </c>
      <c r="K2123" t="s">
        <v>5037</v>
      </c>
      <c r="L2123" t="s">
        <v>5039</v>
      </c>
    </row>
    <row r="2124" spans="1:12" x14ac:dyDescent="0.35">
      <c r="A2124" t="s">
        <v>236</v>
      </c>
      <c r="B2124" t="s">
        <v>175</v>
      </c>
      <c r="C2124" t="s">
        <v>925</v>
      </c>
      <c r="D2124">
        <v>2.7000000000000001E-3</v>
      </c>
      <c r="F2124" t="s">
        <v>1342</v>
      </c>
      <c r="H2124" t="s">
        <v>3765</v>
      </c>
      <c r="I2124" t="s">
        <v>4919</v>
      </c>
      <c r="K2124" t="s">
        <v>5037</v>
      </c>
      <c r="L2124" t="s">
        <v>5039</v>
      </c>
    </row>
    <row r="2125" spans="1:12" x14ac:dyDescent="0.35">
      <c r="A2125" t="s">
        <v>236</v>
      </c>
      <c r="B2125" t="s">
        <v>175</v>
      </c>
      <c r="C2125" t="s">
        <v>930</v>
      </c>
      <c r="D2125">
        <v>1.1999999999999999E-3</v>
      </c>
      <c r="F2125" t="s">
        <v>1337</v>
      </c>
      <c r="H2125" t="s">
        <v>3766</v>
      </c>
      <c r="I2125" t="s">
        <v>2326</v>
      </c>
      <c r="K2125" t="s">
        <v>5037</v>
      </c>
      <c r="L2125" t="s">
        <v>5039</v>
      </c>
    </row>
    <row r="2126" spans="1:12" x14ac:dyDescent="0.35">
      <c r="A2126" t="s">
        <v>236</v>
      </c>
      <c r="B2126" t="s">
        <v>175</v>
      </c>
      <c r="C2126" t="s">
        <v>930</v>
      </c>
      <c r="D2126">
        <v>1E-4</v>
      </c>
      <c r="F2126" t="s">
        <v>1289</v>
      </c>
      <c r="H2126" t="s">
        <v>3767</v>
      </c>
      <c r="I2126" t="s">
        <v>2326</v>
      </c>
      <c r="K2126" t="s">
        <v>5037</v>
      </c>
      <c r="L2126" t="s">
        <v>5039</v>
      </c>
    </row>
    <row r="2127" spans="1:12" x14ac:dyDescent="0.35">
      <c r="A2127" t="s">
        <v>113</v>
      </c>
      <c r="B2127" t="s">
        <v>380</v>
      </c>
      <c r="C2127" t="s">
        <v>720</v>
      </c>
      <c r="D2127">
        <v>2.1000000000000001E-2</v>
      </c>
      <c r="F2127" t="s">
        <v>1617</v>
      </c>
      <c r="H2127" t="s">
        <v>3768</v>
      </c>
      <c r="I2127" t="s">
        <v>4892</v>
      </c>
      <c r="K2127" t="s">
        <v>5037</v>
      </c>
      <c r="L2127" t="s">
        <v>5039</v>
      </c>
    </row>
    <row r="2128" spans="1:12" x14ac:dyDescent="0.35">
      <c r="A2128" t="s">
        <v>113</v>
      </c>
      <c r="B2128" t="s">
        <v>380</v>
      </c>
      <c r="C2128" t="s">
        <v>931</v>
      </c>
      <c r="D2128">
        <v>7.5999999999999998E-2</v>
      </c>
      <c r="F2128" t="s">
        <v>2107</v>
      </c>
      <c r="I2128" t="s">
        <v>4933</v>
      </c>
      <c r="K2128" t="s">
        <v>5037</v>
      </c>
      <c r="L2128" t="s">
        <v>5039</v>
      </c>
    </row>
    <row r="2129" spans="1:12" x14ac:dyDescent="0.35">
      <c r="A2129" t="s">
        <v>113</v>
      </c>
      <c r="B2129" t="s">
        <v>454</v>
      </c>
      <c r="C2129" t="s">
        <v>932</v>
      </c>
      <c r="D2129">
        <v>1.546E-2</v>
      </c>
      <c r="F2129" t="s">
        <v>2149</v>
      </c>
      <c r="H2129" t="s">
        <v>3769</v>
      </c>
      <c r="I2129" t="s">
        <v>4934</v>
      </c>
      <c r="K2129" t="s">
        <v>5037</v>
      </c>
      <c r="L2129" t="s">
        <v>5039</v>
      </c>
    </row>
    <row r="2130" spans="1:12" x14ac:dyDescent="0.35">
      <c r="A2130" t="s">
        <v>113</v>
      </c>
      <c r="B2130" t="s">
        <v>454</v>
      </c>
      <c r="C2130" t="s">
        <v>720</v>
      </c>
      <c r="D2130">
        <v>3.8429999999999999E-2</v>
      </c>
      <c r="F2130" t="s">
        <v>2150</v>
      </c>
      <c r="H2130" t="s">
        <v>3770</v>
      </c>
      <c r="I2130" t="s">
        <v>4934</v>
      </c>
      <c r="K2130" t="s">
        <v>5037</v>
      </c>
      <c r="L2130" t="s">
        <v>5039</v>
      </c>
    </row>
    <row r="2131" spans="1:12" x14ac:dyDescent="0.35">
      <c r="A2131" t="s">
        <v>113</v>
      </c>
      <c r="B2131" t="s">
        <v>500</v>
      </c>
      <c r="C2131" t="s">
        <v>932</v>
      </c>
      <c r="D2131">
        <v>0.1</v>
      </c>
      <c r="F2131" t="s">
        <v>1309</v>
      </c>
      <c r="H2131" t="s">
        <v>3771</v>
      </c>
      <c r="I2131" t="s">
        <v>4935</v>
      </c>
      <c r="K2131" t="s">
        <v>5037</v>
      </c>
      <c r="L2131" t="s">
        <v>5039</v>
      </c>
    </row>
    <row r="2132" spans="1:12" x14ac:dyDescent="0.35">
      <c r="A2132" t="s">
        <v>113</v>
      </c>
      <c r="B2132" t="s">
        <v>500</v>
      </c>
      <c r="C2132" t="s">
        <v>720</v>
      </c>
      <c r="D2132">
        <v>6.0000000000000001E-3</v>
      </c>
      <c r="F2132" t="s">
        <v>1273</v>
      </c>
      <c r="H2132" t="s">
        <v>3771</v>
      </c>
      <c r="I2132" t="s">
        <v>4935</v>
      </c>
      <c r="K2132" t="s">
        <v>5037</v>
      </c>
      <c r="L2132" t="s">
        <v>5039</v>
      </c>
    </row>
    <row r="2133" spans="1:12" x14ac:dyDescent="0.35">
      <c r="A2133" t="s">
        <v>113</v>
      </c>
      <c r="B2133" t="s">
        <v>454</v>
      </c>
      <c r="C2133" t="s">
        <v>932</v>
      </c>
      <c r="D2133">
        <v>1.7099999999999999E-3</v>
      </c>
      <c r="F2133" t="s">
        <v>1755</v>
      </c>
      <c r="H2133" t="s">
        <v>3772</v>
      </c>
      <c r="I2133" t="s">
        <v>4934</v>
      </c>
      <c r="K2133" t="s">
        <v>5037</v>
      </c>
      <c r="L2133" t="s">
        <v>5039</v>
      </c>
    </row>
    <row r="2134" spans="1:12" x14ac:dyDescent="0.35">
      <c r="A2134" t="s">
        <v>113</v>
      </c>
      <c r="B2134" t="s">
        <v>454</v>
      </c>
      <c r="C2134" t="s">
        <v>720</v>
      </c>
      <c r="D2134">
        <v>2.6620000000000001E-2</v>
      </c>
      <c r="F2134" t="s">
        <v>2151</v>
      </c>
      <c r="H2134" t="s">
        <v>3773</v>
      </c>
      <c r="I2134" t="s">
        <v>4934</v>
      </c>
      <c r="K2134" t="s">
        <v>5037</v>
      </c>
      <c r="L2134" t="s">
        <v>5039</v>
      </c>
    </row>
    <row r="2135" spans="1:12" x14ac:dyDescent="0.35">
      <c r="A2135" t="s">
        <v>113</v>
      </c>
      <c r="B2135" t="s">
        <v>454</v>
      </c>
      <c r="C2135" t="s">
        <v>720</v>
      </c>
      <c r="D2135">
        <v>6.0099999999999997E-3</v>
      </c>
      <c r="F2135" t="s">
        <v>2152</v>
      </c>
      <c r="H2135" t="s">
        <v>3774</v>
      </c>
      <c r="I2135" t="s">
        <v>4934</v>
      </c>
      <c r="K2135" t="s">
        <v>5037</v>
      </c>
      <c r="L2135" t="s">
        <v>5039</v>
      </c>
    </row>
    <row r="2136" spans="1:12" x14ac:dyDescent="0.35">
      <c r="A2136" t="s">
        <v>113</v>
      </c>
      <c r="B2136" t="s">
        <v>454</v>
      </c>
      <c r="C2136" t="s">
        <v>932</v>
      </c>
      <c r="D2136">
        <v>6.2019999999999999E-2</v>
      </c>
      <c r="F2136" t="s">
        <v>2153</v>
      </c>
      <c r="H2136" t="s">
        <v>3775</v>
      </c>
      <c r="I2136" t="s">
        <v>4934</v>
      </c>
      <c r="K2136" t="s">
        <v>5037</v>
      </c>
      <c r="L2136" t="s">
        <v>5039</v>
      </c>
    </row>
    <row r="2137" spans="1:12" x14ac:dyDescent="0.35">
      <c r="A2137" t="s">
        <v>113</v>
      </c>
      <c r="B2137" t="s">
        <v>501</v>
      </c>
      <c r="C2137" t="s">
        <v>932</v>
      </c>
      <c r="D2137">
        <v>6.8959999999999994E-2</v>
      </c>
      <c r="F2137" t="s">
        <v>2154</v>
      </c>
      <c r="H2137" t="s">
        <v>3776</v>
      </c>
      <c r="I2137" t="s">
        <v>4936</v>
      </c>
      <c r="K2137" t="s">
        <v>5037</v>
      </c>
      <c r="L2137" t="s">
        <v>5039</v>
      </c>
    </row>
    <row r="2138" spans="1:12" x14ac:dyDescent="0.35">
      <c r="A2138" t="s">
        <v>113</v>
      </c>
      <c r="B2138" t="s">
        <v>501</v>
      </c>
      <c r="C2138" t="s">
        <v>720</v>
      </c>
      <c r="D2138">
        <v>1.695E-2</v>
      </c>
      <c r="F2138" t="s">
        <v>2155</v>
      </c>
      <c r="H2138" t="s">
        <v>3776</v>
      </c>
      <c r="I2138" t="s">
        <v>4936</v>
      </c>
      <c r="K2138" t="s">
        <v>5037</v>
      </c>
      <c r="L2138" t="s">
        <v>5039</v>
      </c>
    </row>
    <row r="2139" spans="1:12" x14ac:dyDescent="0.35">
      <c r="A2139" t="s">
        <v>113</v>
      </c>
      <c r="B2139" t="s">
        <v>502</v>
      </c>
      <c r="C2139" t="s">
        <v>933</v>
      </c>
      <c r="D2139">
        <v>0.5</v>
      </c>
      <c r="F2139" t="s">
        <v>1440</v>
      </c>
      <c r="H2139" t="s">
        <v>3777</v>
      </c>
      <c r="I2139" t="s">
        <v>4937</v>
      </c>
      <c r="K2139" t="s">
        <v>5037</v>
      </c>
      <c r="L2139" t="s">
        <v>5039</v>
      </c>
    </row>
    <row r="2140" spans="1:12" x14ac:dyDescent="0.35">
      <c r="A2140" t="s">
        <v>113</v>
      </c>
      <c r="B2140" t="s">
        <v>502</v>
      </c>
      <c r="C2140" t="s">
        <v>932</v>
      </c>
      <c r="D2140">
        <v>7.0000000000000007E-2</v>
      </c>
      <c r="F2140" t="s">
        <v>1456</v>
      </c>
      <c r="H2140" t="s">
        <v>3778</v>
      </c>
      <c r="I2140" t="s">
        <v>4937</v>
      </c>
      <c r="K2140" t="s">
        <v>5037</v>
      </c>
      <c r="L2140" t="s">
        <v>5039</v>
      </c>
    </row>
    <row r="2141" spans="1:12" x14ac:dyDescent="0.35">
      <c r="A2141" t="s">
        <v>113</v>
      </c>
      <c r="B2141" t="s">
        <v>502</v>
      </c>
      <c r="C2141" t="s">
        <v>934</v>
      </c>
      <c r="D2141">
        <v>0.25</v>
      </c>
      <c r="F2141" t="s">
        <v>1403</v>
      </c>
      <c r="I2141" t="s">
        <v>1368</v>
      </c>
      <c r="K2141" t="s">
        <v>5037</v>
      </c>
      <c r="L2141" t="s">
        <v>5039</v>
      </c>
    </row>
    <row r="2142" spans="1:12" x14ac:dyDescent="0.35">
      <c r="A2142" t="s">
        <v>113</v>
      </c>
      <c r="B2142" t="s">
        <v>502</v>
      </c>
      <c r="C2142" t="s">
        <v>931</v>
      </c>
      <c r="D2142">
        <v>5.5E-2</v>
      </c>
      <c r="F2142" t="s">
        <v>1613</v>
      </c>
      <c r="I2142" t="s">
        <v>4938</v>
      </c>
      <c r="K2142" t="s">
        <v>5037</v>
      </c>
      <c r="L2142" t="s">
        <v>5039</v>
      </c>
    </row>
    <row r="2143" spans="1:12" x14ac:dyDescent="0.35">
      <c r="A2143" t="s">
        <v>113</v>
      </c>
      <c r="B2143" t="s">
        <v>502</v>
      </c>
      <c r="C2143" t="s">
        <v>720</v>
      </c>
      <c r="D2143">
        <v>3.8E-3</v>
      </c>
      <c r="F2143" t="s">
        <v>1285</v>
      </c>
      <c r="I2143" t="s">
        <v>4938</v>
      </c>
      <c r="K2143" t="s">
        <v>5037</v>
      </c>
      <c r="L2143" t="s">
        <v>5039</v>
      </c>
    </row>
    <row r="2144" spans="1:12" x14ac:dyDescent="0.35">
      <c r="A2144" t="s">
        <v>113</v>
      </c>
      <c r="B2144" t="s">
        <v>502</v>
      </c>
      <c r="C2144" t="s">
        <v>935</v>
      </c>
      <c r="D2144">
        <v>11.6</v>
      </c>
      <c r="F2144" t="s">
        <v>2156</v>
      </c>
      <c r="H2144" t="s">
        <v>3779</v>
      </c>
      <c r="I2144" t="s">
        <v>1368</v>
      </c>
      <c r="K2144" t="s">
        <v>5037</v>
      </c>
      <c r="L2144" t="s">
        <v>5039</v>
      </c>
    </row>
    <row r="2145" spans="1:12" x14ac:dyDescent="0.35">
      <c r="A2145" t="s">
        <v>113</v>
      </c>
      <c r="B2145" t="s">
        <v>321</v>
      </c>
      <c r="C2145" t="s">
        <v>720</v>
      </c>
      <c r="D2145">
        <v>6.3E-2</v>
      </c>
      <c r="F2145" t="s">
        <v>2017</v>
      </c>
      <c r="H2145" t="s">
        <v>3780</v>
      </c>
      <c r="I2145" t="s">
        <v>2360</v>
      </c>
      <c r="K2145" t="s">
        <v>5037</v>
      </c>
      <c r="L2145" t="s">
        <v>5039</v>
      </c>
    </row>
    <row r="2146" spans="1:12" x14ac:dyDescent="0.35">
      <c r="A2146" t="s">
        <v>113</v>
      </c>
      <c r="B2146" t="s">
        <v>321</v>
      </c>
      <c r="C2146" t="s">
        <v>720</v>
      </c>
      <c r="D2146">
        <v>4.0000000000000001E-3</v>
      </c>
      <c r="F2146" t="s">
        <v>1838</v>
      </c>
      <c r="H2146" t="s">
        <v>3781</v>
      </c>
      <c r="I2146" t="s">
        <v>4892</v>
      </c>
      <c r="K2146" t="s">
        <v>5037</v>
      </c>
      <c r="L2146" t="s">
        <v>5039</v>
      </c>
    </row>
    <row r="2147" spans="1:12" x14ac:dyDescent="0.35">
      <c r="A2147" t="s">
        <v>113</v>
      </c>
      <c r="B2147" t="s">
        <v>321</v>
      </c>
      <c r="C2147" t="s">
        <v>720</v>
      </c>
      <c r="D2147">
        <v>1.5E-3</v>
      </c>
      <c r="F2147" t="s">
        <v>2157</v>
      </c>
      <c r="I2147" t="s">
        <v>4877</v>
      </c>
      <c r="K2147" t="s">
        <v>5037</v>
      </c>
      <c r="L2147" t="s">
        <v>5039</v>
      </c>
    </row>
    <row r="2148" spans="1:12" x14ac:dyDescent="0.35">
      <c r="A2148" t="s">
        <v>113</v>
      </c>
      <c r="B2148" t="s">
        <v>321</v>
      </c>
      <c r="C2148" t="s">
        <v>167</v>
      </c>
      <c r="D2148">
        <v>0.04</v>
      </c>
      <c r="F2148" t="s">
        <v>1334</v>
      </c>
      <c r="H2148" t="s">
        <v>3782</v>
      </c>
      <c r="I2148" t="s">
        <v>4892</v>
      </c>
      <c r="K2148" t="s">
        <v>5037</v>
      </c>
      <c r="L2148" t="s">
        <v>5039</v>
      </c>
    </row>
    <row r="2149" spans="1:12" x14ac:dyDescent="0.35">
      <c r="A2149" t="s">
        <v>113</v>
      </c>
      <c r="B2149" t="s">
        <v>321</v>
      </c>
      <c r="C2149" t="s">
        <v>720</v>
      </c>
      <c r="D2149">
        <v>1.7999999999999999E-2</v>
      </c>
      <c r="F2149" t="s">
        <v>1611</v>
      </c>
      <c r="I2149" t="s">
        <v>4939</v>
      </c>
      <c r="K2149" t="s">
        <v>5037</v>
      </c>
      <c r="L2149" t="s">
        <v>5039</v>
      </c>
    </row>
    <row r="2150" spans="1:12" x14ac:dyDescent="0.35">
      <c r="A2150" t="s">
        <v>113</v>
      </c>
      <c r="B2150" t="s">
        <v>321</v>
      </c>
      <c r="C2150" t="s">
        <v>167</v>
      </c>
      <c r="D2150">
        <v>2.3E-2</v>
      </c>
      <c r="F2150" t="s">
        <v>1457</v>
      </c>
      <c r="H2150" t="s">
        <v>3781</v>
      </c>
      <c r="I2150" t="s">
        <v>4892</v>
      </c>
      <c r="K2150" t="s">
        <v>5037</v>
      </c>
      <c r="L2150" t="s">
        <v>5039</v>
      </c>
    </row>
    <row r="2151" spans="1:12" x14ac:dyDescent="0.35">
      <c r="A2151" t="s">
        <v>113</v>
      </c>
      <c r="B2151" t="s">
        <v>321</v>
      </c>
      <c r="C2151" t="s">
        <v>167</v>
      </c>
      <c r="D2151">
        <v>3.5999999999999997E-2</v>
      </c>
      <c r="F2151" t="s">
        <v>1837</v>
      </c>
      <c r="H2151" t="s">
        <v>3783</v>
      </c>
      <c r="I2151" t="s">
        <v>4892</v>
      </c>
      <c r="K2151" t="s">
        <v>5037</v>
      </c>
      <c r="L2151" t="s">
        <v>5039</v>
      </c>
    </row>
    <row r="2152" spans="1:12" x14ac:dyDescent="0.35">
      <c r="A2152" t="s">
        <v>113</v>
      </c>
      <c r="B2152" t="s">
        <v>321</v>
      </c>
      <c r="C2152" t="s">
        <v>932</v>
      </c>
      <c r="D2152">
        <v>0.154</v>
      </c>
      <c r="F2152" t="s">
        <v>2158</v>
      </c>
      <c r="H2152" t="s">
        <v>3780</v>
      </c>
      <c r="I2152" t="s">
        <v>2360</v>
      </c>
      <c r="K2152" t="s">
        <v>5037</v>
      </c>
      <c r="L2152" t="s">
        <v>5039</v>
      </c>
    </row>
    <row r="2153" spans="1:12" x14ac:dyDescent="0.35">
      <c r="A2153" t="s">
        <v>113</v>
      </c>
      <c r="B2153" t="s">
        <v>321</v>
      </c>
      <c r="C2153" t="s">
        <v>167</v>
      </c>
      <c r="D2153">
        <v>0.10100000000000001</v>
      </c>
      <c r="F2153" t="s">
        <v>2143</v>
      </c>
      <c r="H2153" t="s">
        <v>3784</v>
      </c>
      <c r="I2153" t="s">
        <v>4892</v>
      </c>
      <c r="K2153" t="s">
        <v>5037</v>
      </c>
      <c r="L2153" t="s">
        <v>5039</v>
      </c>
    </row>
    <row r="2154" spans="1:12" x14ac:dyDescent="0.35">
      <c r="A2154" t="s">
        <v>113</v>
      </c>
      <c r="B2154" t="s">
        <v>321</v>
      </c>
      <c r="C2154" t="s">
        <v>931</v>
      </c>
      <c r="D2154">
        <v>0.04</v>
      </c>
      <c r="F2154" t="s">
        <v>1334</v>
      </c>
      <c r="H2154" t="s">
        <v>3785</v>
      </c>
      <c r="I2154" t="s">
        <v>4860</v>
      </c>
      <c r="K2154" t="s">
        <v>5037</v>
      </c>
      <c r="L2154" t="s">
        <v>5039</v>
      </c>
    </row>
    <row r="2155" spans="1:12" x14ac:dyDescent="0.35">
      <c r="A2155" t="s">
        <v>113</v>
      </c>
      <c r="B2155" t="s">
        <v>321</v>
      </c>
      <c r="C2155" t="s">
        <v>720</v>
      </c>
      <c r="D2155">
        <v>5.0000000000000001E-3</v>
      </c>
      <c r="F2155" t="s">
        <v>1264</v>
      </c>
      <c r="H2155" t="s">
        <v>3782</v>
      </c>
      <c r="I2155" t="s">
        <v>4892</v>
      </c>
      <c r="K2155" t="s">
        <v>5037</v>
      </c>
      <c r="L2155" t="s">
        <v>5039</v>
      </c>
    </row>
    <row r="2156" spans="1:12" x14ac:dyDescent="0.35">
      <c r="A2156" t="s">
        <v>113</v>
      </c>
      <c r="B2156" t="s">
        <v>321</v>
      </c>
      <c r="C2156" t="s">
        <v>931</v>
      </c>
      <c r="D2156">
        <v>0.10100000000000001</v>
      </c>
      <c r="F2156" t="s">
        <v>2143</v>
      </c>
      <c r="I2156" t="s">
        <v>4940</v>
      </c>
      <c r="K2156" t="s">
        <v>5037</v>
      </c>
      <c r="L2156" t="s">
        <v>5039</v>
      </c>
    </row>
    <row r="2157" spans="1:12" x14ac:dyDescent="0.35">
      <c r="A2157" t="s">
        <v>113</v>
      </c>
      <c r="B2157" t="s">
        <v>358</v>
      </c>
      <c r="C2157" t="s">
        <v>720</v>
      </c>
      <c r="D2157">
        <v>1.4999999999999999E-2</v>
      </c>
      <c r="F2157" t="s">
        <v>1336</v>
      </c>
      <c r="H2157" t="s">
        <v>3786</v>
      </c>
      <c r="I2157" t="s">
        <v>4860</v>
      </c>
      <c r="K2157" t="s">
        <v>5037</v>
      </c>
      <c r="L2157" t="s">
        <v>5039</v>
      </c>
    </row>
    <row r="2158" spans="1:12" x14ac:dyDescent="0.35">
      <c r="A2158" t="s">
        <v>113</v>
      </c>
      <c r="B2158" t="s">
        <v>332</v>
      </c>
      <c r="C2158" t="s">
        <v>931</v>
      </c>
      <c r="D2158">
        <v>5.8000000000000003E-2</v>
      </c>
      <c r="F2158" t="s">
        <v>1577</v>
      </c>
      <c r="I2158" t="s">
        <v>4941</v>
      </c>
      <c r="K2158" t="s">
        <v>5037</v>
      </c>
      <c r="L2158" t="s">
        <v>5039</v>
      </c>
    </row>
    <row r="2159" spans="1:12" x14ac:dyDescent="0.35">
      <c r="A2159" t="s">
        <v>113</v>
      </c>
      <c r="B2159" t="s">
        <v>333</v>
      </c>
      <c r="C2159" t="s">
        <v>720</v>
      </c>
      <c r="D2159">
        <v>6.0999999999999999E-2</v>
      </c>
      <c r="F2159" t="s">
        <v>1646</v>
      </c>
      <c r="H2159" t="s">
        <v>3787</v>
      </c>
      <c r="I2159" t="s">
        <v>4892</v>
      </c>
      <c r="K2159" t="s">
        <v>5037</v>
      </c>
      <c r="L2159" t="s">
        <v>5039</v>
      </c>
    </row>
    <row r="2160" spans="1:12" x14ac:dyDescent="0.35">
      <c r="A2160" t="s">
        <v>113</v>
      </c>
      <c r="B2160" t="s">
        <v>333</v>
      </c>
      <c r="C2160" t="s">
        <v>167</v>
      </c>
      <c r="D2160">
        <v>0.11700000000000001</v>
      </c>
      <c r="F2160" t="s">
        <v>1638</v>
      </c>
      <c r="H2160" t="s">
        <v>3787</v>
      </c>
      <c r="I2160" t="s">
        <v>4892</v>
      </c>
      <c r="K2160" t="s">
        <v>5037</v>
      </c>
      <c r="L2160" t="s">
        <v>5039</v>
      </c>
    </row>
    <row r="2161" spans="1:12" x14ac:dyDescent="0.35">
      <c r="A2161" t="s">
        <v>113</v>
      </c>
      <c r="B2161" t="s">
        <v>503</v>
      </c>
      <c r="C2161" t="s">
        <v>720</v>
      </c>
      <c r="D2161">
        <v>0.02</v>
      </c>
      <c r="F2161" t="s">
        <v>1448</v>
      </c>
      <c r="I2161" t="s">
        <v>1467</v>
      </c>
      <c r="K2161" t="s">
        <v>5037</v>
      </c>
      <c r="L2161" t="s">
        <v>5039</v>
      </c>
    </row>
    <row r="2162" spans="1:12" x14ac:dyDescent="0.35">
      <c r="A2162" t="s">
        <v>113</v>
      </c>
      <c r="B2162" t="s">
        <v>503</v>
      </c>
      <c r="C2162" t="s">
        <v>931</v>
      </c>
      <c r="D2162">
        <v>0.13</v>
      </c>
      <c r="F2162" t="s">
        <v>1466</v>
      </c>
      <c r="I2162" t="s">
        <v>1467</v>
      </c>
      <c r="K2162" t="s">
        <v>5037</v>
      </c>
      <c r="L2162" t="s">
        <v>5039</v>
      </c>
    </row>
    <row r="2163" spans="1:12" x14ac:dyDescent="0.35">
      <c r="A2163" t="s">
        <v>113</v>
      </c>
      <c r="B2163" t="s">
        <v>504</v>
      </c>
      <c r="C2163" t="s">
        <v>931</v>
      </c>
      <c r="D2163">
        <v>0.01</v>
      </c>
      <c r="F2163" t="s">
        <v>1376</v>
      </c>
      <c r="H2163" t="s">
        <v>3788</v>
      </c>
      <c r="I2163" t="s">
        <v>2364</v>
      </c>
      <c r="K2163" t="s">
        <v>5037</v>
      </c>
      <c r="L2163" t="s">
        <v>5039</v>
      </c>
    </row>
    <row r="2164" spans="1:12" x14ac:dyDescent="0.35">
      <c r="A2164" t="s">
        <v>113</v>
      </c>
      <c r="B2164" t="s">
        <v>504</v>
      </c>
      <c r="C2164" t="s">
        <v>720</v>
      </c>
      <c r="D2164">
        <v>3.0000000000000001E-3</v>
      </c>
      <c r="F2164" t="s">
        <v>1279</v>
      </c>
      <c r="H2164" t="s">
        <v>3789</v>
      </c>
      <c r="I2164" t="s">
        <v>4883</v>
      </c>
      <c r="K2164" t="s">
        <v>5037</v>
      </c>
      <c r="L2164" t="s">
        <v>5039</v>
      </c>
    </row>
    <row r="2165" spans="1:12" x14ac:dyDescent="0.35">
      <c r="A2165" t="s">
        <v>113</v>
      </c>
      <c r="B2165" t="s">
        <v>504</v>
      </c>
      <c r="C2165" t="s">
        <v>931</v>
      </c>
      <c r="D2165">
        <v>0.21</v>
      </c>
      <c r="F2165" t="s">
        <v>1572</v>
      </c>
      <c r="I2165" t="s">
        <v>4942</v>
      </c>
      <c r="K2165" t="s">
        <v>5037</v>
      </c>
      <c r="L2165" t="s">
        <v>5039</v>
      </c>
    </row>
    <row r="2166" spans="1:12" x14ac:dyDescent="0.35">
      <c r="A2166" t="s">
        <v>113</v>
      </c>
      <c r="B2166" t="s">
        <v>505</v>
      </c>
      <c r="C2166" t="s">
        <v>931</v>
      </c>
      <c r="D2166">
        <v>6.2E-2</v>
      </c>
      <c r="F2166" t="s">
        <v>1414</v>
      </c>
      <c r="I2166" t="s">
        <v>1518</v>
      </c>
      <c r="K2166" t="s">
        <v>5037</v>
      </c>
      <c r="L2166" t="s">
        <v>5039</v>
      </c>
    </row>
    <row r="2167" spans="1:12" x14ac:dyDescent="0.35">
      <c r="A2167" t="s">
        <v>113</v>
      </c>
      <c r="B2167" t="s">
        <v>505</v>
      </c>
      <c r="C2167" t="s">
        <v>716</v>
      </c>
      <c r="D2167">
        <v>0.22</v>
      </c>
      <c r="F2167" t="s">
        <v>1438</v>
      </c>
      <c r="H2167" t="s">
        <v>3790</v>
      </c>
      <c r="I2167" t="s">
        <v>2364</v>
      </c>
      <c r="K2167" t="s">
        <v>5037</v>
      </c>
      <c r="L2167" t="s">
        <v>5039</v>
      </c>
    </row>
    <row r="2168" spans="1:12" x14ac:dyDescent="0.35">
      <c r="A2168" t="s">
        <v>113</v>
      </c>
      <c r="B2168" t="s">
        <v>505</v>
      </c>
      <c r="C2168" t="s">
        <v>720</v>
      </c>
      <c r="D2168">
        <v>2.3E-3</v>
      </c>
      <c r="F2168" t="s">
        <v>1320</v>
      </c>
      <c r="H2168" t="s">
        <v>3788</v>
      </c>
      <c r="I2168" t="s">
        <v>2364</v>
      </c>
      <c r="K2168" t="s">
        <v>5037</v>
      </c>
      <c r="L2168" t="s">
        <v>5039</v>
      </c>
    </row>
    <row r="2169" spans="1:12" x14ac:dyDescent="0.35">
      <c r="A2169" t="s">
        <v>113</v>
      </c>
      <c r="B2169" t="s">
        <v>505</v>
      </c>
      <c r="C2169" t="s">
        <v>931</v>
      </c>
      <c r="D2169">
        <v>2.8000000000000001E-2</v>
      </c>
      <c r="F2169" t="s">
        <v>2039</v>
      </c>
      <c r="H2169" t="s">
        <v>3791</v>
      </c>
      <c r="I2169" t="s">
        <v>2364</v>
      </c>
      <c r="K2169" t="s">
        <v>5037</v>
      </c>
      <c r="L2169" t="s">
        <v>5039</v>
      </c>
    </row>
    <row r="2170" spans="1:12" x14ac:dyDescent="0.35">
      <c r="A2170" t="s">
        <v>113</v>
      </c>
      <c r="B2170" t="s">
        <v>505</v>
      </c>
      <c r="C2170" t="s">
        <v>708</v>
      </c>
      <c r="D2170">
        <v>1.7000000000000001E-2</v>
      </c>
      <c r="F2170" t="s">
        <v>1363</v>
      </c>
      <c r="I2170" t="s">
        <v>1518</v>
      </c>
      <c r="K2170" t="s">
        <v>5037</v>
      </c>
      <c r="L2170" t="s">
        <v>5039</v>
      </c>
    </row>
    <row r="2171" spans="1:12" x14ac:dyDescent="0.35">
      <c r="A2171" t="s">
        <v>113</v>
      </c>
      <c r="B2171" t="s">
        <v>505</v>
      </c>
      <c r="C2171" t="s">
        <v>167</v>
      </c>
      <c r="D2171">
        <v>8.1999999999999993</v>
      </c>
      <c r="F2171" t="s">
        <v>1527</v>
      </c>
      <c r="H2171" t="s">
        <v>3788</v>
      </c>
      <c r="I2171" t="s">
        <v>2364</v>
      </c>
      <c r="K2171" t="s">
        <v>5037</v>
      </c>
      <c r="L2171" t="s">
        <v>5039</v>
      </c>
    </row>
    <row r="2172" spans="1:12" x14ac:dyDescent="0.35">
      <c r="A2172" t="s">
        <v>113</v>
      </c>
      <c r="B2172" t="s">
        <v>505</v>
      </c>
      <c r="C2172" t="s">
        <v>167</v>
      </c>
      <c r="D2172">
        <v>7.7</v>
      </c>
      <c r="F2172" t="s">
        <v>1627</v>
      </c>
      <c r="H2172" t="s">
        <v>3791</v>
      </c>
      <c r="I2172" t="s">
        <v>2364</v>
      </c>
      <c r="K2172" t="s">
        <v>5037</v>
      </c>
      <c r="L2172" t="s">
        <v>5039</v>
      </c>
    </row>
    <row r="2173" spans="1:12" x14ac:dyDescent="0.35">
      <c r="A2173" t="s">
        <v>113</v>
      </c>
      <c r="B2173" t="s">
        <v>178</v>
      </c>
      <c r="C2173" t="s">
        <v>720</v>
      </c>
      <c r="D2173">
        <v>3.3000000000000002E-2</v>
      </c>
      <c r="F2173" t="s">
        <v>1340</v>
      </c>
      <c r="H2173" t="s">
        <v>3792</v>
      </c>
      <c r="I2173" t="s">
        <v>4943</v>
      </c>
      <c r="K2173" t="s">
        <v>5037</v>
      </c>
      <c r="L2173" t="s">
        <v>5039</v>
      </c>
    </row>
    <row r="2174" spans="1:12" x14ac:dyDescent="0.35">
      <c r="A2174" t="s">
        <v>113</v>
      </c>
      <c r="B2174" t="s">
        <v>178</v>
      </c>
      <c r="C2174" t="s">
        <v>932</v>
      </c>
      <c r="D2174">
        <v>7.6999999999999999E-2</v>
      </c>
      <c r="F2174" t="s">
        <v>1578</v>
      </c>
      <c r="H2174" t="s">
        <v>3793</v>
      </c>
      <c r="I2174" t="s">
        <v>4943</v>
      </c>
      <c r="K2174" t="s">
        <v>5037</v>
      </c>
      <c r="L2174" t="s">
        <v>5039</v>
      </c>
    </row>
    <row r="2175" spans="1:12" x14ac:dyDescent="0.35">
      <c r="A2175" t="s">
        <v>113</v>
      </c>
      <c r="B2175" t="s">
        <v>506</v>
      </c>
      <c r="C2175" t="s">
        <v>936</v>
      </c>
      <c r="D2175">
        <v>7.7999999999999999E-4</v>
      </c>
      <c r="F2175" t="s">
        <v>2159</v>
      </c>
      <c r="I2175" t="s">
        <v>4868</v>
      </c>
      <c r="K2175" t="s">
        <v>5037</v>
      </c>
      <c r="L2175" t="s">
        <v>5039</v>
      </c>
    </row>
    <row r="2176" spans="1:12" x14ac:dyDescent="0.35">
      <c r="A2176" t="s">
        <v>113</v>
      </c>
      <c r="B2176" t="s">
        <v>507</v>
      </c>
      <c r="C2176" t="s">
        <v>931</v>
      </c>
      <c r="D2176">
        <v>0.3</v>
      </c>
      <c r="F2176" t="s">
        <v>1401</v>
      </c>
      <c r="I2176" t="s">
        <v>4927</v>
      </c>
      <c r="K2176" t="s">
        <v>5037</v>
      </c>
      <c r="L2176" t="s">
        <v>5039</v>
      </c>
    </row>
    <row r="2177" spans="1:12" x14ac:dyDescent="0.35">
      <c r="A2177" t="s">
        <v>113</v>
      </c>
      <c r="B2177" t="s">
        <v>507</v>
      </c>
      <c r="C2177" t="s">
        <v>708</v>
      </c>
      <c r="D2177">
        <v>0.125</v>
      </c>
      <c r="F2177" t="s">
        <v>1311</v>
      </c>
      <c r="I2177" t="s">
        <v>4927</v>
      </c>
      <c r="K2177" t="s">
        <v>5037</v>
      </c>
      <c r="L2177" t="s">
        <v>5039</v>
      </c>
    </row>
    <row r="2178" spans="1:12" x14ac:dyDescent="0.35">
      <c r="A2178" t="s">
        <v>113</v>
      </c>
      <c r="B2178" t="s">
        <v>507</v>
      </c>
      <c r="C2178" t="s">
        <v>720</v>
      </c>
      <c r="D2178">
        <v>2.5999999999999999E-2</v>
      </c>
      <c r="F2178" t="s">
        <v>1737</v>
      </c>
      <c r="I2178" t="s">
        <v>4927</v>
      </c>
      <c r="K2178" t="s">
        <v>5037</v>
      </c>
      <c r="L2178" t="s">
        <v>5039</v>
      </c>
    </row>
    <row r="2179" spans="1:12" x14ac:dyDescent="0.35">
      <c r="A2179" t="s">
        <v>113</v>
      </c>
      <c r="B2179" t="s">
        <v>377</v>
      </c>
      <c r="C2179" t="s">
        <v>932</v>
      </c>
      <c r="D2179">
        <v>4.4999999999999998E-2</v>
      </c>
      <c r="F2179" t="s">
        <v>1290</v>
      </c>
      <c r="H2179" t="s">
        <v>3794</v>
      </c>
      <c r="I2179" t="s">
        <v>2326</v>
      </c>
      <c r="K2179" t="s">
        <v>5037</v>
      </c>
      <c r="L2179" t="s">
        <v>5039</v>
      </c>
    </row>
    <row r="2180" spans="1:12" x14ac:dyDescent="0.35">
      <c r="A2180" t="s">
        <v>113</v>
      </c>
      <c r="B2180" t="s">
        <v>377</v>
      </c>
      <c r="C2180" t="s">
        <v>932</v>
      </c>
      <c r="D2180">
        <v>9.5000000000000001E-2</v>
      </c>
      <c r="F2180" t="s">
        <v>1332</v>
      </c>
      <c r="H2180" t="s">
        <v>3795</v>
      </c>
      <c r="I2180" t="s">
        <v>1966</v>
      </c>
      <c r="K2180" t="s">
        <v>5037</v>
      </c>
      <c r="L2180" t="s">
        <v>5039</v>
      </c>
    </row>
    <row r="2181" spans="1:12" x14ac:dyDescent="0.35">
      <c r="A2181" t="s">
        <v>113</v>
      </c>
      <c r="B2181" t="s">
        <v>377</v>
      </c>
      <c r="C2181" t="s">
        <v>804</v>
      </c>
      <c r="D2181">
        <v>0.17199999999999999</v>
      </c>
      <c r="F2181" t="s">
        <v>2160</v>
      </c>
      <c r="H2181" t="s">
        <v>3796</v>
      </c>
      <c r="I2181" t="s">
        <v>4897</v>
      </c>
      <c r="K2181" t="s">
        <v>5037</v>
      </c>
      <c r="L2181" t="s">
        <v>5039</v>
      </c>
    </row>
    <row r="2182" spans="1:12" x14ac:dyDescent="0.35">
      <c r="A2182" t="s">
        <v>113</v>
      </c>
      <c r="B2182" t="s">
        <v>377</v>
      </c>
      <c r="C2182" t="s">
        <v>932</v>
      </c>
      <c r="D2182">
        <v>0.08</v>
      </c>
      <c r="F2182" t="s">
        <v>1402</v>
      </c>
      <c r="H2182" t="s">
        <v>3797</v>
      </c>
      <c r="I2182" t="s">
        <v>2326</v>
      </c>
      <c r="K2182" t="s">
        <v>5037</v>
      </c>
      <c r="L2182" t="s">
        <v>5039</v>
      </c>
    </row>
    <row r="2183" spans="1:12" x14ac:dyDescent="0.35">
      <c r="A2183" t="s">
        <v>113</v>
      </c>
      <c r="B2183" t="s">
        <v>377</v>
      </c>
      <c r="C2183" t="s">
        <v>932</v>
      </c>
      <c r="D2183">
        <v>7.5999999999999998E-2</v>
      </c>
      <c r="F2183" t="s">
        <v>2107</v>
      </c>
      <c r="H2183" t="s">
        <v>3798</v>
      </c>
      <c r="I2183" t="s">
        <v>2326</v>
      </c>
      <c r="K2183" t="s">
        <v>5037</v>
      </c>
      <c r="L2183" t="s">
        <v>5039</v>
      </c>
    </row>
    <row r="2184" spans="1:12" x14ac:dyDescent="0.35">
      <c r="A2184" t="s">
        <v>113</v>
      </c>
      <c r="B2184" t="s">
        <v>377</v>
      </c>
      <c r="C2184" t="s">
        <v>932</v>
      </c>
      <c r="D2184">
        <v>7.0999999999999994E-2</v>
      </c>
      <c r="F2184" t="s">
        <v>1485</v>
      </c>
      <c r="H2184" t="s">
        <v>3799</v>
      </c>
      <c r="I2184" t="s">
        <v>2326</v>
      </c>
      <c r="K2184" t="s">
        <v>5037</v>
      </c>
      <c r="L2184" t="s">
        <v>5039</v>
      </c>
    </row>
    <row r="2185" spans="1:12" x14ac:dyDescent="0.35">
      <c r="A2185" t="s">
        <v>113</v>
      </c>
      <c r="B2185" t="s">
        <v>377</v>
      </c>
      <c r="C2185" t="s">
        <v>932</v>
      </c>
      <c r="D2185">
        <v>7.2999999999999995E-2</v>
      </c>
      <c r="F2185" t="s">
        <v>1787</v>
      </c>
      <c r="H2185" t="s">
        <v>3800</v>
      </c>
      <c r="I2185" t="s">
        <v>2326</v>
      </c>
      <c r="K2185" t="s">
        <v>5037</v>
      </c>
      <c r="L2185" t="s">
        <v>5039</v>
      </c>
    </row>
    <row r="2186" spans="1:12" x14ac:dyDescent="0.35">
      <c r="A2186" t="s">
        <v>113</v>
      </c>
      <c r="B2186" t="s">
        <v>377</v>
      </c>
      <c r="C2186" t="s">
        <v>932</v>
      </c>
      <c r="D2186">
        <v>7.3999999999999996E-2</v>
      </c>
      <c r="F2186" t="s">
        <v>1562</v>
      </c>
      <c r="H2186" t="s">
        <v>3801</v>
      </c>
      <c r="I2186" t="s">
        <v>2326</v>
      </c>
      <c r="K2186" t="s">
        <v>5037</v>
      </c>
      <c r="L2186" t="s">
        <v>5039</v>
      </c>
    </row>
    <row r="2187" spans="1:12" x14ac:dyDescent="0.35">
      <c r="A2187" t="s">
        <v>113</v>
      </c>
      <c r="B2187" t="s">
        <v>377</v>
      </c>
      <c r="C2187" t="s">
        <v>932</v>
      </c>
      <c r="D2187">
        <v>8.7999999999999995E-2</v>
      </c>
      <c r="F2187" t="s">
        <v>1400</v>
      </c>
      <c r="H2187" t="s">
        <v>3802</v>
      </c>
      <c r="I2187" t="s">
        <v>2326</v>
      </c>
      <c r="K2187" t="s">
        <v>5037</v>
      </c>
      <c r="L2187" t="s">
        <v>5039</v>
      </c>
    </row>
    <row r="2188" spans="1:12" x14ac:dyDescent="0.35">
      <c r="A2188" t="s">
        <v>113</v>
      </c>
      <c r="B2188" t="s">
        <v>377</v>
      </c>
      <c r="C2188" t="s">
        <v>932</v>
      </c>
      <c r="D2188">
        <v>2.31</v>
      </c>
      <c r="F2188" t="s">
        <v>2161</v>
      </c>
      <c r="H2188" t="s">
        <v>3803</v>
      </c>
      <c r="I2188" t="s">
        <v>1966</v>
      </c>
      <c r="K2188" t="s">
        <v>5037</v>
      </c>
      <c r="L2188" t="s">
        <v>5039</v>
      </c>
    </row>
    <row r="2189" spans="1:12" x14ac:dyDescent="0.35">
      <c r="A2189" t="s">
        <v>113</v>
      </c>
      <c r="B2189" t="s">
        <v>377</v>
      </c>
      <c r="C2189" t="s">
        <v>937</v>
      </c>
      <c r="D2189">
        <v>0.23400000000000001</v>
      </c>
      <c r="F2189" t="s">
        <v>2162</v>
      </c>
      <c r="H2189" t="s">
        <v>3796</v>
      </c>
      <c r="I2189" t="s">
        <v>4897</v>
      </c>
      <c r="K2189" t="s">
        <v>5037</v>
      </c>
      <c r="L2189" t="s">
        <v>5039</v>
      </c>
    </row>
    <row r="2190" spans="1:12" x14ac:dyDescent="0.35">
      <c r="A2190" t="s">
        <v>113</v>
      </c>
      <c r="B2190" t="s">
        <v>377</v>
      </c>
      <c r="C2190" t="s">
        <v>938</v>
      </c>
      <c r="D2190">
        <v>0.40400000000000003</v>
      </c>
      <c r="F2190" t="s">
        <v>2163</v>
      </c>
      <c r="H2190" t="s">
        <v>3796</v>
      </c>
      <c r="I2190" t="s">
        <v>4897</v>
      </c>
      <c r="K2190" t="s">
        <v>5037</v>
      </c>
      <c r="L2190" t="s">
        <v>5039</v>
      </c>
    </row>
    <row r="2191" spans="1:12" x14ac:dyDescent="0.35">
      <c r="A2191" t="s">
        <v>113</v>
      </c>
      <c r="B2191" t="s">
        <v>377</v>
      </c>
      <c r="C2191" t="s">
        <v>939</v>
      </c>
      <c r="D2191">
        <v>0.41039999999999999</v>
      </c>
      <c r="F2191" t="s">
        <v>2164</v>
      </c>
      <c r="H2191" t="s">
        <v>3796</v>
      </c>
      <c r="I2191" t="s">
        <v>4897</v>
      </c>
      <c r="K2191" t="s">
        <v>5037</v>
      </c>
      <c r="L2191" t="s">
        <v>5039</v>
      </c>
    </row>
    <row r="2192" spans="1:12" x14ac:dyDescent="0.35">
      <c r="A2192" t="s">
        <v>113</v>
      </c>
      <c r="B2192" t="s">
        <v>377</v>
      </c>
      <c r="C2192" t="s">
        <v>940</v>
      </c>
      <c r="D2192">
        <v>8.5800000000000001E-2</v>
      </c>
      <c r="F2192" t="s">
        <v>2165</v>
      </c>
      <c r="H2192" t="s">
        <v>3796</v>
      </c>
      <c r="I2192" t="s">
        <v>4897</v>
      </c>
      <c r="K2192" t="s">
        <v>5037</v>
      </c>
      <c r="L2192" t="s">
        <v>5039</v>
      </c>
    </row>
    <row r="2193" spans="1:12" x14ac:dyDescent="0.35">
      <c r="A2193" t="s">
        <v>113</v>
      </c>
      <c r="B2193" t="s">
        <v>377</v>
      </c>
      <c r="C2193" t="s">
        <v>941</v>
      </c>
      <c r="D2193">
        <v>5.62E-2</v>
      </c>
      <c r="F2193" t="s">
        <v>2166</v>
      </c>
      <c r="H2193" t="s">
        <v>3796</v>
      </c>
      <c r="I2193" t="s">
        <v>4897</v>
      </c>
      <c r="K2193" t="s">
        <v>5037</v>
      </c>
      <c r="L2193" t="s">
        <v>5039</v>
      </c>
    </row>
    <row r="2194" spans="1:12" x14ac:dyDescent="0.35">
      <c r="A2194" t="s">
        <v>113</v>
      </c>
      <c r="B2194" t="s">
        <v>377</v>
      </c>
      <c r="C2194" t="s">
        <v>800</v>
      </c>
      <c r="D2194">
        <v>8.2199999999999995E-2</v>
      </c>
      <c r="F2194" t="s">
        <v>2167</v>
      </c>
      <c r="H2194" t="s">
        <v>3796</v>
      </c>
      <c r="I2194" t="s">
        <v>4897</v>
      </c>
      <c r="K2194" t="s">
        <v>5037</v>
      </c>
      <c r="L2194" t="s">
        <v>5039</v>
      </c>
    </row>
    <row r="2195" spans="1:12" x14ac:dyDescent="0.35">
      <c r="A2195" t="s">
        <v>113</v>
      </c>
      <c r="B2195" t="s">
        <v>508</v>
      </c>
      <c r="C2195" t="s">
        <v>942</v>
      </c>
      <c r="D2195">
        <v>0.71</v>
      </c>
      <c r="F2195" t="s">
        <v>1941</v>
      </c>
      <c r="H2195" t="s">
        <v>3804</v>
      </c>
      <c r="I2195" t="s">
        <v>2325</v>
      </c>
      <c r="K2195" t="s">
        <v>5037</v>
      </c>
      <c r="L2195" t="s">
        <v>5039</v>
      </c>
    </row>
    <row r="2196" spans="1:12" x14ac:dyDescent="0.35">
      <c r="A2196" t="s">
        <v>113</v>
      </c>
      <c r="B2196" t="s">
        <v>508</v>
      </c>
      <c r="C2196" t="s">
        <v>931</v>
      </c>
      <c r="D2196">
        <v>7.1499999999999994E-2</v>
      </c>
      <c r="F2196" t="s">
        <v>2168</v>
      </c>
      <c r="H2196" t="s">
        <v>3805</v>
      </c>
      <c r="I2196" t="s">
        <v>2325</v>
      </c>
      <c r="K2196" t="s">
        <v>5037</v>
      </c>
      <c r="L2196" t="s">
        <v>5039</v>
      </c>
    </row>
    <row r="2197" spans="1:12" x14ac:dyDescent="0.35">
      <c r="A2197" t="s">
        <v>113</v>
      </c>
      <c r="B2197" t="s">
        <v>508</v>
      </c>
      <c r="C2197" t="s">
        <v>942</v>
      </c>
      <c r="D2197">
        <v>0.114</v>
      </c>
      <c r="F2197" t="s">
        <v>2169</v>
      </c>
      <c r="H2197" t="s">
        <v>3804</v>
      </c>
      <c r="I2197" t="s">
        <v>2325</v>
      </c>
      <c r="K2197" t="s">
        <v>5037</v>
      </c>
      <c r="L2197" t="s">
        <v>5039</v>
      </c>
    </row>
    <row r="2198" spans="1:12" x14ac:dyDescent="0.35">
      <c r="A2198" t="s">
        <v>113</v>
      </c>
      <c r="B2198" t="s">
        <v>508</v>
      </c>
      <c r="C2198" t="s">
        <v>931</v>
      </c>
      <c r="D2198">
        <v>0.20499999999999999</v>
      </c>
      <c r="F2198" t="s">
        <v>1809</v>
      </c>
      <c r="H2198" t="s">
        <v>3806</v>
      </c>
      <c r="I2198" t="s">
        <v>2325</v>
      </c>
      <c r="K2198" t="s">
        <v>5037</v>
      </c>
      <c r="L2198" t="s">
        <v>5039</v>
      </c>
    </row>
    <row r="2199" spans="1:12" x14ac:dyDescent="0.35">
      <c r="A2199" t="s">
        <v>113</v>
      </c>
      <c r="B2199" t="s">
        <v>509</v>
      </c>
      <c r="C2199" t="s">
        <v>943</v>
      </c>
      <c r="D2199">
        <v>0.56000000000000005</v>
      </c>
      <c r="F2199" t="s">
        <v>2170</v>
      </c>
      <c r="I2199" t="s">
        <v>1393</v>
      </c>
      <c r="K2199" t="s">
        <v>5037</v>
      </c>
      <c r="L2199" t="s">
        <v>5039</v>
      </c>
    </row>
    <row r="2200" spans="1:12" x14ac:dyDescent="0.35">
      <c r="A2200" t="s">
        <v>113</v>
      </c>
      <c r="B2200" t="s">
        <v>509</v>
      </c>
      <c r="C2200" t="s">
        <v>167</v>
      </c>
      <c r="D2200">
        <v>5.8999999999999997E-2</v>
      </c>
      <c r="F2200" t="s">
        <v>1729</v>
      </c>
      <c r="H2200" t="s">
        <v>3807</v>
      </c>
      <c r="I2200" t="s">
        <v>4892</v>
      </c>
      <c r="K2200" t="s">
        <v>5037</v>
      </c>
      <c r="L2200" t="s">
        <v>5039</v>
      </c>
    </row>
    <row r="2201" spans="1:12" x14ac:dyDescent="0.35">
      <c r="A2201" t="s">
        <v>113</v>
      </c>
      <c r="B2201" t="s">
        <v>509</v>
      </c>
      <c r="C2201" t="s">
        <v>931</v>
      </c>
      <c r="D2201">
        <v>5.8999999999999997E-2</v>
      </c>
      <c r="F2201" t="s">
        <v>1729</v>
      </c>
      <c r="I2201" t="s">
        <v>1393</v>
      </c>
      <c r="K2201" t="s">
        <v>5037</v>
      </c>
      <c r="L2201" t="s">
        <v>5039</v>
      </c>
    </row>
    <row r="2202" spans="1:12" x14ac:dyDescent="0.35">
      <c r="A2202" t="s">
        <v>113</v>
      </c>
      <c r="B2202" t="s">
        <v>509</v>
      </c>
      <c r="C2202" t="s">
        <v>708</v>
      </c>
      <c r="D2202">
        <v>0.68</v>
      </c>
      <c r="F2202" t="s">
        <v>1735</v>
      </c>
      <c r="I2202" t="s">
        <v>1393</v>
      </c>
      <c r="K2202" t="s">
        <v>5037</v>
      </c>
      <c r="L2202" t="s">
        <v>5039</v>
      </c>
    </row>
    <row r="2203" spans="1:12" x14ac:dyDescent="0.35">
      <c r="A2203" t="s">
        <v>113</v>
      </c>
      <c r="B2203" t="s">
        <v>510</v>
      </c>
      <c r="C2203" t="s">
        <v>931</v>
      </c>
      <c r="D2203">
        <v>3.2000000000000001E-2</v>
      </c>
      <c r="F2203" t="s">
        <v>1314</v>
      </c>
      <c r="I2203" t="s">
        <v>2253</v>
      </c>
      <c r="K2203" t="s">
        <v>5037</v>
      </c>
      <c r="L2203" t="s">
        <v>5039</v>
      </c>
    </row>
    <row r="2204" spans="1:12" x14ac:dyDescent="0.35">
      <c r="A2204" t="s">
        <v>113</v>
      </c>
      <c r="B2204" t="s">
        <v>511</v>
      </c>
      <c r="C2204" t="s">
        <v>708</v>
      </c>
      <c r="D2204">
        <v>0.6</v>
      </c>
      <c r="F2204" t="s">
        <v>1519</v>
      </c>
      <c r="I2204" t="s">
        <v>4863</v>
      </c>
      <c r="K2204" t="s">
        <v>5037</v>
      </c>
      <c r="L2204" t="s">
        <v>5039</v>
      </c>
    </row>
    <row r="2205" spans="1:12" x14ac:dyDescent="0.35">
      <c r="A2205" t="s">
        <v>113</v>
      </c>
      <c r="B2205" t="s">
        <v>511</v>
      </c>
      <c r="C2205" t="s">
        <v>936</v>
      </c>
      <c r="D2205">
        <v>5.1999999999999995E-4</v>
      </c>
      <c r="F2205" t="s">
        <v>2171</v>
      </c>
      <c r="I2205" t="s">
        <v>4863</v>
      </c>
      <c r="K2205" t="s">
        <v>5037</v>
      </c>
      <c r="L2205" t="s">
        <v>5039</v>
      </c>
    </row>
    <row r="2206" spans="1:12" x14ac:dyDescent="0.35">
      <c r="A2206" t="s">
        <v>113</v>
      </c>
      <c r="B2206" t="s">
        <v>511</v>
      </c>
      <c r="C2206" t="s">
        <v>931</v>
      </c>
      <c r="D2206">
        <v>7</v>
      </c>
      <c r="F2206" t="s">
        <v>1335</v>
      </c>
      <c r="I2206" t="s">
        <v>4944</v>
      </c>
      <c r="K2206" t="s">
        <v>5037</v>
      </c>
      <c r="L2206" t="s">
        <v>5039</v>
      </c>
    </row>
    <row r="2207" spans="1:12" x14ac:dyDescent="0.35">
      <c r="A2207" t="s">
        <v>113</v>
      </c>
      <c r="B2207" t="s">
        <v>412</v>
      </c>
      <c r="C2207" t="s">
        <v>932</v>
      </c>
      <c r="D2207">
        <v>2.5000000000000001E-2</v>
      </c>
      <c r="F2207" t="s">
        <v>1282</v>
      </c>
      <c r="I2207" t="s">
        <v>1621</v>
      </c>
      <c r="K2207" t="s">
        <v>5037</v>
      </c>
      <c r="L2207" t="s">
        <v>5039</v>
      </c>
    </row>
    <row r="2208" spans="1:12" x14ac:dyDescent="0.35">
      <c r="A2208" t="s">
        <v>113</v>
      </c>
      <c r="B2208" t="s">
        <v>412</v>
      </c>
      <c r="C2208" t="s">
        <v>720</v>
      </c>
      <c r="D2208">
        <v>5.5E-2</v>
      </c>
      <c r="F2208" t="s">
        <v>1613</v>
      </c>
      <c r="I2208" t="s">
        <v>1621</v>
      </c>
      <c r="K2208" t="s">
        <v>5037</v>
      </c>
      <c r="L2208" t="s">
        <v>5039</v>
      </c>
    </row>
    <row r="2209" spans="1:12" x14ac:dyDescent="0.35">
      <c r="A2209" t="s">
        <v>113</v>
      </c>
      <c r="B2209" t="s">
        <v>512</v>
      </c>
      <c r="C2209" t="s">
        <v>931</v>
      </c>
      <c r="D2209">
        <v>0.16</v>
      </c>
      <c r="F2209" t="s">
        <v>1573</v>
      </c>
      <c r="H2209" t="s">
        <v>3808</v>
      </c>
      <c r="I2209" t="s">
        <v>2052</v>
      </c>
      <c r="K2209" t="s">
        <v>5037</v>
      </c>
      <c r="L2209" t="s">
        <v>5039</v>
      </c>
    </row>
    <row r="2210" spans="1:12" x14ac:dyDescent="0.35">
      <c r="A2210" t="s">
        <v>113</v>
      </c>
      <c r="B2210" t="s">
        <v>512</v>
      </c>
      <c r="C2210" t="s">
        <v>720</v>
      </c>
      <c r="D2210">
        <v>0.24</v>
      </c>
      <c r="F2210" t="s">
        <v>1488</v>
      </c>
      <c r="H2210" t="s">
        <v>3808</v>
      </c>
      <c r="I2210" t="s">
        <v>2052</v>
      </c>
      <c r="K2210" t="s">
        <v>5037</v>
      </c>
      <c r="L2210" t="s">
        <v>5039</v>
      </c>
    </row>
    <row r="2211" spans="1:12" x14ac:dyDescent="0.35">
      <c r="A2211" t="s">
        <v>113</v>
      </c>
      <c r="B2211" t="s">
        <v>512</v>
      </c>
      <c r="C2211" t="s">
        <v>708</v>
      </c>
      <c r="D2211">
        <v>1.1200000000000001</v>
      </c>
      <c r="F2211" t="s">
        <v>1788</v>
      </c>
      <c r="H2211" t="s">
        <v>3808</v>
      </c>
      <c r="I2211" t="s">
        <v>2052</v>
      </c>
      <c r="K2211" t="s">
        <v>5037</v>
      </c>
      <c r="L2211" t="s">
        <v>5039</v>
      </c>
    </row>
    <row r="2212" spans="1:12" x14ac:dyDescent="0.35">
      <c r="A2212" t="s">
        <v>113</v>
      </c>
      <c r="B2212" t="s">
        <v>513</v>
      </c>
      <c r="C2212" t="s">
        <v>932</v>
      </c>
      <c r="D2212">
        <v>3.5499999999999997E-2</v>
      </c>
      <c r="F2212" t="s">
        <v>2172</v>
      </c>
      <c r="H2212" t="s">
        <v>3809</v>
      </c>
      <c r="I2212" t="s">
        <v>4865</v>
      </c>
      <c r="K2212" t="s">
        <v>5037</v>
      </c>
      <c r="L2212" t="s">
        <v>5039</v>
      </c>
    </row>
    <row r="2213" spans="1:12" x14ac:dyDescent="0.35">
      <c r="A2213" t="s">
        <v>113</v>
      </c>
      <c r="B2213" t="s">
        <v>513</v>
      </c>
      <c r="C2213" t="s">
        <v>720</v>
      </c>
      <c r="D2213">
        <v>7.0600000000000003E-3</v>
      </c>
      <c r="F2213" t="s">
        <v>2173</v>
      </c>
      <c r="H2213" t="s">
        <v>3809</v>
      </c>
      <c r="I2213" t="s">
        <v>4865</v>
      </c>
      <c r="K2213" t="s">
        <v>5037</v>
      </c>
      <c r="L2213" t="s">
        <v>5039</v>
      </c>
    </row>
    <row r="2214" spans="1:12" x14ac:dyDescent="0.35">
      <c r="A2214" t="s">
        <v>113</v>
      </c>
      <c r="B2214" t="s">
        <v>400</v>
      </c>
      <c r="C2214" t="s">
        <v>720</v>
      </c>
      <c r="D2214">
        <v>5.6000000000000001E-2</v>
      </c>
      <c r="F2214" t="s">
        <v>1462</v>
      </c>
      <c r="H2214" t="s">
        <v>3810</v>
      </c>
      <c r="I2214" t="s">
        <v>4886</v>
      </c>
      <c r="K2214" t="s">
        <v>5037</v>
      </c>
      <c r="L2214" t="s">
        <v>5039</v>
      </c>
    </row>
    <row r="2215" spans="1:12" x14ac:dyDescent="0.35">
      <c r="A2215" t="s">
        <v>113</v>
      </c>
      <c r="B2215" t="s">
        <v>400</v>
      </c>
      <c r="C2215" t="s">
        <v>932</v>
      </c>
      <c r="D2215">
        <v>0.114</v>
      </c>
      <c r="F2215" t="s">
        <v>2169</v>
      </c>
      <c r="H2215" t="s">
        <v>3811</v>
      </c>
      <c r="I2215" t="s">
        <v>4886</v>
      </c>
      <c r="K2215" t="s">
        <v>5037</v>
      </c>
      <c r="L2215" t="s">
        <v>5039</v>
      </c>
    </row>
    <row r="2216" spans="1:12" x14ac:dyDescent="0.35">
      <c r="A2216" t="s">
        <v>113</v>
      </c>
      <c r="B2216" t="s">
        <v>514</v>
      </c>
      <c r="C2216" t="s">
        <v>720</v>
      </c>
      <c r="D2216">
        <v>1.43E-2</v>
      </c>
      <c r="F2216" t="s">
        <v>1537</v>
      </c>
      <c r="I2216" t="s">
        <v>2393</v>
      </c>
      <c r="K2216" t="s">
        <v>5037</v>
      </c>
      <c r="L2216" t="s">
        <v>5039</v>
      </c>
    </row>
    <row r="2217" spans="1:12" x14ac:dyDescent="0.35">
      <c r="A2217" t="s">
        <v>113</v>
      </c>
      <c r="B2217" t="s">
        <v>514</v>
      </c>
      <c r="C2217" t="s">
        <v>931</v>
      </c>
      <c r="D2217">
        <v>2.1299999999999999E-2</v>
      </c>
      <c r="F2217" t="s">
        <v>2174</v>
      </c>
      <c r="I2217" t="s">
        <v>2393</v>
      </c>
      <c r="K2217" t="s">
        <v>5037</v>
      </c>
      <c r="L2217" t="s">
        <v>5039</v>
      </c>
    </row>
    <row r="2218" spans="1:12" x14ac:dyDescent="0.35">
      <c r="A2218" t="s">
        <v>113</v>
      </c>
      <c r="B2218" t="s">
        <v>515</v>
      </c>
      <c r="C2218" t="s">
        <v>932</v>
      </c>
      <c r="D2218">
        <v>0.06</v>
      </c>
      <c r="F2218" t="s">
        <v>1370</v>
      </c>
      <c r="H2218" t="s">
        <v>3812</v>
      </c>
      <c r="I2218" t="s">
        <v>4890</v>
      </c>
      <c r="K2218" t="s">
        <v>5037</v>
      </c>
      <c r="L2218" t="s">
        <v>5039</v>
      </c>
    </row>
    <row r="2219" spans="1:12" x14ac:dyDescent="0.35">
      <c r="A2219" t="s">
        <v>113</v>
      </c>
      <c r="B2219" t="s">
        <v>515</v>
      </c>
      <c r="C2219" t="s">
        <v>720</v>
      </c>
      <c r="D2219">
        <v>1.4E-2</v>
      </c>
      <c r="F2219" t="s">
        <v>1550</v>
      </c>
      <c r="H2219" t="s">
        <v>3812</v>
      </c>
      <c r="I2219" t="s">
        <v>4890</v>
      </c>
      <c r="K2219" t="s">
        <v>5037</v>
      </c>
      <c r="L2219" t="s">
        <v>5039</v>
      </c>
    </row>
    <row r="2220" spans="1:12" x14ac:dyDescent="0.35">
      <c r="A2220" t="s">
        <v>113</v>
      </c>
      <c r="B2220" t="s">
        <v>516</v>
      </c>
      <c r="C2220" t="s">
        <v>931</v>
      </c>
      <c r="D2220">
        <v>0.05</v>
      </c>
      <c r="F2220" t="s">
        <v>1559</v>
      </c>
      <c r="H2220" t="s">
        <v>3813</v>
      </c>
      <c r="I2220" t="s">
        <v>4894</v>
      </c>
      <c r="K2220" t="s">
        <v>5037</v>
      </c>
      <c r="L2220" t="s">
        <v>5039</v>
      </c>
    </row>
    <row r="2221" spans="1:12" x14ac:dyDescent="0.35">
      <c r="A2221" t="s">
        <v>113</v>
      </c>
      <c r="B2221" t="s">
        <v>516</v>
      </c>
      <c r="C2221" t="s">
        <v>720</v>
      </c>
      <c r="D2221">
        <v>2.8000000000000001E-2</v>
      </c>
      <c r="F2221" t="s">
        <v>2039</v>
      </c>
      <c r="H2221" t="s">
        <v>3814</v>
      </c>
      <c r="I2221" t="s">
        <v>4894</v>
      </c>
      <c r="K2221" t="s">
        <v>5037</v>
      </c>
      <c r="L2221" t="s">
        <v>5039</v>
      </c>
    </row>
    <row r="2222" spans="1:12" x14ac:dyDescent="0.35">
      <c r="A2222" t="s">
        <v>113</v>
      </c>
      <c r="B2222" t="s">
        <v>516</v>
      </c>
      <c r="C2222" t="s">
        <v>720</v>
      </c>
      <c r="D2222">
        <v>7.0000000000000001E-3</v>
      </c>
      <c r="F2222" t="s">
        <v>1261</v>
      </c>
      <c r="H2222" t="s">
        <v>3815</v>
      </c>
      <c r="I2222" t="s">
        <v>4894</v>
      </c>
      <c r="K2222" t="s">
        <v>5037</v>
      </c>
      <c r="L2222" t="s">
        <v>5039</v>
      </c>
    </row>
    <row r="2223" spans="1:12" x14ac:dyDescent="0.35">
      <c r="A2223" t="s">
        <v>113</v>
      </c>
      <c r="B2223" t="s">
        <v>516</v>
      </c>
      <c r="C2223" t="s">
        <v>720</v>
      </c>
      <c r="D2223">
        <v>1.06E-2</v>
      </c>
      <c r="F2223" t="s">
        <v>2175</v>
      </c>
      <c r="I2223" t="s">
        <v>4880</v>
      </c>
      <c r="K2223" t="s">
        <v>5037</v>
      </c>
      <c r="L2223" t="s">
        <v>5039</v>
      </c>
    </row>
    <row r="2224" spans="1:12" x14ac:dyDescent="0.35">
      <c r="A2224" t="s">
        <v>113</v>
      </c>
      <c r="B2224" t="s">
        <v>516</v>
      </c>
      <c r="C2224" t="s">
        <v>931</v>
      </c>
      <c r="D2224">
        <v>5.3999999999999999E-2</v>
      </c>
      <c r="F2224" t="s">
        <v>1575</v>
      </c>
      <c r="I2224" t="s">
        <v>4945</v>
      </c>
      <c r="K2224" t="s">
        <v>5037</v>
      </c>
      <c r="L2224" t="s">
        <v>5039</v>
      </c>
    </row>
    <row r="2225" spans="1:12" x14ac:dyDescent="0.35">
      <c r="A2225" t="s">
        <v>113</v>
      </c>
      <c r="B2225" t="s">
        <v>517</v>
      </c>
      <c r="C2225" t="s">
        <v>931</v>
      </c>
      <c r="D2225">
        <v>7.2999999999999995E-2</v>
      </c>
      <c r="F2225" t="s">
        <v>1787</v>
      </c>
      <c r="H2225" t="s">
        <v>3816</v>
      </c>
      <c r="I2225" t="s">
        <v>2254</v>
      </c>
      <c r="K2225" t="s">
        <v>5037</v>
      </c>
      <c r="L2225" t="s">
        <v>5039</v>
      </c>
    </row>
    <row r="2226" spans="1:12" x14ac:dyDescent="0.35">
      <c r="A2226" t="s">
        <v>113</v>
      </c>
      <c r="B2226" t="s">
        <v>517</v>
      </c>
      <c r="C2226" t="s">
        <v>931</v>
      </c>
      <c r="D2226">
        <v>5.6000000000000001E-2</v>
      </c>
      <c r="F2226" t="s">
        <v>1462</v>
      </c>
      <c r="H2226" t="s">
        <v>3817</v>
      </c>
      <c r="I2226" t="s">
        <v>2254</v>
      </c>
      <c r="K2226" t="s">
        <v>5037</v>
      </c>
      <c r="L2226" t="s">
        <v>5039</v>
      </c>
    </row>
    <row r="2227" spans="1:12" x14ac:dyDescent="0.35">
      <c r="A2227" t="s">
        <v>113</v>
      </c>
      <c r="B2227" t="s">
        <v>517</v>
      </c>
      <c r="C2227" t="s">
        <v>931</v>
      </c>
      <c r="D2227">
        <v>0.13100000000000001</v>
      </c>
      <c r="F2227" t="s">
        <v>2146</v>
      </c>
      <c r="H2227" t="s">
        <v>3818</v>
      </c>
      <c r="I2227" t="s">
        <v>2254</v>
      </c>
      <c r="K2227" t="s">
        <v>5037</v>
      </c>
      <c r="L2227" t="s">
        <v>5039</v>
      </c>
    </row>
    <row r="2228" spans="1:12" x14ac:dyDescent="0.35">
      <c r="A2228" t="s">
        <v>113</v>
      </c>
      <c r="B2228" t="s">
        <v>517</v>
      </c>
      <c r="C2228" t="s">
        <v>931</v>
      </c>
      <c r="D2228">
        <v>0.13900000000000001</v>
      </c>
      <c r="F2228" t="s">
        <v>2176</v>
      </c>
      <c r="H2228" t="s">
        <v>3819</v>
      </c>
      <c r="I2228" t="s">
        <v>2254</v>
      </c>
      <c r="K2228" t="s">
        <v>5037</v>
      </c>
      <c r="L2228" t="s">
        <v>5039</v>
      </c>
    </row>
    <row r="2229" spans="1:12" x14ac:dyDescent="0.35">
      <c r="A2229" t="s">
        <v>113</v>
      </c>
      <c r="B2229" t="s">
        <v>518</v>
      </c>
      <c r="C2229" t="s">
        <v>944</v>
      </c>
      <c r="D2229">
        <v>3.3</v>
      </c>
      <c r="F2229" t="s">
        <v>1377</v>
      </c>
      <c r="I2229" t="s">
        <v>1961</v>
      </c>
      <c r="K2229" t="s">
        <v>5037</v>
      </c>
      <c r="L2229" t="s">
        <v>5039</v>
      </c>
    </row>
    <row r="2230" spans="1:12" x14ac:dyDescent="0.35">
      <c r="A2230" t="s">
        <v>113</v>
      </c>
      <c r="B2230" t="s">
        <v>518</v>
      </c>
      <c r="C2230" t="s">
        <v>931</v>
      </c>
      <c r="D2230">
        <v>0.121</v>
      </c>
      <c r="F2230" t="s">
        <v>2177</v>
      </c>
      <c r="I2230" t="s">
        <v>1961</v>
      </c>
      <c r="K2230" t="s">
        <v>5037</v>
      </c>
      <c r="L2230" t="s">
        <v>5039</v>
      </c>
    </row>
    <row r="2231" spans="1:12" x14ac:dyDescent="0.35">
      <c r="A2231" t="s">
        <v>113</v>
      </c>
      <c r="B2231" t="s">
        <v>519</v>
      </c>
      <c r="C2231" t="s">
        <v>720</v>
      </c>
      <c r="D2231">
        <v>6.8199999999999997E-3</v>
      </c>
      <c r="F2231" t="s">
        <v>2178</v>
      </c>
      <c r="H2231" t="s">
        <v>3820</v>
      </c>
      <c r="I2231" t="s">
        <v>4857</v>
      </c>
      <c r="K2231" t="s">
        <v>5037</v>
      </c>
      <c r="L2231" t="s">
        <v>5039</v>
      </c>
    </row>
    <row r="2232" spans="1:12" x14ac:dyDescent="0.35">
      <c r="A2232" t="s">
        <v>113</v>
      </c>
      <c r="B2232" t="s">
        <v>519</v>
      </c>
      <c r="C2232" t="s">
        <v>931</v>
      </c>
      <c r="D2232">
        <v>4.4600000000000004E-3</v>
      </c>
      <c r="F2232" t="s">
        <v>2179</v>
      </c>
      <c r="H2232" t="s">
        <v>3820</v>
      </c>
      <c r="I2232" t="s">
        <v>4857</v>
      </c>
      <c r="K2232" t="s">
        <v>5037</v>
      </c>
      <c r="L2232" t="s">
        <v>5039</v>
      </c>
    </row>
    <row r="2233" spans="1:12" x14ac:dyDescent="0.35">
      <c r="A2233" t="s">
        <v>113</v>
      </c>
      <c r="B2233" t="s">
        <v>520</v>
      </c>
      <c r="C2233" t="s">
        <v>708</v>
      </c>
      <c r="D2233">
        <v>0.35</v>
      </c>
      <c r="F2233" t="s">
        <v>1294</v>
      </c>
      <c r="I2233" t="s">
        <v>2009</v>
      </c>
      <c r="K2233" t="s">
        <v>5037</v>
      </c>
      <c r="L2233" t="s">
        <v>5039</v>
      </c>
    </row>
    <row r="2234" spans="1:12" x14ac:dyDescent="0.35">
      <c r="A2234" t="s">
        <v>113</v>
      </c>
      <c r="B2234" t="s">
        <v>521</v>
      </c>
      <c r="C2234" t="s">
        <v>931</v>
      </c>
      <c r="D2234">
        <v>9.1000000000000004E-3</v>
      </c>
      <c r="F2234" t="s">
        <v>2180</v>
      </c>
      <c r="I2234" t="s">
        <v>1608</v>
      </c>
      <c r="K2234" t="s">
        <v>5037</v>
      </c>
      <c r="L2234" t="s">
        <v>5039</v>
      </c>
    </row>
    <row r="2235" spans="1:12" x14ac:dyDescent="0.35">
      <c r="A2235" t="s">
        <v>113</v>
      </c>
      <c r="B2235" t="s">
        <v>521</v>
      </c>
      <c r="C2235" t="s">
        <v>720</v>
      </c>
      <c r="D2235">
        <v>3.7000000000000002E-3</v>
      </c>
      <c r="F2235" t="s">
        <v>1292</v>
      </c>
      <c r="H2235" t="s">
        <v>3821</v>
      </c>
      <c r="I2235" t="s">
        <v>4908</v>
      </c>
      <c r="K2235" t="s">
        <v>5037</v>
      </c>
      <c r="L2235" t="s">
        <v>5039</v>
      </c>
    </row>
    <row r="2236" spans="1:12" x14ac:dyDescent="0.35">
      <c r="A2236" t="s">
        <v>113</v>
      </c>
      <c r="B2236" t="s">
        <v>320</v>
      </c>
      <c r="C2236" t="s">
        <v>720</v>
      </c>
      <c r="D2236">
        <v>5.8999999999999999E-3</v>
      </c>
      <c r="F2236" t="s">
        <v>2181</v>
      </c>
      <c r="I2236" t="s">
        <v>1707</v>
      </c>
      <c r="K2236" t="s">
        <v>5037</v>
      </c>
      <c r="L2236" t="s">
        <v>5039</v>
      </c>
    </row>
    <row r="2237" spans="1:12" x14ac:dyDescent="0.35">
      <c r="A2237" t="s">
        <v>113</v>
      </c>
      <c r="B2237" t="s">
        <v>320</v>
      </c>
      <c r="C2237" t="s">
        <v>931</v>
      </c>
      <c r="D2237">
        <v>0.107</v>
      </c>
      <c r="F2237" t="s">
        <v>1772</v>
      </c>
      <c r="I2237" t="s">
        <v>1707</v>
      </c>
      <c r="K2237" t="s">
        <v>5037</v>
      </c>
      <c r="L2237" t="s">
        <v>5039</v>
      </c>
    </row>
    <row r="2238" spans="1:12" x14ac:dyDescent="0.35">
      <c r="A2238" t="s">
        <v>113</v>
      </c>
      <c r="B2238" t="s">
        <v>522</v>
      </c>
      <c r="C2238" t="s">
        <v>720</v>
      </c>
      <c r="D2238">
        <v>4.7000000000000002E-3</v>
      </c>
      <c r="F2238" t="s">
        <v>2182</v>
      </c>
      <c r="H2238" t="s">
        <v>3822</v>
      </c>
      <c r="I2238" t="s">
        <v>4908</v>
      </c>
      <c r="K2238" t="s">
        <v>5037</v>
      </c>
      <c r="L2238" t="s">
        <v>5039</v>
      </c>
    </row>
    <row r="2239" spans="1:12" x14ac:dyDescent="0.35">
      <c r="A2239" t="s">
        <v>113</v>
      </c>
      <c r="B2239" t="s">
        <v>522</v>
      </c>
      <c r="C2239" t="s">
        <v>932</v>
      </c>
      <c r="D2239">
        <v>1.38E-2</v>
      </c>
      <c r="F2239" t="s">
        <v>2183</v>
      </c>
      <c r="H2239" t="s">
        <v>3823</v>
      </c>
      <c r="I2239" t="s">
        <v>4908</v>
      </c>
      <c r="K2239" t="s">
        <v>5037</v>
      </c>
      <c r="L2239" t="s">
        <v>5039</v>
      </c>
    </row>
    <row r="2240" spans="1:12" x14ac:dyDescent="0.35">
      <c r="A2240" t="s">
        <v>113</v>
      </c>
      <c r="B2240" t="s">
        <v>523</v>
      </c>
      <c r="C2240" t="s">
        <v>932</v>
      </c>
      <c r="D2240">
        <v>0.04</v>
      </c>
      <c r="F2240" t="s">
        <v>1334</v>
      </c>
      <c r="I2240" t="s">
        <v>4907</v>
      </c>
      <c r="K2240" t="s">
        <v>5037</v>
      </c>
      <c r="L2240" t="s">
        <v>5039</v>
      </c>
    </row>
    <row r="2241" spans="1:12" x14ac:dyDescent="0.35">
      <c r="A2241" t="s">
        <v>113</v>
      </c>
      <c r="B2241" t="s">
        <v>523</v>
      </c>
      <c r="C2241" t="s">
        <v>720</v>
      </c>
      <c r="D2241">
        <v>2.86E-2</v>
      </c>
      <c r="F2241" t="s">
        <v>2184</v>
      </c>
      <c r="I2241" t="s">
        <v>4907</v>
      </c>
      <c r="K2241" t="s">
        <v>5037</v>
      </c>
      <c r="L2241" t="s">
        <v>5039</v>
      </c>
    </row>
    <row r="2242" spans="1:12" x14ac:dyDescent="0.35">
      <c r="A2242" t="s">
        <v>113</v>
      </c>
      <c r="B2242" t="s">
        <v>524</v>
      </c>
      <c r="C2242" t="s">
        <v>932</v>
      </c>
      <c r="D2242">
        <v>1.4999999999999999E-2</v>
      </c>
      <c r="F2242" t="s">
        <v>1336</v>
      </c>
      <c r="H2242" t="s">
        <v>3824</v>
      </c>
      <c r="I2242" t="s">
        <v>4883</v>
      </c>
      <c r="K2242" t="s">
        <v>5037</v>
      </c>
      <c r="L2242" t="s">
        <v>5039</v>
      </c>
    </row>
    <row r="2243" spans="1:12" x14ac:dyDescent="0.35">
      <c r="A2243" t="s">
        <v>113</v>
      </c>
      <c r="B2243" t="s">
        <v>353</v>
      </c>
      <c r="C2243" t="s">
        <v>945</v>
      </c>
      <c r="D2243">
        <v>0.21</v>
      </c>
      <c r="F2243" t="s">
        <v>1572</v>
      </c>
      <c r="H2243" t="s">
        <v>3825</v>
      </c>
      <c r="I2243" t="s">
        <v>4928</v>
      </c>
      <c r="K2243" t="s">
        <v>5037</v>
      </c>
      <c r="L2243" t="s">
        <v>5039</v>
      </c>
    </row>
    <row r="2244" spans="1:12" x14ac:dyDescent="0.35">
      <c r="A2244" t="s">
        <v>113</v>
      </c>
      <c r="B2244" t="s">
        <v>353</v>
      </c>
      <c r="C2244" t="s">
        <v>720</v>
      </c>
      <c r="D2244">
        <v>2.5000000000000001E-2</v>
      </c>
      <c r="F2244" t="s">
        <v>1282</v>
      </c>
      <c r="I2244" t="s">
        <v>1533</v>
      </c>
      <c r="K2244" t="s">
        <v>5037</v>
      </c>
      <c r="L2244" t="s">
        <v>5039</v>
      </c>
    </row>
    <row r="2245" spans="1:12" x14ac:dyDescent="0.35">
      <c r="A2245" t="s">
        <v>113</v>
      </c>
      <c r="B2245" t="s">
        <v>353</v>
      </c>
      <c r="C2245" t="s">
        <v>931</v>
      </c>
      <c r="D2245">
        <v>7.0000000000000007E-2</v>
      </c>
      <c r="F2245" t="s">
        <v>1456</v>
      </c>
      <c r="I2245" t="s">
        <v>1533</v>
      </c>
      <c r="K2245" t="s">
        <v>5037</v>
      </c>
      <c r="L2245" t="s">
        <v>5039</v>
      </c>
    </row>
    <row r="2246" spans="1:12" x14ac:dyDescent="0.35">
      <c r="A2246" t="s">
        <v>113</v>
      </c>
      <c r="B2246" t="s">
        <v>353</v>
      </c>
      <c r="C2246" t="s">
        <v>945</v>
      </c>
      <c r="D2246">
        <v>2</v>
      </c>
      <c r="F2246" t="s">
        <v>1372</v>
      </c>
      <c r="H2246" t="s">
        <v>3826</v>
      </c>
      <c r="I2246" t="s">
        <v>4928</v>
      </c>
      <c r="K2246" t="s">
        <v>5037</v>
      </c>
      <c r="L2246" t="s">
        <v>5039</v>
      </c>
    </row>
    <row r="2247" spans="1:12" x14ac:dyDescent="0.35">
      <c r="A2247" t="s">
        <v>113</v>
      </c>
      <c r="B2247" t="s">
        <v>353</v>
      </c>
      <c r="C2247" t="s">
        <v>931</v>
      </c>
      <c r="D2247">
        <v>0.12</v>
      </c>
      <c r="F2247" t="s">
        <v>1473</v>
      </c>
      <c r="H2247" t="s">
        <v>3827</v>
      </c>
      <c r="I2247" t="s">
        <v>4928</v>
      </c>
      <c r="K2247" t="s">
        <v>5037</v>
      </c>
      <c r="L2247" t="s">
        <v>5039</v>
      </c>
    </row>
    <row r="2248" spans="1:12" x14ac:dyDescent="0.35">
      <c r="A2248" t="s">
        <v>113</v>
      </c>
      <c r="B2248" t="s">
        <v>353</v>
      </c>
      <c r="C2248" t="s">
        <v>946</v>
      </c>
      <c r="D2248">
        <v>0.43</v>
      </c>
      <c r="F2248" t="s">
        <v>1441</v>
      </c>
      <c r="H2248" t="s">
        <v>3828</v>
      </c>
      <c r="I2248" t="s">
        <v>4946</v>
      </c>
      <c r="K2248" t="s">
        <v>5037</v>
      </c>
      <c r="L2248" t="s">
        <v>5039</v>
      </c>
    </row>
    <row r="2249" spans="1:12" x14ac:dyDescent="0.35">
      <c r="A2249" t="s">
        <v>113</v>
      </c>
      <c r="B2249" t="s">
        <v>353</v>
      </c>
      <c r="C2249" t="s">
        <v>945</v>
      </c>
      <c r="D2249">
        <v>0.33</v>
      </c>
      <c r="F2249" t="s">
        <v>1397</v>
      </c>
      <c r="H2249" t="s">
        <v>3829</v>
      </c>
      <c r="I2249" t="s">
        <v>4928</v>
      </c>
      <c r="K2249" t="s">
        <v>5037</v>
      </c>
      <c r="L2249" t="s">
        <v>5039</v>
      </c>
    </row>
    <row r="2250" spans="1:12" x14ac:dyDescent="0.35">
      <c r="A2250" t="s">
        <v>113</v>
      </c>
      <c r="B2250" t="s">
        <v>353</v>
      </c>
      <c r="C2250" t="s">
        <v>931</v>
      </c>
      <c r="D2250">
        <v>6.6000000000000003E-2</v>
      </c>
      <c r="F2250" t="s">
        <v>1623</v>
      </c>
      <c r="I2250" t="s">
        <v>1461</v>
      </c>
      <c r="K2250" t="s">
        <v>5037</v>
      </c>
      <c r="L2250" t="s">
        <v>5039</v>
      </c>
    </row>
    <row r="2251" spans="1:12" x14ac:dyDescent="0.35">
      <c r="A2251" t="s">
        <v>113</v>
      </c>
      <c r="B2251" t="s">
        <v>353</v>
      </c>
      <c r="C2251" t="s">
        <v>945</v>
      </c>
      <c r="D2251">
        <v>2.2999999999999998</v>
      </c>
      <c r="F2251" t="s">
        <v>1453</v>
      </c>
      <c r="H2251" t="s">
        <v>3827</v>
      </c>
      <c r="I2251" t="s">
        <v>4928</v>
      </c>
      <c r="K2251" t="s">
        <v>5037</v>
      </c>
      <c r="L2251" t="s">
        <v>5039</v>
      </c>
    </row>
    <row r="2252" spans="1:12" x14ac:dyDescent="0.35">
      <c r="A2252" t="s">
        <v>113</v>
      </c>
      <c r="B2252" t="s">
        <v>353</v>
      </c>
      <c r="C2252" t="s">
        <v>931</v>
      </c>
      <c r="D2252">
        <v>6.0999999999999999E-2</v>
      </c>
      <c r="F2252" t="s">
        <v>1646</v>
      </c>
      <c r="H2252" t="s">
        <v>3826</v>
      </c>
      <c r="I2252" t="s">
        <v>4928</v>
      </c>
      <c r="K2252" t="s">
        <v>5037</v>
      </c>
      <c r="L2252" t="s">
        <v>5039</v>
      </c>
    </row>
    <row r="2253" spans="1:12" x14ac:dyDescent="0.35">
      <c r="A2253" t="s">
        <v>113</v>
      </c>
      <c r="B2253" t="s">
        <v>353</v>
      </c>
      <c r="C2253" t="s">
        <v>945</v>
      </c>
      <c r="D2253">
        <v>0.66</v>
      </c>
      <c r="F2253" t="s">
        <v>2006</v>
      </c>
      <c r="H2253" t="s">
        <v>3830</v>
      </c>
      <c r="I2253" t="s">
        <v>4928</v>
      </c>
      <c r="K2253" t="s">
        <v>5037</v>
      </c>
      <c r="L2253" t="s">
        <v>5039</v>
      </c>
    </row>
    <row r="2254" spans="1:12" x14ac:dyDescent="0.35">
      <c r="A2254" t="s">
        <v>113</v>
      </c>
      <c r="B2254" t="s">
        <v>353</v>
      </c>
      <c r="C2254" t="s">
        <v>720</v>
      </c>
      <c r="D2254">
        <v>1.6E-2</v>
      </c>
      <c r="F2254" t="s">
        <v>1614</v>
      </c>
      <c r="I2254" t="s">
        <v>1461</v>
      </c>
      <c r="K2254" t="s">
        <v>5037</v>
      </c>
      <c r="L2254" t="s">
        <v>5039</v>
      </c>
    </row>
    <row r="2255" spans="1:12" x14ac:dyDescent="0.35">
      <c r="A2255" t="s">
        <v>113</v>
      </c>
      <c r="B2255" t="s">
        <v>353</v>
      </c>
      <c r="C2255" t="s">
        <v>931</v>
      </c>
      <c r="D2255">
        <v>9.7000000000000003E-2</v>
      </c>
      <c r="F2255" t="s">
        <v>2185</v>
      </c>
      <c r="H2255" t="s">
        <v>3831</v>
      </c>
      <c r="I2255" t="s">
        <v>4928</v>
      </c>
      <c r="K2255" t="s">
        <v>5037</v>
      </c>
      <c r="L2255" t="s">
        <v>5039</v>
      </c>
    </row>
    <row r="2256" spans="1:12" x14ac:dyDescent="0.35">
      <c r="A2256" t="s">
        <v>113</v>
      </c>
      <c r="B2256" t="s">
        <v>353</v>
      </c>
      <c r="C2256" t="s">
        <v>708</v>
      </c>
      <c r="D2256">
        <v>0.377</v>
      </c>
      <c r="F2256" t="s">
        <v>2186</v>
      </c>
      <c r="I2256" t="s">
        <v>1461</v>
      </c>
      <c r="K2256" t="s">
        <v>5037</v>
      </c>
      <c r="L2256" t="s">
        <v>5039</v>
      </c>
    </row>
    <row r="2257" spans="1:12" x14ac:dyDescent="0.35">
      <c r="A2257" t="s">
        <v>113</v>
      </c>
      <c r="B2257" t="s">
        <v>353</v>
      </c>
      <c r="C2257" t="s">
        <v>945</v>
      </c>
      <c r="D2257">
        <v>4.58</v>
      </c>
      <c r="F2257" t="s">
        <v>2187</v>
      </c>
      <c r="H2257" t="s">
        <v>3831</v>
      </c>
      <c r="I2257" t="s">
        <v>4928</v>
      </c>
      <c r="K2257" t="s">
        <v>5037</v>
      </c>
      <c r="L2257" t="s">
        <v>5039</v>
      </c>
    </row>
    <row r="2258" spans="1:12" x14ac:dyDescent="0.35">
      <c r="A2258" t="s">
        <v>113</v>
      </c>
      <c r="B2258" t="s">
        <v>353</v>
      </c>
      <c r="C2258" t="s">
        <v>932</v>
      </c>
      <c r="D2258">
        <v>6.5000000000000002E-2</v>
      </c>
      <c r="F2258" t="s">
        <v>1455</v>
      </c>
      <c r="H2258" t="s">
        <v>3832</v>
      </c>
      <c r="I2258" t="s">
        <v>2326</v>
      </c>
      <c r="K2258" t="s">
        <v>5037</v>
      </c>
      <c r="L2258" t="s">
        <v>5039</v>
      </c>
    </row>
    <row r="2259" spans="1:12" x14ac:dyDescent="0.35">
      <c r="A2259" t="s">
        <v>113</v>
      </c>
      <c r="B2259" t="s">
        <v>477</v>
      </c>
      <c r="C2259" t="s">
        <v>716</v>
      </c>
      <c r="D2259">
        <v>0.03</v>
      </c>
      <c r="F2259" t="s">
        <v>1266</v>
      </c>
      <c r="H2259" t="s">
        <v>3833</v>
      </c>
      <c r="I2259" t="s">
        <v>4947</v>
      </c>
      <c r="K2259" t="s">
        <v>5037</v>
      </c>
      <c r="L2259" t="s">
        <v>5039</v>
      </c>
    </row>
    <row r="2260" spans="1:12" x14ac:dyDescent="0.35">
      <c r="A2260" t="s">
        <v>113</v>
      </c>
      <c r="B2260" t="s">
        <v>477</v>
      </c>
      <c r="C2260" t="s">
        <v>932</v>
      </c>
      <c r="D2260">
        <v>0.05</v>
      </c>
      <c r="F2260" t="s">
        <v>1559</v>
      </c>
      <c r="H2260" t="s">
        <v>3834</v>
      </c>
      <c r="I2260" t="s">
        <v>4947</v>
      </c>
      <c r="K2260" t="s">
        <v>5037</v>
      </c>
      <c r="L2260" t="s">
        <v>5039</v>
      </c>
    </row>
    <row r="2261" spans="1:12" x14ac:dyDescent="0.35">
      <c r="A2261" t="s">
        <v>113</v>
      </c>
      <c r="B2261" t="s">
        <v>477</v>
      </c>
      <c r="C2261" t="s">
        <v>932</v>
      </c>
      <c r="D2261">
        <v>0.59</v>
      </c>
      <c r="F2261" t="s">
        <v>1483</v>
      </c>
      <c r="H2261" t="s">
        <v>3835</v>
      </c>
      <c r="I2261" t="s">
        <v>4948</v>
      </c>
      <c r="K2261" t="s">
        <v>5037</v>
      </c>
      <c r="L2261" t="s">
        <v>5039</v>
      </c>
    </row>
    <row r="2262" spans="1:12" x14ac:dyDescent="0.35">
      <c r="A2262" t="s">
        <v>113</v>
      </c>
      <c r="B2262" t="s">
        <v>477</v>
      </c>
      <c r="C2262" t="s">
        <v>716</v>
      </c>
      <c r="D2262">
        <v>4.8000000000000001E-2</v>
      </c>
      <c r="F2262" t="s">
        <v>1434</v>
      </c>
      <c r="H2262" t="s">
        <v>3836</v>
      </c>
      <c r="I2262" t="s">
        <v>4947</v>
      </c>
      <c r="K2262" t="s">
        <v>5037</v>
      </c>
      <c r="L2262" t="s">
        <v>5039</v>
      </c>
    </row>
    <row r="2263" spans="1:12" x14ac:dyDescent="0.35">
      <c r="A2263" t="s">
        <v>113</v>
      </c>
      <c r="B2263" t="s">
        <v>477</v>
      </c>
      <c r="C2263" t="s">
        <v>167</v>
      </c>
      <c r="D2263">
        <v>6.8</v>
      </c>
      <c r="F2263" t="s">
        <v>1381</v>
      </c>
      <c r="H2263" t="s">
        <v>3836</v>
      </c>
      <c r="I2263" t="s">
        <v>4947</v>
      </c>
      <c r="K2263" t="s">
        <v>5037</v>
      </c>
      <c r="L2263" t="s">
        <v>5039</v>
      </c>
    </row>
    <row r="2264" spans="1:12" x14ac:dyDescent="0.35">
      <c r="A2264" t="s">
        <v>113</v>
      </c>
      <c r="B2264" t="s">
        <v>477</v>
      </c>
      <c r="C2264" t="s">
        <v>720</v>
      </c>
      <c r="D2264">
        <v>0.27</v>
      </c>
      <c r="F2264" t="s">
        <v>1738</v>
      </c>
      <c r="H2264" t="s">
        <v>3837</v>
      </c>
      <c r="I2264" t="s">
        <v>4948</v>
      </c>
      <c r="K2264" t="s">
        <v>5037</v>
      </c>
      <c r="L2264" t="s">
        <v>5039</v>
      </c>
    </row>
    <row r="2265" spans="1:12" x14ac:dyDescent="0.35">
      <c r="A2265" t="s">
        <v>113</v>
      </c>
      <c r="B2265" t="s">
        <v>477</v>
      </c>
      <c r="C2265" t="s">
        <v>720</v>
      </c>
      <c r="D2265">
        <v>1.9E-2</v>
      </c>
      <c r="F2265" t="s">
        <v>1628</v>
      </c>
      <c r="H2265" t="s">
        <v>3836</v>
      </c>
      <c r="I2265" t="s">
        <v>4947</v>
      </c>
      <c r="K2265" t="s">
        <v>5037</v>
      </c>
      <c r="L2265" t="s">
        <v>5039</v>
      </c>
    </row>
    <row r="2266" spans="1:12" x14ac:dyDescent="0.35">
      <c r="A2266" t="s">
        <v>113</v>
      </c>
      <c r="B2266" t="s">
        <v>477</v>
      </c>
      <c r="C2266" t="s">
        <v>167</v>
      </c>
      <c r="D2266">
        <v>5.9</v>
      </c>
      <c r="F2266" t="s">
        <v>1852</v>
      </c>
      <c r="H2266" t="s">
        <v>3838</v>
      </c>
      <c r="I2266" t="s">
        <v>4947</v>
      </c>
      <c r="K2266" t="s">
        <v>5037</v>
      </c>
      <c r="L2266" t="s">
        <v>5039</v>
      </c>
    </row>
    <row r="2267" spans="1:12" x14ac:dyDescent="0.35">
      <c r="A2267" t="s">
        <v>113</v>
      </c>
      <c r="B2267" t="s">
        <v>477</v>
      </c>
      <c r="C2267" t="s">
        <v>932</v>
      </c>
      <c r="D2267">
        <v>4.65E-2</v>
      </c>
      <c r="F2267" t="s">
        <v>2188</v>
      </c>
      <c r="H2267" t="s">
        <v>3839</v>
      </c>
      <c r="I2267" t="s">
        <v>4947</v>
      </c>
      <c r="K2267" t="s">
        <v>5037</v>
      </c>
      <c r="L2267" t="s">
        <v>5039</v>
      </c>
    </row>
    <row r="2268" spans="1:12" x14ac:dyDescent="0.35">
      <c r="A2268" t="s">
        <v>113</v>
      </c>
      <c r="B2268" t="s">
        <v>525</v>
      </c>
      <c r="C2268" t="s">
        <v>720</v>
      </c>
      <c r="D2268">
        <v>4.4999999999999997E-3</v>
      </c>
      <c r="F2268" t="s">
        <v>1776</v>
      </c>
      <c r="H2268" t="s">
        <v>3840</v>
      </c>
      <c r="I2268" t="s">
        <v>4949</v>
      </c>
      <c r="K2268" t="s">
        <v>5037</v>
      </c>
      <c r="L2268" t="s">
        <v>5039</v>
      </c>
    </row>
    <row r="2269" spans="1:12" x14ac:dyDescent="0.35">
      <c r="A2269" t="s">
        <v>113</v>
      </c>
      <c r="B2269" t="s">
        <v>525</v>
      </c>
      <c r="C2269" t="s">
        <v>720</v>
      </c>
      <c r="D2269">
        <v>1.09E-2</v>
      </c>
      <c r="F2269" t="s">
        <v>2189</v>
      </c>
      <c r="H2269" t="s">
        <v>3841</v>
      </c>
      <c r="I2269" t="s">
        <v>4949</v>
      </c>
      <c r="K2269" t="s">
        <v>5037</v>
      </c>
      <c r="L2269" t="s">
        <v>5039</v>
      </c>
    </row>
    <row r="2270" spans="1:12" x14ac:dyDescent="0.35">
      <c r="A2270" t="s">
        <v>113</v>
      </c>
      <c r="B2270" t="s">
        <v>460</v>
      </c>
      <c r="C2270" t="s">
        <v>708</v>
      </c>
      <c r="D2270">
        <v>5.5500000000000001E-2</v>
      </c>
      <c r="F2270" t="s">
        <v>2190</v>
      </c>
      <c r="I2270" t="s">
        <v>1551</v>
      </c>
      <c r="K2270" t="s">
        <v>5037</v>
      </c>
      <c r="L2270" t="s">
        <v>5039</v>
      </c>
    </row>
    <row r="2271" spans="1:12" x14ac:dyDescent="0.35">
      <c r="A2271" t="s">
        <v>113</v>
      </c>
      <c r="B2271" t="s">
        <v>460</v>
      </c>
      <c r="C2271" t="s">
        <v>720</v>
      </c>
      <c r="D2271">
        <v>5.2600000000000001E-2</v>
      </c>
      <c r="F2271" t="s">
        <v>2191</v>
      </c>
      <c r="I2271" t="s">
        <v>1551</v>
      </c>
      <c r="K2271" t="s">
        <v>5037</v>
      </c>
      <c r="L2271" t="s">
        <v>5039</v>
      </c>
    </row>
    <row r="2272" spans="1:12" x14ac:dyDescent="0.35">
      <c r="A2272" t="s">
        <v>113</v>
      </c>
      <c r="B2272" t="s">
        <v>526</v>
      </c>
      <c r="C2272" t="s">
        <v>932</v>
      </c>
      <c r="D2272">
        <v>2.7E-2</v>
      </c>
      <c r="F2272" t="s">
        <v>1420</v>
      </c>
      <c r="H2272" t="s">
        <v>3842</v>
      </c>
      <c r="I2272" t="s">
        <v>4950</v>
      </c>
      <c r="K2272" t="s">
        <v>5037</v>
      </c>
      <c r="L2272" t="s">
        <v>5039</v>
      </c>
    </row>
    <row r="2273" spans="1:12" x14ac:dyDescent="0.35">
      <c r="A2273" t="s">
        <v>113</v>
      </c>
      <c r="B2273" t="s">
        <v>526</v>
      </c>
      <c r="C2273" t="s">
        <v>932</v>
      </c>
      <c r="D2273">
        <v>8.5000000000000006E-2</v>
      </c>
      <c r="F2273" t="s">
        <v>1459</v>
      </c>
      <c r="H2273" t="s">
        <v>3843</v>
      </c>
      <c r="I2273" t="s">
        <v>4950</v>
      </c>
      <c r="K2273" t="s">
        <v>5037</v>
      </c>
      <c r="L2273" t="s">
        <v>5039</v>
      </c>
    </row>
    <row r="2274" spans="1:12" x14ac:dyDescent="0.35">
      <c r="A2274" t="s">
        <v>113</v>
      </c>
      <c r="B2274" t="s">
        <v>526</v>
      </c>
      <c r="C2274" t="s">
        <v>932</v>
      </c>
      <c r="D2274">
        <v>4.8000000000000001E-2</v>
      </c>
      <c r="F2274" t="s">
        <v>1434</v>
      </c>
      <c r="H2274" t="s">
        <v>3844</v>
      </c>
      <c r="I2274" t="s">
        <v>4950</v>
      </c>
      <c r="K2274" t="s">
        <v>5037</v>
      </c>
      <c r="L2274" t="s">
        <v>5039</v>
      </c>
    </row>
    <row r="2275" spans="1:12" x14ac:dyDescent="0.35">
      <c r="A2275" t="s">
        <v>113</v>
      </c>
      <c r="B2275" t="s">
        <v>526</v>
      </c>
      <c r="C2275" t="s">
        <v>932</v>
      </c>
      <c r="D2275">
        <v>3.1E-2</v>
      </c>
      <c r="F2275" t="s">
        <v>1423</v>
      </c>
      <c r="H2275" t="s">
        <v>3845</v>
      </c>
      <c r="I2275" t="s">
        <v>4950</v>
      </c>
      <c r="K2275" t="s">
        <v>5037</v>
      </c>
      <c r="L2275" t="s">
        <v>5039</v>
      </c>
    </row>
    <row r="2276" spans="1:12" x14ac:dyDescent="0.35">
      <c r="A2276" t="s">
        <v>113</v>
      </c>
      <c r="B2276" t="s">
        <v>526</v>
      </c>
      <c r="C2276" t="s">
        <v>932</v>
      </c>
      <c r="D2276">
        <v>5.3999999999999999E-2</v>
      </c>
      <c r="F2276" t="s">
        <v>1575</v>
      </c>
      <c r="H2276" t="s">
        <v>3846</v>
      </c>
      <c r="I2276" t="s">
        <v>4950</v>
      </c>
      <c r="K2276" t="s">
        <v>5037</v>
      </c>
      <c r="L2276" t="s">
        <v>5039</v>
      </c>
    </row>
    <row r="2277" spans="1:12" x14ac:dyDescent="0.35">
      <c r="A2277" t="s">
        <v>113</v>
      </c>
      <c r="B2277" t="s">
        <v>175</v>
      </c>
      <c r="C2277" t="s">
        <v>947</v>
      </c>
      <c r="D2277">
        <v>0.16</v>
      </c>
      <c r="F2277" t="s">
        <v>1573</v>
      </c>
      <c r="I2277" t="s">
        <v>4872</v>
      </c>
      <c r="K2277" t="s">
        <v>5037</v>
      </c>
      <c r="L2277" t="s">
        <v>5039</v>
      </c>
    </row>
    <row r="2278" spans="1:12" x14ac:dyDescent="0.35">
      <c r="A2278" t="s">
        <v>113</v>
      </c>
      <c r="B2278" t="s">
        <v>175</v>
      </c>
      <c r="C2278" t="s">
        <v>948</v>
      </c>
      <c r="D2278">
        <v>1</v>
      </c>
      <c r="F2278" t="s">
        <v>1317</v>
      </c>
      <c r="I2278" t="s">
        <v>1368</v>
      </c>
      <c r="K2278" t="s">
        <v>5037</v>
      </c>
      <c r="L2278" t="s">
        <v>5039</v>
      </c>
    </row>
    <row r="2279" spans="1:12" x14ac:dyDescent="0.35">
      <c r="A2279" t="s">
        <v>113</v>
      </c>
      <c r="B2279" t="s">
        <v>175</v>
      </c>
      <c r="C2279" t="s">
        <v>708</v>
      </c>
      <c r="D2279">
        <v>0.25</v>
      </c>
      <c r="F2279" t="s">
        <v>1403</v>
      </c>
      <c r="H2279" t="s">
        <v>3847</v>
      </c>
      <c r="I2279" t="s">
        <v>1449</v>
      </c>
      <c r="K2279" t="s">
        <v>5037</v>
      </c>
      <c r="L2279" t="s">
        <v>5039</v>
      </c>
    </row>
    <row r="2280" spans="1:12" x14ac:dyDescent="0.35">
      <c r="A2280" t="s">
        <v>113</v>
      </c>
      <c r="B2280" t="s">
        <v>175</v>
      </c>
      <c r="C2280" t="s">
        <v>708</v>
      </c>
      <c r="D2280">
        <v>0.67</v>
      </c>
      <c r="F2280" t="s">
        <v>1478</v>
      </c>
      <c r="H2280" t="s">
        <v>3848</v>
      </c>
      <c r="I2280" t="s">
        <v>1449</v>
      </c>
      <c r="K2280" t="s">
        <v>5037</v>
      </c>
      <c r="L2280" t="s">
        <v>5039</v>
      </c>
    </row>
    <row r="2281" spans="1:12" x14ac:dyDescent="0.35">
      <c r="A2281" t="s">
        <v>113</v>
      </c>
      <c r="B2281" t="s">
        <v>175</v>
      </c>
      <c r="C2281" t="s">
        <v>949</v>
      </c>
      <c r="D2281">
        <v>0.8</v>
      </c>
      <c r="F2281" t="s">
        <v>1319</v>
      </c>
      <c r="H2281" t="s">
        <v>3849</v>
      </c>
      <c r="I2281" t="s">
        <v>4872</v>
      </c>
      <c r="K2281" t="s">
        <v>5037</v>
      </c>
      <c r="L2281" t="s">
        <v>5039</v>
      </c>
    </row>
    <row r="2282" spans="1:12" x14ac:dyDescent="0.35">
      <c r="A2282" t="s">
        <v>113</v>
      </c>
      <c r="B2282" t="s">
        <v>175</v>
      </c>
      <c r="C2282" t="s">
        <v>931</v>
      </c>
      <c r="D2282">
        <v>0.125</v>
      </c>
      <c r="F2282" t="s">
        <v>1311</v>
      </c>
      <c r="H2282" t="s">
        <v>3850</v>
      </c>
      <c r="I2282" t="s">
        <v>1372</v>
      </c>
      <c r="K2282" t="s">
        <v>5037</v>
      </c>
      <c r="L2282" t="s">
        <v>5039</v>
      </c>
    </row>
    <row r="2283" spans="1:12" x14ac:dyDescent="0.35">
      <c r="A2283" t="s">
        <v>113</v>
      </c>
      <c r="B2283" t="s">
        <v>175</v>
      </c>
      <c r="C2283" t="s">
        <v>950</v>
      </c>
      <c r="D2283">
        <v>0.38</v>
      </c>
      <c r="F2283" t="s">
        <v>1624</v>
      </c>
      <c r="H2283" t="s">
        <v>3851</v>
      </c>
      <c r="I2283" t="s">
        <v>4872</v>
      </c>
      <c r="K2283" t="s">
        <v>5037</v>
      </c>
      <c r="L2283" t="s">
        <v>5039</v>
      </c>
    </row>
    <row r="2284" spans="1:12" x14ac:dyDescent="0.35">
      <c r="A2284" t="s">
        <v>113</v>
      </c>
      <c r="B2284" t="s">
        <v>175</v>
      </c>
      <c r="C2284" t="s">
        <v>931</v>
      </c>
      <c r="D2284">
        <v>1.9E-2</v>
      </c>
      <c r="F2284" t="s">
        <v>1628</v>
      </c>
      <c r="H2284" t="s">
        <v>3852</v>
      </c>
      <c r="I2284" t="s">
        <v>1372</v>
      </c>
      <c r="K2284" t="s">
        <v>5037</v>
      </c>
      <c r="L2284" t="s">
        <v>5039</v>
      </c>
    </row>
    <row r="2285" spans="1:12" x14ac:dyDescent="0.35">
      <c r="A2285" t="s">
        <v>113</v>
      </c>
      <c r="B2285" t="s">
        <v>175</v>
      </c>
      <c r="C2285" t="s">
        <v>940</v>
      </c>
      <c r="D2285">
        <v>0.41299999999999998</v>
      </c>
      <c r="F2285" t="s">
        <v>2192</v>
      </c>
      <c r="H2285" t="s">
        <v>3853</v>
      </c>
      <c r="I2285" t="s">
        <v>4897</v>
      </c>
      <c r="K2285" t="s">
        <v>5037</v>
      </c>
      <c r="L2285" t="s">
        <v>5039</v>
      </c>
    </row>
    <row r="2286" spans="1:12" x14ac:dyDescent="0.35">
      <c r="A2286" t="s">
        <v>113</v>
      </c>
      <c r="B2286" t="s">
        <v>175</v>
      </c>
      <c r="C2286" t="s">
        <v>720</v>
      </c>
      <c r="D2286">
        <v>9.4999999999999998E-3</v>
      </c>
      <c r="F2286" t="s">
        <v>2193</v>
      </c>
      <c r="H2286" t="s">
        <v>3852</v>
      </c>
      <c r="I2286" t="s">
        <v>1372</v>
      </c>
      <c r="K2286" t="s">
        <v>5037</v>
      </c>
      <c r="L2286" t="s">
        <v>5039</v>
      </c>
    </row>
    <row r="2287" spans="1:12" x14ac:dyDescent="0.35">
      <c r="A2287" t="s">
        <v>113</v>
      </c>
      <c r="B2287" t="s">
        <v>175</v>
      </c>
      <c r="C2287" t="s">
        <v>804</v>
      </c>
      <c r="D2287">
        <v>0.158</v>
      </c>
      <c r="F2287" t="s">
        <v>2194</v>
      </c>
      <c r="H2287" t="s">
        <v>3853</v>
      </c>
      <c r="I2287" t="s">
        <v>4897</v>
      </c>
      <c r="K2287" t="s">
        <v>5037</v>
      </c>
      <c r="L2287" t="s">
        <v>5039</v>
      </c>
    </row>
    <row r="2288" spans="1:12" x14ac:dyDescent="0.35">
      <c r="A2288" t="s">
        <v>113</v>
      </c>
      <c r="B2288" t="s">
        <v>175</v>
      </c>
      <c r="C2288" t="s">
        <v>938</v>
      </c>
      <c r="D2288">
        <v>0.224</v>
      </c>
      <c r="F2288" t="s">
        <v>2195</v>
      </c>
      <c r="H2288" t="s">
        <v>3853</v>
      </c>
      <c r="I2288" t="s">
        <v>4897</v>
      </c>
      <c r="K2288" t="s">
        <v>5037</v>
      </c>
      <c r="L2288" t="s">
        <v>5039</v>
      </c>
    </row>
    <row r="2289" spans="1:12" x14ac:dyDescent="0.35">
      <c r="A2289" t="s">
        <v>113</v>
      </c>
      <c r="B2289" t="s">
        <v>175</v>
      </c>
      <c r="C2289" t="s">
        <v>800</v>
      </c>
      <c r="D2289">
        <v>3.1199999999999999E-2</v>
      </c>
      <c r="F2289" t="s">
        <v>2196</v>
      </c>
      <c r="H2289" t="s">
        <v>3853</v>
      </c>
      <c r="I2289" t="s">
        <v>4897</v>
      </c>
      <c r="K2289" t="s">
        <v>5037</v>
      </c>
      <c r="L2289" t="s">
        <v>5039</v>
      </c>
    </row>
    <row r="2290" spans="1:12" x14ac:dyDescent="0.35">
      <c r="A2290" t="s">
        <v>113</v>
      </c>
      <c r="B2290" t="s">
        <v>175</v>
      </c>
      <c r="C2290" t="s">
        <v>937</v>
      </c>
      <c r="D2290">
        <v>0.36299999999999999</v>
      </c>
      <c r="F2290" t="s">
        <v>2197</v>
      </c>
      <c r="H2290" t="s">
        <v>3853</v>
      </c>
      <c r="I2290" t="s">
        <v>4897</v>
      </c>
      <c r="K2290" t="s">
        <v>5037</v>
      </c>
      <c r="L2290" t="s">
        <v>5039</v>
      </c>
    </row>
    <row r="2291" spans="1:12" x14ac:dyDescent="0.35">
      <c r="A2291" t="s">
        <v>113</v>
      </c>
      <c r="B2291" t="s">
        <v>175</v>
      </c>
      <c r="C2291" t="s">
        <v>939</v>
      </c>
      <c r="D2291">
        <v>0.42080000000000001</v>
      </c>
      <c r="F2291" t="s">
        <v>2198</v>
      </c>
      <c r="H2291" t="s">
        <v>3853</v>
      </c>
      <c r="I2291" t="s">
        <v>4897</v>
      </c>
      <c r="K2291" t="s">
        <v>5037</v>
      </c>
      <c r="L2291" t="s">
        <v>5039</v>
      </c>
    </row>
    <row r="2292" spans="1:12" x14ac:dyDescent="0.35">
      <c r="A2292" t="s">
        <v>113</v>
      </c>
      <c r="B2292" t="s">
        <v>175</v>
      </c>
      <c r="C2292" t="s">
        <v>941</v>
      </c>
      <c r="D2292">
        <v>5.9499999999999997E-2</v>
      </c>
      <c r="F2292" t="s">
        <v>2199</v>
      </c>
      <c r="H2292" t="s">
        <v>3853</v>
      </c>
      <c r="I2292" t="s">
        <v>4897</v>
      </c>
      <c r="K2292" t="s">
        <v>5037</v>
      </c>
      <c r="L2292" t="s">
        <v>5039</v>
      </c>
    </row>
    <row r="2293" spans="1:12" x14ac:dyDescent="0.35">
      <c r="A2293" t="s">
        <v>113</v>
      </c>
      <c r="B2293" t="s">
        <v>175</v>
      </c>
      <c r="C2293" t="s">
        <v>167</v>
      </c>
      <c r="D2293">
        <v>6.5000000000000002E-2</v>
      </c>
      <c r="F2293" t="s">
        <v>1455</v>
      </c>
      <c r="H2293" t="s">
        <v>3854</v>
      </c>
      <c r="I2293" t="s">
        <v>4892</v>
      </c>
      <c r="K2293" t="s">
        <v>5037</v>
      </c>
      <c r="L2293" t="s">
        <v>5039</v>
      </c>
    </row>
    <row r="2294" spans="1:12" x14ac:dyDescent="0.35">
      <c r="A2294" t="s">
        <v>113</v>
      </c>
      <c r="B2294" t="s">
        <v>175</v>
      </c>
      <c r="C2294" t="s">
        <v>720</v>
      </c>
      <c r="D2294">
        <v>8.9999999999999993E-3</v>
      </c>
      <c r="F2294" t="s">
        <v>1546</v>
      </c>
      <c r="H2294" t="s">
        <v>3855</v>
      </c>
      <c r="I2294" t="s">
        <v>4892</v>
      </c>
      <c r="K2294" t="s">
        <v>5037</v>
      </c>
      <c r="L2294" t="s">
        <v>5039</v>
      </c>
    </row>
    <row r="2295" spans="1:12" x14ac:dyDescent="0.35">
      <c r="A2295" t="s">
        <v>113</v>
      </c>
      <c r="B2295" t="s">
        <v>175</v>
      </c>
      <c r="C2295" t="s">
        <v>720</v>
      </c>
      <c r="D2295">
        <v>1.2999999999999999E-2</v>
      </c>
      <c r="F2295" t="s">
        <v>1861</v>
      </c>
      <c r="H2295" t="s">
        <v>3850</v>
      </c>
      <c r="I2295" t="s">
        <v>1372</v>
      </c>
      <c r="K2295" t="s">
        <v>5037</v>
      </c>
      <c r="L2295" t="s">
        <v>5039</v>
      </c>
    </row>
    <row r="2296" spans="1:12" x14ac:dyDescent="0.35">
      <c r="A2296" t="s">
        <v>113</v>
      </c>
      <c r="B2296" t="s">
        <v>175</v>
      </c>
      <c r="C2296" t="s">
        <v>931</v>
      </c>
      <c r="D2296">
        <v>6.5000000000000002E-2</v>
      </c>
      <c r="F2296" t="s">
        <v>1455</v>
      </c>
      <c r="H2296" t="s">
        <v>3856</v>
      </c>
      <c r="I2296" t="s">
        <v>4928</v>
      </c>
      <c r="K2296" t="s">
        <v>5037</v>
      </c>
      <c r="L2296" t="s">
        <v>5039</v>
      </c>
    </row>
    <row r="2297" spans="1:12" x14ac:dyDescent="0.35">
      <c r="A2297" t="s">
        <v>113</v>
      </c>
      <c r="B2297" t="s">
        <v>175</v>
      </c>
      <c r="C2297" t="s">
        <v>720</v>
      </c>
      <c r="D2297">
        <v>8.0000000000000002E-3</v>
      </c>
      <c r="F2297" t="s">
        <v>1801</v>
      </c>
      <c r="H2297" t="s">
        <v>3857</v>
      </c>
      <c r="I2297" t="s">
        <v>4892</v>
      </c>
      <c r="K2297" t="s">
        <v>5037</v>
      </c>
      <c r="L2297" t="s">
        <v>5039</v>
      </c>
    </row>
    <row r="2298" spans="1:12" x14ac:dyDescent="0.35">
      <c r="A2298" t="s">
        <v>113</v>
      </c>
      <c r="B2298" t="s">
        <v>527</v>
      </c>
      <c r="C2298" t="s">
        <v>932</v>
      </c>
      <c r="D2298">
        <v>1.23E-2</v>
      </c>
      <c r="F2298" t="s">
        <v>1767</v>
      </c>
      <c r="H2298" t="s">
        <v>3858</v>
      </c>
      <c r="I2298" t="s">
        <v>4908</v>
      </c>
      <c r="K2298" t="s">
        <v>5037</v>
      </c>
      <c r="L2298" t="s">
        <v>5039</v>
      </c>
    </row>
    <row r="2299" spans="1:12" x14ac:dyDescent="0.35">
      <c r="A2299" t="s">
        <v>113</v>
      </c>
      <c r="B2299" t="s">
        <v>175</v>
      </c>
      <c r="C2299" t="s">
        <v>945</v>
      </c>
      <c r="D2299">
        <v>0.5</v>
      </c>
      <c r="F2299" t="s">
        <v>1440</v>
      </c>
      <c r="H2299" t="s">
        <v>3859</v>
      </c>
      <c r="I2299" t="s">
        <v>1752</v>
      </c>
      <c r="K2299" t="s">
        <v>5037</v>
      </c>
      <c r="L2299" t="s">
        <v>5039</v>
      </c>
    </row>
    <row r="2300" spans="1:12" x14ac:dyDescent="0.35">
      <c r="A2300" t="s">
        <v>113</v>
      </c>
      <c r="B2300" t="s">
        <v>175</v>
      </c>
      <c r="C2300" t="s">
        <v>932</v>
      </c>
      <c r="D2300">
        <v>1.65</v>
      </c>
      <c r="F2300" t="s">
        <v>2200</v>
      </c>
      <c r="H2300" t="s">
        <v>3860</v>
      </c>
      <c r="I2300" t="s">
        <v>1966</v>
      </c>
      <c r="K2300" t="s">
        <v>5037</v>
      </c>
      <c r="L2300" t="s">
        <v>5039</v>
      </c>
    </row>
    <row r="2301" spans="1:12" x14ac:dyDescent="0.35">
      <c r="A2301" t="s">
        <v>113</v>
      </c>
      <c r="B2301" t="s">
        <v>175</v>
      </c>
      <c r="C2301" t="s">
        <v>932</v>
      </c>
      <c r="D2301">
        <v>7.1999999999999995E-2</v>
      </c>
      <c r="F2301" t="s">
        <v>1760</v>
      </c>
      <c r="H2301" t="s">
        <v>3861</v>
      </c>
      <c r="I2301" t="s">
        <v>1966</v>
      </c>
      <c r="K2301" t="s">
        <v>5037</v>
      </c>
      <c r="L2301" t="s">
        <v>5039</v>
      </c>
    </row>
    <row r="2302" spans="1:12" x14ac:dyDescent="0.35">
      <c r="A2302" t="s">
        <v>113</v>
      </c>
      <c r="B2302" t="s">
        <v>317</v>
      </c>
      <c r="C2302" t="s">
        <v>720</v>
      </c>
      <c r="D2302">
        <v>3.2300000000000002E-2</v>
      </c>
      <c r="F2302" t="s">
        <v>2201</v>
      </c>
      <c r="H2302" t="s">
        <v>3862</v>
      </c>
      <c r="I2302" t="s">
        <v>4951</v>
      </c>
      <c r="K2302" t="s">
        <v>5037</v>
      </c>
      <c r="L2302" t="s">
        <v>5039</v>
      </c>
    </row>
    <row r="2303" spans="1:12" x14ac:dyDescent="0.35">
      <c r="A2303" t="s">
        <v>113</v>
      </c>
      <c r="B2303" t="s">
        <v>317</v>
      </c>
      <c r="C2303" t="s">
        <v>931</v>
      </c>
      <c r="D2303">
        <v>7.46E-2</v>
      </c>
      <c r="F2303" t="s">
        <v>2202</v>
      </c>
      <c r="H2303" t="s">
        <v>3863</v>
      </c>
      <c r="I2303" t="s">
        <v>4951</v>
      </c>
      <c r="K2303" t="s">
        <v>5037</v>
      </c>
      <c r="L2303" t="s">
        <v>5039</v>
      </c>
    </row>
    <row r="2304" spans="1:12" x14ac:dyDescent="0.35">
      <c r="A2304" t="s">
        <v>113</v>
      </c>
      <c r="B2304" t="s">
        <v>317</v>
      </c>
      <c r="C2304" t="s">
        <v>931</v>
      </c>
      <c r="D2304">
        <v>0.26250000000000001</v>
      </c>
      <c r="F2304" t="s">
        <v>2203</v>
      </c>
      <c r="H2304" t="s">
        <v>3862</v>
      </c>
      <c r="I2304" t="s">
        <v>4951</v>
      </c>
      <c r="K2304" t="s">
        <v>5037</v>
      </c>
      <c r="L2304" t="s">
        <v>5039</v>
      </c>
    </row>
    <row r="2305" spans="1:12" x14ac:dyDescent="0.35">
      <c r="A2305" t="s">
        <v>113</v>
      </c>
      <c r="B2305" t="s">
        <v>328</v>
      </c>
      <c r="C2305" t="s">
        <v>167</v>
      </c>
      <c r="D2305">
        <v>5.7000000000000002E-2</v>
      </c>
      <c r="F2305" t="s">
        <v>1530</v>
      </c>
      <c r="H2305" t="s">
        <v>3864</v>
      </c>
      <c r="I2305" t="s">
        <v>4892</v>
      </c>
      <c r="K2305" t="s">
        <v>5037</v>
      </c>
      <c r="L2305" t="s">
        <v>5039</v>
      </c>
    </row>
    <row r="2306" spans="1:12" x14ac:dyDescent="0.35">
      <c r="A2306" t="s">
        <v>113</v>
      </c>
      <c r="B2306" t="s">
        <v>328</v>
      </c>
      <c r="C2306" t="s">
        <v>720</v>
      </c>
      <c r="D2306">
        <v>1.2E-2</v>
      </c>
      <c r="F2306" t="s">
        <v>1280</v>
      </c>
      <c r="H2306" t="s">
        <v>3865</v>
      </c>
      <c r="I2306" t="s">
        <v>4905</v>
      </c>
      <c r="K2306" t="s">
        <v>5037</v>
      </c>
      <c r="L2306" t="s">
        <v>5039</v>
      </c>
    </row>
    <row r="2307" spans="1:12" x14ac:dyDescent="0.35">
      <c r="A2307" t="s">
        <v>113</v>
      </c>
      <c r="B2307" t="s">
        <v>328</v>
      </c>
      <c r="C2307" t="s">
        <v>720</v>
      </c>
      <c r="D2307">
        <v>1.5299999999999999E-2</v>
      </c>
      <c r="F2307" t="s">
        <v>1272</v>
      </c>
      <c r="H2307" t="s">
        <v>3866</v>
      </c>
      <c r="I2307" t="s">
        <v>4952</v>
      </c>
      <c r="K2307" t="s">
        <v>5037</v>
      </c>
      <c r="L2307" t="s">
        <v>5039</v>
      </c>
    </row>
    <row r="2308" spans="1:12" x14ac:dyDescent="0.35">
      <c r="A2308" t="s">
        <v>113</v>
      </c>
      <c r="B2308" t="s">
        <v>328</v>
      </c>
      <c r="C2308" t="s">
        <v>932</v>
      </c>
      <c r="D2308">
        <v>3.6999999999999998E-2</v>
      </c>
      <c r="F2308" t="s">
        <v>1534</v>
      </c>
      <c r="H2308" t="s">
        <v>3867</v>
      </c>
      <c r="I2308" t="s">
        <v>4905</v>
      </c>
      <c r="K2308" t="s">
        <v>5037</v>
      </c>
      <c r="L2308" t="s">
        <v>5039</v>
      </c>
    </row>
    <row r="2309" spans="1:12" x14ac:dyDescent="0.35">
      <c r="A2309" t="s">
        <v>113</v>
      </c>
      <c r="B2309" t="s">
        <v>328</v>
      </c>
      <c r="C2309" t="s">
        <v>931</v>
      </c>
      <c r="D2309">
        <v>2.63E-2</v>
      </c>
      <c r="F2309" t="s">
        <v>2204</v>
      </c>
      <c r="I2309" t="s">
        <v>1766</v>
      </c>
      <c r="K2309" t="s">
        <v>5037</v>
      </c>
      <c r="L2309" t="s">
        <v>5039</v>
      </c>
    </row>
    <row r="2310" spans="1:12" x14ac:dyDescent="0.35">
      <c r="A2310" t="s">
        <v>113</v>
      </c>
      <c r="B2310" t="s">
        <v>328</v>
      </c>
      <c r="C2310" t="s">
        <v>932</v>
      </c>
      <c r="D2310">
        <v>5.3100000000000001E-2</v>
      </c>
      <c r="F2310" t="s">
        <v>2205</v>
      </c>
      <c r="H2310" t="s">
        <v>3868</v>
      </c>
      <c r="I2310" t="s">
        <v>4952</v>
      </c>
      <c r="K2310" t="s">
        <v>5037</v>
      </c>
      <c r="L2310" t="s">
        <v>5039</v>
      </c>
    </row>
    <row r="2311" spans="1:12" x14ac:dyDescent="0.35">
      <c r="A2311" t="s">
        <v>113</v>
      </c>
      <c r="B2311" t="s">
        <v>528</v>
      </c>
      <c r="C2311" t="s">
        <v>720</v>
      </c>
      <c r="D2311">
        <v>0.1449</v>
      </c>
      <c r="F2311" t="s">
        <v>2206</v>
      </c>
      <c r="H2311" t="s">
        <v>3869</v>
      </c>
      <c r="I2311" t="s">
        <v>2407</v>
      </c>
      <c r="K2311" t="s">
        <v>5037</v>
      </c>
      <c r="L2311" t="s">
        <v>5039</v>
      </c>
    </row>
    <row r="2312" spans="1:12" x14ac:dyDescent="0.35">
      <c r="A2312" t="s">
        <v>113</v>
      </c>
      <c r="B2312" t="s">
        <v>528</v>
      </c>
      <c r="C2312" t="s">
        <v>932</v>
      </c>
      <c r="D2312">
        <v>0.15379999999999999</v>
      </c>
      <c r="F2312" t="s">
        <v>2207</v>
      </c>
      <c r="H2312" t="s">
        <v>3870</v>
      </c>
      <c r="I2312" t="s">
        <v>2407</v>
      </c>
      <c r="K2312" t="s">
        <v>5037</v>
      </c>
      <c r="L2312" t="s">
        <v>5039</v>
      </c>
    </row>
    <row r="2313" spans="1:12" x14ac:dyDescent="0.35">
      <c r="A2313" t="s">
        <v>113</v>
      </c>
      <c r="B2313" t="s">
        <v>529</v>
      </c>
      <c r="C2313" t="s">
        <v>932</v>
      </c>
      <c r="D2313">
        <v>8.8999999999999996E-2</v>
      </c>
      <c r="F2313" t="s">
        <v>1970</v>
      </c>
      <c r="H2313" t="s">
        <v>3871</v>
      </c>
      <c r="I2313" t="s">
        <v>4953</v>
      </c>
      <c r="K2313" t="s">
        <v>5037</v>
      </c>
      <c r="L2313" t="s">
        <v>5039</v>
      </c>
    </row>
    <row r="2314" spans="1:12" x14ac:dyDescent="0.35">
      <c r="A2314" t="s">
        <v>114</v>
      </c>
      <c r="B2314" t="s">
        <v>179</v>
      </c>
      <c r="C2314" t="s">
        <v>168</v>
      </c>
      <c r="D2314">
        <v>0.23</v>
      </c>
      <c r="F2314" t="s">
        <v>1362</v>
      </c>
      <c r="I2314" t="s">
        <v>1766</v>
      </c>
      <c r="K2314" t="s">
        <v>5037</v>
      </c>
      <c r="L2314" t="s">
        <v>5039</v>
      </c>
    </row>
    <row r="2315" spans="1:12" x14ac:dyDescent="0.35">
      <c r="A2315" t="s">
        <v>114</v>
      </c>
      <c r="B2315" t="s">
        <v>179</v>
      </c>
      <c r="C2315" t="s">
        <v>167</v>
      </c>
      <c r="D2315">
        <v>1.67</v>
      </c>
      <c r="F2315" t="s">
        <v>1974</v>
      </c>
      <c r="I2315" t="s">
        <v>1766</v>
      </c>
      <c r="K2315" t="s">
        <v>5037</v>
      </c>
      <c r="L2315" t="s">
        <v>5039</v>
      </c>
    </row>
    <row r="2316" spans="1:12" x14ac:dyDescent="0.35">
      <c r="A2316" t="s">
        <v>116</v>
      </c>
      <c r="B2316" t="s">
        <v>328</v>
      </c>
      <c r="C2316" t="s">
        <v>951</v>
      </c>
      <c r="D2316">
        <v>0.05</v>
      </c>
      <c r="F2316" t="s">
        <v>1559</v>
      </c>
      <c r="H2316" t="s">
        <v>3872</v>
      </c>
      <c r="I2316" t="s">
        <v>2253</v>
      </c>
      <c r="K2316" t="s">
        <v>5037</v>
      </c>
      <c r="L2316" t="s">
        <v>5039</v>
      </c>
    </row>
    <row r="2317" spans="1:12" x14ac:dyDescent="0.35">
      <c r="A2317" t="s">
        <v>116</v>
      </c>
      <c r="B2317" t="s">
        <v>328</v>
      </c>
      <c r="C2317" t="s">
        <v>709</v>
      </c>
      <c r="D2317">
        <v>5.7000000000000002E-2</v>
      </c>
      <c r="F2317" t="s">
        <v>1530</v>
      </c>
      <c r="H2317" t="s">
        <v>3873</v>
      </c>
      <c r="I2317" t="s">
        <v>2009</v>
      </c>
      <c r="K2317" t="s">
        <v>5037</v>
      </c>
      <c r="L2317" t="s">
        <v>5039</v>
      </c>
    </row>
    <row r="2318" spans="1:12" x14ac:dyDescent="0.35">
      <c r="A2318" t="s">
        <v>116</v>
      </c>
      <c r="B2318" t="s">
        <v>328</v>
      </c>
      <c r="C2318" t="s">
        <v>952</v>
      </c>
      <c r="D2318">
        <v>0.1</v>
      </c>
      <c r="F2318" t="s">
        <v>1309</v>
      </c>
      <c r="H2318" t="s">
        <v>3874</v>
      </c>
      <c r="I2318" t="s">
        <v>2253</v>
      </c>
      <c r="K2318" t="s">
        <v>5037</v>
      </c>
      <c r="L2318" t="s">
        <v>5039</v>
      </c>
    </row>
    <row r="2319" spans="1:12" x14ac:dyDescent="0.35">
      <c r="A2319" t="s">
        <v>116</v>
      </c>
      <c r="B2319" t="s">
        <v>328</v>
      </c>
      <c r="C2319" t="s">
        <v>953</v>
      </c>
      <c r="D2319">
        <v>0.16</v>
      </c>
      <c r="F2319" t="s">
        <v>1573</v>
      </c>
      <c r="H2319" t="s">
        <v>3875</v>
      </c>
      <c r="I2319" t="s">
        <v>2009</v>
      </c>
      <c r="K2319" t="s">
        <v>5037</v>
      </c>
      <c r="L2319" t="s">
        <v>5039</v>
      </c>
    </row>
    <row r="2320" spans="1:12" x14ac:dyDescent="0.35">
      <c r="A2320" t="s">
        <v>116</v>
      </c>
      <c r="B2320" t="s">
        <v>328</v>
      </c>
      <c r="C2320" t="s">
        <v>954</v>
      </c>
      <c r="D2320">
        <v>0.16</v>
      </c>
      <c r="F2320" t="s">
        <v>1573</v>
      </c>
      <c r="H2320" t="s">
        <v>3876</v>
      </c>
      <c r="I2320" t="s">
        <v>2009</v>
      </c>
      <c r="K2320" t="s">
        <v>5037</v>
      </c>
      <c r="L2320" t="s">
        <v>5039</v>
      </c>
    </row>
    <row r="2321" spans="1:12" x14ac:dyDescent="0.35">
      <c r="A2321" t="s">
        <v>116</v>
      </c>
      <c r="B2321" t="s">
        <v>328</v>
      </c>
      <c r="C2321" t="s">
        <v>955</v>
      </c>
      <c r="D2321">
        <v>0.17</v>
      </c>
      <c r="F2321" t="s">
        <v>1409</v>
      </c>
      <c r="H2321" t="s">
        <v>3872</v>
      </c>
      <c r="I2321" t="s">
        <v>2253</v>
      </c>
      <c r="K2321" t="s">
        <v>5037</v>
      </c>
      <c r="L2321" t="s">
        <v>5039</v>
      </c>
    </row>
    <row r="2322" spans="1:12" x14ac:dyDescent="0.35">
      <c r="A2322" t="s">
        <v>116</v>
      </c>
      <c r="B2322" t="s">
        <v>328</v>
      </c>
      <c r="C2322" t="s">
        <v>956</v>
      </c>
      <c r="D2322">
        <v>0.3</v>
      </c>
      <c r="F2322" t="s">
        <v>1401</v>
      </c>
      <c r="H2322" t="s">
        <v>3877</v>
      </c>
      <c r="I2322" t="s">
        <v>2253</v>
      </c>
      <c r="K2322" t="s">
        <v>5037</v>
      </c>
      <c r="L2322" t="s">
        <v>5039</v>
      </c>
    </row>
    <row r="2323" spans="1:12" x14ac:dyDescent="0.35">
      <c r="A2323" t="s">
        <v>116</v>
      </c>
      <c r="B2323" t="s">
        <v>328</v>
      </c>
      <c r="C2323" t="s">
        <v>855</v>
      </c>
      <c r="D2323">
        <v>0.31</v>
      </c>
      <c r="F2323" t="s">
        <v>1714</v>
      </c>
      <c r="H2323" t="s">
        <v>3873</v>
      </c>
      <c r="I2323" t="s">
        <v>2009</v>
      </c>
      <c r="K2323" t="s">
        <v>5037</v>
      </c>
      <c r="L2323" t="s">
        <v>5039</v>
      </c>
    </row>
    <row r="2324" spans="1:12" x14ac:dyDescent="0.35">
      <c r="A2324" t="s">
        <v>116</v>
      </c>
      <c r="B2324" t="s">
        <v>328</v>
      </c>
      <c r="C2324" t="s">
        <v>953</v>
      </c>
      <c r="D2324">
        <v>0.31</v>
      </c>
      <c r="F2324" t="s">
        <v>1714</v>
      </c>
      <c r="H2324" t="s">
        <v>3878</v>
      </c>
      <c r="I2324" t="s">
        <v>2009</v>
      </c>
      <c r="K2324" t="s">
        <v>5037</v>
      </c>
      <c r="L2324" t="s">
        <v>5039</v>
      </c>
    </row>
    <row r="2325" spans="1:12" x14ac:dyDescent="0.35">
      <c r="A2325" t="s">
        <v>116</v>
      </c>
      <c r="B2325" t="s">
        <v>328</v>
      </c>
      <c r="C2325" t="s">
        <v>957</v>
      </c>
      <c r="D2325">
        <v>1.2999999999999999E-2</v>
      </c>
      <c r="F2325" t="s">
        <v>1861</v>
      </c>
      <c r="H2325" t="s">
        <v>3879</v>
      </c>
      <c r="I2325" t="s">
        <v>2253</v>
      </c>
      <c r="K2325" t="s">
        <v>5037</v>
      </c>
      <c r="L2325" t="s">
        <v>5039</v>
      </c>
    </row>
    <row r="2326" spans="1:12" x14ac:dyDescent="0.35">
      <c r="A2326" t="s">
        <v>116</v>
      </c>
      <c r="B2326" t="s">
        <v>328</v>
      </c>
      <c r="C2326" t="s">
        <v>886</v>
      </c>
      <c r="D2326">
        <v>0.04</v>
      </c>
      <c r="F2326" t="s">
        <v>1334</v>
      </c>
      <c r="H2326" t="s">
        <v>3873</v>
      </c>
      <c r="I2326" t="s">
        <v>2009</v>
      </c>
      <c r="K2326" t="s">
        <v>5037</v>
      </c>
      <c r="L2326" t="s">
        <v>5039</v>
      </c>
    </row>
    <row r="2327" spans="1:12" x14ac:dyDescent="0.35">
      <c r="A2327" t="s">
        <v>116</v>
      </c>
      <c r="B2327" t="s">
        <v>328</v>
      </c>
      <c r="C2327" t="s">
        <v>855</v>
      </c>
      <c r="D2327">
        <v>0.217</v>
      </c>
      <c r="F2327" t="s">
        <v>2208</v>
      </c>
      <c r="H2327" t="s">
        <v>3880</v>
      </c>
      <c r="I2327" t="s">
        <v>2009</v>
      </c>
      <c r="K2327" t="s">
        <v>5037</v>
      </c>
      <c r="L2327" t="s">
        <v>5039</v>
      </c>
    </row>
    <row r="2328" spans="1:12" x14ac:dyDescent="0.35">
      <c r="A2328" t="s">
        <v>116</v>
      </c>
      <c r="B2328" t="s">
        <v>328</v>
      </c>
      <c r="C2328" t="s">
        <v>952</v>
      </c>
      <c r="D2328">
        <v>0.5</v>
      </c>
      <c r="F2328" t="s">
        <v>1440</v>
      </c>
      <c r="H2328" t="s">
        <v>3877</v>
      </c>
      <c r="I2328" t="s">
        <v>2253</v>
      </c>
      <c r="K2328" t="s">
        <v>5037</v>
      </c>
      <c r="L2328" t="s">
        <v>5039</v>
      </c>
    </row>
    <row r="2329" spans="1:12" x14ac:dyDescent="0.35">
      <c r="A2329" t="s">
        <v>116</v>
      </c>
      <c r="B2329" t="s">
        <v>328</v>
      </c>
      <c r="C2329" t="s">
        <v>886</v>
      </c>
      <c r="D2329">
        <v>2.7E-2</v>
      </c>
      <c r="F2329" t="s">
        <v>1420</v>
      </c>
      <c r="H2329" t="s">
        <v>3881</v>
      </c>
      <c r="I2329" t="s">
        <v>2009</v>
      </c>
      <c r="K2329" t="s">
        <v>5037</v>
      </c>
      <c r="L2329" t="s">
        <v>5039</v>
      </c>
    </row>
    <row r="2330" spans="1:12" x14ac:dyDescent="0.35">
      <c r="A2330" t="s">
        <v>116</v>
      </c>
      <c r="B2330" t="s">
        <v>328</v>
      </c>
      <c r="C2330" t="s">
        <v>958</v>
      </c>
      <c r="D2330">
        <v>3.2000000000000001E-2</v>
      </c>
      <c r="F2330" t="s">
        <v>1314</v>
      </c>
      <c r="H2330" t="s">
        <v>3875</v>
      </c>
      <c r="I2330" t="s">
        <v>2009</v>
      </c>
      <c r="K2330" t="s">
        <v>5037</v>
      </c>
      <c r="L2330" t="s">
        <v>5039</v>
      </c>
    </row>
    <row r="2331" spans="1:12" x14ac:dyDescent="0.35">
      <c r="A2331" t="s">
        <v>116</v>
      </c>
      <c r="B2331" t="s">
        <v>328</v>
      </c>
      <c r="C2331" t="s">
        <v>886</v>
      </c>
      <c r="D2331">
        <v>2.1000000000000001E-2</v>
      </c>
      <c r="F2331" t="s">
        <v>1617</v>
      </c>
      <c r="H2331" t="s">
        <v>3882</v>
      </c>
      <c r="I2331" t="s">
        <v>2009</v>
      </c>
      <c r="K2331" t="s">
        <v>5037</v>
      </c>
      <c r="L2331" t="s">
        <v>5039</v>
      </c>
    </row>
    <row r="2332" spans="1:12" x14ac:dyDescent="0.35">
      <c r="A2332" t="s">
        <v>116</v>
      </c>
      <c r="B2332" t="s">
        <v>328</v>
      </c>
      <c r="C2332" t="s">
        <v>952</v>
      </c>
      <c r="D2332">
        <v>2.5000000000000001E-2</v>
      </c>
      <c r="F2332" t="s">
        <v>1282</v>
      </c>
      <c r="H2332" t="s">
        <v>3872</v>
      </c>
      <c r="I2332" t="s">
        <v>2253</v>
      </c>
      <c r="K2332" t="s">
        <v>5037</v>
      </c>
      <c r="L2332" t="s">
        <v>5039</v>
      </c>
    </row>
    <row r="2333" spans="1:12" x14ac:dyDescent="0.35">
      <c r="A2333" t="s">
        <v>116</v>
      </c>
      <c r="B2333" t="s">
        <v>328</v>
      </c>
      <c r="C2333" t="s">
        <v>886</v>
      </c>
      <c r="D2333">
        <v>2.5000000000000001E-2</v>
      </c>
      <c r="F2333" t="s">
        <v>1282</v>
      </c>
      <c r="H2333" t="s">
        <v>3882</v>
      </c>
      <c r="I2333" t="s">
        <v>2009</v>
      </c>
      <c r="K2333" t="s">
        <v>5037</v>
      </c>
      <c r="L2333" t="s">
        <v>5039</v>
      </c>
    </row>
    <row r="2334" spans="1:12" x14ac:dyDescent="0.35">
      <c r="A2334" t="s">
        <v>116</v>
      </c>
      <c r="B2334" t="s">
        <v>328</v>
      </c>
      <c r="C2334" t="s">
        <v>709</v>
      </c>
      <c r="D2334">
        <v>0.25</v>
      </c>
      <c r="F2334" t="s">
        <v>1403</v>
      </c>
      <c r="H2334" t="s">
        <v>3883</v>
      </c>
      <c r="I2334" t="s">
        <v>2253</v>
      </c>
      <c r="K2334" t="s">
        <v>5037</v>
      </c>
      <c r="L2334" t="s">
        <v>5039</v>
      </c>
    </row>
    <row r="2335" spans="1:12" x14ac:dyDescent="0.35">
      <c r="A2335" t="s">
        <v>116</v>
      </c>
      <c r="B2335" t="s">
        <v>328</v>
      </c>
      <c r="C2335" t="s">
        <v>959</v>
      </c>
      <c r="D2335">
        <v>2.2000000000000002</v>
      </c>
      <c r="F2335" t="s">
        <v>1417</v>
      </c>
      <c r="H2335" t="s">
        <v>3872</v>
      </c>
      <c r="I2335" t="s">
        <v>2253</v>
      </c>
      <c r="K2335" t="s">
        <v>5037</v>
      </c>
      <c r="L2335" t="s">
        <v>5039</v>
      </c>
    </row>
    <row r="2336" spans="1:12" x14ac:dyDescent="0.35">
      <c r="A2336" t="s">
        <v>116</v>
      </c>
      <c r="B2336" t="s">
        <v>328</v>
      </c>
      <c r="C2336" t="s">
        <v>960</v>
      </c>
      <c r="D2336">
        <v>0.14000000000000001</v>
      </c>
      <c r="F2336" t="s">
        <v>1361</v>
      </c>
      <c r="H2336" t="s">
        <v>3880</v>
      </c>
      <c r="I2336" t="s">
        <v>2009</v>
      </c>
      <c r="K2336" t="s">
        <v>5037</v>
      </c>
      <c r="L2336" t="s">
        <v>5039</v>
      </c>
    </row>
    <row r="2337" spans="1:12" x14ac:dyDescent="0.35">
      <c r="A2337" t="s">
        <v>116</v>
      </c>
      <c r="B2337" t="s">
        <v>328</v>
      </c>
      <c r="C2337" t="s">
        <v>954</v>
      </c>
      <c r="D2337">
        <v>0.182</v>
      </c>
      <c r="F2337" t="s">
        <v>1579</v>
      </c>
      <c r="H2337" t="s">
        <v>3884</v>
      </c>
      <c r="I2337" t="s">
        <v>2009</v>
      </c>
      <c r="K2337" t="s">
        <v>5037</v>
      </c>
      <c r="L2337" t="s">
        <v>5039</v>
      </c>
    </row>
    <row r="2338" spans="1:12" x14ac:dyDescent="0.35">
      <c r="A2338" t="s">
        <v>116</v>
      </c>
      <c r="B2338" t="s">
        <v>328</v>
      </c>
      <c r="C2338" t="s">
        <v>961</v>
      </c>
      <c r="D2338">
        <v>1.4</v>
      </c>
      <c r="F2338" t="s">
        <v>1469</v>
      </c>
      <c r="H2338" t="s">
        <v>3885</v>
      </c>
      <c r="I2338" t="s">
        <v>2253</v>
      </c>
      <c r="K2338" t="s">
        <v>5037</v>
      </c>
      <c r="L2338" t="s">
        <v>5039</v>
      </c>
    </row>
    <row r="2339" spans="1:12" x14ac:dyDescent="0.35">
      <c r="A2339" t="s">
        <v>116</v>
      </c>
      <c r="B2339" t="s">
        <v>328</v>
      </c>
      <c r="C2339" t="s">
        <v>951</v>
      </c>
      <c r="D2339">
        <v>1.4</v>
      </c>
      <c r="F2339" t="s">
        <v>1469</v>
      </c>
      <c r="H2339" t="s">
        <v>3883</v>
      </c>
      <c r="I2339" t="s">
        <v>2253</v>
      </c>
      <c r="K2339" t="s">
        <v>5037</v>
      </c>
      <c r="L2339" t="s">
        <v>5039</v>
      </c>
    </row>
    <row r="2340" spans="1:12" x14ac:dyDescent="0.35">
      <c r="A2340" t="s">
        <v>116</v>
      </c>
      <c r="B2340" t="s">
        <v>328</v>
      </c>
      <c r="C2340" t="s">
        <v>957</v>
      </c>
      <c r="D2340">
        <v>1.4</v>
      </c>
      <c r="F2340" t="s">
        <v>1469</v>
      </c>
      <c r="H2340" t="s">
        <v>3883</v>
      </c>
      <c r="I2340" t="s">
        <v>2253</v>
      </c>
      <c r="K2340" t="s">
        <v>5037</v>
      </c>
      <c r="L2340" t="s">
        <v>5039</v>
      </c>
    </row>
    <row r="2341" spans="1:12" x14ac:dyDescent="0.35">
      <c r="A2341" t="s">
        <v>116</v>
      </c>
      <c r="B2341" t="s">
        <v>328</v>
      </c>
      <c r="C2341" t="s">
        <v>962</v>
      </c>
      <c r="D2341">
        <v>1.4</v>
      </c>
      <c r="F2341" t="s">
        <v>1469</v>
      </c>
      <c r="H2341" t="s">
        <v>3877</v>
      </c>
      <c r="I2341" t="s">
        <v>2253</v>
      </c>
      <c r="K2341" t="s">
        <v>5037</v>
      </c>
      <c r="L2341" t="s">
        <v>5039</v>
      </c>
    </row>
    <row r="2342" spans="1:12" x14ac:dyDescent="0.35">
      <c r="A2342" t="s">
        <v>116</v>
      </c>
      <c r="B2342" t="s">
        <v>328</v>
      </c>
      <c r="C2342" t="s">
        <v>963</v>
      </c>
      <c r="D2342">
        <v>3.1</v>
      </c>
      <c r="F2342" t="s">
        <v>1374</v>
      </c>
      <c r="H2342" t="s">
        <v>3883</v>
      </c>
      <c r="I2342" t="s">
        <v>2253</v>
      </c>
      <c r="K2342" t="s">
        <v>5037</v>
      </c>
      <c r="L2342" t="s">
        <v>5039</v>
      </c>
    </row>
    <row r="2343" spans="1:12" x14ac:dyDescent="0.35">
      <c r="A2343" t="s">
        <v>116</v>
      </c>
      <c r="B2343" t="s">
        <v>328</v>
      </c>
      <c r="C2343" t="s">
        <v>855</v>
      </c>
      <c r="D2343">
        <v>0.23</v>
      </c>
      <c r="F2343" t="s">
        <v>1362</v>
      </c>
      <c r="H2343" t="s">
        <v>3882</v>
      </c>
      <c r="I2343" t="s">
        <v>2009</v>
      </c>
      <c r="K2343" t="s">
        <v>5037</v>
      </c>
      <c r="L2343" t="s">
        <v>5039</v>
      </c>
    </row>
    <row r="2344" spans="1:12" x14ac:dyDescent="0.35">
      <c r="A2344" t="s">
        <v>116</v>
      </c>
      <c r="B2344" t="s">
        <v>328</v>
      </c>
      <c r="C2344" t="s">
        <v>708</v>
      </c>
      <c r="D2344">
        <v>1.6999999999999999E-3</v>
      </c>
      <c r="F2344" t="s">
        <v>1321</v>
      </c>
      <c r="H2344" t="s">
        <v>3886</v>
      </c>
      <c r="I2344" t="s">
        <v>2253</v>
      </c>
      <c r="K2344" t="s">
        <v>5037</v>
      </c>
      <c r="L2344" t="s">
        <v>5039</v>
      </c>
    </row>
    <row r="2345" spans="1:12" x14ac:dyDescent="0.35">
      <c r="A2345" t="s">
        <v>116</v>
      </c>
      <c r="B2345" t="s">
        <v>328</v>
      </c>
      <c r="C2345" t="s">
        <v>964</v>
      </c>
      <c r="D2345">
        <v>2.5</v>
      </c>
      <c r="F2345" t="s">
        <v>1406</v>
      </c>
      <c r="H2345" t="s">
        <v>3883</v>
      </c>
      <c r="I2345" t="s">
        <v>2253</v>
      </c>
      <c r="K2345" t="s">
        <v>5037</v>
      </c>
      <c r="L2345" t="s">
        <v>5039</v>
      </c>
    </row>
    <row r="2346" spans="1:12" x14ac:dyDescent="0.35">
      <c r="A2346" t="s">
        <v>116</v>
      </c>
      <c r="B2346" t="s">
        <v>328</v>
      </c>
      <c r="C2346" t="s">
        <v>965</v>
      </c>
      <c r="D2346">
        <v>3</v>
      </c>
      <c r="F2346" t="s">
        <v>1368</v>
      </c>
      <c r="H2346" t="s">
        <v>3877</v>
      </c>
      <c r="I2346" t="s">
        <v>2253</v>
      </c>
      <c r="K2346" t="s">
        <v>5037</v>
      </c>
      <c r="L2346" t="s">
        <v>5039</v>
      </c>
    </row>
    <row r="2347" spans="1:12" x14ac:dyDescent="0.35">
      <c r="A2347" t="s">
        <v>116</v>
      </c>
      <c r="B2347" t="s">
        <v>328</v>
      </c>
      <c r="C2347" t="s">
        <v>963</v>
      </c>
      <c r="D2347">
        <v>0.08</v>
      </c>
      <c r="F2347" t="s">
        <v>1402</v>
      </c>
      <c r="H2347" t="s">
        <v>3872</v>
      </c>
      <c r="I2347" t="s">
        <v>2253</v>
      </c>
      <c r="K2347" t="s">
        <v>5037</v>
      </c>
      <c r="L2347" t="s">
        <v>5039</v>
      </c>
    </row>
    <row r="2348" spans="1:12" x14ac:dyDescent="0.35">
      <c r="A2348" t="s">
        <v>116</v>
      </c>
      <c r="B2348" t="s">
        <v>328</v>
      </c>
      <c r="C2348" t="s">
        <v>960</v>
      </c>
      <c r="D2348">
        <v>0.125</v>
      </c>
      <c r="F2348" t="s">
        <v>1311</v>
      </c>
      <c r="H2348" t="s">
        <v>3882</v>
      </c>
      <c r="I2348" t="s">
        <v>2009</v>
      </c>
      <c r="K2348" t="s">
        <v>5037</v>
      </c>
      <c r="L2348" t="s">
        <v>5039</v>
      </c>
    </row>
    <row r="2349" spans="1:12" x14ac:dyDescent="0.35">
      <c r="A2349" t="s">
        <v>116</v>
      </c>
      <c r="B2349" t="s">
        <v>328</v>
      </c>
      <c r="C2349" t="s">
        <v>964</v>
      </c>
      <c r="D2349">
        <v>0.35</v>
      </c>
      <c r="F2349" t="s">
        <v>1294</v>
      </c>
      <c r="H2349" t="s">
        <v>3872</v>
      </c>
      <c r="I2349" t="s">
        <v>2253</v>
      </c>
      <c r="K2349" t="s">
        <v>5037</v>
      </c>
      <c r="L2349" t="s">
        <v>5039</v>
      </c>
    </row>
    <row r="2350" spans="1:12" x14ac:dyDescent="0.35">
      <c r="A2350" t="s">
        <v>116</v>
      </c>
      <c r="B2350" t="s">
        <v>328</v>
      </c>
      <c r="C2350" t="s">
        <v>966</v>
      </c>
      <c r="D2350">
        <v>0.35</v>
      </c>
      <c r="F2350" t="s">
        <v>1294</v>
      </c>
      <c r="H2350" t="s">
        <v>3887</v>
      </c>
      <c r="I2350" t="s">
        <v>2009</v>
      </c>
      <c r="K2350" t="s">
        <v>5037</v>
      </c>
      <c r="L2350" t="s">
        <v>5039</v>
      </c>
    </row>
    <row r="2351" spans="1:12" x14ac:dyDescent="0.35">
      <c r="A2351" t="s">
        <v>116</v>
      </c>
      <c r="B2351" t="s">
        <v>328</v>
      </c>
      <c r="C2351" t="s">
        <v>708</v>
      </c>
      <c r="D2351">
        <v>7.5999999999999998E-2</v>
      </c>
      <c r="F2351" t="s">
        <v>2107</v>
      </c>
      <c r="H2351" t="s">
        <v>3873</v>
      </c>
      <c r="I2351" t="s">
        <v>2009</v>
      </c>
      <c r="K2351" t="s">
        <v>5037</v>
      </c>
      <c r="L2351" t="s">
        <v>5039</v>
      </c>
    </row>
    <row r="2352" spans="1:12" x14ac:dyDescent="0.35">
      <c r="A2352" t="s">
        <v>116</v>
      </c>
      <c r="B2352" t="s">
        <v>328</v>
      </c>
      <c r="C2352" t="s">
        <v>961</v>
      </c>
      <c r="D2352">
        <v>1.41</v>
      </c>
      <c r="F2352" t="s">
        <v>1906</v>
      </c>
      <c r="H2352" t="s">
        <v>3881</v>
      </c>
      <c r="I2352" t="s">
        <v>2009</v>
      </c>
      <c r="K2352" t="s">
        <v>5037</v>
      </c>
      <c r="L2352" t="s">
        <v>5039</v>
      </c>
    </row>
    <row r="2353" spans="1:12" x14ac:dyDescent="0.35">
      <c r="A2353" t="s">
        <v>116</v>
      </c>
      <c r="B2353" t="s">
        <v>328</v>
      </c>
      <c r="C2353" t="s">
        <v>958</v>
      </c>
      <c r="D2353">
        <v>7.0999999999999994E-2</v>
      </c>
      <c r="F2353" t="s">
        <v>1485</v>
      </c>
      <c r="H2353" t="s">
        <v>3888</v>
      </c>
      <c r="I2353" t="s">
        <v>2009</v>
      </c>
      <c r="K2353" t="s">
        <v>5037</v>
      </c>
      <c r="L2353" t="s">
        <v>5039</v>
      </c>
    </row>
    <row r="2354" spans="1:12" x14ac:dyDescent="0.35">
      <c r="A2354" t="s">
        <v>116</v>
      </c>
      <c r="B2354" t="s">
        <v>328</v>
      </c>
      <c r="C2354" t="s">
        <v>958</v>
      </c>
      <c r="D2354">
        <v>6.6000000000000003E-2</v>
      </c>
      <c r="F2354" t="s">
        <v>1623</v>
      </c>
      <c r="H2354" t="s">
        <v>3889</v>
      </c>
      <c r="I2354" t="s">
        <v>2009</v>
      </c>
      <c r="K2354" t="s">
        <v>5037</v>
      </c>
      <c r="L2354" t="s">
        <v>5039</v>
      </c>
    </row>
    <row r="2355" spans="1:12" x14ac:dyDescent="0.35">
      <c r="A2355" t="s">
        <v>116</v>
      </c>
      <c r="B2355" t="s">
        <v>328</v>
      </c>
      <c r="C2355" t="s">
        <v>955</v>
      </c>
      <c r="D2355">
        <v>17</v>
      </c>
      <c r="F2355" t="s">
        <v>1383</v>
      </c>
      <c r="H2355" t="s">
        <v>3883</v>
      </c>
      <c r="I2355" t="s">
        <v>2253</v>
      </c>
      <c r="K2355" t="s">
        <v>5037</v>
      </c>
      <c r="L2355" t="s">
        <v>5039</v>
      </c>
    </row>
    <row r="2356" spans="1:12" x14ac:dyDescent="0.35">
      <c r="A2356" t="s">
        <v>116</v>
      </c>
      <c r="B2356" t="s">
        <v>328</v>
      </c>
      <c r="C2356" t="s">
        <v>708</v>
      </c>
      <c r="D2356">
        <v>9.0999999999999998E-2</v>
      </c>
      <c r="F2356" t="s">
        <v>1958</v>
      </c>
      <c r="H2356" t="s">
        <v>3880</v>
      </c>
      <c r="I2356" t="s">
        <v>2009</v>
      </c>
      <c r="K2356" t="s">
        <v>5037</v>
      </c>
      <c r="L2356" t="s">
        <v>5039</v>
      </c>
    </row>
    <row r="2357" spans="1:12" x14ac:dyDescent="0.35">
      <c r="A2357" t="s">
        <v>116</v>
      </c>
      <c r="B2357" t="s">
        <v>328</v>
      </c>
      <c r="C2357" t="s">
        <v>967</v>
      </c>
      <c r="D2357">
        <v>1.6</v>
      </c>
      <c r="F2357" t="s">
        <v>1328</v>
      </c>
      <c r="H2357" t="s">
        <v>3886</v>
      </c>
      <c r="I2357" t="s">
        <v>2253</v>
      </c>
      <c r="K2357" t="s">
        <v>5037</v>
      </c>
      <c r="L2357" t="s">
        <v>5039</v>
      </c>
    </row>
    <row r="2358" spans="1:12" x14ac:dyDescent="0.35">
      <c r="A2358" t="s">
        <v>116</v>
      </c>
      <c r="B2358" t="s">
        <v>328</v>
      </c>
      <c r="C2358" t="s">
        <v>956</v>
      </c>
      <c r="D2358">
        <v>3.5</v>
      </c>
      <c r="F2358" t="s">
        <v>1451</v>
      </c>
      <c r="H2358" t="s">
        <v>3877</v>
      </c>
      <c r="I2358" t="s">
        <v>2253</v>
      </c>
      <c r="K2358" t="s">
        <v>5037</v>
      </c>
      <c r="L2358" t="s">
        <v>5039</v>
      </c>
    </row>
    <row r="2359" spans="1:12" x14ac:dyDescent="0.35">
      <c r="A2359" t="s">
        <v>116</v>
      </c>
      <c r="B2359" t="s">
        <v>328</v>
      </c>
      <c r="C2359" t="s">
        <v>958</v>
      </c>
      <c r="D2359">
        <v>6.4000000000000001E-2</v>
      </c>
      <c r="F2359" t="s">
        <v>1827</v>
      </c>
      <c r="H2359" t="s">
        <v>3890</v>
      </c>
      <c r="I2359" t="s">
        <v>2009</v>
      </c>
      <c r="K2359" t="s">
        <v>5037</v>
      </c>
      <c r="L2359" t="s">
        <v>5039</v>
      </c>
    </row>
    <row r="2360" spans="1:12" x14ac:dyDescent="0.35">
      <c r="A2360" t="s">
        <v>116</v>
      </c>
      <c r="B2360" t="s">
        <v>328</v>
      </c>
      <c r="C2360" t="s">
        <v>709</v>
      </c>
      <c r="D2360">
        <v>0.115</v>
      </c>
      <c r="F2360" t="s">
        <v>2145</v>
      </c>
      <c r="H2360" t="s">
        <v>3882</v>
      </c>
      <c r="I2360" t="s">
        <v>2009</v>
      </c>
      <c r="K2360" t="s">
        <v>5037</v>
      </c>
      <c r="L2360" t="s">
        <v>5039</v>
      </c>
    </row>
    <row r="2361" spans="1:12" x14ac:dyDescent="0.35">
      <c r="A2361" t="s">
        <v>116</v>
      </c>
      <c r="B2361" t="s">
        <v>328</v>
      </c>
      <c r="C2361" t="s">
        <v>961</v>
      </c>
      <c r="D2361">
        <v>1.87</v>
      </c>
      <c r="F2361" t="s">
        <v>1999</v>
      </c>
      <c r="H2361" t="s">
        <v>3880</v>
      </c>
      <c r="I2361" t="s">
        <v>2009</v>
      </c>
      <c r="K2361" t="s">
        <v>5037</v>
      </c>
      <c r="L2361" t="s">
        <v>5039</v>
      </c>
    </row>
    <row r="2362" spans="1:12" x14ac:dyDescent="0.35">
      <c r="A2362" t="s">
        <v>116</v>
      </c>
      <c r="B2362" t="s">
        <v>328</v>
      </c>
      <c r="C2362" t="s">
        <v>964</v>
      </c>
      <c r="D2362">
        <v>60</v>
      </c>
      <c r="F2362" t="s">
        <v>1569</v>
      </c>
      <c r="H2362" t="s">
        <v>3891</v>
      </c>
      <c r="I2362" t="s">
        <v>2253</v>
      </c>
      <c r="K2362" t="s">
        <v>5037</v>
      </c>
      <c r="L2362" t="s">
        <v>5039</v>
      </c>
    </row>
    <row r="2363" spans="1:12" x14ac:dyDescent="0.35">
      <c r="A2363" t="s">
        <v>116</v>
      </c>
      <c r="B2363" t="s">
        <v>328</v>
      </c>
      <c r="C2363" t="s">
        <v>709</v>
      </c>
      <c r="D2363">
        <v>4.3999999999999997E-2</v>
      </c>
      <c r="F2363" t="s">
        <v>1429</v>
      </c>
      <c r="H2363" t="s">
        <v>3881</v>
      </c>
      <c r="I2363" t="s">
        <v>2009</v>
      </c>
      <c r="K2363" t="s">
        <v>5037</v>
      </c>
      <c r="L2363" t="s">
        <v>5039</v>
      </c>
    </row>
    <row r="2364" spans="1:12" x14ac:dyDescent="0.35">
      <c r="A2364" t="s">
        <v>116</v>
      </c>
      <c r="B2364" t="s">
        <v>328</v>
      </c>
      <c r="C2364" t="s">
        <v>708</v>
      </c>
      <c r="D2364">
        <v>5.0999999999999997E-2</v>
      </c>
      <c r="F2364" t="s">
        <v>2059</v>
      </c>
      <c r="H2364" t="s">
        <v>3881</v>
      </c>
      <c r="I2364" t="s">
        <v>2009</v>
      </c>
      <c r="K2364" t="s">
        <v>5037</v>
      </c>
      <c r="L2364" t="s">
        <v>5039</v>
      </c>
    </row>
    <row r="2365" spans="1:12" x14ac:dyDescent="0.35">
      <c r="A2365" t="s">
        <v>116</v>
      </c>
      <c r="B2365" t="s">
        <v>328</v>
      </c>
      <c r="C2365" t="s">
        <v>952</v>
      </c>
      <c r="D2365">
        <v>0.51</v>
      </c>
      <c r="F2365" t="s">
        <v>1418</v>
      </c>
      <c r="H2365" t="s">
        <v>3891</v>
      </c>
      <c r="I2365" t="s">
        <v>2253</v>
      </c>
      <c r="K2365" t="s">
        <v>5037</v>
      </c>
      <c r="L2365" t="s">
        <v>5039</v>
      </c>
    </row>
    <row r="2366" spans="1:12" x14ac:dyDescent="0.35">
      <c r="A2366" t="s">
        <v>116</v>
      </c>
      <c r="B2366" t="s">
        <v>328</v>
      </c>
      <c r="C2366" t="s">
        <v>953</v>
      </c>
      <c r="D2366">
        <v>0.128</v>
      </c>
      <c r="F2366" t="s">
        <v>2209</v>
      </c>
      <c r="H2366" t="s">
        <v>3892</v>
      </c>
      <c r="I2366" t="s">
        <v>2009</v>
      </c>
      <c r="K2366" t="s">
        <v>5037</v>
      </c>
      <c r="L2366" t="s">
        <v>5039</v>
      </c>
    </row>
    <row r="2367" spans="1:12" x14ac:dyDescent="0.35">
      <c r="A2367" t="s">
        <v>116</v>
      </c>
      <c r="B2367" t="s">
        <v>328</v>
      </c>
      <c r="C2367" t="s">
        <v>959</v>
      </c>
      <c r="D2367">
        <v>220</v>
      </c>
      <c r="F2367" t="s">
        <v>2210</v>
      </c>
      <c r="H2367" t="s">
        <v>3883</v>
      </c>
      <c r="I2367" t="s">
        <v>2253</v>
      </c>
      <c r="K2367" t="s">
        <v>5037</v>
      </c>
      <c r="L2367" t="s">
        <v>5039</v>
      </c>
    </row>
    <row r="2368" spans="1:12" x14ac:dyDescent="0.35">
      <c r="A2368" t="s">
        <v>116</v>
      </c>
      <c r="B2368" t="s">
        <v>328</v>
      </c>
      <c r="C2368" t="s">
        <v>955</v>
      </c>
      <c r="D2368">
        <v>230</v>
      </c>
      <c r="F2368" t="s">
        <v>2211</v>
      </c>
      <c r="H2368" t="s">
        <v>3877</v>
      </c>
      <c r="I2368" t="s">
        <v>2253</v>
      </c>
      <c r="K2368" t="s">
        <v>5037</v>
      </c>
      <c r="L2368" t="s">
        <v>5039</v>
      </c>
    </row>
    <row r="2369" spans="1:12" x14ac:dyDescent="0.35">
      <c r="A2369" t="s">
        <v>116</v>
      </c>
      <c r="B2369" t="s">
        <v>328</v>
      </c>
      <c r="C2369" t="s">
        <v>961</v>
      </c>
      <c r="D2369">
        <v>1.37</v>
      </c>
      <c r="F2369" t="s">
        <v>1720</v>
      </c>
      <c r="H2369" t="s">
        <v>3873</v>
      </c>
      <c r="I2369" t="s">
        <v>2009</v>
      </c>
      <c r="K2369" t="s">
        <v>5037</v>
      </c>
      <c r="L2369" t="s">
        <v>5039</v>
      </c>
    </row>
    <row r="2370" spans="1:12" x14ac:dyDescent="0.35">
      <c r="A2370" t="s">
        <v>116</v>
      </c>
      <c r="B2370" t="s">
        <v>328</v>
      </c>
      <c r="C2370" t="s">
        <v>953</v>
      </c>
      <c r="D2370">
        <v>0.248</v>
      </c>
      <c r="F2370" t="s">
        <v>2018</v>
      </c>
      <c r="H2370" t="s">
        <v>3893</v>
      </c>
      <c r="I2370" t="s">
        <v>2009</v>
      </c>
      <c r="K2370" t="s">
        <v>5037</v>
      </c>
      <c r="L2370" t="s">
        <v>5039</v>
      </c>
    </row>
    <row r="2371" spans="1:12" x14ac:dyDescent="0.35">
      <c r="A2371" t="s">
        <v>116</v>
      </c>
      <c r="B2371" t="s">
        <v>328</v>
      </c>
      <c r="C2371" t="s">
        <v>963</v>
      </c>
      <c r="D2371">
        <v>78</v>
      </c>
      <c r="F2371" t="s">
        <v>2212</v>
      </c>
      <c r="H2371" t="s">
        <v>3891</v>
      </c>
      <c r="I2371" t="s">
        <v>2253</v>
      </c>
      <c r="K2371" t="s">
        <v>5037</v>
      </c>
      <c r="L2371" t="s">
        <v>5039</v>
      </c>
    </row>
    <row r="2372" spans="1:12" x14ac:dyDescent="0.35">
      <c r="A2372" t="s">
        <v>116</v>
      </c>
      <c r="B2372" t="s">
        <v>328</v>
      </c>
      <c r="C2372" t="s">
        <v>960</v>
      </c>
      <c r="D2372">
        <v>0.123</v>
      </c>
      <c r="F2372" t="s">
        <v>1583</v>
      </c>
      <c r="H2372" t="s">
        <v>3881</v>
      </c>
      <c r="I2372" t="s">
        <v>2009</v>
      </c>
      <c r="K2372" t="s">
        <v>5037</v>
      </c>
      <c r="L2372" t="s">
        <v>5039</v>
      </c>
    </row>
    <row r="2373" spans="1:12" x14ac:dyDescent="0.35">
      <c r="A2373" t="s">
        <v>116</v>
      </c>
      <c r="B2373" t="s">
        <v>328</v>
      </c>
      <c r="C2373" t="s">
        <v>709</v>
      </c>
      <c r="D2373">
        <v>9.9000000000000005E-2</v>
      </c>
      <c r="F2373" t="s">
        <v>2005</v>
      </c>
      <c r="H2373" t="s">
        <v>3882</v>
      </c>
      <c r="I2373" t="s">
        <v>2009</v>
      </c>
      <c r="K2373" t="s">
        <v>5037</v>
      </c>
      <c r="L2373" t="s">
        <v>5039</v>
      </c>
    </row>
    <row r="2374" spans="1:12" x14ac:dyDescent="0.35">
      <c r="A2374" t="s">
        <v>116</v>
      </c>
      <c r="B2374" t="s">
        <v>328</v>
      </c>
      <c r="C2374" t="s">
        <v>954</v>
      </c>
      <c r="D2374">
        <v>0.14899999999999999</v>
      </c>
      <c r="F2374" t="s">
        <v>2213</v>
      </c>
      <c r="H2374" t="s">
        <v>3894</v>
      </c>
      <c r="I2374" t="s">
        <v>2009</v>
      </c>
      <c r="K2374" t="s">
        <v>5037</v>
      </c>
      <c r="L2374" t="s">
        <v>5039</v>
      </c>
    </row>
    <row r="2375" spans="1:12" x14ac:dyDescent="0.35">
      <c r="A2375" t="s">
        <v>116</v>
      </c>
      <c r="B2375" t="s">
        <v>328</v>
      </c>
      <c r="C2375" t="s">
        <v>855</v>
      </c>
      <c r="D2375">
        <v>0.27600000000000002</v>
      </c>
      <c r="F2375" t="s">
        <v>2214</v>
      </c>
      <c r="H2375" t="s">
        <v>3881</v>
      </c>
      <c r="I2375" t="s">
        <v>2009</v>
      </c>
      <c r="K2375" t="s">
        <v>5037</v>
      </c>
      <c r="L2375" t="s">
        <v>5039</v>
      </c>
    </row>
    <row r="2376" spans="1:12" x14ac:dyDescent="0.35">
      <c r="A2376" t="s">
        <v>116</v>
      </c>
      <c r="B2376" t="s">
        <v>328</v>
      </c>
      <c r="C2376" t="s">
        <v>961</v>
      </c>
      <c r="D2376">
        <v>340</v>
      </c>
      <c r="F2376" t="s">
        <v>2215</v>
      </c>
      <c r="H2376" t="s">
        <v>3883</v>
      </c>
      <c r="I2376" t="s">
        <v>2253</v>
      </c>
      <c r="K2376" t="s">
        <v>5037</v>
      </c>
      <c r="L2376" t="s">
        <v>5039</v>
      </c>
    </row>
    <row r="2377" spans="1:12" x14ac:dyDescent="0.35">
      <c r="A2377" t="s">
        <v>116</v>
      </c>
      <c r="B2377" t="s">
        <v>328</v>
      </c>
      <c r="C2377" t="s">
        <v>960</v>
      </c>
      <c r="D2377">
        <v>0.16400000000000001</v>
      </c>
      <c r="F2377" t="s">
        <v>2216</v>
      </c>
      <c r="H2377" t="s">
        <v>3873</v>
      </c>
      <c r="I2377" t="s">
        <v>2009</v>
      </c>
      <c r="K2377" t="s">
        <v>5037</v>
      </c>
      <c r="L2377" t="s">
        <v>5039</v>
      </c>
    </row>
    <row r="2378" spans="1:12" x14ac:dyDescent="0.35">
      <c r="A2378" t="s">
        <v>116</v>
      </c>
      <c r="B2378" t="s">
        <v>328</v>
      </c>
      <c r="C2378" t="s">
        <v>959</v>
      </c>
      <c r="D2378">
        <v>1900</v>
      </c>
      <c r="F2378" t="s">
        <v>2217</v>
      </c>
      <c r="H2378" t="s">
        <v>3891</v>
      </c>
      <c r="I2378" t="s">
        <v>2253</v>
      </c>
      <c r="K2378" t="s">
        <v>5037</v>
      </c>
      <c r="L2378" t="s">
        <v>5039</v>
      </c>
    </row>
    <row r="2379" spans="1:12" x14ac:dyDescent="0.35">
      <c r="A2379" t="s">
        <v>116</v>
      </c>
      <c r="B2379" t="s">
        <v>328</v>
      </c>
      <c r="C2379" t="s">
        <v>961</v>
      </c>
      <c r="D2379">
        <v>5000</v>
      </c>
      <c r="F2379" t="s">
        <v>1395</v>
      </c>
      <c r="H2379" t="s">
        <v>3877</v>
      </c>
      <c r="I2379" t="s">
        <v>2253</v>
      </c>
      <c r="K2379" t="s">
        <v>5037</v>
      </c>
      <c r="L2379" t="s">
        <v>5039</v>
      </c>
    </row>
    <row r="2380" spans="1:12" x14ac:dyDescent="0.35">
      <c r="A2380" t="s">
        <v>116</v>
      </c>
      <c r="B2380" t="s">
        <v>328</v>
      </c>
      <c r="C2380" t="s">
        <v>708</v>
      </c>
      <c r="D2380">
        <v>7.0999999999999994E-2</v>
      </c>
      <c r="F2380" t="s">
        <v>1485</v>
      </c>
      <c r="H2380" t="s">
        <v>3895</v>
      </c>
      <c r="I2380" t="s">
        <v>2009</v>
      </c>
      <c r="K2380" t="s">
        <v>5037</v>
      </c>
      <c r="L2380" t="s">
        <v>5039</v>
      </c>
    </row>
    <row r="2381" spans="1:12" x14ac:dyDescent="0.35">
      <c r="A2381" t="s">
        <v>116</v>
      </c>
      <c r="B2381" t="s">
        <v>328</v>
      </c>
      <c r="C2381" t="s">
        <v>709</v>
      </c>
      <c r="D2381">
        <v>0.1</v>
      </c>
      <c r="F2381" t="s">
        <v>1309</v>
      </c>
      <c r="H2381" t="s">
        <v>3896</v>
      </c>
      <c r="I2381" t="s">
        <v>2253</v>
      </c>
      <c r="K2381" t="s">
        <v>5037</v>
      </c>
      <c r="L2381" t="s">
        <v>5039</v>
      </c>
    </row>
    <row r="2382" spans="1:12" x14ac:dyDescent="0.35">
      <c r="A2382" t="s">
        <v>116</v>
      </c>
      <c r="B2382" t="s">
        <v>328</v>
      </c>
      <c r="C2382" t="s">
        <v>961</v>
      </c>
      <c r="D2382">
        <v>0.76</v>
      </c>
      <c r="F2382" t="s">
        <v>1750</v>
      </c>
      <c r="H2382" t="s">
        <v>3897</v>
      </c>
      <c r="I2382" t="s">
        <v>2009</v>
      </c>
      <c r="K2382" t="s">
        <v>5037</v>
      </c>
      <c r="L2382" t="s">
        <v>5039</v>
      </c>
    </row>
    <row r="2383" spans="1:12" x14ac:dyDescent="0.35">
      <c r="A2383" t="s">
        <v>116</v>
      </c>
      <c r="B2383" t="s">
        <v>328</v>
      </c>
      <c r="C2383" t="s">
        <v>709</v>
      </c>
      <c r="D2383">
        <v>0.2</v>
      </c>
      <c r="F2383" t="s">
        <v>1371</v>
      </c>
      <c r="H2383" t="s">
        <v>3898</v>
      </c>
      <c r="I2383" t="s">
        <v>2253</v>
      </c>
      <c r="K2383" t="s">
        <v>5037</v>
      </c>
      <c r="L2383" t="s">
        <v>5039</v>
      </c>
    </row>
    <row r="2384" spans="1:12" x14ac:dyDescent="0.35">
      <c r="A2384" t="s">
        <v>116</v>
      </c>
      <c r="B2384" t="s">
        <v>328</v>
      </c>
      <c r="C2384" t="s">
        <v>709</v>
      </c>
      <c r="D2384">
        <v>0.05</v>
      </c>
      <c r="F2384" t="s">
        <v>1559</v>
      </c>
      <c r="H2384" t="s">
        <v>3899</v>
      </c>
      <c r="I2384" t="s">
        <v>2253</v>
      </c>
      <c r="K2384" t="s">
        <v>5037</v>
      </c>
      <c r="L2384" t="s">
        <v>5039</v>
      </c>
    </row>
    <row r="2385" spans="1:12" x14ac:dyDescent="0.35">
      <c r="A2385" t="s">
        <v>116</v>
      </c>
      <c r="B2385" t="s">
        <v>328</v>
      </c>
      <c r="C2385" t="s">
        <v>709</v>
      </c>
      <c r="D2385">
        <v>0.04</v>
      </c>
      <c r="F2385" t="s">
        <v>1334</v>
      </c>
      <c r="H2385" t="s">
        <v>3900</v>
      </c>
      <c r="I2385" t="s">
        <v>2253</v>
      </c>
      <c r="K2385" t="s">
        <v>5037</v>
      </c>
      <c r="L2385" t="s">
        <v>5039</v>
      </c>
    </row>
    <row r="2386" spans="1:12" x14ac:dyDescent="0.35">
      <c r="A2386" t="s">
        <v>116</v>
      </c>
      <c r="B2386" t="s">
        <v>328</v>
      </c>
      <c r="C2386" t="s">
        <v>961</v>
      </c>
      <c r="D2386">
        <v>0.8</v>
      </c>
      <c r="F2386" t="s">
        <v>1319</v>
      </c>
      <c r="H2386" t="s">
        <v>3901</v>
      </c>
      <c r="I2386" t="s">
        <v>1839</v>
      </c>
      <c r="K2386" t="s">
        <v>5037</v>
      </c>
      <c r="L2386" t="s">
        <v>5039</v>
      </c>
    </row>
    <row r="2387" spans="1:12" x14ac:dyDescent="0.35">
      <c r="A2387" t="s">
        <v>116</v>
      </c>
      <c r="B2387" t="s">
        <v>530</v>
      </c>
      <c r="C2387" t="s">
        <v>961</v>
      </c>
      <c r="D2387">
        <v>5.6000000000000001E-2</v>
      </c>
      <c r="F2387" t="s">
        <v>1462</v>
      </c>
      <c r="I2387" t="s">
        <v>4949</v>
      </c>
      <c r="K2387" t="s">
        <v>5037</v>
      </c>
      <c r="L2387" t="s">
        <v>5039</v>
      </c>
    </row>
    <row r="2388" spans="1:12" x14ac:dyDescent="0.35">
      <c r="A2388" t="s">
        <v>116</v>
      </c>
      <c r="B2388" t="s">
        <v>531</v>
      </c>
      <c r="C2388" t="s">
        <v>968</v>
      </c>
      <c r="D2388">
        <v>0.59</v>
      </c>
      <c r="F2388" t="s">
        <v>1483</v>
      </c>
      <c r="H2388" t="s">
        <v>3902</v>
      </c>
      <c r="I2388" t="s">
        <v>4954</v>
      </c>
      <c r="K2388" t="s">
        <v>5037</v>
      </c>
      <c r="L2388" t="s">
        <v>5039</v>
      </c>
    </row>
    <row r="2389" spans="1:12" x14ac:dyDescent="0.35">
      <c r="A2389" t="s">
        <v>116</v>
      </c>
      <c r="B2389" t="s">
        <v>531</v>
      </c>
      <c r="C2389" t="s">
        <v>961</v>
      </c>
      <c r="D2389">
        <v>6.8</v>
      </c>
      <c r="F2389" t="s">
        <v>1381</v>
      </c>
      <c r="H2389" t="s">
        <v>3903</v>
      </c>
      <c r="I2389" t="s">
        <v>4954</v>
      </c>
      <c r="K2389" t="s">
        <v>5037</v>
      </c>
      <c r="L2389" t="s">
        <v>5039</v>
      </c>
    </row>
    <row r="2390" spans="1:12" x14ac:dyDescent="0.35">
      <c r="A2390" t="s">
        <v>116</v>
      </c>
      <c r="B2390" t="s">
        <v>531</v>
      </c>
      <c r="C2390" t="s">
        <v>845</v>
      </c>
      <c r="D2390">
        <v>11.9</v>
      </c>
      <c r="F2390" t="s">
        <v>2218</v>
      </c>
      <c r="H2390" t="s">
        <v>3903</v>
      </c>
      <c r="I2390" t="s">
        <v>4954</v>
      </c>
      <c r="K2390" t="s">
        <v>5037</v>
      </c>
      <c r="L2390" t="s">
        <v>5039</v>
      </c>
    </row>
    <row r="2391" spans="1:12" x14ac:dyDescent="0.35">
      <c r="A2391" t="s">
        <v>116</v>
      </c>
      <c r="B2391" t="s">
        <v>531</v>
      </c>
      <c r="C2391" t="s">
        <v>855</v>
      </c>
      <c r="D2391">
        <v>0.92</v>
      </c>
      <c r="F2391" t="s">
        <v>1491</v>
      </c>
      <c r="H2391" t="s">
        <v>3902</v>
      </c>
      <c r="I2391" t="s">
        <v>4954</v>
      </c>
      <c r="K2391" t="s">
        <v>5037</v>
      </c>
      <c r="L2391" t="s">
        <v>5039</v>
      </c>
    </row>
    <row r="2392" spans="1:12" x14ac:dyDescent="0.35">
      <c r="A2392" t="s">
        <v>116</v>
      </c>
      <c r="B2392" t="s">
        <v>531</v>
      </c>
      <c r="C2392" t="s">
        <v>969</v>
      </c>
      <c r="D2392">
        <v>10.3</v>
      </c>
      <c r="F2392" t="s">
        <v>2219</v>
      </c>
      <c r="H2392" t="s">
        <v>3903</v>
      </c>
      <c r="I2392" t="s">
        <v>4954</v>
      </c>
      <c r="K2392" t="s">
        <v>5037</v>
      </c>
      <c r="L2392" t="s">
        <v>5039</v>
      </c>
    </row>
    <row r="2393" spans="1:12" x14ac:dyDescent="0.35">
      <c r="A2393" t="s">
        <v>116</v>
      </c>
      <c r="B2393" t="s">
        <v>531</v>
      </c>
      <c r="C2393" t="s">
        <v>837</v>
      </c>
      <c r="D2393">
        <v>2.0099999999999998</v>
      </c>
      <c r="F2393" t="s">
        <v>1866</v>
      </c>
      <c r="H2393" t="s">
        <v>3902</v>
      </c>
      <c r="I2393" t="s">
        <v>4954</v>
      </c>
      <c r="K2393" t="s">
        <v>5037</v>
      </c>
      <c r="L2393" t="s">
        <v>5039</v>
      </c>
    </row>
    <row r="2394" spans="1:12" x14ac:dyDescent="0.35">
      <c r="A2394" t="s">
        <v>116</v>
      </c>
      <c r="B2394" t="s">
        <v>531</v>
      </c>
      <c r="C2394" t="s">
        <v>839</v>
      </c>
      <c r="D2394">
        <v>19.600000000000001</v>
      </c>
      <c r="F2394" t="s">
        <v>2220</v>
      </c>
      <c r="H2394" t="s">
        <v>3903</v>
      </c>
      <c r="I2394" t="s">
        <v>4954</v>
      </c>
      <c r="K2394" t="s">
        <v>5037</v>
      </c>
      <c r="L2394" t="s">
        <v>5039</v>
      </c>
    </row>
    <row r="2395" spans="1:12" x14ac:dyDescent="0.35">
      <c r="A2395" t="s">
        <v>116</v>
      </c>
      <c r="B2395" t="s">
        <v>531</v>
      </c>
      <c r="C2395" t="s">
        <v>970</v>
      </c>
      <c r="D2395">
        <v>35.1</v>
      </c>
      <c r="F2395" t="s">
        <v>2221</v>
      </c>
      <c r="H2395" t="s">
        <v>3903</v>
      </c>
      <c r="I2395" t="s">
        <v>4954</v>
      </c>
      <c r="K2395" t="s">
        <v>5037</v>
      </c>
      <c r="L2395" t="s">
        <v>5039</v>
      </c>
    </row>
    <row r="2396" spans="1:12" x14ac:dyDescent="0.35">
      <c r="A2396" t="s">
        <v>116</v>
      </c>
      <c r="B2396" t="s">
        <v>531</v>
      </c>
      <c r="C2396" t="s">
        <v>965</v>
      </c>
      <c r="D2396">
        <v>4.24</v>
      </c>
      <c r="F2396" t="s">
        <v>1495</v>
      </c>
      <c r="H2396" t="s">
        <v>3902</v>
      </c>
      <c r="I2396" t="s">
        <v>4954</v>
      </c>
      <c r="K2396" t="s">
        <v>5037</v>
      </c>
      <c r="L2396" t="s">
        <v>5039</v>
      </c>
    </row>
    <row r="2397" spans="1:12" x14ac:dyDescent="0.35">
      <c r="A2397" t="s">
        <v>116</v>
      </c>
      <c r="B2397" t="s">
        <v>531</v>
      </c>
      <c r="C2397" t="s">
        <v>687</v>
      </c>
      <c r="D2397">
        <v>3.04</v>
      </c>
      <c r="F2397" t="s">
        <v>2222</v>
      </c>
      <c r="H2397" t="s">
        <v>3903</v>
      </c>
      <c r="I2397" t="s">
        <v>4954</v>
      </c>
      <c r="K2397" t="s">
        <v>5037</v>
      </c>
      <c r="L2397" t="s">
        <v>5039</v>
      </c>
    </row>
    <row r="2398" spans="1:12" x14ac:dyDescent="0.35">
      <c r="A2398" t="s">
        <v>116</v>
      </c>
      <c r="B2398" t="s">
        <v>531</v>
      </c>
      <c r="C2398" t="s">
        <v>971</v>
      </c>
      <c r="D2398">
        <v>7.49</v>
      </c>
      <c r="F2398" t="s">
        <v>2223</v>
      </c>
      <c r="H2398" t="s">
        <v>3903</v>
      </c>
      <c r="I2398" t="s">
        <v>4954</v>
      </c>
      <c r="K2398" t="s">
        <v>5037</v>
      </c>
      <c r="L2398" t="s">
        <v>5039</v>
      </c>
    </row>
    <row r="2399" spans="1:12" x14ac:dyDescent="0.35">
      <c r="A2399" t="s">
        <v>116</v>
      </c>
      <c r="B2399" t="s">
        <v>532</v>
      </c>
      <c r="C2399" t="s">
        <v>708</v>
      </c>
      <c r="D2399">
        <v>0.87</v>
      </c>
      <c r="F2399" t="s">
        <v>1897</v>
      </c>
      <c r="H2399" t="s">
        <v>3904</v>
      </c>
      <c r="I2399" t="s">
        <v>4955</v>
      </c>
      <c r="K2399" t="s">
        <v>5037</v>
      </c>
      <c r="L2399" t="s">
        <v>5039</v>
      </c>
    </row>
    <row r="2400" spans="1:12" x14ac:dyDescent="0.35">
      <c r="A2400" t="s">
        <v>116</v>
      </c>
      <c r="B2400" t="s">
        <v>532</v>
      </c>
      <c r="C2400" t="s">
        <v>972</v>
      </c>
      <c r="D2400">
        <v>0.13</v>
      </c>
      <c r="F2400" t="s">
        <v>1466</v>
      </c>
      <c r="H2400" t="s">
        <v>3904</v>
      </c>
      <c r="I2400" t="s">
        <v>4955</v>
      </c>
      <c r="K2400" t="s">
        <v>5037</v>
      </c>
      <c r="L2400" t="s">
        <v>5039</v>
      </c>
    </row>
    <row r="2401" spans="1:12" x14ac:dyDescent="0.35">
      <c r="A2401" t="s">
        <v>116</v>
      </c>
      <c r="B2401" t="s">
        <v>532</v>
      </c>
      <c r="C2401" t="s">
        <v>709</v>
      </c>
      <c r="D2401">
        <v>0.79</v>
      </c>
      <c r="F2401" t="s">
        <v>2224</v>
      </c>
      <c r="H2401" t="s">
        <v>3905</v>
      </c>
      <c r="I2401" t="s">
        <v>4955</v>
      </c>
      <c r="K2401" t="s">
        <v>5037</v>
      </c>
      <c r="L2401" t="s">
        <v>5039</v>
      </c>
    </row>
    <row r="2402" spans="1:12" x14ac:dyDescent="0.35">
      <c r="A2402" t="s">
        <v>116</v>
      </c>
      <c r="B2402" t="s">
        <v>532</v>
      </c>
      <c r="C2402" t="s">
        <v>973</v>
      </c>
      <c r="D2402">
        <v>8.4700000000000006</v>
      </c>
      <c r="F2402" t="s">
        <v>2225</v>
      </c>
      <c r="H2402" t="s">
        <v>2842</v>
      </c>
      <c r="I2402" t="s">
        <v>4955</v>
      </c>
      <c r="K2402" t="s">
        <v>5037</v>
      </c>
      <c r="L2402" t="s">
        <v>5039</v>
      </c>
    </row>
    <row r="2403" spans="1:12" x14ac:dyDescent="0.35">
      <c r="A2403" t="s">
        <v>116</v>
      </c>
      <c r="B2403" t="s">
        <v>341</v>
      </c>
      <c r="C2403" t="s">
        <v>961</v>
      </c>
      <c r="D2403">
        <v>66</v>
      </c>
      <c r="F2403" t="s">
        <v>2226</v>
      </c>
      <c r="H2403" t="s">
        <v>3906</v>
      </c>
      <c r="I2403" t="s">
        <v>2403</v>
      </c>
      <c r="K2403" t="s">
        <v>5037</v>
      </c>
      <c r="L2403" t="s">
        <v>5039</v>
      </c>
    </row>
    <row r="2404" spans="1:12" x14ac:dyDescent="0.35">
      <c r="A2404" t="s">
        <v>116</v>
      </c>
      <c r="B2404" t="s">
        <v>341</v>
      </c>
      <c r="C2404" t="s">
        <v>963</v>
      </c>
      <c r="D2404">
        <v>0.26</v>
      </c>
      <c r="F2404" t="s">
        <v>1447</v>
      </c>
      <c r="H2404" t="s">
        <v>3907</v>
      </c>
      <c r="I2404" t="s">
        <v>2403</v>
      </c>
      <c r="K2404" t="s">
        <v>5037</v>
      </c>
      <c r="L2404" t="s">
        <v>5039</v>
      </c>
    </row>
    <row r="2405" spans="1:12" x14ac:dyDescent="0.35">
      <c r="A2405" t="s">
        <v>116</v>
      </c>
      <c r="B2405" t="s">
        <v>341</v>
      </c>
      <c r="C2405" t="s">
        <v>974</v>
      </c>
      <c r="D2405">
        <v>0.26</v>
      </c>
      <c r="F2405" t="s">
        <v>1447</v>
      </c>
      <c r="H2405" t="s">
        <v>3908</v>
      </c>
      <c r="I2405" t="s">
        <v>2403</v>
      </c>
      <c r="K2405" t="s">
        <v>5037</v>
      </c>
      <c r="L2405" t="s">
        <v>5039</v>
      </c>
    </row>
    <row r="2406" spans="1:12" x14ac:dyDescent="0.35">
      <c r="A2406" t="s">
        <v>116</v>
      </c>
      <c r="B2406" t="s">
        <v>341</v>
      </c>
      <c r="C2406" t="s">
        <v>838</v>
      </c>
      <c r="D2406">
        <v>0.41</v>
      </c>
      <c r="F2406" t="s">
        <v>1555</v>
      </c>
      <c r="H2406" t="s">
        <v>3426</v>
      </c>
      <c r="I2406" t="s">
        <v>2403</v>
      </c>
      <c r="K2406" t="s">
        <v>5037</v>
      </c>
      <c r="L2406" t="s">
        <v>5039</v>
      </c>
    </row>
    <row r="2407" spans="1:12" x14ac:dyDescent="0.35">
      <c r="A2407" t="s">
        <v>116</v>
      </c>
      <c r="B2407" t="s">
        <v>341</v>
      </c>
      <c r="C2407" t="s">
        <v>840</v>
      </c>
      <c r="D2407">
        <v>1.2E-2</v>
      </c>
      <c r="F2407" t="s">
        <v>1280</v>
      </c>
      <c r="H2407" t="s">
        <v>2842</v>
      </c>
      <c r="I2407" t="s">
        <v>2403</v>
      </c>
      <c r="K2407" t="s">
        <v>5037</v>
      </c>
      <c r="L2407" t="s">
        <v>5039</v>
      </c>
    </row>
    <row r="2408" spans="1:12" x14ac:dyDescent="0.35">
      <c r="A2408" t="s">
        <v>116</v>
      </c>
      <c r="B2408" t="s">
        <v>341</v>
      </c>
      <c r="C2408" t="s">
        <v>708</v>
      </c>
      <c r="D2408">
        <v>8.0000000000000002E-3</v>
      </c>
      <c r="F2408" t="s">
        <v>1801</v>
      </c>
      <c r="H2408" t="s">
        <v>3909</v>
      </c>
      <c r="I2408" t="s">
        <v>2403</v>
      </c>
      <c r="K2408" t="s">
        <v>5037</v>
      </c>
      <c r="L2408" t="s">
        <v>5039</v>
      </c>
    </row>
    <row r="2409" spans="1:12" x14ac:dyDescent="0.35">
      <c r="A2409" t="s">
        <v>116</v>
      </c>
      <c r="B2409" t="s">
        <v>341</v>
      </c>
      <c r="C2409" t="s">
        <v>975</v>
      </c>
      <c r="D2409">
        <v>0.04</v>
      </c>
      <c r="F2409" t="s">
        <v>1334</v>
      </c>
      <c r="H2409" t="s">
        <v>3907</v>
      </c>
      <c r="I2409" t="s">
        <v>2403</v>
      </c>
      <c r="K2409" t="s">
        <v>5037</v>
      </c>
      <c r="L2409" t="s">
        <v>5039</v>
      </c>
    </row>
    <row r="2410" spans="1:12" x14ac:dyDescent="0.35">
      <c r="A2410" t="s">
        <v>116</v>
      </c>
      <c r="B2410" t="s">
        <v>341</v>
      </c>
      <c r="C2410" t="s">
        <v>976</v>
      </c>
      <c r="D2410">
        <v>0.21</v>
      </c>
      <c r="F2410" t="s">
        <v>1572</v>
      </c>
      <c r="H2410" t="s">
        <v>3907</v>
      </c>
      <c r="I2410" t="s">
        <v>2403</v>
      </c>
      <c r="K2410" t="s">
        <v>5037</v>
      </c>
      <c r="L2410" t="s">
        <v>5039</v>
      </c>
    </row>
    <row r="2411" spans="1:12" x14ac:dyDescent="0.35">
      <c r="A2411" t="s">
        <v>116</v>
      </c>
      <c r="B2411" t="s">
        <v>341</v>
      </c>
      <c r="C2411" t="s">
        <v>963</v>
      </c>
      <c r="D2411">
        <v>2.7E-2</v>
      </c>
      <c r="F2411" t="s">
        <v>1420</v>
      </c>
      <c r="H2411" t="s">
        <v>3908</v>
      </c>
      <c r="I2411" t="s">
        <v>2403</v>
      </c>
      <c r="K2411" t="s">
        <v>5037</v>
      </c>
      <c r="L2411" t="s">
        <v>5039</v>
      </c>
    </row>
    <row r="2412" spans="1:12" x14ac:dyDescent="0.35">
      <c r="A2412" t="s">
        <v>116</v>
      </c>
      <c r="B2412" t="s">
        <v>341</v>
      </c>
      <c r="C2412" t="s">
        <v>976</v>
      </c>
      <c r="D2412">
        <v>3.7999999999999999E-2</v>
      </c>
      <c r="F2412" t="s">
        <v>1803</v>
      </c>
      <c r="H2412" t="s">
        <v>3908</v>
      </c>
      <c r="I2412" t="s">
        <v>2403</v>
      </c>
      <c r="K2412" t="s">
        <v>5037</v>
      </c>
      <c r="L2412" t="s">
        <v>5039</v>
      </c>
    </row>
    <row r="2413" spans="1:12" x14ac:dyDescent="0.35">
      <c r="A2413" t="s">
        <v>116</v>
      </c>
      <c r="B2413" t="s">
        <v>341</v>
      </c>
      <c r="C2413" t="s">
        <v>977</v>
      </c>
      <c r="D2413">
        <v>0.09</v>
      </c>
      <c r="F2413" t="s">
        <v>1310</v>
      </c>
      <c r="H2413" t="s">
        <v>3910</v>
      </c>
      <c r="I2413" t="s">
        <v>2403</v>
      </c>
      <c r="K2413" t="s">
        <v>5037</v>
      </c>
      <c r="L2413" t="s">
        <v>5039</v>
      </c>
    </row>
    <row r="2414" spans="1:12" x14ac:dyDescent="0.35">
      <c r="A2414" t="s">
        <v>116</v>
      </c>
      <c r="B2414" t="s">
        <v>341</v>
      </c>
      <c r="C2414" t="s">
        <v>978</v>
      </c>
      <c r="D2414">
        <v>7.0000000000000007E-2</v>
      </c>
      <c r="F2414" t="s">
        <v>1456</v>
      </c>
      <c r="H2414" t="s">
        <v>3907</v>
      </c>
      <c r="I2414" t="s">
        <v>2403</v>
      </c>
      <c r="K2414" t="s">
        <v>5037</v>
      </c>
      <c r="L2414" t="s">
        <v>5039</v>
      </c>
    </row>
    <row r="2415" spans="1:12" x14ac:dyDescent="0.35">
      <c r="A2415" t="s">
        <v>116</v>
      </c>
      <c r="B2415" t="s">
        <v>341</v>
      </c>
      <c r="C2415" t="s">
        <v>979</v>
      </c>
      <c r="D2415">
        <v>7.0000000000000007E-2</v>
      </c>
      <c r="F2415" t="s">
        <v>1456</v>
      </c>
      <c r="H2415" t="s">
        <v>3908</v>
      </c>
      <c r="I2415" t="s">
        <v>2403</v>
      </c>
      <c r="K2415" t="s">
        <v>5037</v>
      </c>
      <c r="L2415" t="s">
        <v>5039</v>
      </c>
    </row>
    <row r="2416" spans="1:12" x14ac:dyDescent="0.35">
      <c r="A2416" t="s">
        <v>116</v>
      </c>
      <c r="B2416" t="s">
        <v>341</v>
      </c>
      <c r="C2416" t="s">
        <v>980</v>
      </c>
      <c r="D2416">
        <v>7.0000000000000007E-2</v>
      </c>
      <c r="F2416" t="s">
        <v>1456</v>
      </c>
      <c r="H2416" t="s">
        <v>3908</v>
      </c>
      <c r="I2416" t="s">
        <v>2403</v>
      </c>
      <c r="K2416" t="s">
        <v>5037</v>
      </c>
      <c r="L2416" t="s">
        <v>5039</v>
      </c>
    </row>
    <row r="2417" spans="1:12" x14ac:dyDescent="0.35">
      <c r="A2417" t="s">
        <v>116</v>
      </c>
      <c r="B2417" t="s">
        <v>341</v>
      </c>
      <c r="C2417" t="s">
        <v>981</v>
      </c>
      <c r="D2417">
        <v>7.0000000000000007E-2</v>
      </c>
      <c r="F2417" t="s">
        <v>1456</v>
      </c>
      <c r="H2417" t="s">
        <v>2842</v>
      </c>
      <c r="I2417" t="s">
        <v>2403</v>
      </c>
      <c r="K2417" t="s">
        <v>5037</v>
      </c>
      <c r="L2417" t="s">
        <v>5039</v>
      </c>
    </row>
    <row r="2418" spans="1:12" x14ac:dyDescent="0.35">
      <c r="A2418" t="s">
        <v>116</v>
      </c>
      <c r="B2418" t="s">
        <v>341</v>
      </c>
      <c r="C2418" t="s">
        <v>977</v>
      </c>
      <c r="D2418">
        <v>8.9999999999999993E-3</v>
      </c>
      <c r="F2418" t="s">
        <v>1546</v>
      </c>
      <c r="H2418" t="s">
        <v>3908</v>
      </c>
      <c r="I2418" t="s">
        <v>2403</v>
      </c>
      <c r="K2418" t="s">
        <v>5037</v>
      </c>
      <c r="L2418" t="s">
        <v>5039</v>
      </c>
    </row>
    <row r="2419" spans="1:12" x14ac:dyDescent="0.35">
      <c r="A2419" t="s">
        <v>116</v>
      </c>
      <c r="B2419" t="s">
        <v>341</v>
      </c>
      <c r="C2419" t="s">
        <v>951</v>
      </c>
      <c r="D2419">
        <v>0.12</v>
      </c>
      <c r="F2419" t="s">
        <v>1473</v>
      </c>
      <c r="H2419" t="s">
        <v>3907</v>
      </c>
      <c r="I2419" t="s">
        <v>2403</v>
      </c>
      <c r="K2419" t="s">
        <v>5037</v>
      </c>
      <c r="L2419" t="s">
        <v>5039</v>
      </c>
    </row>
    <row r="2420" spans="1:12" x14ac:dyDescent="0.35">
      <c r="A2420" t="s">
        <v>116</v>
      </c>
      <c r="B2420" t="s">
        <v>341</v>
      </c>
      <c r="C2420" t="s">
        <v>980</v>
      </c>
      <c r="D2420">
        <v>0.12</v>
      </c>
      <c r="F2420" t="s">
        <v>1473</v>
      </c>
      <c r="H2420" t="s">
        <v>3908</v>
      </c>
      <c r="I2420" t="s">
        <v>2403</v>
      </c>
      <c r="K2420" t="s">
        <v>5037</v>
      </c>
      <c r="L2420" t="s">
        <v>5039</v>
      </c>
    </row>
    <row r="2421" spans="1:12" x14ac:dyDescent="0.35">
      <c r="A2421" t="s">
        <v>116</v>
      </c>
      <c r="B2421" t="s">
        <v>341</v>
      </c>
      <c r="C2421" t="s">
        <v>982</v>
      </c>
      <c r="D2421">
        <v>0.25</v>
      </c>
      <c r="F2421" t="s">
        <v>1403</v>
      </c>
      <c r="H2421" t="s">
        <v>3908</v>
      </c>
      <c r="I2421" t="s">
        <v>2403</v>
      </c>
      <c r="K2421" t="s">
        <v>5037</v>
      </c>
      <c r="L2421" t="s">
        <v>5039</v>
      </c>
    </row>
    <row r="2422" spans="1:12" x14ac:dyDescent="0.35">
      <c r="A2422" t="s">
        <v>116</v>
      </c>
      <c r="B2422" t="s">
        <v>341</v>
      </c>
      <c r="C2422" t="s">
        <v>978</v>
      </c>
      <c r="D2422">
        <v>0.28000000000000003</v>
      </c>
      <c r="F2422" t="s">
        <v>1732</v>
      </c>
      <c r="H2422" t="s">
        <v>3906</v>
      </c>
      <c r="I2422" t="s">
        <v>2403</v>
      </c>
      <c r="K2422" t="s">
        <v>5037</v>
      </c>
      <c r="L2422" t="s">
        <v>5039</v>
      </c>
    </row>
    <row r="2423" spans="1:12" x14ac:dyDescent="0.35">
      <c r="A2423" t="s">
        <v>116</v>
      </c>
      <c r="B2423" t="s">
        <v>341</v>
      </c>
      <c r="C2423" t="s">
        <v>961</v>
      </c>
      <c r="D2423">
        <v>4.5999999999999996</v>
      </c>
      <c r="F2423" t="s">
        <v>1468</v>
      </c>
      <c r="H2423" t="s">
        <v>3911</v>
      </c>
      <c r="I2423" t="s">
        <v>2403</v>
      </c>
      <c r="K2423" t="s">
        <v>5037</v>
      </c>
      <c r="L2423" t="s">
        <v>5039</v>
      </c>
    </row>
    <row r="2424" spans="1:12" x14ac:dyDescent="0.35">
      <c r="A2424" t="s">
        <v>116</v>
      </c>
      <c r="B2424" t="s">
        <v>341</v>
      </c>
      <c r="C2424" t="s">
        <v>983</v>
      </c>
      <c r="D2424">
        <v>0.22</v>
      </c>
      <c r="F2424" t="s">
        <v>1438</v>
      </c>
      <c r="H2424" t="s">
        <v>3426</v>
      </c>
      <c r="I2424" t="s">
        <v>2403</v>
      </c>
      <c r="K2424" t="s">
        <v>5037</v>
      </c>
      <c r="L2424" t="s">
        <v>5039</v>
      </c>
    </row>
    <row r="2425" spans="1:12" x14ac:dyDescent="0.35">
      <c r="A2425" t="s">
        <v>116</v>
      </c>
      <c r="B2425" t="s">
        <v>341</v>
      </c>
      <c r="C2425" t="s">
        <v>976</v>
      </c>
      <c r="D2425">
        <v>0.67</v>
      </c>
      <c r="F2425" t="s">
        <v>1478</v>
      </c>
      <c r="H2425" t="s">
        <v>3906</v>
      </c>
      <c r="I2425" t="s">
        <v>2403</v>
      </c>
      <c r="K2425" t="s">
        <v>5037</v>
      </c>
      <c r="L2425" t="s">
        <v>5039</v>
      </c>
    </row>
    <row r="2426" spans="1:12" x14ac:dyDescent="0.35">
      <c r="A2426" t="s">
        <v>116</v>
      </c>
      <c r="B2426" t="s">
        <v>341</v>
      </c>
      <c r="C2426" t="s">
        <v>977</v>
      </c>
      <c r="D2426">
        <v>0.23</v>
      </c>
      <c r="F2426" t="s">
        <v>1362</v>
      </c>
      <c r="H2426" t="s">
        <v>3912</v>
      </c>
      <c r="I2426" t="s">
        <v>2403</v>
      </c>
      <c r="K2426" t="s">
        <v>5037</v>
      </c>
      <c r="L2426" t="s">
        <v>5039</v>
      </c>
    </row>
    <row r="2427" spans="1:12" x14ac:dyDescent="0.35">
      <c r="A2427" t="s">
        <v>116</v>
      </c>
      <c r="B2427" t="s">
        <v>341</v>
      </c>
      <c r="C2427" t="s">
        <v>963</v>
      </c>
      <c r="D2427">
        <v>1.9</v>
      </c>
      <c r="F2427" t="s">
        <v>1503</v>
      </c>
      <c r="H2427" t="s">
        <v>3906</v>
      </c>
      <c r="I2427" t="s">
        <v>2403</v>
      </c>
      <c r="K2427" t="s">
        <v>5037</v>
      </c>
      <c r="L2427" t="s">
        <v>5039</v>
      </c>
    </row>
    <row r="2428" spans="1:12" x14ac:dyDescent="0.35">
      <c r="A2428" t="s">
        <v>116</v>
      </c>
      <c r="B2428" t="s">
        <v>341</v>
      </c>
      <c r="C2428" t="s">
        <v>955</v>
      </c>
      <c r="D2428">
        <v>0.08</v>
      </c>
      <c r="F2428" t="s">
        <v>1402</v>
      </c>
      <c r="H2428" t="s">
        <v>3911</v>
      </c>
      <c r="I2428" t="s">
        <v>2403</v>
      </c>
      <c r="K2428" t="s">
        <v>5037</v>
      </c>
      <c r="L2428" t="s">
        <v>5039</v>
      </c>
    </row>
    <row r="2429" spans="1:12" x14ac:dyDescent="0.35">
      <c r="A2429" t="s">
        <v>116</v>
      </c>
      <c r="B2429" t="s">
        <v>341</v>
      </c>
      <c r="C2429" t="s">
        <v>974</v>
      </c>
      <c r="D2429">
        <v>0.33</v>
      </c>
      <c r="F2429" t="s">
        <v>1397</v>
      </c>
      <c r="H2429" t="s">
        <v>3907</v>
      </c>
      <c r="I2429" t="s">
        <v>2403</v>
      </c>
      <c r="K2429" t="s">
        <v>5037</v>
      </c>
      <c r="L2429" t="s">
        <v>5039</v>
      </c>
    </row>
    <row r="2430" spans="1:12" x14ac:dyDescent="0.35">
      <c r="A2430" t="s">
        <v>116</v>
      </c>
      <c r="B2430" t="s">
        <v>341</v>
      </c>
      <c r="C2430" t="s">
        <v>709</v>
      </c>
      <c r="D2430">
        <v>4</v>
      </c>
      <c r="F2430" t="s">
        <v>1379</v>
      </c>
      <c r="H2430" t="s">
        <v>3913</v>
      </c>
      <c r="I2430" t="s">
        <v>2403</v>
      </c>
      <c r="K2430" t="s">
        <v>5037</v>
      </c>
      <c r="L2430" t="s">
        <v>5039</v>
      </c>
    </row>
    <row r="2431" spans="1:12" x14ac:dyDescent="0.35">
      <c r="A2431" t="s">
        <v>116</v>
      </c>
      <c r="B2431" t="s">
        <v>341</v>
      </c>
      <c r="C2431" t="s">
        <v>979</v>
      </c>
      <c r="D2431">
        <v>0.13</v>
      </c>
      <c r="F2431" t="s">
        <v>1466</v>
      </c>
      <c r="H2431" t="s">
        <v>3907</v>
      </c>
      <c r="I2431" t="s">
        <v>2403</v>
      </c>
      <c r="K2431" t="s">
        <v>5037</v>
      </c>
      <c r="L2431" t="s">
        <v>5039</v>
      </c>
    </row>
    <row r="2432" spans="1:12" x14ac:dyDescent="0.35">
      <c r="A2432" t="s">
        <v>116</v>
      </c>
      <c r="B2432" t="s">
        <v>341</v>
      </c>
      <c r="C2432" t="s">
        <v>975</v>
      </c>
      <c r="D2432">
        <v>3.5000000000000003E-2</v>
      </c>
      <c r="F2432" t="s">
        <v>1341</v>
      </c>
      <c r="H2432" t="s">
        <v>3911</v>
      </c>
      <c r="I2432" t="s">
        <v>2403</v>
      </c>
      <c r="K2432" t="s">
        <v>5037</v>
      </c>
      <c r="L2432" t="s">
        <v>5039</v>
      </c>
    </row>
    <row r="2433" spans="1:12" x14ac:dyDescent="0.35">
      <c r="A2433" t="s">
        <v>116</v>
      </c>
      <c r="B2433" t="s">
        <v>341</v>
      </c>
      <c r="C2433" t="s">
        <v>959</v>
      </c>
      <c r="D2433">
        <v>4.5</v>
      </c>
      <c r="F2433" t="s">
        <v>1828</v>
      </c>
      <c r="H2433" t="s">
        <v>3906</v>
      </c>
      <c r="I2433" t="s">
        <v>2403</v>
      </c>
      <c r="K2433" t="s">
        <v>5037</v>
      </c>
      <c r="L2433" t="s">
        <v>5039</v>
      </c>
    </row>
    <row r="2434" spans="1:12" x14ac:dyDescent="0.35">
      <c r="A2434" t="s">
        <v>116</v>
      </c>
      <c r="B2434" t="s">
        <v>341</v>
      </c>
      <c r="C2434" t="s">
        <v>979</v>
      </c>
      <c r="D2434">
        <v>0.27</v>
      </c>
      <c r="F2434" t="s">
        <v>1738</v>
      </c>
      <c r="H2434" t="s">
        <v>3906</v>
      </c>
      <c r="I2434" t="s">
        <v>2403</v>
      </c>
      <c r="K2434" t="s">
        <v>5037</v>
      </c>
      <c r="L2434" t="s">
        <v>5039</v>
      </c>
    </row>
    <row r="2435" spans="1:12" x14ac:dyDescent="0.35">
      <c r="A2435" t="s">
        <v>116</v>
      </c>
      <c r="B2435" t="s">
        <v>341</v>
      </c>
      <c r="C2435" t="s">
        <v>984</v>
      </c>
      <c r="D2435">
        <v>0.27</v>
      </c>
      <c r="F2435" t="s">
        <v>1738</v>
      </c>
      <c r="H2435" t="s">
        <v>3911</v>
      </c>
      <c r="I2435" t="s">
        <v>2403</v>
      </c>
      <c r="K2435" t="s">
        <v>5037</v>
      </c>
      <c r="L2435" t="s">
        <v>5039</v>
      </c>
    </row>
    <row r="2436" spans="1:12" x14ac:dyDescent="0.35">
      <c r="A2436" t="s">
        <v>116</v>
      </c>
      <c r="B2436" t="s">
        <v>341</v>
      </c>
      <c r="C2436" t="s">
        <v>955</v>
      </c>
      <c r="D2436">
        <v>1.6</v>
      </c>
      <c r="F2436" t="s">
        <v>1328</v>
      </c>
      <c r="H2436" t="s">
        <v>3906</v>
      </c>
      <c r="I2436" t="s">
        <v>2403</v>
      </c>
      <c r="K2436" t="s">
        <v>5037</v>
      </c>
      <c r="L2436" t="s">
        <v>5039</v>
      </c>
    </row>
    <row r="2437" spans="1:12" x14ac:dyDescent="0.35">
      <c r="A2437" t="s">
        <v>116</v>
      </c>
      <c r="B2437" t="s">
        <v>341</v>
      </c>
      <c r="C2437" t="s">
        <v>708</v>
      </c>
      <c r="D2437">
        <v>0.75</v>
      </c>
      <c r="F2437" t="s">
        <v>1475</v>
      </c>
      <c r="H2437" t="s">
        <v>3906</v>
      </c>
      <c r="I2437" t="s">
        <v>2403</v>
      </c>
      <c r="K2437" t="s">
        <v>5037</v>
      </c>
      <c r="L2437" t="s">
        <v>5039</v>
      </c>
    </row>
    <row r="2438" spans="1:12" x14ac:dyDescent="0.35">
      <c r="A2438" t="s">
        <v>116</v>
      </c>
      <c r="B2438" t="s">
        <v>341</v>
      </c>
      <c r="C2438" t="s">
        <v>709</v>
      </c>
      <c r="D2438">
        <v>50</v>
      </c>
      <c r="F2438" t="s">
        <v>1359</v>
      </c>
      <c r="H2438" t="s">
        <v>3914</v>
      </c>
      <c r="I2438" t="s">
        <v>2403</v>
      </c>
      <c r="K2438" t="s">
        <v>5037</v>
      </c>
      <c r="L2438" t="s">
        <v>5039</v>
      </c>
    </row>
    <row r="2439" spans="1:12" x14ac:dyDescent="0.35">
      <c r="A2439" t="s">
        <v>116</v>
      </c>
      <c r="B2439" t="s">
        <v>341</v>
      </c>
      <c r="C2439" t="s">
        <v>981</v>
      </c>
      <c r="D2439">
        <v>8.8000000000000007</v>
      </c>
      <c r="F2439" t="s">
        <v>1672</v>
      </c>
      <c r="H2439" t="s">
        <v>2842</v>
      </c>
      <c r="I2439" t="s">
        <v>2403</v>
      </c>
      <c r="K2439" t="s">
        <v>5037</v>
      </c>
      <c r="L2439" t="s">
        <v>5039</v>
      </c>
    </row>
    <row r="2440" spans="1:12" x14ac:dyDescent="0.35">
      <c r="A2440" t="s">
        <v>116</v>
      </c>
      <c r="B2440" t="s">
        <v>341</v>
      </c>
      <c r="C2440" t="s">
        <v>985</v>
      </c>
      <c r="D2440">
        <v>0.24</v>
      </c>
      <c r="F2440" t="s">
        <v>1488</v>
      </c>
      <c r="H2440" t="s">
        <v>3911</v>
      </c>
      <c r="I2440" t="s">
        <v>2403</v>
      </c>
      <c r="K2440" t="s">
        <v>5037</v>
      </c>
      <c r="L2440" t="s">
        <v>5039</v>
      </c>
    </row>
    <row r="2441" spans="1:12" x14ac:dyDescent="0.35">
      <c r="A2441" t="s">
        <v>116</v>
      </c>
      <c r="B2441" t="s">
        <v>341</v>
      </c>
      <c r="C2441" t="s">
        <v>974</v>
      </c>
      <c r="D2441">
        <v>0.76</v>
      </c>
      <c r="F2441" t="s">
        <v>1750</v>
      </c>
      <c r="H2441" t="s">
        <v>3915</v>
      </c>
      <c r="I2441" t="s">
        <v>2403</v>
      </c>
      <c r="K2441" t="s">
        <v>5037</v>
      </c>
      <c r="L2441" t="s">
        <v>5039</v>
      </c>
    </row>
    <row r="2442" spans="1:12" x14ac:dyDescent="0.35">
      <c r="A2442" t="s">
        <v>116</v>
      </c>
      <c r="B2442" t="s">
        <v>341</v>
      </c>
      <c r="C2442" t="s">
        <v>840</v>
      </c>
      <c r="D2442">
        <v>29.8</v>
      </c>
      <c r="F2442" t="s">
        <v>2002</v>
      </c>
      <c r="H2442" t="s">
        <v>2842</v>
      </c>
      <c r="I2442" t="s">
        <v>2403</v>
      </c>
      <c r="K2442" t="s">
        <v>5037</v>
      </c>
      <c r="L2442" t="s">
        <v>5039</v>
      </c>
    </row>
    <row r="2443" spans="1:12" x14ac:dyDescent="0.35">
      <c r="A2443" t="s">
        <v>116</v>
      </c>
      <c r="B2443" t="s">
        <v>341</v>
      </c>
      <c r="C2443" t="s">
        <v>951</v>
      </c>
      <c r="D2443">
        <v>3.8</v>
      </c>
      <c r="F2443" t="s">
        <v>1388</v>
      </c>
      <c r="H2443" t="s">
        <v>3906</v>
      </c>
      <c r="I2443" t="s">
        <v>2403</v>
      </c>
      <c r="K2443" t="s">
        <v>5037</v>
      </c>
      <c r="L2443" t="s">
        <v>5039</v>
      </c>
    </row>
    <row r="2444" spans="1:12" x14ac:dyDescent="0.35">
      <c r="A2444" t="s">
        <v>116</v>
      </c>
      <c r="B2444" t="s">
        <v>341</v>
      </c>
      <c r="C2444" t="s">
        <v>975</v>
      </c>
      <c r="D2444">
        <v>0.88</v>
      </c>
      <c r="F2444" t="s">
        <v>1915</v>
      </c>
      <c r="H2444" t="s">
        <v>3906</v>
      </c>
      <c r="I2444" t="s">
        <v>2403</v>
      </c>
      <c r="K2444" t="s">
        <v>5037</v>
      </c>
      <c r="L2444" t="s">
        <v>5039</v>
      </c>
    </row>
    <row r="2445" spans="1:12" x14ac:dyDescent="0.35">
      <c r="A2445" t="s">
        <v>116</v>
      </c>
      <c r="B2445" t="s">
        <v>341</v>
      </c>
      <c r="C2445" t="s">
        <v>985</v>
      </c>
      <c r="D2445">
        <v>6.5</v>
      </c>
      <c r="F2445" t="s">
        <v>1419</v>
      </c>
      <c r="H2445" t="s">
        <v>3906</v>
      </c>
      <c r="I2445" t="s">
        <v>2403</v>
      </c>
      <c r="K2445" t="s">
        <v>5037</v>
      </c>
      <c r="L2445" t="s">
        <v>5039</v>
      </c>
    </row>
    <row r="2446" spans="1:12" x14ac:dyDescent="0.35">
      <c r="A2446" t="s">
        <v>116</v>
      </c>
      <c r="B2446" t="s">
        <v>341</v>
      </c>
      <c r="C2446" t="s">
        <v>983</v>
      </c>
      <c r="D2446">
        <v>11.7</v>
      </c>
      <c r="F2446" t="s">
        <v>2227</v>
      </c>
      <c r="H2446" t="s">
        <v>3426</v>
      </c>
      <c r="I2446" t="s">
        <v>2403</v>
      </c>
      <c r="K2446" t="s">
        <v>5037</v>
      </c>
      <c r="L2446" t="s">
        <v>5039</v>
      </c>
    </row>
    <row r="2447" spans="1:12" x14ac:dyDescent="0.35">
      <c r="A2447" t="s">
        <v>116</v>
      </c>
      <c r="B2447" t="s">
        <v>341</v>
      </c>
      <c r="C2447" t="s">
        <v>838</v>
      </c>
      <c r="D2447">
        <v>37.4</v>
      </c>
      <c r="F2447" t="s">
        <v>2228</v>
      </c>
      <c r="H2447" t="s">
        <v>3426</v>
      </c>
      <c r="I2447" t="s">
        <v>2403</v>
      </c>
      <c r="K2447" t="s">
        <v>5037</v>
      </c>
      <c r="L2447" t="s">
        <v>5039</v>
      </c>
    </row>
    <row r="2448" spans="1:12" x14ac:dyDescent="0.35">
      <c r="A2448" t="s">
        <v>116</v>
      </c>
      <c r="B2448" t="s">
        <v>341</v>
      </c>
      <c r="C2448" t="s">
        <v>708</v>
      </c>
      <c r="D2448">
        <v>0.01</v>
      </c>
      <c r="F2448" t="s">
        <v>1376</v>
      </c>
      <c r="H2448" t="s">
        <v>3916</v>
      </c>
      <c r="I2448" t="s">
        <v>2332</v>
      </c>
      <c r="K2448" t="s">
        <v>5037</v>
      </c>
      <c r="L2448" t="s">
        <v>5039</v>
      </c>
    </row>
    <row r="2449" spans="1:12" x14ac:dyDescent="0.35">
      <c r="A2449" t="s">
        <v>116</v>
      </c>
      <c r="B2449" t="s">
        <v>380</v>
      </c>
      <c r="C2449" t="s">
        <v>708</v>
      </c>
      <c r="D2449">
        <v>3.0000000000000001E-3</v>
      </c>
      <c r="F2449" t="s">
        <v>1279</v>
      </c>
      <c r="I2449" t="s">
        <v>4856</v>
      </c>
      <c r="K2449" t="s">
        <v>5037</v>
      </c>
      <c r="L2449" t="s">
        <v>5039</v>
      </c>
    </row>
    <row r="2450" spans="1:12" x14ac:dyDescent="0.35">
      <c r="A2450" t="s">
        <v>116</v>
      </c>
      <c r="B2450" t="s">
        <v>380</v>
      </c>
      <c r="C2450" t="s">
        <v>720</v>
      </c>
      <c r="D2450">
        <v>0.09</v>
      </c>
      <c r="F2450" t="s">
        <v>1310</v>
      </c>
      <c r="I2450" t="s">
        <v>4856</v>
      </c>
      <c r="K2450" t="s">
        <v>5037</v>
      </c>
      <c r="L2450" t="s">
        <v>5039</v>
      </c>
    </row>
    <row r="2451" spans="1:12" x14ac:dyDescent="0.35">
      <c r="A2451" t="s">
        <v>116</v>
      </c>
      <c r="B2451" t="s">
        <v>380</v>
      </c>
      <c r="C2451" t="s">
        <v>986</v>
      </c>
      <c r="D2451">
        <v>4</v>
      </c>
      <c r="F2451" t="s">
        <v>1379</v>
      </c>
      <c r="I2451" t="s">
        <v>4856</v>
      </c>
      <c r="K2451" t="s">
        <v>5037</v>
      </c>
      <c r="L2451" t="s">
        <v>5039</v>
      </c>
    </row>
    <row r="2452" spans="1:12" x14ac:dyDescent="0.35">
      <c r="A2452" t="s">
        <v>116</v>
      </c>
      <c r="B2452" t="s">
        <v>175</v>
      </c>
      <c r="C2452" t="s">
        <v>987</v>
      </c>
      <c r="D2452">
        <v>2.4000000000000001E-4</v>
      </c>
      <c r="F2452" t="s">
        <v>1333</v>
      </c>
      <c r="H2452" t="s">
        <v>3917</v>
      </c>
      <c r="I2452" t="s">
        <v>4956</v>
      </c>
      <c r="K2452" t="s">
        <v>5037</v>
      </c>
      <c r="L2452" t="s">
        <v>5039</v>
      </c>
    </row>
    <row r="2453" spans="1:12" x14ac:dyDescent="0.35">
      <c r="A2453" t="s">
        <v>116</v>
      </c>
      <c r="B2453" t="s">
        <v>175</v>
      </c>
      <c r="C2453" t="s">
        <v>988</v>
      </c>
      <c r="D2453">
        <v>5.0000000000000001E-4</v>
      </c>
      <c r="F2453" t="s">
        <v>2229</v>
      </c>
      <c r="H2453" t="s">
        <v>3918</v>
      </c>
      <c r="I2453" t="s">
        <v>4956</v>
      </c>
      <c r="K2453" t="s">
        <v>5037</v>
      </c>
      <c r="L2453" t="s">
        <v>5039</v>
      </c>
    </row>
    <row r="2454" spans="1:12" x14ac:dyDescent="0.35">
      <c r="A2454" t="s">
        <v>116</v>
      </c>
      <c r="B2454" t="s">
        <v>175</v>
      </c>
      <c r="C2454" t="s">
        <v>989</v>
      </c>
      <c r="D2454">
        <v>8.9999999999999998E-4</v>
      </c>
      <c r="F2454" t="s">
        <v>1313</v>
      </c>
      <c r="H2454" t="s">
        <v>3919</v>
      </c>
      <c r="I2454" t="s">
        <v>4956</v>
      </c>
      <c r="K2454" t="s">
        <v>5037</v>
      </c>
      <c r="L2454" t="s">
        <v>5039</v>
      </c>
    </row>
    <row r="2455" spans="1:12" x14ac:dyDescent="0.35">
      <c r="A2455" t="s">
        <v>116</v>
      </c>
      <c r="B2455" t="s">
        <v>175</v>
      </c>
      <c r="C2455" t="s">
        <v>990</v>
      </c>
      <c r="D2455">
        <v>1E-3</v>
      </c>
      <c r="F2455" t="s">
        <v>1722</v>
      </c>
      <c r="H2455" t="s">
        <v>3918</v>
      </c>
      <c r="I2455" t="s">
        <v>4956</v>
      </c>
      <c r="K2455" t="s">
        <v>5037</v>
      </c>
      <c r="L2455" t="s">
        <v>5039</v>
      </c>
    </row>
    <row r="2456" spans="1:12" x14ac:dyDescent="0.35">
      <c r="A2456" t="s">
        <v>116</v>
      </c>
      <c r="B2456" t="s">
        <v>175</v>
      </c>
      <c r="C2456" t="s">
        <v>991</v>
      </c>
      <c r="D2456">
        <v>1E-3</v>
      </c>
      <c r="F2456" t="s">
        <v>1722</v>
      </c>
      <c r="H2456" t="s">
        <v>3920</v>
      </c>
      <c r="I2456" t="s">
        <v>4956</v>
      </c>
      <c r="K2456" t="s">
        <v>5037</v>
      </c>
      <c r="L2456" t="s">
        <v>5039</v>
      </c>
    </row>
    <row r="2457" spans="1:12" x14ac:dyDescent="0.35">
      <c r="A2457" t="s">
        <v>116</v>
      </c>
      <c r="B2457" t="s">
        <v>175</v>
      </c>
      <c r="C2457" t="s">
        <v>988</v>
      </c>
      <c r="D2457">
        <v>1.2E-2</v>
      </c>
      <c r="F2457" t="s">
        <v>1280</v>
      </c>
      <c r="H2457" t="s">
        <v>3921</v>
      </c>
      <c r="I2457" t="s">
        <v>4956</v>
      </c>
      <c r="K2457" t="s">
        <v>5037</v>
      </c>
      <c r="L2457" t="s">
        <v>5039</v>
      </c>
    </row>
    <row r="2458" spans="1:12" x14ac:dyDescent="0.35">
      <c r="A2458" t="s">
        <v>116</v>
      </c>
      <c r="B2458" t="s">
        <v>175</v>
      </c>
      <c r="C2458" t="s">
        <v>991</v>
      </c>
      <c r="D2458">
        <v>0.04</v>
      </c>
      <c r="F2458" t="s">
        <v>1334</v>
      </c>
      <c r="H2458" t="s">
        <v>3922</v>
      </c>
      <c r="I2458" t="s">
        <v>4956</v>
      </c>
      <c r="K2458" t="s">
        <v>5037</v>
      </c>
      <c r="L2458" t="s">
        <v>5039</v>
      </c>
    </row>
    <row r="2459" spans="1:12" x14ac:dyDescent="0.35">
      <c r="A2459" t="s">
        <v>116</v>
      </c>
      <c r="B2459" t="s">
        <v>175</v>
      </c>
      <c r="C2459" t="s">
        <v>992</v>
      </c>
      <c r="D2459">
        <v>8.9999999999999993E-3</v>
      </c>
      <c r="F2459" t="s">
        <v>1546</v>
      </c>
      <c r="H2459" t="s">
        <v>3923</v>
      </c>
      <c r="I2459" t="s">
        <v>4956</v>
      </c>
      <c r="K2459" t="s">
        <v>5037</v>
      </c>
      <c r="L2459" t="s">
        <v>5039</v>
      </c>
    </row>
    <row r="2460" spans="1:12" x14ac:dyDescent="0.35">
      <c r="A2460" t="s">
        <v>116</v>
      </c>
      <c r="B2460" t="s">
        <v>175</v>
      </c>
      <c r="C2460" t="s">
        <v>988</v>
      </c>
      <c r="D2460">
        <v>5.5000000000000003E-4</v>
      </c>
      <c r="F2460" t="s">
        <v>2230</v>
      </c>
      <c r="H2460" t="s">
        <v>3923</v>
      </c>
      <c r="I2460" t="s">
        <v>4956</v>
      </c>
      <c r="K2460" t="s">
        <v>5037</v>
      </c>
      <c r="L2460" t="s">
        <v>5039</v>
      </c>
    </row>
    <row r="2461" spans="1:12" x14ac:dyDescent="0.35">
      <c r="A2461" t="s">
        <v>116</v>
      </c>
      <c r="B2461" t="s">
        <v>175</v>
      </c>
      <c r="C2461" t="s">
        <v>992</v>
      </c>
      <c r="D2461">
        <v>2.0999999999999999E-3</v>
      </c>
      <c r="F2461" t="s">
        <v>2231</v>
      </c>
      <c r="H2461" t="s">
        <v>3918</v>
      </c>
      <c r="I2461" t="s">
        <v>4956</v>
      </c>
      <c r="K2461" t="s">
        <v>5037</v>
      </c>
      <c r="L2461" t="s">
        <v>5039</v>
      </c>
    </row>
    <row r="2462" spans="1:12" x14ac:dyDescent="0.35">
      <c r="A2462" t="s">
        <v>116</v>
      </c>
      <c r="B2462" t="s">
        <v>175</v>
      </c>
      <c r="C2462" t="s">
        <v>990</v>
      </c>
      <c r="D2462">
        <v>2.0999999999999999E-3</v>
      </c>
      <c r="F2462" t="s">
        <v>2231</v>
      </c>
      <c r="H2462" t="s">
        <v>3923</v>
      </c>
      <c r="I2462" t="s">
        <v>4956</v>
      </c>
      <c r="K2462" t="s">
        <v>5037</v>
      </c>
      <c r="L2462" t="s">
        <v>5039</v>
      </c>
    </row>
    <row r="2463" spans="1:12" x14ac:dyDescent="0.35">
      <c r="A2463" t="s">
        <v>116</v>
      </c>
      <c r="B2463" t="s">
        <v>175</v>
      </c>
      <c r="C2463" t="s">
        <v>993</v>
      </c>
      <c r="D2463">
        <v>3.1E-4</v>
      </c>
      <c r="F2463" t="s">
        <v>2232</v>
      </c>
      <c r="H2463" t="s">
        <v>3924</v>
      </c>
      <c r="I2463" t="s">
        <v>4956</v>
      </c>
      <c r="K2463" t="s">
        <v>5037</v>
      </c>
      <c r="L2463" t="s">
        <v>5039</v>
      </c>
    </row>
    <row r="2464" spans="1:12" x14ac:dyDescent="0.35">
      <c r="A2464" t="s">
        <v>116</v>
      </c>
      <c r="B2464" t="s">
        <v>175</v>
      </c>
      <c r="C2464" t="s">
        <v>952</v>
      </c>
      <c r="D2464">
        <v>0.39</v>
      </c>
      <c r="F2464" t="s">
        <v>1422</v>
      </c>
      <c r="H2464" t="s">
        <v>3923</v>
      </c>
      <c r="I2464" t="s">
        <v>4956</v>
      </c>
      <c r="K2464" t="s">
        <v>5037</v>
      </c>
      <c r="L2464" t="s">
        <v>5039</v>
      </c>
    </row>
    <row r="2465" spans="1:12" x14ac:dyDescent="0.35">
      <c r="A2465" t="s">
        <v>116</v>
      </c>
      <c r="B2465" t="s">
        <v>175</v>
      </c>
      <c r="C2465" t="s">
        <v>994</v>
      </c>
      <c r="D2465">
        <v>7.5999999999999998E-2</v>
      </c>
      <c r="F2465" t="s">
        <v>2107</v>
      </c>
      <c r="H2465" t="s">
        <v>3922</v>
      </c>
      <c r="I2465" t="s">
        <v>4956</v>
      </c>
      <c r="K2465" t="s">
        <v>5037</v>
      </c>
      <c r="L2465" t="s">
        <v>5039</v>
      </c>
    </row>
    <row r="2466" spans="1:12" x14ac:dyDescent="0.35">
      <c r="A2466" t="s">
        <v>116</v>
      </c>
      <c r="B2466" t="s">
        <v>175</v>
      </c>
      <c r="C2466" t="s">
        <v>961</v>
      </c>
      <c r="D2466">
        <v>0.77</v>
      </c>
      <c r="F2466" t="s">
        <v>1484</v>
      </c>
      <c r="H2466" t="s">
        <v>3918</v>
      </c>
      <c r="I2466" t="s">
        <v>4956</v>
      </c>
      <c r="K2466" t="s">
        <v>5037</v>
      </c>
      <c r="L2466" t="s">
        <v>5039</v>
      </c>
    </row>
    <row r="2467" spans="1:12" x14ac:dyDescent="0.35">
      <c r="A2467" t="s">
        <v>116</v>
      </c>
      <c r="B2467" t="s">
        <v>175</v>
      </c>
      <c r="C2467" t="s">
        <v>995</v>
      </c>
      <c r="D2467">
        <v>5.6999999999999998E-4</v>
      </c>
      <c r="F2467" t="s">
        <v>2233</v>
      </c>
      <c r="H2467" t="s">
        <v>3924</v>
      </c>
      <c r="I2467" t="s">
        <v>4956</v>
      </c>
      <c r="K2467" t="s">
        <v>5037</v>
      </c>
      <c r="L2467" t="s">
        <v>5039</v>
      </c>
    </row>
    <row r="2468" spans="1:12" x14ac:dyDescent="0.35">
      <c r="A2468" t="s">
        <v>116</v>
      </c>
      <c r="B2468" t="s">
        <v>175</v>
      </c>
      <c r="C2468" t="s">
        <v>855</v>
      </c>
      <c r="D2468">
        <v>0.34</v>
      </c>
      <c r="F2468" t="s">
        <v>1327</v>
      </c>
      <c r="H2468" t="s">
        <v>3918</v>
      </c>
      <c r="I2468" t="s">
        <v>4956</v>
      </c>
      <c r="K2468" t="s">
        <v>5037</v>
      </c>
      <c r="L2468" t="s">
        <v>5039</v>
      </c>
    </row>
    <row r="2469" spans="1:12" x14ac:dyDescent="0.35">
      <c r="A2469" t="s">
        <v>116</v>
      </c>
      <c r="B2469" t="s">
        <v>175</v>
      </c>
      <c r="C2469" t="s">
        <v>992</v>
      </c>
      <c r="D2469">
        <v>2.8999999999999998E-3</v>
      </c>
      <c r="F2469" t="s">
        <v>2234</v>
      </c>
      <c r="H2469" t="s">
        <v>3921</v>
      </c>
      <c r="I2469" t="s">
        <v>4956</v>
      </c>
      <c r="K2469" t="s">
        <v>5037</v>
      </c>
      <c r="L2469" t="s">
        <v>5039</v>
      </c>
    </row>
    <row r="2470" spans="1:12" x14ac:dyDescent="0.35">
      <c r="A2470" t="s">
        <v>116</v>
      </c>
      <c r="B2470" t="s">
        <v>175</v>
      </c>
      <c r="C2470" t="s">
        <v>993</v>
      </c>
      <c r="D2470">
        <v>5.8999999999999997E-2</v>
      </c>
      <c r="F2470" t="s">
        <v>1729</v>
      </c>
      <c r="H2470" t="s">
        <v>3919</v>
      </c>
      <c r="I2470" t="s">
        <v>4956</v>
      </c>
      <c r="K2470" t="s">
        <v>5037</v>
      </c>
      <c r="L2470" t="s">
        <v>5039</v>
      </c>
    </row>
    <row r="2471" spans="1:12" x14ac:dyDescent="0.35">
      <c r="A2471" t="s">
        <v>116</v>
      </c>
      <c r="B2471" t="s">
        <v>175</v>
      </c>
      <c r="C2471" t="s">
        <v>855</v>
      </c>
      <c r="D2471">
        <v>26</v>
      </c>
      <c r="F2471" t="s">
        <v>1518</v>
      </c>
      <c r="H2471" t="s">
        <v>3921</v>
      </c>
      <c r="I2471" t="s">
        <v>4956</v>
      </c>
      <c r="K2471" t="s">
        <v>5037</v>
      </c>
      <c r="L2471" t="s">
        <v>5039</v>
      </c>
    </row>
    <row r="2472" spans="1:12" x14ac:dyDescent="0.35">
      <c r="A2472" t="s">
        <v>116</v>
      </c>
      <c r="B2472" t="s">
        <v>175</v>
      </c>
      <c r="C2472" t="s">
        <v>996</v>
      </c>
      <c r="D2472">
        <v>4.4000000000000003E-3</v>
      </c>
      <c r="F2472" t="s">
        <v>2144</v>
      </c>
      <c r="H2472" t="s">
        <v>3922</v>
      </c>
      <c r="I2472" t="s">
        <v>4956</v>
      </c>
      <c r="K2472" t="s">
        <v>5037</v>
      </c>
      <c r="L2472" t="s">
        <v>5039</v>
      </c>
    </row>
    <row r="2473" spans="1:12" x14ac:dyDescent="0.35">
      <c r="A2473" t="s">
        <v>116</v>
      </c>
      <c r="B2473" t="s">
        <v>175</v>
      </c>
      <c r="C2473" t="s">
        <v>961</v>
      </c>
      <c r="D2473">
        <v>33</v>
      </c>
      <c r="F2473" t="s">
        <v>1943</v>
      </c>
      <c r="H2473" t="s">
        <v>3921</v>
      </c>
      <c r="I2473" t="s">
        <v>4956</v>
      </c>
      <c r="K2473" t="s">
        <v>5037</v>
      </c>
      <c r="L2473" t="s">
        <v>5039</v>
      </c>
    </row>
    <row r="2474" spans="1:12" x14ac:dyDescent="0.35">
      <c r="A2474" t="s">
        <v>116</v>
      </c>
      <c r="B2474" t="s">
        <v>175</v>
      </c>
      <c r="C2474" t="s">
        <v>995</v>
      </c>
      <c r="D2474">
        <v>6.4000000000000003E-3</v>
      </c>
      <c r="F2474" t="s">
        <v>2138</v>
      </c>
      <c r="H2474" t="s">
        <v>3917</v>
      </c>
      <c r="I2474" t="s">
        <v>4956</v>
      </c>
      <c r="K2474" t="s">
        <v>5037</v>
      </c>
      <c r="L2474" t="s">
        <v>5039</v>
      </c>
    </row>
    <row r="2475" spans="1:12" x14ac:dyDescent="0.35">
      <c r="A2475" t="s">
        <v>116</v>
      </c>
      <c r="B2475" t="s">
        <v>175</v>
      </c>
      <c r="C2475" t="s">
        <v>993</v>
      </c>
      <c r="D2475">
        <v>6.4000000000000003E-3</v>
      </c>
      <c r="F2475" t="s">
        <v>2138</v>
      </c>
      <c r="H2475" t="s">
        <v>3917</v>
      </c>
      <c r="I2475" t="s">
        <v>4956</v>
      </c>
      <c r="K2475" t="s">
        <v>5037</v>
      </c>
      <c r="L2475" t="s">
        <v>5039</v>
      </c>
    </row>
    <row r="2476" spans="1:12" x14ac:dyDescent="0.35">
      <c r="A2476" t="s">
        <v>116</v>
      </c>
      <c r="B2476" t="s">
        <v>175</v>
      </c>
      <c r="C2476" t="s">
        <v>990</v>
      </c>
      <c r="D2476">
        <v>3.8E-3</v>
      </c>
      <c r="F2476" t="s">
        <v>1285</v>
      </c>
      <c r="H2476" t="s">
        <v>3921</v>
      </c>
      <c r="I2476" t="s">
        <v>4956</v>
      </c>
      <c r="K2476" t="s">
        <v>5037</v>
      </c>
      <c r="L2476" t="s">
        <v>5039</v>
      </c>
    </row>
    <row r="2477" spans="1:12" x14ac:dyDescent="0.35">
      <c r="A2477" t="s">
        <v>116</v>
      </c>
      <c r="B2477" t="s">
        <v>175</v>
      </c>
      <c r="C2477" t="s">
        <v>989</v>
      </c>
      <c r="D2477">
        <v>3.8E-3</v>
      </c>
      <c r="F2477" t="s">
        <v>1285</v>
      </c>
      <c r="H2477" t="s">
        <v>3925</v>
      </c>
      <c r="I2477" t="s">
        <v>4956</v>
      </c>
      <c r="K2477" t="s">
        <v>5037</v>
      </c>
      <c r="L2477" t="s">
        <v>5039</v>
      </c>
    </row>
    <row r="2478" spans="1:12" x14ac:dyDescent="0.35">
      <c r="A2478" t="s">
        <v>116</v>
      </c>
      <c r="B2478" t="s">
        <v>175</v>
      </c>
      <c r="C2478" t="s">
        <v>956</v>
      </c>
      <c r="D2478">
        <v>9.6</v>
      </c>
      <c r="F2478" t="s">
        <v>1665</v>
      </c>
      <c r="H2478" t="s">
        <v>3923</v>
      </c>
      <c r="I2478" t="s">
        <v>4956</v>
      </c>
      <c r="K2478" t="s">
        <v>5037</v>
      </c>
      <c r="L2478" t="s">
        <v>5039</v>
      </c>
    </row>
    <row r="2479" spans="1:12" x14ac:dyDescent="0.35">
      <c r="A2479" t="s">
        <v>116</v>
      </c>
      <c r="B2479" t="s">
        <v>175</v>
      </c>
      <c r="C2479" t="s">
        <v>996</v>
      </c>
      <c r="D2479">
        <v>0.106</v>
      </c>
      <c r="F2479" t="s">
        <v>2147</v>
      </c>
      <c r="H2479" t="s">
        <v>3925</v>
      </c>
      <c r="I2479" t="s">
        <v>4956</v>
      </c>
      <c r="K2479" t="s">
        <v>5037</v>
      </c>
      <c r="L2479" t="s">
        <v>5039</v>
      </c>
    </row>
    <row r="2480" spans="1:12" x14ac:dyDescent="0.35">
      <c r="A2480" t="s">
        <v>116</v>
      </c>
      <c r="B2480" t="s">
        <v>175</v>
      </c>
      <c r="C2480" t="s">
        <v>994</v>
      </c>
      <c r="D2480">
        <v>5.9000000000000003E-4</v>
      </c>
      <c r="F2480" t="s">
        <v>2235</v>
      </c>
      <c r="H2480" t="s">
        <v>3925</v>
      </c>
      <c r="I2480" t="s">
        <v>4956</v>
      </c>
      <c r="K2480" t="s">
        <v>5037</v>
      </c>
      <c r="L2480" t="s">
        <v>5039</v>
      </c>
    </row>
    <row r="2481" spans="1:12" x14ac:dyDescent="0.35">
      <c r="A2481" t="s">
        <v>116</v>
      </c>
      <c r="B2481" t="s">
        <v>175</v>
      </c>
      <c r="C2481" t="s">
        <v>989</v>
      </c>
      <c r="D2481">
        <v>3.2000000000000003E-4</v>
      </c>
      <c r="F2481" t="s">
        <v>2236</v>
      </c>
      <c r="H2481" t="s">
        <v>3917</v>
      </c>
      <c r="I2481" t="s">
        <v>4956</v>
      </c>
      <c r="K2481" t="s">
        <v>5037</v>
      </c>
      <c r="L2481" t="s">
        <v>5039</v>
      </c>
    </row>
    <row r="2482" spans="1:12" x14ac:dyDescent="0.35">
      <c r="A2482" t="s">
        <v>116</v>
      </c>
      <c r="B2482" t="s">
        <v>175</v>
      </c>
      <c r="C2482" t="s">
        <v>994</v>
      </c>
      <c r="D2482">
        <v>7.5000000000000002E-4</v>
      </c>
      <c r="F2482" t="s">
        <v>1265</v>
      </c>
      <c r="H2482" t="s">
        <v>3920</v>
      </c>
      <c r="I2482" t="s">
        <v>4956</v>
      </c>
      <c r="K2482" t="s">
        <v>5037</v>
      </c>
      <c r="L2482" t="s">
        <v>5039</v>
      </c>
    </row>
    <row r="2483" spans="1:12" x14ac:dyDescent="0.35">
      <c r="A2483" t="s">
        <v>116</v>
      </c>
      <c r="B2483" t="s">
        <v>175</v>
      </c>
      <c r="C2483" t="s">
        <v>987</v>
      </c>
      <c r="D2483">
        <v>1.31E-3</v>
      </c>
      <c r="F2483" t="s">
        <v>2237</v>
      </c>
      <c r="H2483" t="s">
        <v>3919</v>
      </c>
      <c r="I2483" t="s">
        <v>4956</v>
      </c>
      <c r="K2483" t="s">
        <v>5037</v>
      </c>
      <c r="L2483" t="s">
        <v>5039</v>
      </c>
    </row>
    <row r="2484" spans="1:12" x14ac:dyDescent="0.35">
      <c r="A2484" t="s">
        <v>116</v>
      </c>
      <c r="B2484" t="s">
        <v>175</v>
      </c>
      <c r="C2484" t="s">
        <v>996</v>
      </c>
      <c r="D2484">
        <v>4.8000000000000001E-4</v>
      </c>
      <c r="F2484" t="s">
        <v>2238</v>
      </c>
      <c r="H2484" t="s">
        <v>3920</v>
      </c>
      <c r="I2484" t="s">
        <v>4956</v>
      </c>
      <c r="K2484" t="s">
        <v>5037</v>
      </c>
      <c r="L2484" t="s">
        <v>5039</v>
      </c>
    </row>
    <row r="2485" spans="1:12" x14ac:dyDescent="0.35">
      <c r="A2485" t="s">
        <v>116</v>
      </c>
      <c r="B2485" t="s">
        <v>175</v>
      </c>
      <c r="C2485" t="s">
        <v>991</v>
      </c>
      <c r="D2485">
        <v>3.6999999999999999E-4</v>
      </c>
      <c r="F2485" t="s">
        <v>2239</v>
      </c>
      <c r="H2485" t="s">
        <v>3925</v>
      </c>
      <c r="I2485" t="s">
        <v>4956</v>
      </c>
      <c r="K2485" t="s">
        <v>5037</v>
      </c>
      <c r="L2485" t="s">
        <v>5039</v>
      </c>
    </row>
    <row r="2486" spans="1:12" x14ac:dyDescent="0.35">
      <c r="A2486" t="s">
        <v>116</v>
      </c>
      <c r="B2486" t="s">
        <v>175</v>
      </c>
      <c r="C2486" t="s">
        <v>995</v>
      </c>
      <c r="D2486">
        <v>1.15E-3</v>
      </c>
      <c r="F2486" t="s">
        <v>2240</v>
      </c>
      <c r="H2486" t="s">
        <v>3926</v>
      </c>
      <c r="I2486" t="s">
        <v>4956</v>
      </c>
      <c r="K2486" t="s">
        <v>5037</v>
      </c>
      <c r="L2486" t="s">
        <v>5039</v>
      </c>
    </row>
    <row r="2487" spans="1:12" x14ac:dyDescent="0.35">
      <c r="A2487" t="s">
        <v>116</v>
      </c>
      <c r="B2487" t="s">
        <v>175</v>
      </c>
      <c r="C2487" t="s">
        <v>987</v>
      </c>
      <c r="D2487">
        <v>1.49E-3</v>
      </c>
      <c r="F2487" t="s">
        <v>2241</v>
      </c>
      <c r="H2487" t="s">
        <v>3924</v>
      </c>
      <c r="I2487" t="s">
        <v>4956</v>
      </c>
      <c r="K2487" t="s">
        <v>5037</v>
      </c>
      <c r="L2487" t="s">
        <v>5039</v>
      </c>
    </row>
    <row r="2488" spans="1:12" x14ac:dyDescent="0.35">
      <c r="A2488" t="s">
        <v>116</v>
      </c>
      <c r="B2488" t="s">
        <v>175</v>
      </c>
      <c r="C2488" t="s">
        <v>995</v>
      </c>
      <c r="D2488">
        <v>2.7999999999999998E-4</v>
      </c>
      <c r="F2488" t="s">
        <v>2242</v>
      </c>
      <c r="H2488" t="s">
        <v>3927</v>
      </c>
      <c r="I2488" t="s">
        <v>4956</v>
      </c>
      <c r="K2488" t="s">
        <v>5037</v>
      </c>
      <c r="L2488" t="s">
        <v>5039</v>
      </c>
    </row>
    <row r="2489" spans="1:12" x14ac:dyDescent="0.35">
      <c r="A2489" t="s">
        <v>116</v>
      </c>
      <c r="B2489" t="s">
        <v>175</v>
      </c>
      <c r="C2489" t="s">
        <v>996</v>
      </c>
      <c r="D2489">
        <v>3.3000000000000002E-2</v>
      </c>
      <c r="F2489" t="s">
        <v>1340</v>
      </c>
      <c r="H2489" t="s">
        <v>3928</v>
      </c>
      <c r="I2489" t="s">
        <v>4956</v>
      </c>
      <c r="K2489" t="s">
        <v>5037</v>
      </c>
      <c r="L2489" t="s">
        <v>5039</v>
      </c>
    </row>
    <row r="2490" spans="1:12" x14ac:dyDescent="0.35">
      <c r="A2490" t="s">
        <v>116</v>
      </c>
      <c r="B2490" t="s">
        <v>175</v>
      </c>
      <c r="C2490" t="s">
        <v>993</v>
      </c>
      <c r="D2490">
        <v>1.6000000000000001E-3</v>
      </c>
      <c r="F2490" t="s">
        <v>1283</v>
      </c>
      <c r="H2490" t="s">
        <v>3927</v>
      </c>
      <c r="I2490" t="s">
        <v>4956</v>
      </c>
      <c r="K2490" t="s">
        <v>5037</v>
      </c>
      <c r="L2490" t="s">
        <v>5039</v>
      </c>
    </row>
    <row r="2491" spans="1:12" x14ac:dyDescent="0.35">
      <c r="A2491" t="s">
        <v>116</v>
      </c>
      <c r="B2491" t="s">
        <v>175</v>
      </c>
      <c r="C2491" t="s">
        <v>988</v>
      </c>
      <c r="D2491">
        <v>9.2000000000000003E-4</v>
      </c>
      <c r="F2491" t="s">
        <v>2243</v>
      </c>
      <c r="H2491" t="s">
        <v>3929</v>
      </c>
      <c r="I2491" t="s">
        <v>4956</v>
      </c>
      <c r="K2491" t="s">
        <v>5037</v>
      </c>
      <c r="L2491" t="s">
        <v>5039</v>
      </c>
    </row>
    <row r="2492" spans="1:12" x14ac:dyDescent="0.35">
      <c r="A2492" t="s">
        <v>116</v>
      </c>
      <c r="B2492" t="s">
        <v>175</v>
      </c>
      <c r="C2492" t="s">
        <v>991</v>
      </c>
      <c r="D2492">
        <v>2.8999999999999998E-3</v>
      </c>
      <c r="F2492" t="s">
        <v>2234</v>
      </c>
      <c r="H2492" t="s">
        <v>3928</v>
      </c>
      <c r="I2492" t="s">
        <v>4956</v>
      </c>
      <c r="K2492" t="s">
        <v>5037</v>
      </c>
      <c r="L2492" t="s">
        <v>5039</v>
      </c>
    </row>
    <row r="2493" spans="1:12" x14ac:dyDescent="0.35">
      <c r="A2493" t="s">
        <v>116</v>
      </c>
      <c r="B2493" t="s">
        <v>175</v>
      </c>
      <c r="C2493" t="s">
        <v>992</v>
      </c>
      <c r="D2493">
        <v>6.8999999999999999E-3</v>
      </c>
      <c r="F2493" t="s">
        <v>1780</v>
      </c>
      <c r="H2493" t="s">
        <v>3929</v>
      </c>
      <c r="I2493" t="s">
        <v>4956</v>
      </c>
      <c r="K2493" t="s">
        <v>5037</v>
      </c>
      <c r="L2493" t="s">
        <v>5039</v>
      </c>
    </row>
    <row r="2494" spans="1:12" x14ac:dyDescent="0.35">
      <c r="A2494" t="s">
        <v>116</v>
      </c>
      <c r="B2494" t="s">
        <v>175</v>
      </c>
      <c r="C2494" t="s">
        <v>961</v>
      </c>
      <c r="D2494">
        <v>3.6</v>
      </c>
      <c r="F2494" t="s">
        <v>1391</v>
      </c>
      <c r="H2494" t="s">
        <v>3929</v>
      </c>
      <c r="I2494" t="s">
        <v>4956</v>
      </c>
      <c r="K2494" t="s">
        <v>5037</v>
      </c>
      <c r="L2494" t="s">
        <v>5039</v>
      </c>
    </row>
    <row r="2495" spans="1:12" x14ac:dyDescent="0.35">
      <c r="A2495" t="s">
        <v>116</v>
      </c>
      <c r="B2495" t="s">
        <v>175</v>
      </c>
      <c r="C2495" t="s">
        <v>987</v>
      </c>
      <c r="D2495">
        <v>3.4999999999999997E-5</v>
      </c>
      <c r="F2495" t="s">
        <v>2244</v>
      </c>
      <c r="H2495" t="s">
        <v>3927</v>
      </c>
      <c r="I2495" t="s">
        <v>4956</v>
      </c>
      <c r="K2495" t="s">
        <v>5037</v>
      </c>
      <c r="L2495" t="s">
        <v>5039</v>
      </c>
    </row>
    <row r="2496" spans="1:12" x14ac:dyDescent="0.35">
      <c r="A2496" t="s">
        <v>116</v>
      </c>
      <c r="B2496" t="s">
        <v>175</v>
      </c>
      <c r="C2496" t="s">
        <v>855</v>
      </c>
      <c r="D2496">
        <v>12.7</v>
      </c>
      <c r="F2496" t="s">
        <v>2245</v>
      </c>
      <c r="H2496" t="s">
        <v>3929</v>
      </c>
      <c r="I2496" t="s">
        <v>4956</v>
      </c>
      <c r="K2496" t="s">
        <v>5037</v>
      </c>
      <c r="L2496" t="s">
        <v>5039</v>
      </c>
    </row>
    <row r="2497" spans="1:12" x14ac:dyDescent="0.35">
      <c r="A2497" t="s">
        <v>116</v>
      </c>
      <c r="B2497" t="s">
        <v>175</v>
      </c>
      <c r="C2497" t="s">
        <v>994</v>
      </c>
      <c r="D2497">
        <v>2.8299999999999999E-2</v>
      </c>
      <c r="F2497" t="s">
        <v>2246</v>
      </c>
      <c r="H2497" t="s">
        <v>3928</v>
      </c>
      <c r="I2497" t="s">
        <v>4956</v>
      </c>
      <c r="K2497" t="s">
        <v>5037</v>
      </c>
      <c r="L2497" t="s">
        <v>5039</v>
      </c>
    </row>
    <row r="2498" spans="1:12" x14ac:dyDescent="0.35">
      <c r="A2498" t="s">
        <v>116</v>
      </c>
      <c r="B2498" t="s">
        <v>175</v>
      </c>
      <c r="C2498" t="s">
        <v>990</v>
      </c>
      <c r="D2498">
        <v>4.8000000000000001E-4</v>
      </c>
      <c r="F2498" t="s">
        <v>2238</v>
      </c>
      <c r="H2498" t="s">
        <v>3929</v>
      </c>
      <c r="I2498" t="s">
        <v>4956</v>
      </c>
      <c r="K2498" t="s">
        <v>5037</v>
      </c>
      <c r="L2498" t="s">
        <v>5039</v>
      </c>
    </row>
    <row r="2499" spans="1:12" x14ac:dyDescent="0.35">
      <c r="A2499" t="s">
        <v>116</v>
      </c>
      <c r="B2499" t="s">
        <v>175</v>
      </c>
      <c r="C2499" t="s">
        <v>989</v>
      </c>
      <c r="D2499">
        <v>3.6000000000000001E-5</v>
      </c>
      <c r="F2499" t="s">
        <v>2247</v>
      </c>
      <c r="H2499" t="s">
        <v>3927</v>
      </c>
      <c r="I2499" t="s">
        <v>4956</v>
      </c>
      <c r="K2499" t="s">
        <v>5037</v>
      </c>
      <c r="L2499" t="s">
        <v>5039</v>
      </c>
    </row>
    <row r="2500" spans="1:12" x14ac:dyDescent="0.35">
      <c r="A2500" t="s">
        <v>116</v>
      </c>
      <c r="B2500" t="s">
        <v>533</v>
      </c>
      <c r="C2500" t="s">
        <v>709</v>
      </c>
      <c r="D2500">
        <v>0.13</v>
      </c>
      <c r="F2500" t="s">
        <v>1466</v>
      </c>
      <c r="H2500" t="s">
        <v>3930</v>
      </c>
      <c r="I2500" t="s">
        <v>2332</v>
      </c>
      <c r="K2500" t="s">
        <v>5037</v>
      </c>
      <c r="L2500" t="s">
        <v>5039</v>
      </c>
    </row>
    <row r="2501" spans="1:12" x14ac:dyDescent="0.35">
      <c r="A2501" t="s">
        <v>116</v>
      </c>
      <c r="B2501" t="s">
        <v>533</v>
      </c>
      <c r="C2501" t="s">
        <v>959</v>
      </c>
      <c r="D2501">
        <v>2.09</v>
      </c>
      <c r="F2501" t="s">
        <v>2248</v>
      </c>
      <c r="H2501" t="s">
        <v>3931</v>
      </c>
      <c r="I2501" t="s">
        <v>2332</v>
      </c>
      <c r="K2501" t="s">
        <v>5037</v>
      </c>
      <c r="L2501" t="s">
        <v>5039</v>
      </c>
    </row>
    <row r="2502" spans="1:12" x14ac:dyDescent="0.35">
      <c r="A2502" t="s">
        <v>116</v>
      </c>
      <c r="B2502" t="s">
        <v>533</v>
      </c>
      <c r="C2502" t="s">
        <v>848</v>
      </c>
      <c r="D2502">
        <v>3.68</v>
      </c>
      <c r="F2502" t="s">
        <v>2249</v>
      </c>
      <c r="H2502" t="s">
        <v>3932</v>
      </c>
      <c r="I2502" t="s">
        <v>2332</v>
      </c>
      <c r="K2502" t="s">
        <v>5037</v>
      </c>
      <c r="L2502" t="s">
        <v>5039</v>
      </c>
    </row>
    <row r="2503" spans="1:12" x14ac:dyDescent="0.35">
      <c r="A2503" t="s">
        <v>116</v>
      </c>
      <c r="B2503" t="s">
        <v>534</v>
      </c>
      <c r="C2503" t="s">
        <v>951</v>
      </c>
      <c r="D2503">
        <v>24</v>
      </c>
      <c r="F2503" t="s">
        <v>1839</v>
      </c>
      <c r="H2503" t="s">
        <v>3933</v>
      </c>
      <c r="I2503" t="s">
        <v>4957</v>
      </c>
      <c r="K2503" t="s">
        <v>5037</v>
      </c>
      <c r="L2503" t="s">
        <v>5039</v>
      </c>
    </row>
    <row r="2504" spans="1:12" x14ac:dyDescent="0.35">
      <c r="A2504" t="s">
        <v>116</v>
      </c>
      <c r="B2504" t="s">
        <v>534</v>
      </c>
      <c r="C2504" t="s">
        <v>978</v>
      </c>
      <c r="D2504">
        <v>2</v>
      </c>
      <c r="F2504" t="s">
        <v>1372</v>
      </c>
      <c r="H2504" t="s">
        <v>3934</v>
      </c>
      <c r="I2504" t="s">
        <v>4957</v>
      </c>
      <c r="K2504" t="s">
        <v>5037</v>
      </c>
      <c r="L2504" t="s">
        <v>5039</v>
      </c>
    </row>
    <row r="2505" spans="1:12" x14ac:dyDescent="0.35">
      <c r="A2505" t="s">
        <v>116</v>
      </c>
      <c r="B2505" t="s">
        <v>534</v>
      </c>
      <c r="C2505" t="s">
        <v>997</v>
      </c>
      <c r="D2505">
        <v>3.4</v>
      </c>
      <c r="F2505" t="s">
        <v>1706</v>
      </c>
      <c r="H2505" t="s">
        <v>3935</v>
      </c>
      <c r="I2505" t="s">
        <v>4957</v>
      </c>
      <c r="K2505" t="s">
        <v>5037</v>
      </c>
      <c r="L2505" t="s">
        <v>5039</v>
      </c>
    </row>
    <row r="2506" spans="1:12" x14ac:dyDescent="0.35">
      <c r="A2506" t="s">
        <v>116</v>
      </c>
      <c r="B2506" t="s">
        <v>534</v>
      </c>
      <c r="C2506" t="s">
        <v>998</v>
      </c>
      <c r="D2506">
        <v>22</v>
      </c>
      <c r="F2506" t="s">
        <v>1449</v>
      </c>
      <c r="H2506" t="s">
        <v>3936</v>
      </c>
      <c r="I2506" t="s">
        <v>4957</v>
      </c>
      <c r="K2506" t="s">
        <v>5037</v>
      </c>
      <c r="L2506" t="s">
        <v>5039</v>
      </c>
    </row>
    <row r="2507" spans="1:12" x14ac:dyDescent="0.35">
      <c r="A2507" t="s">
        <v>116</v>
      </c>
      <c r="B2507" t="s">
        <v>535</v>
      </c>
      <c r="C2507" t="s">
        <v>716</v>
      </c>
      <c r="D2507">
        <v>0.28000000000000003</v>
      </c>
      <c r="F2507" t="s">
        <v>1732</v>
      </c>
      <c r="H2507" t="s">
        <v>3937</v>
      </c>
      <c r="I2507" t="s">
        <v>4958</v>
      </c>
      <c r="K2507" t="s">
        <v>5037</v>
      </c>
      <c r="L2507" t="s">
        <v>5039</v>
      </c>
    </row>
    <row r="2508" spans="1:12" x14ac:dyDescent="0.35">
      <c r="A2508" t="s">
        <v>116</v>
      </c>
      <c r="B2508" t="s">
        <v>535</v>
      </c>
      <c r="C2508" t="s">
        <v>708</v>
      </c>
      <c r="D2508">
        <v>1.4</v>
      </c>
      <c r="F2508" t="s">
        <v>1469</v>
      </c>
      <c r="H2508" t="s">
        <v>3938</v>
      </c>
      <c r="I2508" t="s">
        <v>4958</v>
      </c>
      <c r="K2508" t="s">
        <v>5037</v>
      </c>
      <c r="L2508" t="s">
        <v>5039</v>
      </c>
    </row>
    <row r="2509" spans="1:12" x14ac:dyDescent="0.35">
      <c r="A2509" t="s">
        <v>116</v>
      </c>
      <c r="B2509" t="s">
        <v>535</v>
      </c>
      <c r="C2509" t="s">
        <v>855</v>
      </c>
      <c r="D2509">
        <v>4.71</v>
      </c>
      <c r="F2509" t="s">
        <v>2250</v>
      </c>
      <c r="H2509" t="s">
        <v>3939</v>
      </c>
      <c r="I2509" t="s">
        <v>4958</v>
      </c>
      <c r="K2509" t="s">
        <v>5037</v>
      </c>
      <c r="L2509" t="s">
        <v>5039</v>
      </c>
    </row>
    <row r="2510" spans="1:12" x14ac:dyDescent="0.35">
      <c r="A2510" t="s">
        <v>116</v>
      </c>
      <c r="B2510" t="s">
        <v>535</v>
      </c>
      <c r="C2510" t="s">
        <v>709</v>
      </c>
      <c r="D2510">
        <v>1.51</v>
      </c>
      <c r="F2510" t="s">
        <v>1917</v>
      </c>
      <c r="H2510" t="s">
        <v>3937</v>
      </c>
      <c r="I2510" t="s">
        <v>4958</v>
      </c>
      <c r="K2510" t="s">
        <v>5037</v>
      </c>
      <c r="L2510" t="s">
        <v>5039</v>
      </c>
    </row>
    <row r="2511" spans="1:12" x14ac:dyDescent="0.35">
      <c r="A2511" t="s">
        <v>116</v>
      </c>
      <c r="B2511" t="s">
        <v>535</v>
      </c>
      <c r="C2511" t="s">
        <v>961</v>
      </c>
      <c r="D2511">
        <v>7.55</v>
      </c>
      <c r="F2511" t="s">
        <v>2251</v>
      </c>
      <c r="H2511" t="s">
        <v>3939</v>
      </c>
      <c r="I2511" t="s">
        <v>4958</v>
      </c>
      <c r="K2511" t="s">
        <v>5037</v>
      </c>
      <c r="L2511" t="s">
        <v>5039</v>
      </c>
    </row>
    <row r="2512" spans="1:12" x14ac:dyDescent="0.35">
      <c r="A2512" t="s">
        <v>116</v>
      </c>
      <c r="B2512" t="s">
        <v>502</v>
      </c>
      <c r="C2512" t="s">
        <v>855</v>
      </c>
      <c r="D2512">
        <v>0.22</v>
      </c>
      <c r="F2512" t="s">
        <v>1438</v>
      </c>
      <c r="H2512" t="s">
        <v>3940</v>
      </c>
      <c r="I2512" t="s">
        <v>4959</v>
      </c>
      <c r="K2512" t="s">
        <v>5037</v>
      </c>
      <c r="L2512" t="s">
        <v>5039</v>
      </c>
    </row>
    <row r="2513" spans="1:12" x14ac:dyDescent="0.35">
      <c r="A2513" t="s">
        <v>116</v>
      </c>
      <c r="B2513" t="s">
        <v>502</v>
      </c>
      <c r="C2513" t="s">
        <v>999</v>
      </c>
      <c r="D2513">
        <v>0.35</v>
      </c>
      <c r="F2513" t="s">
        <v>1294</v>
      </c>
      <c r="H2513" t="s">
        <v>3941</v>
      </c>
      <c r="I2513" t="s">
        <v>4946</v>
      </c>
      <c r="K2513" t="s">
        <v>5037</v>
      </c>
      <c r="L2513" t="s">
        <v>5039</v>
      </c>
    </row>
    <row r="2514" spans="1:12" x14ac:dyDescent="0.35">
      <c r="A2514" t="s">
        <v>116</v>
      </c>
      <c r="B2514" t="s">
        <v>502</v>
      </c>
      <c r="C2514" t="s">
        <v>1000</v>
      </c>
      <c r="D2514">
        <v>0.13</v>
      </c>
      <c r="F2514" t="s">
        <v>1466</v>
      </c>
      <c r="H2514" t="s">
        <v>3942</v>
      </c>
      <c r="I2514" t="s">
        <v>4959</v>
      </c>
      <c r="K2514" t="s">
        <v>5037</v>
      </c>
      <c r="L2514" t="s">
        <v>5039</v>
      </c>
    </row>
    <row r="2515" spans="1:12" x14ac:dyDescent="0.35">
      <c r="A2515" t="s">
        <v>116</v>
      </c>
      <c r="B2515" t="s">
        <v>502</v>
      </c>
      <c r="C2515" t="s">
        <v>999</v>
      </c>
      <c r="D2515">
        <v>0.71</v>
      </c>
      <c r="F2515" t="s">
        <v>1941</v>
      </c>
      <c r="H2515" t="s">
        <v>3943</v>
      </c>
      <c r="I2515" t="s">
        <v>4946</v>
      </c>
      <c r="K2515" t="s">
        <v>5037</v>
      </c>
      <c r="L2515" t="s">
        <v>5039</v>
      </c>
    </row>
    <row r="2516" spans="1:12" x14ac:dyDescent="0.35">
      <c r="A2516" t="s">
        <v>116</v>
      </c>
      <c r="B2516" t="s">
        <v>502</v>
      </c>
      <c r="C2516" t="s">
        <v>998</v>
      </c>
      <c r="D2516">
        <v>11</v>
      </c>
      <c r="F2516" t="s">
        <v>1841</v>
      </c>
      <c r="H2516" t="s">
        <v>3944</v>
      </c>
      <c r="I2516" t="s">
        <v>4957</v>
      </c>
      <c r="K2516" t="s">
        <v>5037</v>
      </c>
      <c r="L2516" t="s">
        <v>5039</v>
      </c>
    </row>
    <row r="2517" spans="1:12" x14ac:dyDescent="0.35">
      <c r="A2517" t="s">
        <v>116</v>
      </c>
      <c r="B2517" t="s">
        <v>502</v>
      </c>
      <c r="C2517" t="s">
        <v>709</v>
      </c>
      <c r="D2517">
        <v>5.8999999999999997E-2</v>
      </c>
      <c r="F2517" t="s">
        <v>1729</v>
      </c>
      <c r="I2517" t="s">
        <v>4883</v>
      </c>
      <c r="K2517" t="s">
        <v>5037</v>
      </c>
      <c r="L2517" t="s">
        <v>5039</v>
      </c>
    </row>
    <row r="2518" spans="1:12" x14ac:dyDescent="0.35">
      <c r="A2518" t="s">
        <v>116</v>
      </c>
      <c r="B2518" t="s">
        <v>502</v>
      </c>
      <c r="C2518" t="s">
        <v>855</v>
      </c>
      <c r="D2518">
        <v>0.83</v>
      </c>
      <c r="F2518" t="s">
        <v>1734</v>
      </c>
      <c r="H2518" t="s">
        <v>3942</v>
      </c>
      <c r="I2518" t="s">
        <v>4959</v>
      </c>
      <c r="K2518" t="s">
        <v>5037</v>
      </c>
      <c r="L2518" t="s">
        <v>5039</v>
      </c>
    </row>
    <row r="2519" spans="1:12" x14ac:dyDescent="0.35">
      <c r="A2519" t="s">
        <v>116</v>
      </c>
      <c r="B2519" t="s">
        <v>502</v>
      </c>
      <c r="C2519" t="s">
        <v>961</v>
      </c>
      <c r="D2519">
        <v>14</v>
      </c>
      <c r="F2519" t="s">
        <v>1467</v>
      </c>
      <c r="H2519" t="s">
        <v>3943</v>
      </c>
      <c r="I2519" t="s">
        <v>4946</v>
      </c>
      <c r="K2519" t="s">
        <v>5037</v>
      </c>
      <c r="L2519" t="s">
        <v>5039</v>
      </c>
    </row>
    <row r="2520" spans="1:12" x14ac:dyDescent="0.35">
      <c r="A2520" t="s">
        <v>116</v>
      </c>
      <c r="B2520" t="s">
        <v>502</v>
      </c>
      <c r="C2520" t="s">
        <v>978</v>
      </c>
      <c r="D2520">
        <v>14</v>
      </c>
      <c r="F2520" t="s">
        <v>1467</v>
      </c>
      <c r="H2520" t="s">
        <v>3945</v>
      </c>
      <c r="I2520" t="s">
        <v>4957</v>
      </c>
      <c r="K2520" t="s">
        <v>5037</v>
      </c>
      <c r="L2520" t="s">
        <v>5039</v>
      </c>
    </row>
    <row r="2521" spans="1:12" x14ac:dyDescent="0.35">
      <c r="A2521" t="s">
        <v>116</v>
      </c>
      <c r="B2521" t="s">
        <v>502</v>
      </c>
      <c r="C2521" t="s">
        <v>961</v>
      </c>
      <c r="D2521">
        <v>50</v>
      </c>
      <c r="F2521" t="s">
        <v>1359</v>
      </c>
      <c r="H2521" t="s">
        <v>3946</v>
      </c>
      <c r="I2521" t="s">
        <v>4946</v>
      </c>
      <c r="K2521" t="s">
        <v>5037</v>
      </c>
      <c r="L2521" t="s">
        <v>5039</v>
      </c>
    </row>
    <row r="2522" spans="1:12" x14ac:dyDescent="0.35">
      <c r="A2522" t="s">
        <v>116</v>
      </c>
      <c r="B2522" t="s">
        <v>502</v>
      </c>
      <c r="C2522" t="s">
        <v>999</v>
      </c>
      <c r="D2522">
        <v>0.24</v>
      </c>
      <c r="F2522" t="s">
        <v>1488</v>
      </c>
      <c r="H2522" t="s">
        <v>3947</v>
      </c>
      <c r="I2522" t="s">
        <v>4946</v>
      </c>
      <c r="K2522" t="s">
        <v>5037</v>
      </c>
      <c r="L2522" t="s">
        <v>5039</v>
      </c>
    </row>
    <row r="2523" spans="1:12" x14ac:dyDescent="0.35">
      <c r="A2523" t="s">
        <v>116</v>
      </c>
      <c r="B2523" t="s">
        <v>502</v>
      </c>
      <c r="C2523" t="s">
        <v>997</v>
      </c>
      <c r="D2523">
        <v>2.9</v>
      </c>
      <c r="F2523" t="s">
        <v>1576</v>
      </c>
      <c r="H2523" t="s">
        <v>3948</v>
      </c>
      <c r="I2523" t="s">
        <v>4957</v>
      </c>
      <c r="K2523" t="s">
        <v>5037</v>
      </c>
      <c r="L2523" t="s">
        <v>5039</v>
      </c>
    </row>
    <row r="2524" spans="1:12" x14ac:dyDescent="0.35">
      <c r="A2524" t="s">
        <v>116</v>
      </c>
      <c r="B2524" t="s">
        <v>502</v>
      </c>
      <c r="C2524" t="s">
        <v>978</v>
      </c>
      <c r="D2524">
        <v>33</v>
      </c>
      <c r="F2524" t="s">
        <v>1943</v>
      </c>
      <c r="H2524" t="s">
        <v>3949</v>
      </c>
      <c r="I2524" t="s">
        <v>4957</v>
      </c>
      <c r="K2524" t="s">
        <v>5037</v>
      </c>
      <c r="L2524" t="s">
        <v>5039</v>
      </c>
    </row>
    <row r="2525" spans="1:12" x14ac:dyDescent="0.35">
      <c r="A2525" t="s">
        <v>116</v>
      </c>
      <c r="B2525" t="s">
        <v>502</v>
      </c>
      <c r="C2525" t="s">
        <v>951</v>
      </c>
      <c r="D2525">
        <v>34</v>
      </c>
      <c r="F2525" t="s">
        <v>1584</v>
      </c>
      <c r="H2525" t="s">
        <v>3950</v>
      </c>
      <c r="I2525" t="s">
        <v>4957</v>
      </c>
      <c r="K2525" t="s">
        <v>5037</v>
      </c>
      <c r="L2525" t="s">
        <v>5039</v>
      </c>
    </row>
    <row r="2526" spans="1:12" x14ac:dyDescent="0.35">
      <c r="A2526" t="s">
        <v>116</v>
      </c>
      <c r="B2526" t="s">
        <v>502</v>
      </c>
      <c r="C2526" t="s">
        <v>961</v>
      </c>
      <c r="D2526">
        <v>12.1</v>
      </c>
      <c r="F2526" t="s">
        <v>2252</v>
      </c>
      <c r="H2526" t="s">
        <v>3951</v>
      </c>
      <c r="I2526" t="s">
        <v>4890</v>
      </c>
      <c r="K2526" t="s">
        <v>5037</v>
      </c>
      <c r="L2526" t="s">
        <v>5039</v>
      </c>
    </row>
    <row r="2527" spans="1:12" x14ac:dyDescent="0.35">
      <c r="A2527" t="s">
        <v>116</v>
      </c>
      <c r="B2527" t="s">
        <v>502</v>
      </c>
      <c r="C2527" t="s">
        <v>951</v>
      </c>
      <c r="D2527">
        <v>49</v>
      </c>
      <c r="F2527" t="s">
        <v>2253</v>
      </c>
      <c r="H2527" t="s">
        <v>3952</v>
      </c>
      <c r="I2527" t="s">
        <v>4957</v>
      </c>
      <c r="K2527" t="s">
        <v>5037</v>
      </c>
      <c r="L2527" t="s">
        <v>5039</v>
      </c>
    </row>
    <row r="2528" spans="1:12" x14ac:dyDescent="0.35">
      <c r="A2528" t="s">
        <v>116</v>
      </c>
      <c r="B2528" t="s">
        <v>502</v>
      </c>
      <c r="C2528" t="s">
        <v>961</v>
      </c>
      <c r="D2528">
        <v>53</v>
      </c>
      <c r="F2528" t="s">
        <v>2254</v>
      </c>
      <c r="H2528" t="s">
        <v>3953</v>
      </c>
      <c r="I2528" t="s">
        <v>4909</v>
      </c>
      <c r="K2528" t="s">
        <v>5037</v>
      </c>
      <c r="L2528" t="s">
        <v>5039</v>
      </c>
    </row>
    <row r="2529" spans="1:12" x14ac:dyDescent="0.35">
      <c r="A2529" t="s">
        <v>116</v>
      </c>
      <c r="B2529" t="s">
        <v>502</v>
      </c>
      <c r="C2529" t="s">
        <v>999</v>
      </c>
      <c r="D2529">
        <v>1.23</v>
      </c>
      <c r="F2529" t="s">
        <v>1267</v>
      </c>
      <c r="H2529" t="s">
        <v>3946</v>
      </c>
      <c r="I2529" t="s">
        <v>4946</v>
      </c>
      <c r="K2529" t="s">
        <v>5037</v>
      </c>
      <c r="L2529" t="s">
        <v>5039</v>
      </c>
    </row>
    <row r="2530" spans="1:12" x14ac:dyDescent="0.35">
      <c r="A2530" t="s">
        <v>116</v>
      </c>
      <c r="B2530" t="s">
        <v>502</v>
      </c>
      <c r="C2530" t="s">
        <v>708</v>
      </c>
      <c r="D2530">
        <v>0.122</v>
      </c>
      <c r="F2530" t="s">
        <v>2255</v>
      </c>
      <c r="I2530" t="s">
        <v>4883</v>
      </c>
      <c r="K2530" t="s">
        <v>5037</v>
      </c>
      <c r="L2530" t="s">
        <v>5039</v>
      </c>
    </row>
    <row r="2531" spans="1:12" x14ac:dyDescent="0.35">
      <c r="A2531" t="s">
        <v>116</v>
      </c>
      <c r="B2531" t="s">
        <v>502</v>
      </c>
      <c r="C2531" t="s">
        <v>997</v>
      </c>
      <c r="D2531">
        <v>5.9</v>
      </c>
      <c r="F2531" t="s">
        <v>1852</v>
      </c>
      <c r="H2531" t="s">
        <v>3954</v>
      </c>
      <c r="I2531" t="s">
        <v>4957</v>
      </c>
      <c r="K2531" t="s">
        <v>5037</v>
      </c>
      <c r="L2531" t="s">
        <v>5039</v>
      </c>
    </row>
    <row r="2532" spans="1:12" x14ac:dyDescent="0.35">
      <c r="A2532" t="s">
        <v>116</v>
      </c>
      <c r="B2532" t="s">
        <v>502</v>
      </c>
      <c r="C2532" t="s">
        <v>1000</v>
      </c>
      <c r="D2532">
        <v>18.8</v>
      </c>
      <c r="F2532" t="s">
        <v>2256</v>
      </c>
      <c r="H2532" t="s">
        <v>3940</v>
      </c>
      <c r="I2532" t="s">
        <v>4959</v>
      </c>
      <c r="K2532" t="s">
        <v>5037</v>
      </c>
      <c r="L2532" t="s">
        <v>5039</v>
      </c>
    </row>
    <row r="2533" spans="1:12" x14ac:dyDescent="0.35">
      <c r="A2533" t="s">
        <v>116</v>
      </c>
      <c r="B2533" t="s">
        <v>502</v>
      </c>
      <c r="C2533" t="s">
        <v>961</v>
      </c>
      <c r="D2533">
        <v>39</v>
      </c>
      <c r="F2533" t="s">
        <v>2050</v>
      </c>
      <c r="H2533" t="s">
        <v>3955</v>
      </c>
      <c r="I2533" t="s">
        <v>4909</v>
      </c>
      <c r="K2533" t="s">
        <v>5037</v>
      </c>
      <c r="L2533" t="s">
        <v>5039</v>
      </c>
    </row>
    <row r="2534" spans="1:12" x14ac:dyDescent="0.35">
      <c r="A2534" t="s">
        <v>116</v>
      </c>
      <c r="B2534" t="s">
        <v>502</v>
      </c>
      <c r="C2534" t="s">
        <v>961</v>
      </c>
      <c r="D2534">
        <v>16.7</v>
      </c>
      <c r="F2534" t="s">
        <v>2257</v>
      </c>
      <c r="I2534" t="s">
        <v>4883</v>
      </c>
      <c r="K2534" t="s">
        <v>5037</v>
      </c>
      <c r="L2534" t="s">
        <v>5039</v>
      </c>
    </row>
    <row r="2535" spans="1:12" x14ac:dyDescent="0.35">
      <c r="A2535" t="s">
        <v>116</v>
      </c>
      <c r="B2535" t="s">
        <v>502</v>
      </c>
      <c r="C2535" t="s">
        <v>961</v>
      </c>
      <c r="D2535">
        <v>41</v>
      </c>
      <c r="F2535" t="s">
        <v>2258</v>
      </c>
      <c r="H2535" t="s">
        <v>3956</v>
      </c>
      <c r="I2535" t="s">
        <v>4946</v>
      </c>
      <c r="K2535" t="s">
        <v>5037</v>
      </c>
      <c r="L2535" t="s">
        <v>5039</v>
      </c>
    </row>
    <row r="2536" spans="1:12" x14ac:dyDescent="0.35">
      <c r="A2536" t="s">
        <v>116</v>
      </c>
      <c r="B2536" t="s">
        <v>502</v>
      </c>
      <c r="C2536" t="s">
        <v>998</v>
      </c>
      <c r="D2536">
        <v>6.9</v>
      </c>
      <c r="F2536" t="s">
        <v>1411</v>
      </c>
      <c r="H2536" t="s">
        <v>3957</v>
      </c>
      <c r="I2536" t="s">
        <v>4957</v>
      </c>
      <c r="K2536" t="s">
        <v>5037</v>
      </c>
      <c r="L2536" t="s">
        <v>5039</v>
      </c>
    </row>
    <row r="2537" spans="1:12" x14ac:dyDescent="0.35">
      <c r="A2537" t="s">
        <v>116</v>
      </c>
      <c r="B2537" t="s">
        <v>502</v>
      </c>
      <c r="C2537" t="s">
        <v>855</v>
      </c>
      <c r="D2537">
        <v>2.83</v>
      </c>
      <c r="F2537" t="s">
        <v>2259</v>
      </c>
      <c r="I2537" t="s">
        <v>4883</v>
      </c>
      <c r="K2537" t="s">
        <v>5037</v>
      </c>
      <c r="L2537" t="s">
        <v>5039</v>
      </c>
    </row>
    <row r="2538" spans="1:12" x14ac:dyDescent="0.35">
      <c r="A2538" t="s">
        <v>116</v>
      </c>
      <c r="B2538" t="s">
        <v>502</v>
      </c>
      <c r="C2538" t="s">
        <v>999</v>
      </c>
      <c r="D2538">
        <v>2.29</v>
      </c>
      <c r="F2538" t="s">
        <v>1784</v>
      </c>
      <c r="H2538" t="s">
        <v>3956</v>
      </c>
      <c r="I2538" t="s">
        <v>4946</v>
      </c>
      <c r="K2538" t="s">
        <v>5037</v>
      </c>
      <c r="L2538" t="s">
        <v>5039</v>
      </c>
    </row>
    <row r="2539" spans="1:12" x14ac:dyDescent="0.35">
      <c r="A2539" t="s">
        <v>116</v>
      </c>
      <c r="B2539" t="s">
        <v>502</v>
      </c>
      <c r="C2539" t="s">
        <v>999</v>
      </c>
      <c r="D2539">
        <v>0.24299999999999999</v>
      </c>
      <c r="F2539" t="s">
        <v>2260</v>
      </c>
      <c r="H2539" t="s">
        <v>3947</v>
      </c>
      <c r="I2539" t="s">
        <v>4946</v>
      </c>
      <c r="K2539" t="s">
        <v>5037</v>
      </c>
      <c r="L2539" t="s">
        <v>5039</v>
      </c>
    </row>
    <row r="2540" spans="1:12" x14ac:dyDescent="0.35">
      <c r="A2540" t="s">
        <v>116</v>
      </c>
      <c r="B2540" t="s">
        <v>502</v>
      </c>
      <c r="C2540" t="s">
        <v>961</v>
      </c>
      <c r="D2540">
        <v>8.56</v>
      </c>
      <c r="F2540" t="s">
        <v>2261</v>
      </c>
      <c r="H2540" t="s">
        <v>3958</v>
      </c>
      <c r="I2540" t="s">
        <v>4890</v>
      </c>
      <c r="K2540" t="s">
        <v>5037</v>
      </c>
      <c r="L2540" t="s">
        <v>5039</v>
      </c>
    </row>
    <row r="2541" spans="1:12" x14ac:dyDescent="0.35">
      <c r="A2541" t="s">
        <v>116</v>
      </c>
      <c r="B2541" t="s">
        <v>502</v>
      </c>
      <c r="C2541" t="s">
        <v>1001</v>
      </c>
      <c r="D2541">
        <v>9.4499999999999993</v>
      </c>
      <c r="F2541" t="s">
        <v>2262</v>
      </c>
      <c r="H2541" t="s">
        <v>3959</v>
      </c>
      <c r="I2541" t="s">
        <v>4959</v>
      </c>
      <c r="K2541" t="s">
        <v>5037</v>
      </c>
      <c r="L2541" t="s">
        <v>5039</v>
      </c>
    </row>
    <row r="2542" spans="1:12" x14ac:dyDescent="0.35">
      <c r="A2542" t="s">
        <v>116</v>
      </c>
      <c r="B2542" t="s">
        <v>502</v>
      </c>
      <c r="C2542" t="s">
        <v>968</v>
      </c>
      <c r="D2542">
        <v>41.4</v>
      </c>
      <c r="F2542" t="s">
        <v>2263</v>
      </c>
      <c r="H2542" t="s">
        <v>3960</v>
      </c>
      <c r="I2542" t="s">
        <v>4960</v>
      </c>
      <c r="K2542" t="s">
        <v>5037</v>
      </c>
      <c r="L2542" t="s">
        <v>5039</v>
      </c>
    </row>
    <row r="2543" spans="1:12" x14ac:dyDescent="0.35">
      <c r="A2543" t="s">
        <v>116</v>
      </c>
      <c r="B2543" t="s">
        <v>502</v>
      </c>
      <c r="C2543" t="s">
        <v>961</v>
      </c>
      <c r="D2543">
        <v>9.0299999999999994</v>
      </c>
      <c r="F2543" t="s">
        <v>2264</v>
      </c>
      <c r="H2543" t="s">
        <v>3961</v>
      </c>
      <c r="I2543" t="s">
        <v>4890</v>
      </c>
      <c r="K2543" t="s">
        <v>5037</v>
      </c>
      <c r="L2543" t="s">
        <v>5039</v>
      </c>
    </row>
    <row r="2544" spans="1:12" x14ac:dyDescent="0.35">
      <c r="A2544" t="s">
        <v>116</v>
      </c>
      <c r="B2544" t="s">
        <v>502</v>
      </c>
      <c r="C2544" t="s">
        <v>1002</v>
      </c>
      <c r="D2544">
        <v>24.45</v>
      </c>
      <c r="F2544" t="s">
        <v>2265</v>
      </c>
      <c r="H2544" t="s">
        <v>3962</v>
      </c>
      <c r="I2544" t="s">
        <v>4961</v>
      </c>
      <c r="K2544" t="s">
        <v>5037</v>
      </c>
      <c r="L2544" t="s">
        <v>5039</v>
      </c>
    </row>
    <row r="2545" spans="1:12" x14ac:dyDescent="0.35">
      <c r="A2545" t="s">
        <v>116</v>
      </c>
      <c r="B2545" t="s">
        <v>502</v>
      </c>
      <c r="C2545" t="s">
        <v>1002</v>
      </c>
      <c r="D2545">
        <v>37.549999999999997</v>
      </c>
      <c r="F2545" t="s">
        <v>2266</v>
      </c>
      <c r="H2545" t="s">
        <v>3963</v>
      </c>
      <c r="I2545" t="s">
        <v>4961</v>
      </c>
      <c r="K2545" t="s">
        <v>5037</v>
      </c>
      <c r="L2545" t="s">
        <v>5039</v>
      </c>
    </row>
    <row r="2546" spans="1:12" x14ac:dyDescent="0.35">
      <c r="A2546" t="s">
        <v>116</v>
      </c>
      <c r="B2546" t="s">
        <v>502</v>
      </c>
      <c r="C2546" t="s">
        <v>1000</v>
      </c>
      <c r="D2546">
        <v>42.74</v>
      </c>
      <c r="F2546" t="s">
        <v>2267</v>
      </c>
      <c r="H2546" t="s">
        <v>3960</v>
      </c>
      <c r="I2546" t="s">
        <v>4960</v>
      </c>
      <c r="K2546" t="s">
        <v>5037</v>
      </c>
      <c r="L2546" t="s">
        <v>5039</v>
      </c>
    </row>
    <row r="2547" spans="1:12" x14ac:dyDescent="0.35">
      <c r="A2547" t="s">
        <v>116</v>
      </c>
      <c r="B2547" t="s">
        <v>502</v>
      </c>
      <c r="C2547" t="s">
        <v>1003</v>
      </c>
      <c r="D2547">
        <v>37.65</v>
      </c>
      <c r="F2547" t="s">
        <v>2268</v>
      </c>
      <c r="H2547" t="s">
        <v>3960</v>
      </c>
      <c r="I2547" t="s">
        <v>4960</v>
      </c>
      <c r="K2547" t="s">
        <v>5037</v>
      </c>
      <c r="L2547" t="s">
        <v>5039</v>
      </c>
    </row>
    <row r="2548" spans="1:12" x14ac:dyDescent="0.35">
      <c r="A2548" t="s">
        <v>116</v>
      </c>
      <c r="B2548" t="s">
        <v>502</v>
      </c>
      <c r="C2548" t="s">
        <v>965</v>
      </c>
      <c r="D2548">
        <v>71.98</v>
      </c>
      <c r="F2548" t="s">
        <v>2269</v>
      </c>
      <c r="H2548" t="s">
        <v>3960</v>
      </c>
      <c r="I2548" t="s">
        <v>4960</v>
      </c>
      <c r="K2548" t="s">
        <v>5037</v>
      </c>
      <c r="L2548" t="s">
        <v>5039</v>
      </c>
    </row>
    <row r="2549" spans="1:12" x14ac:dyDescent="0.35">
      <c r="A2549" t="s">
        <v>116</v>
      </c>
      <c r="B2549" t="s">
        <v>502</v>
      </c>
      <c r="C2549" t="s">
        <v>1004</v>
      </c>
      <c r="D2549">
        <v>88.32</v>
      </c>
      <c r="F2549" t="s">
        <v>2270</v>
      </c>
      <c r="H2549" t="s">
        <v>3960</v>
      </c>
      <c r="I2549" t="s">
        <v>4960</v>
      </c>
      <c r="K2549" t="s">
        <v>5037</v>
      </c>
      <c r="L2549" t="s">
        <v>5039</v>
      </c>
    </row>
    <row r="2550" spans="1:12" x14ac:dyDescent="0.35">
      <c r="A2550" t="s">
        <v>116</v>
      </c>
      <c r="B2550" t="s">
        <v>502</v>
      </c>
      <c r="C2550" t="s">
        <v>961</v>
      </c>
      <c r="D2550">
        <v>5.7</v>
      </c>
      <c r="F2550" t="s">
        <v>1476</v>
      </c>
      <c r="H2550" t="s">
        <v>3964</v>
      </c>
      <c r="I2550" t="s">
        <v>4890</v>
      </c>
      <c r="K2550" t="s">
        <v>5037</v>
      </c>
      <c r="L2550" t="s">
        <v>5039</v>
      </c>
    </row>
    <row r="2551" spans="1:12" x14ac:dyDescent="0.35">
      <c r="A2551" t="s">
        <v>116</v>
      </c>
      <c r="B2551" t="s">
        <v>502</v>
      </c>
      <c r="C2551" t="s">
        <v>961</v>
      </c>
      <c r="D2551">
        <v>17</v>
      </c>
      <c r="F2551" t="s">
        <v>1383</v>
      </c>
      <c r="H2551" t="s">
        <v>3965</v>
      </c>
      <c r="I2551" t="s">
        <v>4946</v>
      </c>
      <c r="K2551" t="s">
        <v>5037</v>
      </c>
      <c r="L2551" t="s">
        <v>5039</v>
      </c>
    </row>
    <row r="2552" spans="1:12" x14ac:dyDescent="0.35">
      <c r="A2552" t="s">
        <v>116</v>
      </c>
      <c r="B2552" t="s">
        <v>502</v>
      </c>
      <c r="C2552" t="s">
        <v>961</v>
      </c>
      <c r="D2552">
        <v>12</v>
      </c>
      <c r="F2552" t="s">
        <v>1450</v>
      </c>
      <c r="H2552" t="s">
        <v>3966</v>
      </c>
      <c r="I2552" t="s">
        <v>4909</v>
      </c>
      <c r="K2552" t="s">
        <v>5037</v>
      </c>
      <c r="L2552" t="s">
        <v>5039</v>
      </c>
    </row>
    <row r="2553" spans="1:12" x14ac:dyDescent="0.35">
      <c r="A2553" t="s">
        <v>116</v>
      </c>
      <c r="B2553" t="s">
        <v>502</v>
      </c>
      <c r="C2553" t="s">
        <v>961</v>
      </c>
      <c r="D2553">
        <v>13</v>
      </c>
      <c r="F2553" t="s">
        <v>1454</v>
      </c>
      <c r="H2553" t="s">
        <v>3967</v>
      </c>
      <c r="I2553" t="s">
        <v>4884</v>
      </c>
      <c r="K2553" t="s">
        <v>5037</v>
      </c>
      <c r="L2553" t="s">
        <v>5039</v>
      </c>
    </row>
    <row r="2554" spans="1:12" x14ac:dyDescent="0.35">
      <c r="A2554" t="s">
        <v>116</v>
      </c>
      <c r="B2554" t="s">
        <v>317</v>
      </c>
      <c r="C2554" t="s">
        <v>961</v>
      </c>
      <c r="D2554">
        <v>7.75</v>
      </c>
      <c r="F2554" t="s">
        <v>2271</v>
      </c>
      <c r="H2554" t="s">
        <v>3968</v>
      </c>
      <c r="I2554" t="s">
        <v>4962</v>
      </c>
      <c r="K2554" t="s">
        <v>5037</v>
      </c>
      <c r="L2554" t="s">
        <v>5039</v>
      </c>
    </row>
    <row r="2555" spans="1:12" x14ac:dyDescent="0.35">
      <c r="A2555" t="s">
        <v>116</v>
      </c>
      <c r="B2555" t="s">
        <v>509</v>
      </c>
      <c r="C2555" t="s">
        <v>1005</v>
      </c>
      <c r="D2555">
        <v>3.8</v>
      </c>
      <c r="F2555" t="s">
        <v>1388</v>
      </c>
      <c r="H2555" t="s">
        <v>3969</v>
      </c>
      <c r="I2555" t="s">
        <v>4963</v>
      </c>
      <c r="K2555" t="s">
        <v>5037</v>
      </c>
      <c r="L2555" t="s">
        <v>5039</v>
      </c>
    </row>
    <row r="2556" spans="1:12" x14ac:dyDescent="0.35">
      <c r="A2556" t="s">
        <v>116</v>
      </c>
      <c r="B2556" t="s">
        <v>509</v>
      </c>
      <c r="C2556" t="s">
        <v>1005</v>
      </c>
      <c r="D2556">
        <v>17.8</v>
      </c>
      <c r="F2556" t="s">
        <v>2272</v>
      </c>
      <c r="H2556" t="s">
        <v>3970</v>
      </c>
      <c r="I2556" t="s">
        <v>4963</v>
      </c>
      <c r="K2556" t="s">
        <v>5037</v>
      </c>
      <c r="L2556" t="s">
        <v>5039</v>
      </c>
    </row>
    <row r="2557" spans="1:12" x14ac:dyDescent="0.35">
      <c r="A2557" t="s">
        <v>116</v>
      </c>
      <c r="B2557" t="s">
        <v>509</v>
      </c>
      <c r="C2557" t="s">
        <v>1006</v>
      </c>
      <c r="D2557">
        <v>26.9</v>
      </c>
      <c r="F2557" t="s">
        <v>2273</v>
      </c>
      <c r="H2557" t="s">
        <v>3971</v>
      </c>
      <c r="I2557" t="s">
        <v>4963</v>
      </c>
      <c r="K2557" t="s">
        <v>5037</v>
      </c>
      <c r="L2557" t="s">
        <v>5039</v>
      </c>
    </row>
    <row r="2558" spans="1:12" x14ac:dyDescent="0.35">
      <c r="A2558" t="s">
        <v>116</v>
      </c>
      <c r="B2558" t="s">
        <v>509</v>
      </c>
      <c r="C2558" t="s">
        <v>1007</v>
      </c>
      <c r="D2558">
        <v>6.71</v>
      </c>
      <c r="F2558" t="s">
        <v>2274</v>
      </c>
      <c r="H2558" t="s">
        <v>3970</v>
      </c>
      <c r="I2558" t="s">
        <v>4963</v>
      </c>
      <c r="K2558" t="s">
        <v>5037</v>
      </c>
      <c r="L2558" t="s">
        <v>5039</v>
      </c>
    </row>
    <row r="2559" spans="1:12" x14ac:dyDescent="0.35">
      <c r="A2559" t="s">
        <v>116</v>
      </c>
      <c r="B2559" t="s">
        <v>509</v>
      </c>
      <c r="C2559" t="s">
        <v>1005</v>
      </c>
      <c r="D2559">
        <v>34.9</v>
      </c>
      <c r="F2559" t="s">
        <v>2275</v>
      </c>
      <c r="H2559" t="s">
        <v>3972</v>
      </c>
      <c r="I2559" t="s">
        <v>4963</v>
      </c>
      <c r="K2559" t="s">
        <v>5037</v>
      </c>
      <c r="L2559" t="s">
        <v>5039</v>
      </c>
    </row>
    <row r="2560" spans="1:12" x14ac:dyDescent="0.35">
      <c r="A2560" t="s">
        <v>116</v>
      </c>
      <c r="B2560" t="s">
        <v>368</v>
      </c>
      <c r="C2560" t="s">
        <v>1008</v>
      </c>
      <c r="D2560">
        <v>0.1</v>
      </c>
      <c r="F2560" t="s">
        <v>1309</v>
      </c>
      <c r="H2560" t="s">
        <v>3973</v>
      </c>
      <c r="I2560" t="s">
        <v>4964</v>
      </c>
      <c r="K2560" t="s">
        <v>5037</v>
      </c>
      <c r="L2560" t="s">
        <v>5039</v>
      </c>
    </row>
    <row r="2561" spans="1:12" x14ac:dyDescent="0.35">
      <c r="A2561" t="s">
        <v>116</v>
      </c>
      <c r="B2561" t="s">
        <v>368</v>
      </c>
      <c r="C2561" t="s">
        <v>709</v>
      </c>
      <c r="D2561">
        <v>1.3</v>
      </c>
      <c r="F2561" t="s">
        <v>1358</v>
      </c>
      <c r="H2561" t="s">
        <v>3974</v>
      </c>
      <c r="I2561" t="s">
        <v>2328</v>
      </c>
      <c r="K2561" t="s">
        <v>5037</v>
      </c>
      <c r="L2561" t="s">
        <v>5039</v>
      </c>
    </row>
    <row r="2562" spans="1:12" x14ac:dyDescent="0.35">
      <c r="A2562" t="s">
        <v>116</v>
      </c>
      <c r="B2562" t="s">
        <v>368</v>
      </c>
      <c r="C2562" t="s">
        <v>709</v>
      </c>
      <c r="D2562">
        <v>1</v>
      </c>
      <c r="F2562" t="s">
        <v>1317</v>
      </c>
      <c r="H2562" t="s">
        <v>3975</v>
      </c>
      <c r="I2562" t="s">
        <v>2328</v>
      </c>
      <c r="K2562" t="s">
        <v>5037</v>
      </c>
      <c r="L2562" t="s">
        <v>5039</v>
      </c>
    </row>
    <row r="2563" spans="1:12" x14ac:dyDescent="0.35">
      <c r="A2563" t="s">
        <v>116</v>
      </c>
      <c r="B2563" t="s">
        <v>368</v>
      </c>
      <c r="C2563" t="s">
        <v>855</v>
      </c>
      <c r="D2563">
        <v>0.36399999999999999</v>
      </c>
      <c r="F2563" t="s">
        <v>1574</v>
      </c>
      <c r="H2563" t="s">
        <v>3976</v>
      </c>
      <c r="I2563" t="s">
        <v>4964</v>
      </c>
      <c r="K2563" t="s">
        <v>5037</v>
      </c>
      <c r="L2563" t="s">
        <v>5039</v>
      </c>
    </row>
    <row r="2564" spans="1:12" x14ac:dyDescent="0.35">
      <c r="A2564" t="s">
        <v>116</v>
      </c>
      <c r="B2564" t="s">
        <v>368</v>
      </c>
      <c r="C2564" t="s">
        <v>951</v>
      </c>
      <c r="D2564">
        <v>3.1</v>
      </c>
      <c r="F2564" t="s">
        <v>1374</v>
      </c>
      <c r="H2564" t="s">
        <v>3977</v>
      </c>
      <c r="I2564" t="s">
        <v>2328</v>
      </c>
      <c r="K2564" t="s">
        <v>5037</v>
      </c>
      <c r="L2564" t="s">
        <v>5039</v>
      </c>
    </row>
    <row r="2565" spans="1:12" x14ac:dyDescent="0.35">
      <c r="A2565" t="s">
        <v>116</v>
      </c>
      <c r="B2565" t="s">
        <v>368</v>
      </c>
      <c r="C2565" t="s">
        <v>709</v>
      </c>
      <c r="D2565">
        <v>1.8</v>
      </c>
      <c r="F2565" t="s">
        <v>1375</v>
      </c>
      <c r="H2565" t="s">
        <v>3978</v>
      </c>
      <c r="I2565" t="s">
        <v>2328</v>
      </c>
      <c r="K2565" t="s">
        <v>5037</v>
      </c>
      <c r="L2565" t="s">
        <v>5039</v>
      </c>
    </row>
    <row r="2566" spans="1:12" x14ac:dyDescent="0.35">
      <c r="A2566" t="s">
        <v>116</v>
      </c>
      <c r="B2566" t="s">
        <v>368</v>
      </c>
      <c r="C2566" t="s">
        <v>709</v>
      </c>
      <c r="D2566">
        <v>10</v>
      </c>
      <c r="F2566" t="s">
        <v>1533</v>
      </c>
      <c r="H2566" t="s">
        <v>3979</v>
      </c>
      <c r="I2566" t="s">
        <v>2328</v>
      </c>
      <c r="K2566" t="s">
        <v>5037</v>
      </c>
      <c r="L2566" t="s">
        <v>5039</v>
      </c>
    </row>
    <row r="2567" spans="1:12" x14ac:dyDescent="0.35">
      <c r="A2567" t="s">
        <v>116</v>
      </c>
      <c r="B2567" t="s">
        <v>368</v>
      </c>
      <c r="C2567" t="s">
        <v>1008</v>
      </c>
      <c r="D2567">
        <v>8.5999999999999993E-2</v>
      </c>
      <c r="F2567" t="s">
        <v>1582</v>
      </c>
      <c r="H2567" t="s">
        <v>3980</v>
      </c>
      <c r="I2567" t="s">
        <v>4964</v>
      </c>
      <c r="K2567" t="s">
        <v>5037</v>
      </c>
      <c r="L2567" t="s">
        <v>5039</v>
      </c>
    </row>
    <row r="2568" spans="1:12" x14ac:dyDescent="0.35">
      <c r="A2568" t="s">
        <v>116</v>
      </c>
      <c r="B2568" t="s">
        <v>368</v>
      </c>
      <c r="C2568" t="s">
        <v>1009</v>
      </c>
      <c r="D2568">
        <v>6.6000000000000003E-2</v>
      </c>
      <c r="F2568" t="s">
        <v>1623</v>
      </c>
      <c r="H2568" t="s">
        <v>3981</v>
      </c>
      <c r="I2568" t="s">
        <v>4964</v>
      </c>
      <c r="K2568" t="s">
        <v>5037</v>
      </c>
      <c r="L2568" t="s">
        <v>5039</v>
      </c>
    </row>
    <row r="2569" spans="1:12" x14ac:dyDescent="0.35">
      <c r="A2569" t="s">
        <v>116</v>
      </c>
      <c r="B2569" t="s">
        <v>368</v>
      </c>
      <c r="C2569" t="s">
        <v>951</v>
      </c>
      <c r="D2569">
        <v>6.8</v>
      </c>
      <c r="F2569" t="s">
        <v>1381</v>
      </c>
      <c r="H2569" t="s">
        <v>3982</v>
      </c>
      <c r="I2569" t="s">
        <v>2328</v>
      </c>
      <c r="K2569" t="s">
        <v>5037</v>
      </c>
      <c r="L2569" t="s">
        <v>5039</v>
      </c>
    </row>
    <row r="2570" spans="1:12" x14ac:dyDescent="0.35">
      <c r="A2570" t="s">
        <v>116</v>
      </c>
      <c r="B2570" t="s">
        <v>368</v>
      </c>
      <c r="C2570" t="s">
        <v>709</v>
      </c>
      <c r="D2570">
        <v>8.3000000000000007</v>
      </c>
      <c r="F2570" t="s">
        <v>1382</v>
      </c>
      <c r="H2570" t="s">
        <v>3983</v>
      </c>
      <c r="I2570" t="s">
        <v>2328</v>
      </c>
      <c r="K2570" t="s">
        <v>5037</v>
      </c>
      <c r="L2570" t="s">
        <v>5039</v>
      </c>
    </row>
    <row r="2571" spans="1:12" x14ac:dyDescent="0.35">
      <c r="A2571" t="s">
        <v>116</v>
      </c>
      <c r="B2571" t="s">
        <v>368</v>
      </c>
      <c r="C2571" t="s">
        <v>709</v>
      </c>
      <c r="D2571">
        <v>1.1000000000000001</v>
      </c>
      <c r="F2571" t="s">
        <v>1505</v>
      </c>
      <c r="H2571" t="s">
        <v>3984</v>
      </c>
      <c r="I2571" t="s">
        <v>4965</v>
      </c>
      <c r="K2571" t="s">
        <v>5037</v>
      </c>
      <c r="L2571" t="s">
        <v>5039</v>
      </c>
    </row>
    <row r="2572" spans="1:12" x14ac:dyDescent="0.35">
      <c r="A2572" t="s">
        <v>116</v>
      </c>
      <c r="B2572" t="s">
        <v>368</v>
      </c>
      <c r="C2572" t="s">
        <v>951</v>
      </c>
      <c r="D2572">
        <v>5.4</v>
      </c>
      <c r="F2572" t="s">
        <v>1384</v>
      </c>
      <c r="H2572" t="s">
        <v>3985</v>
      </c>
      <c r="I2572" t="s">
        <v>2328</v>
      </c>
      <c r="K2572" t="s">
        <v>5037</v>
      </c>
      <c r="L2572" t="s">
        <v>5039</v>
      </c>
    </row>
    <row r="2573" spans="1:12" x14ac:dyDescent="0.35">
      <c r="A2573" t="s">
        <v>116</v>
      </c>
      <c r="B2573" t="s">
        <v>368</v>
      </c>
      <c r="C2573" t="s">
        <v>951</v>
      </c>
      <c r="D2573">
        <v>4.2</v>
      </c>
      <c r="F2573" t="s">
        <v>1868</v>
      </c>
      <c r="H2573" t="s">
        <v>3986</v>
      </c>
      <c r="I2573" t="s">
        <v>2328</v>
      </c>
      <c r="K2573" t="s">
        <v>5037</v>
      </c>
      <c r="L2573" t="s">
        <v>5039</v>
      </c>
    </row>
    <row r="2574" spans="1:12" x14ac:dyDescent="0.35">
      <c r="A2574" t="s">
        <v>116</v>
      </c>
      <c r="B2574" t="s">
        <v>368</v>
      </c>
      <c r="C2574" t="s">
        <v>979</v>
      </c>
      <c r="D2574">
        <v>0.108</v>
      </c>
      <c r="F2574" t="s">
        <v>1507</v>
      </c>
      <c r="H2574" t="s">
        <v>3976</v>
      </c>
      <c r="I2574" t="s">
        <v>4964</v>
      </c>
      <c r="K2574" t="s">
        <v>5037</v>
      </c>
      <c r="L2574" t="s">
        <v>5039</v>
      </c>
    </row>
    <row r="2575" spans="1:12" x14ac:dyDescent="0.35">
      <c r="A2575" t="s">
        <v>116</v>
      </c>
      <c r="B2575" t="s">
        <v>368</v>
      </c>
      <c r="C2575" t="s">
        <v>961</v>
      </c>
      <c r="D2575">
        <v>0.91</v>
      </c>
      <c r="F2575" t="s">
        <v>1874</v>
      </c>
      <c r="H2575" t="s">
        <v>3976</v>
      </c>
      <c r="I2575" t="s">
        <v>4964</v>
      </c>
      <c r="K2575" t="s">
        <v>5037</v>
      </c>
      <c r="L2575" t="s">
        <v>5039</v>
      </c>
    </row>
    <row r="2576" spans="1:12" x14ac:dyDescent="0.35">
      <c r="A2576" t="s">
        <v>116</v>
      </c>
      <c r="B2576" t="s">
        <v>368</v>
      </c>
      <c r="C2576" t="s">
        <v>951</v>
      </c>
      <c r="D2576">
        <v>6</v>
      </c>
      <c r="F2576" t="s">
        <v>1766</v>
      </c>
      <c r="H2576" t="s">
        <v>3987</v>
      </c>
      <c r="I2576" t="s">
        <v>2328</v>
      </c>
      <c r="K2576" t="s">
        <v>5037</v>
      </c>
      <c r="L2576" t="s">
        <v>5039</v>
      </c>
    </row>
    <row r="2577" spans="1:12" x14ac:dyDescent="0.35">
      <c r="A2577" t="s">
        <v>116</v>
      </c>
      <c r="B2577" t="s">
        <v>368</v>
      </c>
      <c r="C2577" t="s">
        <v>951</v>
      </c>
      <c r="D2577">
        <v>8.1999999999999993</v>
      </c>
      <c r="F2577" t="s">
        <v>1527</v>
      </c>
      <c r="H2577" t="s">
        <v>3988</v>
      </c>
      <c r="I2577" t="s">
        <v>2328</v>
      </c>
      <c r="K2577" t="s">
        <v>5037</v>
      </c>
      <c r="L2577" t="s">
        <v>5039</v>
      </c>
    </row>
    <row r="2578" spans="1:12" x14ac:dyDescent="0.35">
      <c r="A2578" t="s">
        <v>116</v>
      </c>
      <c r="B2578" t="s">
        <v>368</v>
      </c>
      <c r="C2578" t="s">
        <v>951</v>
      </c>
      <c r="D2578">
        <v>7.2</v>
      </c>
      <c r="F2578" t="s">
        <v>1853</v>
      </c>
      <c r="H2578" t="s">
        <v>3989</v>
      </c>
      <c r="I2578" t="s">
        <v>4965</v>
      </c>
      <c r="K2578" t="s">
        <v>5037</v>
      </c>
      <c r="L2578" t="s">
        <v>5039</v>
      </c>
    </row>
    <row r="2579" spans="1:12" x14ac:dyDescent="0.35">
      <c r="A2579" t="s">
        <v>116</v>
      </c>
      <c r="B2579" t="s">
        <v>368</v>
      </c>
      <c r="C2579" t="s">
        <v>709</v>
      </c>
      <c r="D2579">
        <v>10.199999999999999</v>
      </c>
      <c r="F2579" t="s">
        <v>1581</v>
      </c>
      <c r="H2579" t="s">
        <v>3990</v>
      </c>
      <c r="I2579" t="s">
        <v>2328</v>
      </c>
      <c r="K2579" t="s">
        <v>5037</v>
      </c>
      <c r="L2579" t="s">
        <v>5039</v>
      </c>
    </row>
    <row r="2580" spans="1:12" x14ac:dyDescent="0.35">
      <c r="A2580" t="s">
        <v>116</v>
      </c>
      <c r="B2580" t="s">
        <v>368</v>
      </c>
      <c r="C2580" t="s">
        <v>985</v>
      </c>
      <c r="D2580">
        <v>39.799999999999997</v>
      </c>
      <c r="F2580" t="s">
        <v>2276</v>
      </c>
      <c r="H2580" t="s">
        <v>3991</v>
      </c>
      <c r="I2580" t="s">
        <v>4966</v>
      </c>
      <c r="K2580" t="s">
        <v>5037</v>
      </c>
      <c r="L2580" t="s">
        <v>5039</v>
      </c>
    </row>
    <row r="2581" spans="1:12" x14ac:dyDescent="0.35">
      <c r="A2581" t="s">
        <v>116</v>
      </c>
      <c r="B2581" t="s">
        <v>368</v>
      </c>
      <c r="C2581" t="s">
        <v>951</v>
      </c>
      <c r="D2581">
        <v>10.9</v>
      </c>
      <c r="F2581" t="s">
        <v>2277</v>
      </c>
      <c r="H2581" t="s">
        <v>3992</v>
      </c>
      <c r="I2581" t="s">
        <v>2328</v>
      </c>
      <c r="K2581" t="s">
        <v>5037</v>
      </c>
      <c r="L2581" t="s">
        <v>5039</v>
      </c>
    </row>
    <row r="2582" spans="1:12" x14ac:dyDescent="0.35">
      <c r="A2582" t="s">
        <v>116</v>
      </c>
      <c r="B2582" t="s">
        <v>368</v>
      </c>
      <c r="C2582" t="s">
        <v>961</v>
      </c>
      <c r="D2582">
        <v>2.95</v>
      </c>
      <c r="F2582" t="s">
        <v>2278</v>
      </c>
      <c r="H2582" t="s">
        <v>3991</v>
      </c>
      <c r="I2582" t="s">
        <v>4966</v>
      </c>
      <c r="K2582" t="s">
        <v>5037</v>
      </c>
      <c r="L2582" t="s">
        <v>5039</v>
      </c>
    </row>
    <row r="2583" spans="1:12" x14ac:dyDescent="0.35">
      <c r="A2583" t="s">
        <v>116</v>
      </c>
      <c r="B2583" t="s">
        <v>368</v>
      </c>
      <c r="C2583" t="s">
        <v>709</v>
      </c>
      <c r="D2583">
        <v>9.6999999999999993</v>
      </c>
      <c r="F2583" t="s">
        <v>2023</v>
      </c>
      <c r="H2583" t="s">
        <v>3993</v>
      </c>
      <c r="I2583" t="s">
        <v>2328</v>
      </c>
      <c r="K2583" t="s">
        <v>5037</v>
      </c>
      <c r="L2583" t="s">
        <v>5039</v>
      </c>
    </row>
    <row r="2584" spans="1:12" x14ac:dyDescent="0.35">
      <c r="A2584" t="s">
        <v>116</v>
      </c>
      <c r="B2584" t="s">
        <v>368</v>
      </c>
      <c r="C2584" t="s">
        <v>709</v>
      </c>
      <c r="D2584">
        <v>0.23899999999999999</v>
      </c>
      <c r="F2584" t="s">
        <v>2068</v>
      </c>
      <c r="H2584" t="s">
        <v>3976</v>
      </c>
      <c r="I2584" t="s">
        <v>4964</v>
      </c>
      <c r="K2584" t="s">
        <v>5037</v>
      </c>
      <c r="L2584" t="s">
        <v>5039</v>
      </c>
    </row>
    <row r="2585" spans="1:12" x14ac:dyDescent="0.35">
      <c r="A2585" t="s">
        <v>116</v>
      </c>
      <c r="B2585" t="s">
        <v>368</v>
      </c>
      <c r="C2585" t="s">
        <v>951</v>
      </c>
      <c r="D2585">
        <v>10.1</v>
      </c>
      <c r="F2585" t="s">
        <v>1692</v>
      </c>
      <c r="H2585" t="s">
        <v>3994</v>
      </c>
      <c r="I2585" t="s">
        <v>2328</v>
      </c>
      <c r="K2585" t="s">
        <v>5037</v>
      </c>
      <c r="L2585" t="s">
        <v>5039</v>
      </c>
    </row>
    <row r="2586" spans="1:12" x14ac:dyDescent="0.35">
      <c r="A2586" t="s">
        <v>116</v>
      </c>
      <c r="B2586" t="s">
        <v>368</v>
      </c>
      <c r="C2586" t="s">
        <v>709</v>
      </c>
      <c r="D2586">
        <v>14.8</v>
      </c>
      <c r="F2586" t="s">
        <v>1666</v>
      </c>
      <c r="H2586" t="s">
        <v>3995</v>
      </c>
      <c r="I2586" t="s">
        <v>2328</v>
      </c>
      <c r="K2586" t="s">
        <v>5037</v>
      </c>
      <c r="L2586" t="s">
        <v>5039</v>
      </c>
    </row>
    <row r="2587" spans="1:12" x14ac:dyDescent="0.35">
      <c r="A2587" t="s">
        <v>116</v>
      </c>
      <c r="B2587" t="s">
        <v>368</v>
      </c>
      <c r="C2587" t="s">
        <v>951</v>
      </c>
      <c r="D2587">
        <v>6.9</v>
      </c>
      <c r="F2587" t="s">
        <v>1411</v>
      </c>
      <c r="H2587" t="s">
        <v>3996</v>
      </c>
      <c r="I2587" t="s">
        <v>4965</v>
      </c>
      <c r="K2587" t="s">
        <v>5037</v>
      </c>
      <c r="L2587" t="s">
        <v>5039</v>
      </c>
    </row>
    <row r="2588" spans="1:12" x14ac:dyDescent="0.35">
      <c r="A2588" t="s">
        <v>116</v>
      </c>
      <c r="B2588" t="s">
        <v>368</v>
      </c>
      <c r="C2588" t="s">
        <v>951</v>
      </c>
      <c r="D2588">
        <v>16.5</v>
      </c>
      <c r="F2588" t="s">
        <v>2279</v>
      </c>
      <c r="H2588" t="s">
        <v>3997</v>
      </c>
      <c r="I2588" t="s">
        <v>2328</v>
      </c>
      <c r="K2588" t="s">
        <v>5037</v>
      </c>
      <c r="L2588" t="s">
        <v>5039</v>
      </c>
    </row>
    <row r="2589" spans="1:12" x14ac:dyDescent="0.35">
      <c r="A2589" t="s">
        <v>116</v>
      </c>
      <c r="B2589" t="s">
        <v>368</v>
      </c>
      <c r="C2589" t="s">
        <v>1010</v>
      </c>
      <c r="D2589">
        <v>1.26</v>
      </c>
      <c r="F2589" t="s">
        <v>2020</v>
      </c>
      <c r="H2589" t="s">
        <v>3991</v>
      </c>
      <c r="I2589" t="s">
        <v>4966</v>
      </c>
      <c r="K2589" t="s">
        <v>5037</v>
      </c>
      <c r="L2589" t="s">
        <v>5039</v>
      </c>
    </row>
    <row r="2590" spans="1:12" x14ac:dyDescent="0.35">
      <c r="A2590" t="s">
        <v>116</v>
      </c>
      <c r="B2590" t="s">
        <v>368</v>
      </c>
      <c r="C2590" t="s">
        <v>951</v>
      </c>
      <c r="D2590">
        <v>12.9</v>
      </c>
      <c r="F2590" t="s">
        <v>2280</v>
      </c>
      <c r="H2590" t="s">
        <v>3998</v>
      </c>
      <c r="I2590" t="s">
        <v>2328</v>
      </c>
      <c r="K2590" t="s">
        <v>5037</v>
      </c>
      <c r="L2590" t="s">
        <v>5039</v>
      </c>
    </row>
    <row r="2591" spans="1:12" x14ac:dyDescent="0.35">
      <c r="A2591" t="s">
        <v>116</v>
      </c>
      <c r="B2591" t="s">
        <v>368</v>
      </c>
      <c r="C2591" t="s">
        <v>955</v>
      </c>
      <c r="D2591">
        <v>2.4500000000000002</v>
      </c>
      <c r="F2591" t="s">
        <v>1446</v>
      </c>
      <c r="H2591" t="s">
        <v>3991</v>
      </c>
      <c r="I2591" t="s">
        <v>4966</v>
      </c>
      <c r="K2591" t="s">
        <v>5037</v>
      </c>
      <c r="L2591" t="s">
        <v>5039</v>
      </c>
    </row>
    <row r="2592" spans="1:12" x14ac:dyDescent="0.35">
      <c r="A2592" t="s">
        <v>116</v>
      </c>
      <c r="B2592" t="s">
        <v>368</v>
      </c>
      <c r="C2592" t="s">
        <v>970</v>
      </c>
      <c r="D2592">
        <v>0.61099999999999999</v>
      </c>
      <c r="F2592" t="s">
        <v>2281</v>
      </c>
      <c r="H2592" t="s">
        <v>3976</v>
      </c>
      <c r="I2592" t="s">
        <v>4964</v>
      </c>
      <c r="K2592" t="s">
        <v>5037</v>
      </c>
      <c r="L2592" t="s">
        <v>5039</v>
      </c>
    </row>
    <row r="2593" spans="1:12" x14ac:dyDescent="0.35">
      <c r="A2593" t="s">
        <v>116</v>
      </c>
      <c r="B2593" t="s">
        <v>368</v>
      </c>
      <c r="C2593" t="s">
        <v>687</v>
      </c>
      <c r="D2593">
        <v>294.23</v>
      </c>
      <c r="F2593" t="s">
        <v>2282</v>
      </c>
      <c r="H2593" t="s">
        <v>3991</v>
      </c>
      <c r="I2593" t="s">
        <v>4966</v>
      </c>
      <c r="K2593" t="s">
        <v>5037</v>
      </c>
      <c r="L2593" t="s">
        <v>5039</v>
      </c>
    </row>
    <row r="2594" spans="1:12" x14ac:dyDescent="0.35">
      <c r="A2594" t="s">
        <v>116</v>
      </c>
      <c r="B2594" t="s">
        <v>368</v>
      </c>
      <c r="C2594" t="s">
        <v>845</v>
      </c>
      <c r="D2594">
        <v>23.82</v>
      </c>
      <c r="F2594" t="s">
        <v>2283</v>
      </c>
      <c r="H2594" t="s">
        <v>3991</v>
      </c>
      <c r="I2594" t="s">
        <v>4966</v>
      </c>
      <c r="K2594" t="s">
        <v>5037</v>
      </c>
      <c r="L2594" t="s">
        <v>5039</v>
      </c>
    </row>
    <row r="2595" spans="1:12" x14ac:dyDescent="0.35">
      <c r="A2595" t="s">
        <v>116</v>
      </c>
      <c r="B2595" t="s">
        <v>368</v>
      </c>
      <c r="C2595" t="s">
        <v>1011</v>
      </c>
      <c r="D2595">
        <v>568.84</v>
      </c>
      <c r="F2595" t="s">
        <v>2284</v>
      </c>
      <c r="H2595" t="s">
        <v>3991</v>
      </c>
      <c r="I2595" t="s">
        <v>4966</v>
      </c>
      <c r="K2595" t="s">
        <v>5037</v>
      </c>
      <c r="L2595" t="s">
        <v>5039</v>
      </c>
    </row>
    <row r="2596" spans="1:12" x14ac:dyDescent="0.35">
      <c r="A2596" t="s">
        <v>116</v>
      </c>
      <c r="B2596" t="s">
        <v>368</v>
      </c>
      <c r="C2596" t="s">
        <v>1012</v>
      </c>
      <c r="D2596">
        <v>23.64</v>
      </c>
      <c r="F2596" t="s">
        <v>2285</v>
      </c>
      <c r="H2596" t="s">
        <v>3991</v>
      </c>
      <c r="I2596" t="s">
        <v>4966</v>
      </c>
      <c r="K2596" t="s">
        <v>5037</v>
      </c>
      <c r="L2596" t="s">
        <v>5039</v>
      </c>
    </row>
    <row r="2597" spans="1:12" x14ac:dyDescent="0.35">
      <c r="A2597" t="s">
        <v>116</v>
      </c>
      <c r="B2597" t="s">
        <v>368</v>
      </c>
      <c r="C2597" t="s">
        <v>708</v>
      </c>
      <c r="D2597">
        <v>7.1999999999999995E-2</v>
      </c>
      <c r="F2597" t="s">
        <v>1760</v>
      </c>
      <c r="H2597" t="s">
        <v>3999</v>
      </c>
      <c r="I2597" t="s">
        <v>4967</v>
      </c>
      <c r="K2597" t="s">
        <v>5037</v>
      </c>
      <c r="L2597" t="s">
        <v>5039</v>
      </c>
    </row>
    <row r="2598" spans="1:12" x14ac:dyDescent="0.35">
      <c r="A2598" t="s">
        <v>116</v>
      </c>
      <c r="B2598" t="s">
        <v>536</v>
      </c>
      <c r="C2598" t="s">
        <v>961</v>
      </c>
      <c r="D2598">
        <v>3.1</v>
      </c>
      <c r="F2598" t="s">
        <v>1374</v>
      </c>
      <c r="H2598" t="s">
        <v>4000</v>
      </c>
      <c r="I2598" t="s">
        <v>4968</v>
      </c>
      <c r="K2598" t="s">
        <v>5037</v>
      </c>
      <c r="L2598" t="s">
        <v>5039</v>
      </c>
    </row>
    <row r="2599" spans="1:12" x14ac:dyDescent="0.35">
      <c r="A2599" t="s">
        <v>116</v>
      </c>
      <c r="B2599" t="s">
        <v>536</v>
      </c>
      <c r="C2599" t="s">
        <v>709</v>
      </c>
      <c r="D2599">
        <v>0.39</v>
      </c>
      <c r="F2599" t="s">
        <v>1422</v>
      </c>
      <c r="H2599" t="s">
        <v>4001</v>
      </c>
      <c r="I2599" t="s">
        <v>4968</v>
      </c>
      <c r="K2599" t="s">
        <v>5037</v>
      </c>
      <c r="L2599" t="s">
        <v>5039</v>
      </c>
    </row>
    <row r="2600" spans="1:12" x14ac:dyDescent="0.35">
      <c r="A2600" t="s">
        <v>116</v>
      </c>
      <c r="B2600" t="s">
        <v>536</v>
      </c>
      <c r="C2600" t="s">
        <v>1013</v>
      </c>
      <c r="D2600">
        <v>20.3</v>
      </c>
      <c r="F2600" t="s">
        <v>1427</v>
      </c>
      <c r="H2600" t="s">
        <v>4001</v>
      </c>
      <c r="I2600" t="s">
        <v>4968</v>
      </c>
      <c r="K2600" t="s">
        <v>5037</v>
      </c>
      <c r="L2600" t="s">
        <v>5039</v>
      </c>
    </row>
    <row r="2601" spans="1:12" x14ac:dyDescent="0.35">
      <c r="A2601" t="s">
        <v>116</v>
      </c>
      <c r="B2601" t="s">
        <v>536</v>
      </c>
      <c r="C2601" t="s">
        <v>1014</v>
      </c>
      <c r="D2601">
        <v>197</v>
      </c>
      <c r="F2601" t="s">
        <v>2286</v>
      </c>
      <c r="H2601" t="s">
        <v>4001</v>
      </c>
      <c r="I2601" t="s">
        <v>4968</v>
      </c>
      <c r="K2601" t="s">
        <v>5037</v>
      </c>
      <c r="L2601" t="s">
        <v>5039</v>
      </c>
    </row>
    <row r="2602" spans="1:12" x14ac:dyDescent="0.35">
      <c r="A2602" t="s">
        <v>116</v>
      </c>
      <c r="B2602" t="s">
        <v>537</v>
      </c>
      <c r="C2602" t="s">
        <v>1015</v>
      </c>
      <c r="D2602">
        <v>66</v>
      </c>
      <c r="F2602" t="s">
        <v>2226</v>
      </c>
      <c r="H2602" t="s">
        <v>4002</v>
      </c>
      <c r="I2602" t="s">
        <v>4969</v>
      </c>
      <c r="K2602" t="s">
        <v>5037</v>
      </c>
      <c r="L2602" t="s">
        <v>5039</v>
      </c>
    </row>
    <row r="2603" spans="1:12" x14ac:dyDescent="0.35">
      <c r="A2603" t="s">
        <v>116</v>
      </c>
      <c r="B2603" t="s">
        <v>537</v>
      </c>
      <c r="C2603" t="s">
        <v>708</v>
      </c>
      <c r="D2603">
        <v>0.16</v>
      </c>
      <c r="F2603" t="s">
        <v>1573</v>
      </c>
      <c r="H2603" t="s">
        <v>4002</v>
      </c>
      <c r="I2603" t="s">
        <v>4969</v>
      </c>
      <c r="K2603" t="s">
        <v>5037</v>
      </c>
      <c r="L2603" t="s">
        <v>5039</v>
      </c>
    </row>
    <row r="2604" spans="1:12" x14ac:dyDescent="0.35">
      <c r="A2604" t="s">
        <v>116</v>
      </c>
      <c r="B2604" t="s">
        <v>537</v>
      </c>
      <c r="C2604" t="s">
        <v>1016</v>
      </c>
      <c r="D2604">
        <v>1.3</v>
      </c>
      <c r="F2604" t="s">
        <v>1358</v>
      </c>
      <c r="H2604" t="s">
        <v>3426</v>
      </c>
      <c r="I2604" t="s">
        <v>4969</v>
      </c>
      <c r="K2604" t="s">
        <v>5037</v>
      </c>
      <c r="L2604" t="s">
        <v>5039</v>
      </c>
    </row>
    <row r="2605" spans="1:12" x14ac:dyDescent="0.35">
      <c r="A2605" t="s">
        <v>116</v>
      </c>
      <c r="B2605" t="s">
        <v>537</v>
      </c>
      <c r="C2605" t="s">
        <v>1017</v>
      </c>
      <c r="D2605">
        <v>2.4</v>
      </c>
      <c r="F2605" t="s">
        <v>1433</v>
      </c>
      <c r="H2605" t="s">
        <v>3426</v>
      </c>
      <c r="I2605" t="s">
        <v>4969</v>
      </c>
      <c r="K2605" t="s">
        <v>5037</v>
      </c>
      <c r="L2605" t="s">
        <v>5039</v>
      </c>
    </row>
    <row r="2606" spans="1:12" x14ac:dyDescent="0.35">
      <c r="A2606" t="s">
        <v>116</v>
      </c>
      <c r="B2606" t="s">
        <v>537</v>
      </c>
      <c r="C2606" t="s">
        <v>1018</v>
      </c>
      <c r="D2606">
        <v>5.3</v>
      </c>
      <c r="F2606" t="s">
        <v>1671</v>
      </c>
      <c r="H2606" t="s">
        <v>4002</v>
      </c>
      <c r="I2606" t="s">
        <v>4969</v>
      </c>
      <c r="K2606" t="s">
        <v>5037</v>
      </c>
      <c r="L2606" t="s">
        <v>5039</v>
      </c>
    </row>
    <row r="2607" spans="1:12" x14ac:dyDescent="0.35">
      <c r="A2607" t="s">
        <v>116</v>
      </c>
      <c r="B2607" t="s">
        <v>537</v>
      </c>
      <c r="C2607" t="s">
        <v>829</v>
      </c>
      <c r="D2607">
        <v>0.71</v>
      </c>
      <c r="F2607" t="s">
        <v>1941</v>
      </c>
      <c r="H2607" t="s">
        <v>4002</v>
      </c>
      <c r="I2607" t="s">
        <v>4969</v>
      </c>
      <c r="K2607" t="s">
        <v>5037</v>
      </c>
      <c r="L2607" t="s">
        <v>5039</v>
      </c>
    </row>
    <row r="2608" spans="1:12" x14ac:dyDescent="0.35">
      <c r="A2608" t="s">
        <v>116</v>
      </c>
      <c r="B2608" t="s">
        <v>537</v>
      </c>
      <c r="C2608" t="s">
        <v>1019</v>
      </c>
      <c r="D2608">
        <v>2.8</v>
      </c>
      <c r="F2608" t="s">
        <v>1504</v>
      </c>
      <c r="H2608" t="s">
        <v>4002</v>
      </c>
      <c r="I2608" t="s">
        <v>4969</v>
      </c>
      <c r="K2608" t="s">
        <v>5037</v>
      </c>
      <c r="L2608" t="s">
        <v>5039</v>
      </c>
    </row>
    <row r="2609" spans="1:12" x14ac:dyDescent="0.35">
      <c r="A2609" t="s">
        <v>116</v>
      </c>
      <c r="B2609" t="s">
        <v>537</v>
      </c>
      <c r="C2609" t="s">
        <v>1020</v>
      </c>
      <c r="D2609">
        <v>4.2</v>
      </c>
      <c r="F2609" t="s">
        <v>1868</v>
      </c>
      <c r="H2609" t="s">
        <v>4003</v>
      </c>
      <c r="I2609" t="s">
        <v>4969</v>
      </c>
      <c r="K2609" t="s">
        <v>5037</v>
      </c>
      <c r="L2609" t="s">
        <v>5039</v>
      </c>
    </row>
    <row r="2610" spans="1:12" x14ac:dyDescent="0.35">
      <c r="A2610" t="s">
        <v>116</v>
      </c>
      <c r="B2610" t="s">
        <v>537</v>
      </c>
      <c r="C2610" t="s">
        <v>1021</v>
      </c>
      <c r="D2610">
        <v>1.05</v>
      </c>
      <c r="F2610" t="s">
        <v>1717</v>
      </c>
      <c r="H2610" t="s">
        <v>2842</v>
      </c>
      <c r="I2610" t="s">
        <v>4969</v>
      </c>
      <c r="K2610" t="s">
        <v>5037</v>
      </c>
      <c r="L2610" t="s">
        <v>5039</v>
      </c>
    </row>
    <row r="2611" spans="1:12" x14ac:dyDescent="0.35">
      <c r="A2611" t="s">
        <v>116</v>
      </c>
      <c r="B2611" t="s">
        <v>537</v>
      </c>
      <c r="C2611" t="s">
        <v>1022</v>
      </c>
      <c r="D2611">
        <v>6.4</v>
      </c>
      <c r="F2611" t="s">
        <v>1771</v>
      </c>
      <c r="H2611" t="s">
        <v>2842</v>
      </c>
      <c r="I2611" t="s">
        <v>4969</v>
      </c>
      <c r="K2611" t="s">
        <v>5037</v>
      </c>
      <c r="L2611" t="s">
        <v>5039</v>
      </c>
    </row>
    <row r="2612" spans="1:12" x14ac:dyDescent="0.35">
      <c r="A2612" t="s">
        <v>116</v>
      </c>
      <c r="B2612" t="s">
        <v>537</v>
      </c>
      <c r="C2612" t="s">
        <v>709</v>
      </c>
      <c r="D2612">
        <v>0.44</v>
      </c>
      <c r="F2612" t="s">
        <v>1723</v>
      </c>
      <c r="H2612" t="s">
        <v>4003</v>
      </c>
      <c r="I2612" t="s">
        <v>4969</v>
      </c>
      <c r="K2612" t="s">
        <v>5037</v>
      </c>
      <c r="L2612" t="s">
        <v>5039</v>
      </c>
    </row>
    <row r="2613" spans="1:12" x14ac:dyDescent="0.35">
      <c r="A2613" t="s">
        <v>116</v>
      </c>
      <c r="B2613" t="s">
        <v>537</v>
      </c>
      <c r="C2613" t="s">
        <v>902</v>
      </c>
      <c r="D2613">
        <v>12.1</v>
      </c>
      <c r="F2613" t="s">
        <v>2252</v>
      </c>
      <c r="H2613" t="s">
        <v>4002</v>
      </c>
      <c r="I2613" t="s">
        <v>4969</v>
      </c>
      <c r="K2613" t="s">
        <v>5037</v>
      </c>
      <c r="L2613" t="s">
        <v>5039</v>
      </c>
    </row>
    <row r="2614" spans="1:12" x14ac:dyDescent="0.35">
      <c r="A2614" t="s">
        <v>116</v>
      </c>
      <c r="B2614" t="s">
        <v>537</v>
      </c>
      <c r="C2614" t="s">
        <v>1023</v>
      </c>
      <c r="D2614">
        <v>6.5</v>
      </c>
      <c r="F2614" t="s">
        <v>1419</v>
      </c>
      <c r="H2614" t="s">
        <v>4002</v>
      </c>
      <c r="I2614" t="s">
        <v>4969</v>
      </c>
      <c r="K2614" t="s">
        <v>5037</v>
      </c>
      <c r="L2614" t="s">
        <v>5039</v>
      </c>
    </row>
    <row r="2615" spans="1:12" x14ac:dyDescent="0.35">
      <c r="A2615" t="s">
        <v>116</v>
      </c>
      <c r="B2615" t="s">
        <v>537</v>
      </c>
      <c r="C2615" t="s">
        <v>1024</v>
      </c>
      <c r="D2615">
        <v>9.3000000000000007</v>
      </c>
      <c r="F2615" t="s">
        <v>1535</v>
      </c>
      <c r="H2615" t="s">
        <v>4003</v>
      </c>
      <c r="I2615" t="s">
        <v>4969</v>
      </c>
      <c r="K2615" t="s">
        <v>5037</v>
      </c>
      <c r="L2615" t="s">
        <v>5039</v>
      </c>
    </row>
    <row r="2616" spans="1:12" x14ac:dyDescent="0.35">
      <c r="A2616" t="s">
        <v>116</v>
      </c>
      <c r="B2616" t="s">
        <v>537</v>
      </c>
      <c r="C2616" t="s">
        <v>1025</v>
      </c>
      <c r="D2616">
        <v>9.9</v>
      </c>
      <c r="F2616" t="s">
        <v>1392</v>
      </c>
      <c r="H2616" t="s">
        <v>4003</v>
      </c>
      <c r="I2616" t="s">
        <v>4969</v>
      </c>
      <c r="K2616" t="s">
        <v>5037</v>
      </c>
      <c r="L2616" t="s">
        <v>5039</v>
      </c>
    </row>
    <row r="2617" spans="1:12" x14ac:dyDescent="0.35">
      <c r="A2617" t="s">
        <v>116</v>
      </c>
      <c r="B2617" t="s">
        <v>537</v>
      </c>
      <c r="C2617" t="s">
        <v>877</v>
      </c>
      <c r="D2617">
        <v>23.5</v>
      </c>
      <c r="F2617" t="s">
        <v>2287</v>
      </c>
      <c r="H2617" t="s">
        <v>4002</v>
      </c>
      <c r="I2617" t="s">
        <v>4969</v>
      </c>
      <c r="K2617" t="s">
        <v>5037</v>
      </c>
      <c r="L2617" t="s">
        <v>5039</v>
      </c>
    </row>
    <row r="2618" spans="1:12" x14ac:dyDescent="0.35">
      <c r="A2618" t="s">
        <v>116</v>
      </c>
      <c r="B2618" t="s">
        <v>537</v>
      </c>
      <c r="C2618" t="s">
        <v>1026</v>
      </c>
      <c r="D2618">
        <v>0.11</v>
      </c>
      <c r="F2618" t="s">
        <v>1295</v>
      </c>
      <c r="H2618" t="s">
        <v>4004</v>
      </c>
      <c r="I2618" t="s">
        <v>4970</v>
      </c>
      <c r="K2618" t="s">
        <v>5037</v>
      </c>
      <c r="L2618" t="s">
        <v>5039</v>
      </c>
    </row>
    <row r="2619" spans="1:12" x14ac:dyDescent="0.35">
      <c r="A2619" t="s">
        <v>116</v>
      </c>
      <c r="B2619" t="s">
        <v>537</v>
      </c>
      <c r="C2619" t="s">
        <v>906</v>
      </c>
      <c r="D2619">
        <v>0.43</v>
      </c>
      <c r="F2619" t="s">
        <v>1441</v>
      </c>
      <c r="H2619" t="s">
        <v>4004</v>
      </c>
      <c r="I2619" t="s">
        <v>4970</v>
      </c>
      <c r="K2619" t="s">
        <v>5037</v>
      </c>
      <c r="L2619" t="s">
        <v>5039</v>
      </c>
    </row>
    <row r="2620" spans="1:12" x14ac:dyDescent="0.35">
      <c r="A2620" t="s">
        <v>116</v>
      </c>
      <c r="B2620" t="s">
        <v>537</v>
      </c>
      <c r="C2620" t="s">
        <v>1027</v>
      </c>
      <c r="D2620">
        <v>0.81</v>
      </c>
      <c r="F2620" t="s">
        <v>1820</v>
      </c>
      <c r="H2620" t="s">
        <v>4005</v>
      </c>
      <c r="I2620" t="s">
        <v>4970</v>
      </c>
      <c r="K2620" t="s">
        <v>5037</v>
      </c>
      <c r="L2620" t="s">
        <v>5039</v>
      </c>
    </row>
    <row r="2621" spans="1:12" x14ac:dyDescent="0.35">
      <c r="A2621" t="s">
        <v>116</v>
      </c>
      <c r="B2621" t="s">
        <v>537</v>
      </c>
      <c r="C2621" t="s">
        <v>1018</v>
      </c>
      <c r="D2621">
        <v>4.2</v>
      </c>
      <c r="F2621" t="s">
        <v>1868</v>
      </c>
      <c r="H2621" t="s">
        <v>4004</v>
      </c>
      <c r="I2621" t="s">
        <v>4970</v>
      </c>
      <c r="K2621" t="s">
        <v>5037</v>
      </c>
      <c r="L2621" t="s">
        <v>5039</v>
      </c>
    </row>
    <row r="2622" spans="1:12" x14ac:dyDescent="0.35">
      <c r="A2622" t="s">
        <v>116</v>
      </c>
      <c r="B2622" t="s">
        <v>537</v>
      </c>
      <c r="C2622" t="s">
        <v>902</v>
      </c>
      <c r="D2622">
        <v>5</v>
      </c>
      <c r="F2622" t="s">
        <v>1477</v>
      </c>
      <c r="H2622" t="s">
        <v>4004</v>
      </c>
      <c r="I2622" t="s">
        <v>4970</v>
      </c>
      <c r="K2622" t="s">
        <v>5037</v>
      </c>
      <c r="L2622" t="s">
        <v>5039</v>
      </c>
    </row>
    <row r="2623" spans="1:12" x14ac:dyDescent="0.35">
      <c r="A2623" t="s">
        <v>116</v>
      </c>
      <c r="B2623" t="s">
        <v>537</v>
      </c>
      <c r="C2623" t="s">
        <v>1024</v>
      </c>
      <c r="D2623">
        <v>5.0999999999999996</v>
      </c>
      <c r="F2623" t="s">
        <v>1710</v>
      </c>
      <c r="H2623" t="s">
        <v>4005</v>
      </c>
      <c r="I2623" t="s">
        <v>4970</v>
      </c>
      <c r="K2623" t="s">
        <v>5037</v>
      </c>
      <c r="L2623" t="s">
        <v>5039</v>
      </c>
    </row>
    <row r="2624" spans="1:12" x14ac:dyDescent="0.35">
      <c r="A2624" t="s">
        <v>116</v>
      </c>
      <c r="B2624" t="s">
        <v>537</v>
      </c>
      <c r="C2624" t="s">
        <v>1028</v>
      </c>
      <c r="D2624">
        <v>11.9</v>
      </c>
      <c r="F2624" t="s">
        <v>2218</v>
      </c>
      <c r="H2624" t="s">
        <v>4006</v>
      </c>
      <c r="I2624" t="s">
        <v>4970</v>
      </c>
      <c r="K2624" t="s">
        <v>5037</v>
      </c>
      <c r="L2624" t="s">
        <v>5039</v>
      </c>
    </row>
    <row r="2625" spans="1:12" x14ac:dyDescent="0.35">
      <c r="A2625" t="s">
        <v>116</v>
      </c>
      <c r="B2625" t="s">
        <v>537</v>
      </c>
      <c r="C2625" t="s">
        <v>877</v>
      </c>
      <c r="D2625">
        <v>6.3</v>
      </c>
      <c r="F2625" t="s">
        <v>1965</v>
      </c>
      <c r="H2625" t="s">
        <v>4004</v>
      </c>
      <c r="I2625" t="s">
        <v>4970</v>
      </c>
      <c r="K2625" t="s">
        <v>5037</v>
      </c>
      <c r="L2625" t="s">
        <v>5039</v>
      </c>
    </row>
    <row r="2626" spans="1:12" x14ac:dyDescent="0.35">
      <c r="A2626" t="s">
        <v>116</v>
      </c>
      <c r="B2626" t="s">
        <v>537</v>
      </c>
      <c r="C2626" t="s">
        <v>1029</v>
      </c>
      <c r="D2626">
        <v>8.5</v>
      </c>
      <c r="F2626" t="s">
        <v>1528</v>
      </c>
      <c r="H2626" t="s">
        <v>4005</v>
      </c>
      <c r="I2626" t="s">
        <v>4970</v>
      </c>
      <c r="K2626" t="s">
        <v>5037</v>
      </c>
      <c r="L2626" t="s">
        <v>5039</v>
      </c>
    </row>
    <row r="2627" spans="1:12" x14ac:dyDescent="0.35">
      <c r="A2627" t="s">
        <v>116</v>
      </c>
      <c r="B2627" t="s">
        <v>537</v>
      </c>
      <c r="C2627" t="s">
        <v>1030</v>
      </c>
      <c r="D2627">
        <v>8.6999999999999993</v>
      </c>
      <c r="F2627" t="s">
        <v>2288</v>
      </c>
      <c r="H2627" t="s">
        <v>4005</v>
      </c>
      <c r="I2627" t="s">
        <v>4970</v>
      </c>
      <c r="K2627" t="s">
        <v>5037</v>
      </c>
      <c r="L2627" t="s">
        <v>5039</v>
      </c>
    </row>
    <row r="2628" spans="1:12" x14ac:dyDescent="0.35">
      <c r="A2628" t="s">
        <v>116</v>
      </c>
      <c r="B2628" t="s">
        <v>537</v>
      </c>
      <c r="C2628" t="s">
        <v>1031</v>
      </c>
      <c r="D2628">
        <v>16.600000000000001</v>
      </c>
      <c r="F2628" t="s">
        <v>1721</v>
      </c>
      <c r="H2628" t="s">
        <v>4004</v>
      </c>
      <c r="I2628" t="s">
        <v>4970</v>
      </c>
      <c r="K2628" t="s">
        <v>5037</v>
      </c>
      <c r="L2628" t="s">
        <v>5039</v>
      </c>
    </row>
    <row r="2629" spans="1:12" x14ac:dyDescent="0.35">
      <c r="A2629" t="s">
        <v>116</v>
      </c>
      <c r="B2629" t="s">
        <v>538</v>
      </c>
      <c r="C2629" t="s">
        <v>855</v>
      </c>
      <c r="D2629">
        <v>0.67</v>
      </c>
      <c r="F2629" t="s">
        <v>1478</v>
      </c>
      <c r="H2629" t="s">
        <v>4007</v>
      </c>
      <c r="I2629" t="s">
        <v>4971</v>
      </c>
      <c r="K2629" t="s">
        <v>5037</v>
      </c>
      <c r="L2629" t="s">
        <v>5039</v>
      </c>
    </row>
    <row r="2630" spans="1:12" x14ac:dyDescent="0.35">
      <c r="A2630" t="s">
        <v>116</v>
      </c>
      <c r="B2630" t="s">
        <v>539</v>
      </c>
      <c r="C2630" t="s">
        <v>967</v>
      </c>
      <c r="D2630">
        <v>0.6</v>
      </c>
      <c r="F2630" t="s">
        <v>1519</v>
      </c>
      <c r="H2630" t="s">
        <v>4008</v>
      </c>
      <c r="I2630" t="s">
        <v>2211</v>
      </c>
      <c r="K2630" t="s">
        <v>5037</v>
      </c>
      <c r="L2630" t="s">
        <v>5039</v>
      </c>
    </row>
    <row r="2631" spans="1:12" x14ac:dyDescent="0.35">
      <c r="A2631" t="s">
        <v>116</v>
      </c>
      <c r="B2631" t="s">
        <v>496</v>
      </c>
      <c r="C2631" t="s">
        <v>975</v>
      </c>
      <c r="D2631">
        <v>0.14699999999999999</v>
      </c>
      <c r="F2631" t="s">
        <v>1920</v>
      </c>
      <c r="H2631" t="s">
        <v>4009</v>
      </c>
      <c r="I2631" t="s">
        <v>4972</v>
      </c>
      <c r="K2631" t="s">
        <v>5037</v>
      </c>
      <c r="L2631" t="s">
        <v>5039</v>
      </c>
    </row>
    <row r="2632" spans="1:12" x14ac:dyDescent="0.35">
      <c r="A2632" t="s">
        <v>116</v>
      </c>
      <c r="B2632" t="s">
        <v>496</v>
      </c>
      <c r="C2632" t="s">
        <v>1032</v>
      </c>
      <c r="D2632">
        <v>0.14699999999999999</v>
      </c>
      <c r="F2632" t="s">
        <v>1920</v>
      </c>
      <c r="H2632" t="s">
        <v>4009</v>
      </c>
      <c r="I2632" t="s">
        <v>4972</v>
      </c>
      <c r="K2632" t="s">
        <v>5037</v>
      </c>
      <c r="L2632" t="s">
        <v>5039</v>
      </c>
    </row>
    <row r="2633" spans="1:12" x14ac:dyDescent="0.35">
      <c r="A2633" t="s">
        <v>116</v>
      </c>
      <c r="B2633" t="s">
        <v>496</v>
      </c>
      <c r="C2633" t="s">
        <v>709</v>
      </c>
      <c r="D2633">
        <v>1E-3</v>
      </c>
      <c r="F2633" t="s">
        <v>1722</v>
      </c>
      <c r="H2633" t="s">
        <v>4009</v>
      </c>
      <c r="I2633" t="s">
        <v>4972</v>
      </c>
      <c r="K2633" t="s">
        <v>5037</v>
      </c>
      <c r="L2633" t="s">
        <v>5039</v>
      </c>
    </row>
    <row r="2634" spans="1:12" x14ac:dyDescent="0.35">
      <c r="A2634" t="s">
        <v>116</v>
      </c>
      <c r="B2634" t="s">
        <v>496</v>
      </c>
      <c r="C2634" t="s">
        <v>708</v>
      </c>
      <c r="D2634">
        <v>4.0000000000000002E-4</v>
      </c>
      <c r="F2634" t="s">
        <v>2289</v>
      </c>
      <c r="H2634" t="s">
        <v>4009</v>
      </c>
      <c r="I2634" t="s">
        <v>4972</v>
      </c>
      <c r="K2634" t="s">
        <v>5037</v>
      </c>
      <c r="L2634" t="s">
        <v>5039</v>
      </c>
    </row>
    <row r="2635" spans="1:12" x14ac:dyDescent="0.35">
      <c r="A2635" t="s">
        <v>116</v>
      </c>
      <c r="B2635" t="s">
        <v>496</v>
      </c>
      <c r="C2635" t="s">
        <v>963</v>
      </c>
      <c r="D2635">
        <v>0.39600000000000002</v>
      </c>
      <c r="F2635" t="s">
        <v>2290</v>
      </c>
      <c r="H2635" t="s">
        <v>4009</v>
      </c>
      <c r="I2635" t="s">
        <v>4972</v>
      </c>
      <c r="K2635" t="s">
        <v>5037</v>
      </c>
      <c r="L2635" t="s">
        <v>5039</v>
      </c>
    </row>
    <row r="2636" spans="1:12" x14ac:dyDescent="0.35">
      <c r="A2636" t="s">
        <v>116</v>
      </c>
      <c r="B2636" t="s">
        <v>496</v>
      </c>
      <c r="C2636" t="s">
        <v>845</v>
      </c>
      <c r="D2636">
        <v>1.05</v>
      </c>
      <c r="F2636" t="s">
        <v>1717</v>
      </c>
      <c r="H2636" t="s">
        <v>4009</v>
      </c>
      <c r="I2636" t="s">
        <v>4972</v>
      </c>
      <c r="K2636" t="s">
        <v>5037</v>
      </c>
      <c r="L2636" t="s">
        <v>5039</v>
      </c>
    </row>
    <row r="2637" spans="1:12" x14ac:dyDescent="0.35">
      <c r="A2637" t="s">
        <v>116</v>
      </c>
      <c r="B2637" t="s">
        <v>496</v>
      </c>
      <c r="C2637" t="s">
        <v>1033</v>
      </c>
      <c r="D2637">
        <v>0.28599999999999998</v>
      </c>
      <c r="F2637" t="s">
        <v>2291</v>
      </c>
      <c r="H2637" t="s">
        <v>4009</v>
      </c>
      <c r="I2637" t="s">
        <v>4972</v>
      </c>
      <c r="K2637" t="s">
        <v>5037</v>
      </c>
      <c r="L2637" t="s">
        <v>5039</v>
      </c>
    </row>
    <row r="2638" spans="1:12" x14ac:dyDescent="0.35">
      <c r="A2638" t="s">
        <v>116</v>
      </c>
      <c r="B2638" t="s">
        <v>496</v>
      </c>
      <c r="C2638" t="s">
        <v>978</v>
      </c>
      <c r="D2638">
        <v>0.33300000000000002</v>
      </c>
      <c r="F2638" t="s">
        <v>2292</v>
      </c>
      <c r="H2638" t="s">
        <v>4009</v>
      </c>
      <c r="I2638" t="s">
        <v>4972</v>
      </c>
      <c r="K2638" t="s">
        <v>5037</v>
      </c>
      <c r="L2638" t="s">
        <v>5039</v>
      </c>
    </row>
    <row r="2639" spans="1:12" x14ac:dyDescent="0.35">
      <c r="A2639" t="s">
        <v>116</v>
      </c>
      <c r="B2639" t="s">
        <v>496</v>
      </c>
      <c r="C2639" t="s">
        <v>980</v>
      </c>
      <c r="D2639">
        <v>1.1299999999999999</v>
      </c>
      <c r="F2639" t="s">
        <v>2013</v>
      </c>
      <c r="H2639" t="s">
        <v>4009</v>
      </c>
      <c r="I2639" t="s">
        <v>4972</v>
      </c>
      <c r="K2639" t="s">
        <v>5037</v>
      </c>
      <c r="L2639" t="s">
        <v>5039</v>
      </c>
    </row>
    <row r="2640" spans="1:12" x14ac:dyDescent="0.35">
      <c r="A2640" t="s">
        <v>116</v>
      </c>
      <c r="B2640" t="s">
        <v>496</v>
      </c>
      <c r="C2640" t="s">
        <v>1034</v>
      </c>
      <c r="D2640">
        <v>0.13100000000000001</v>
      </c>
      <c r="F2640" t="s">
        <v>2146</v>
      </c>
      <c r="H2640" t="s">
        <v>4009</v>
      </c>
      <c r="I2640" t="s">
        <v>4972</v>
      </c>
      <c r="K2640" t="s">
        <v>5037</v>
      </c>
      <c r="L2640" t="s">
        <v>5039</v>
      </c>
    </row>
    <row r="2641" spans="1:12" x14ac:dyDescent="0.35">
      <c r="A2641" t="s">
        <v>116</v>
      </c>
      <c r="B2641" t="s">
        <v>496</v>
      </c>
      <c r="C2641" t="s">
        <v>985</v>
      </c>
      <c r="D2641">
        <v>1.03</v>
      </c>
      <c r="F2641" t="s">
        <v>1850</v>
      </c>
      <c r="H2641" t="s">
        <v>4009</v>
      </c>
      <c r="I2641" t="s">
        <v>4972</v>
      </c>
      <c r="K2641" t="s">
        <v>5037</v>
      </c>
      <c r="L2641" t="s">
        <v>5039</v>
      </c>
    </row>
    <row r="2642" spans="1:12" x14ac:dyDescent="0.35">
      <c r="A2642" t="s">
        <v>116</v>
      </c>
      <c r="B2642" t="s">
        <v>496</v>
      </c>
      <c r="C2642" t="s">
        <v>1035</v>
      </c>
      <c r="D2642">
        <v>1.1599999999999999</v>
      </c>
      <c r="F2642" t="s">
        <v>2293</v>
      </c>
      <c r="H2642" t="s">
        <v>4009</v>
      </c>
      <c r="I2642" t="s">
        <v>4972</v>
      </c>
      <c r="K2642" t="s">
        <v>5037</v>
      </c>
      <c r="L2642" t="s">
        <v>5039</v>
      </c>
    </row>
    <row r="2643" spans="1:12" x14ac:dyDescent="0.35">
      <c r="A2643" t="s">
        <v>116</v>
      </c>
      <c r="B2643" t="s">
        <v>496</v>
      </c>
      <c r="C2643" t="s">
        <v>848</v>
      </c>
      <c r="D2643">
        <v>1.39</v>
      </c>
      <c r="F2643" t="s">
        <v>2294</v>
      </c>
      <c r="H2643" t="s">
        <v>4009</v>
      </c>
      <c r="I2643" t="s">
        <v>4972</v>
      </c>
      <c r="K2643" t="s">
        <v>5037</v>
      </c>
      <c r="L2643" t="s">
        <v>5039</v>
      </c>
    </row>
    <row r="2644" spans="1:12" x14ac:dyDescent="0.35">
      <c r="A2644" t="s">
        <v>116</v>
      </c>
      <c r="B2644" t="s">
        <v>496</v>
      </c>
      <c r="C2644" t="s">
        <v>1036</v>
      </c>
      <c r="D2644">
        <v>0.215</v>
      </c>
      <c r="F2644" t="s">
        <v>2295</v>
      </c>
      <c r="H2644" t="s">
        <v>4009</v>
      </c>
      <c r="I2644" t="s">
        <v>4972</v>
      </c>
      <c r="K2644" t="s">
        <v>5037</v>
      </c>
      <c r="L2644" t="s">
        <v>5039</v>
      </c>
    </row>
    <row r="2645" spans="1:12" x14ac:dyDescent="0.35">
      <c r="A2645" t="s">
        <v>116</v>
      </c>
      <c r="B2645" t="s">
        <v>496</v>
      </c>
      <c r="C2645" t="s">
        <v>1037</v>
      </c>
      <c r="D2645">
        <v>0.752</v>
      </c>
      <c r="F2645" t="s">
        <v>2296</v>
      </c>
      <c r="H2645" t="s">
        <v>4009</v>
      </c>
      <c r="I2645" t="s">
        <v>4972</v>
      </c>
      <c r="K2645" t="s">
        <v>5037</v>
      </c>
      <c r="L2645" t="s">
        <v>5039</v>
      </c>
    </row>
    <row r="2646" spans="1:12" x14ac:dyDescent="0.35">
      <c r="A2646" t="s">
        <v>116</v>
      </c>
      <c r="B2646" t="s">
        <v>496</v>
      </c>
      <c r="C2646" t="s">
        <v>843</v>
      </c>
      <c r="D2646">
        <v>5.15</v>
      </c>
      <c r="F2646" t="s">
        <v>2297</v>
      </c>
      <c r="H2646" t="s">
        <v>4009</v>
      </c>
      <c r="I2646" t="s">
        <v>4972</v>
      </c>
      <c r="K2646" t="s">
        <v>5037</v>
      </c>
      <c r="L2646" t="s">
        <v>5039</v>
      </c>
    </row>
    <row r="2647" spans="1:12" x14ac:dyDescent="0.35">
      <c r="A2647" t="s">
        <v>116</v>
      </c>
      <c r="B2647" t="s">
        <v>496</v>
      </c>
      <c r="C2647" t="s">
        <v>959</v>
      </c>
      <c r="D2647">
        <v>0.70299999999999996</v>
      </c>
      <c r="F2647" t="s">
        <v>2298</v>
      </c>
      <c r="H2647" t="s">
        <v>4009</v>
      </c>
      <c r="I2647" t="s">
        <v>4972</v>
      </c>
      <c r="K2647" t="s">
        <v>5037</v>
      </c>
      <c r="L2647" t="s">
        <v>5039</v>
      </c>
    </row>
    <row r="2648" spans="1:12" x14ac:dyDescent="0.35">
      <c r="A2648" t="s">
        <v>116</v>
      </c>
      <c r="B2648" t="s">
        <v>496</v>
      </c>
      <c r="C2648" t="s">
        <v>961</v>
      </c>
      <c r="D2648">
        <v>13.7</v>
      </c>
      <c r="F2648" t="s">
        <v>2299</v>
      </c>
      <c r="H2648" t="s">
        <v>4009</v>
      </c>
      <c r="I2648" t="s">
        <v>4972</v>
      </c>
      <c r="K2648" t="s">
        <v>5037</v>
      </c>
      <c r="L2648" t="s">
        <v>5039</v>
      </c>
    </row>
    <row r="2649" spans="1:12" x14ac:dyDescent="0.35">
      <c r="A2649" t="s">
        <v>116</v>
      </c>
      <c r="B2649" t="s">
        <v>496</v>
      </c>
      <c r="C2649" t="s">
        <v>839</v>
      </c>
      <c r="D2649">
        <v>2.44</v>
      </c>
      <c r="F2649" t="s">
        <v>2300</v>
      </c>
      <c r="H2649" t="s">
        <v>4009</v>
      </c>
      <c r="I2649" t="s">
        <v>4972</v>
      </c>
      <c r="K2649" t="s">
        <v>5037</v>
      </c>
      <c r="L2649" t="s">
        <v>5039</v>
      </c>
    </row>
    <row r="2650" spans="1:12" x14ac:dyDescent="0.35">
      <c r="A2650" t="s">
        <v>116</v>
      </c>
      <c r="B2650" t="s">
        <v>496</v>
      </c>
      <c r="C2650" t="s">
        <v>951</v>
      </c>
      <c r="D2650">
        <v>5.43</v>
      </c>
      <c r="F2650" t="s">
        <v>2301</v>
      </c>
      <c r="H2650" t="s">
        <v>4009</v>
      </c>
      <c r="I2650" t="s">
        <v>4972</v>
      </c>
      <c r="K2650" t="s">
        <v>5037</v>
      </c>
      <c r="L2650" t="s">
        <v>5039</v>
      </c>
    </row>
    <row r="2651" spans="1:12" x14ac:dyDescent="0.35">
      <c r="A2651" t="s">
        <v>116</v>
      </c>
      <c r="B2651" t="s">
        <v>496</v>
      </c>
      <c r="C2651" t="s">
        <v>1038</v>
      </c>
      <c r="D2651">
        <v>0.69399999999999995</v>
      </c>
      <c r="F2651" t="s">
        <v>2302</v>
      </c>
      <c r="H2651" t="s">
        <v>4009</v>
      </c>
      <c r="I2651" t="s">
        <v>4972</v>
      </c>
      <c r="K2651" t="s">
        <v>5037</v>
      </c>
      <c r="L2651" t="s">
        <v>5039</v>
      </c>
    </row>
    <row r="2652" spans="1:12" x14ac:dyDescent="0.35">
      <c r="A2652" t="s">
        <v>116</v>
      </c>
      <c r="B2652" t="s">
        <v>496</v>
      </c>
      <c r="C2652" t="s">
        <v>955</v>
      </c>
      <c r="D2652">
        <v>0.59599999999999997</v>
      </c>
      <c r="F2652" t="s">
        <v>2303</v>
      </c>
      <c r="H2652" t="s">
        <v>4009</v>
      </c>
      <c r="I2652" t="s">
        <v>4972</v>
      </c>
      <c r="K2652" t="s">
        <v>5037</v>
      </c>
      <c r="L2652" t="s">
        <v>5039</v>
      </c>
    </row>
    <row r="2653" spans="1:12" x14ac:dyDescent="0.35">
      <c r="A2653" t="s">
        <v>116</v>
      </c>
      <c r="B2653" t="s">
        <v>496</v>
      </c>
      <c r="C2653" t="s">
        <v>1039</v>
      </c>
      <c r="D2653">
        <v>5.01</v>
      </c>
      <c r="F2653" t="s">
        <v>2304</v>
      </c>
      <c r="H2653" t="s">
        <v>4009</v>
      </c>
      <c r="I2653" t="s">
        <v>4972</v>
      </c>
      <c r="K2653" t="s">
        <v>5037</v>
      </c>
      <c r="L2653" t="s">
        <v>5039</v>
      </c>
    </row>
    <row r="2654" spans="1:12" x14ac:dyDescent="0.35">
      <c r="A2654" t="s">
        <v>116</v>
      </c>
      <c r="B2654" t="s">
        <v>540</v>
      </c>
      <c r="C2654" t="s">
        <v>961</v>
      </c>
      <c r="D2654">
        <v>31</v>
      </c>
      <c r="F2654" t="s">
        <v>1390</v>
      </c>
      <c r="H2654" t="s">
        <v>4010</v>
      </c>
      <c r="I2654" t="s">
        <v>2333</v>
      </c>
      <c r="K2654" t="s">
        <v>5037</v>
      </c>
      <c r="L2654" t="s">
        <v>5039</v>
      </c>
    </row>
    <row r="2655" spans="1:12" x14ac:dyDescent="0.35">
      <c r="A2655" t="s">
        <v>116</v>
      </c>
      <c r="B2655" t="s">
        <v>540</v>
      </c>
      <c r="C2655" t="s">
        <v>855</v>
      </c>
      <c r="D2655">
        <v>28</v>
      </c>
      <c r="F2655" t="s">
        <v>1961</v>
      </c>
      <c r="H2655" t="s">
        <v>4011</v>
      </c>
      <c r="I2655" t="s">
        <v>2333</v>
      </c>
      <c r="K2655" t="s">
        <v>5037</v>
      </c>
      <c r="L2655" t="s">
        <v>5039</v>
      </c>
    </row>
    <row r="2656" spans="1:12" x14ac:dyDescent="0.35">
      <c r="A2656" t="s">
        <v>116</v>
      </c>
      <c r="B2656" t="s">
        <v>495</v>
      </c>
      <c r="C2656" t="s">
        <v>855</v>
      </c>
      <c r="D2656">
        <v>4</v>
      </c>
      <c r="F2656" t="s">
        <v>1379</v>
      </c>
      <c r="H2656" t="s">
        <v>4012</v>
      </c>
      <c r="I2656" t="s">
        <v>2376</v>
      </c>
      <c r="K2656" t="s">
        <v>5037</v>
      </c>
      <c r="L2656" t="s">
        <v>5039</v>
      </c>
    </row>
    <row r="2657" spans="1:12" x14ac:dyDescent="0.35">
      <c r="A2657" t="s">
        <v>116</v>
      </c>
      <c r="B2657" t="s">
        <v>495</v>
      </c>
      <c r="C2657" t="s">
        <v>961</v>
      </c>
      <c r="D2657">
        <v>39.700000000000003</v>
      </c>
      <c r="F2657" t="s">
        <v>2305</v>
      </c>
      <c r="H2657" t="s">
        <v>4012</v>
      </c>
      <c r="I2657" t="s">
        <v>2376</v>
      </c>
      <c r="K2657" t="s">
        <v>5037</v>
      </c>
      <c r="L2657" t="s">
        <v>5039</v>
      </c>
    </row>
    <row r="2658" spans="1:12" x14ac:dyDescent="0.35">
      <c r="A2658" t="s">
        <v>116</v>
      </c>
      <c r="B2658" t="s">
        <v>332</v>
      </c>
      <c r="C2658" t="s">
        <v>961</v>
      </c>
      <c r="D2658">
        <v>3.33</v>
      </c>
      <c r="F2658" t="s">
        <v>1691</v>
      </c>
      <c r="H2658" t="s">
        <v>4013</v>
      </c>
      <c r="I2658" t="s">
        <v>1889</v>
      </c>
      <c r="K2658" t="s">
        <v>5037</v>
      </c>
      <c r="L2658" t="s">
        <v>5039</v>
      </c>
    </row>
    <row r="2659" spans="1:12" x14ac:dyDescent="0.35">
      <c r="A2659" t="s">
        <v>116</v>
      </c>
      <c r="B2659" t="s">
        <v>332</v>
      </c>
      <c r="C2659" t="s">
        <v>709</v>
      </c>
      <c r="D2659">
        <v>6.94E-3</v>
      </c>
      <c r="F2659" t="s">
        <v>2306</v>
      </c>
      <c r="H2659" t="s">
        <v>4013</v>
      </c>
      <c r="I2659" t="s">
        <v>1889</v>
      </c>
      <c r="K2659" t="s">
        <v>5037</v>
      </c>
      <c r="L2659" t="s">
        <v>5039</v>
      </c>
    </row>
    <row r="2660" spans="1:12" x14ac:dyDescent="0.35">
      <c r="A2660" t="s">
        <v>116</v>
      </c>
      <c r="B2660" t="s">
        <v>332</v>
      </c>
      <c r="C2660" t="s">
        <v>709</v>
      </c>
      <c r="D2660">
        <v>5.3100000000000001E-2</v>
      </c>
      <c r="F2660" t="s">
        <v>2205</v>
      </c>
      <c r="H2660" t="s">
        <v>4014</v>
      </c>
      <c r="I2660" t="s">
        <v>1889</v>
      </c>
      <c r="K2660" t="s">
        <v>5037</v>
      </c>
      <c r="L2660" t="s">
        <v>5039</v>
      </c>
    </row>
    <row r="2661" spans="1:12" x14ac:dyDescent="0.35">
      <c r="A2661" t="s">
        <v>116</v>
      </c>
      <c r="B2661" t="s">
        <v>495</v>
      </c>
      <c r="C2661" t="s">
        <v>855</v>
      </c>
      <c r="D2661">
        <v>1.2</v>
      </c>
      <c r="F2661" t="s">
        <v>1421</v>
      </c>
      <c r="H2661" t="s">
        <v>4015</v>
      </c>
      <c r="I2661" t="s">
        <v>2376</v>
      </c>
      <c r="K2661" t="s">
        <v>5037</v>
      </c>
      <c r="L2661" t="s">
        <v>5039</v>
      </c>
    </row>
    <row r="2662" spans="1:12" x14ac:dyDescent="0.35">
      <c r="A2662" t="s">
        <v>116</v>
      </c>
      <c r="B2662" t="s">
        <v>495</v>
      </c>
      <c r="C2662" t="s">
        <v>961</v>
      </c>
      <c r="D2662">
        <v>49.5</v>
      </c>
      <c r="F2662" t="s">
        <v>2307</v>
      </c>
      <c r="H2662" t="s">
        <v>4016</v>
      </c>
      <c r="I2662" t="s">
        <v>2376</v>
      </c>
      <c r="K2662" t="s">
        <v>5037</v>
      </c>
      <c r="L2662" t="s">
        <v>5039</v>
      </c>
    </row>
    <row r="2663" spans="1:12" x14ac:dyDescent="0.35">
      <c r="A2663" t="s">
        <v>116</v>
      </c>
      <c r="B2663" t="s">
        <v>495</v>
      </c>
      <c r="C2663" t="s">
        <v>961</v>
      </c>
      <c r="D2663">
        <v>26</v>
      </c>
      <c r="F2663" t="s">
        <v>1518</v>
      </c>
      <c r="H2663" t="s">
        <v>4017</v>
      </c>
      <c r="I2663" t="s">
        <v>2376</v>
      </c>
      <c r="K2663" t="s">
        <v>5037</v>
      </c>
      <c r="L2663" t="s">
        <v>5039</v>
      </c>
    </row>
    <row r="2664" spans="1:12" x14ac:dyDescent="0.35">
      <c r="A2664" t="s">
        <v>116</v>
      </c>
      <c r="B2664" t="s">
        <v>541</v>
      </c>
      <c r="C2664" t="s">
        <v>951</v>
      </c>
      <c r="D2664">
        <v>16</v>
      </c>
      <c r="F2664" t="s">
        <v>1526</v>
      </c>
      <c r="H2664" t="s">
        <v>4018</v>
      </c>
      <c r="I2664" t="s">
        <v>4965</v>
      </c>
      <c r="K2664" t="s">
        <v>5037</v>
      </c>
      <c r="L2664" t="s">
        <v>5039</v>
      </c>
    </row>
    <row r="2665" spans="1:12" x14ac:dyDescent="0.35">
      <c r="A2665" t="s">
        <v>116</v>
      </c>
      <c r="B2665" t="s">
        <v>541</v>
      </c>
      <c r="C2665" t="s">
        <v>951</v>
      </c>
      <c r="D2665">
        <v>29.4</v>
      </c>
      <c r="F2665" t="s">
        <v>1404</v>
      </c>
      <c r="H2665" t="s">
        <v>4019</v>
      </c>
      <c r="I2665" t="s">
        <v>4965</v>
      </c>
      <c r="K2665" t="s">
        <v>5037</v>
      </c>
      <c r="L2665" t="s">
        <v>5039</v>
      </c>
    </row>
    <row r="2666" spans="1:12" x14ac:dyDescent="0.35">
      <c r="A2666" t="s">
        <v>116</v>
      </c>
      <c r="B2666" t="s">
        <v>429</v>
      </c>
      <c r="C2666" t="s">
        <v>709</v>
      </c>
      <c r="D2666">
        <v>0.6</v>
      </c>
      <c r="F2666" t="s">
        <v>1519</v>
      </c>
      <c r="H2666" t="s">
        <v>4020</v>
      </c>
      <c r="I2666" t="s">
        <v>4973</v>
      </c>
      <c r="K2666" t="s">
        <v>5037</v>
      </c>
      <c r="L2666" t="s">
        <v>5039</v>
      </c>
    </row>
    <row r="2667" spans="1:12" x14ac:dyDescent="0.35">
      <c r="A2667" t="s">
        <v>116</v>
      </c>
      <c r="B2667" t="s">
        <v>429</v>
      </c>
      <c r="C2667" t="s">
        <v>708</v>
      </c>
      <c r="D2667">
        <v>9.7000000000000003E-2</v>
      </c>
      <c r="F2667" t="s">
        <v>2185</v>
      </c>
      <c r="H2667" t="s">
        <v>4021</v>
      </c>
      <c r="I2667" t="s">
        <v>4973</v>
      </c>
      <c r="K2667" t="s">
        <v>5037</v>
      </c>
      <c r="L2667" t="s">
        <v>5039</v>
      </c>
    </row>
    <row r="2668" spans="1:12" x14ac:dyDescent="0.35">
      <c r="A2668" t="s">
        <v>116</v>
      </c>
      <c r="B2668" t="s">
        <v>429</v>
      </c>
      <c r="C2668" t="s">
        <v>844</v>
      </c>
      <c r="D2668">
        <v>6.5</v>
      </c>
      <c r="F2668" t="s">
        <v>1419</v>
      </c>
      <c r="H2668" t="s">
        <v>4022</v>
      </c>
      <c r="I2668" t="s">
        <v>4973</v>
      </c>
      <c r="K2668" t="s">
        <v>5037</v>
      </c>
      <c r="L2668" t="s">
        <v>5039</v>
      </c>
    </row>
    <row r="2669" spans="1:12" x14ac:dyDescent="0.35">
      <c r="A2669" t="s">
        <v>116</v>
      </c>
      <c r="B2669" t="s">
        <v>429</v>
      </c>
      <c r="C2669" t="s">
        <v>1040</v>
      </c>
      <c r="D2669">
        <v>86.8</v>
      </c>
      <c r="F2669" t="s">
        <v>2308</v>
      </c>
      <c r="H2669" t="s">
        <v>4020</v>
      </c>
      <c r="I2669" t="s">
        <v>4973</v>
      </c>
      <c r="K2669" t="s">
        <v>5037</v>
      </c>
      <c r="L2669" t="s">
        <v>5039</v>
      </c>
    </row>
    <row r="2670" spans="1:12" x14ac:dyDescent="0.35">
      <c r="A2670" t="s">
        <v>116</v>
      </c>
      <c r="B2670" t="s">
        <v>368</v>
      </c>
      <c r="C2670" t="s">
        <v>1041</v>
      </c>
      <c r="D2670">
        <v>0.03</v>
      </c>
      <c r="F2670" t="s">
        <v>1266</v>
      </c>
      <c r="H2670" t="s">
        <v>4023</v>
      </c>
      <c r="I2670" t="s">
        <v>4974</v>
      </c>
      <c r="K2670" t="s">
        <v>5037</v>
      </c>
      <c r="L2670" t="s">
        <v>5039</v>
      </c>
    </row>
    <row r="2671" spans="1:12" x14ac:dyDescent="0.35">
      <c r="A2671" t="s">
        <v>116</v>
      </c>
      <c r="B2671" t="s">
        <v>368</v>
      </c>
      <c r="C2671" t="s">
        <v>1042</v>
      </c>
      <c r="D2671">
        <v>0.11</v>
      </c>
      <c r="F2671" t="s">
        <v>1295</v>
      </c>
      <c r="H2671" t="s">
        <v>4023</v>
      </c>
      <c r="I2671" t="s">
        <v>4974</v>
      </c>
      <c r="K2671" t="s">
        <v>5037</v>
      </c>
      <c r="L2671" t="s">
        <v>5039</v>
      </c>
    </row>
    <row r="2672" spans="1:12" x14ac:dyDescent="0.35">
      <c r="A2672" t="s">
        <v>116</v>
      </c>
      <c r="B2672" t="s">
        <v>368</v>
      </c>
      <c r="C2672" t="s">
        <v>709</v>
      </c>
      <c r="D2672">
        <v>0.45</v>
      </c>
      <c r="F2672" t="s">
        <v>1316</v>
      </c>
      <c r="H2672" t="s">
        <v>4023</v>
      </c>
      <c r="I2672" t="s">
        <v>4974</v>
      </c>
      <c r="K2672" t="s">
        <v>5037</v>
      </c>
      <c r="L2672" t="s">
        <v>5039</v>
      </c>
    </row>
    <row r="2673" spans="1:12" x14ac:dyDescent="0.35">
      <c r="A2673" t="s">
        <v>116</v>
      </c>
      <c r="B2673" t="s">
        <v>368</v>
      </c>
      <c r="C2673" t="s">
        <v>708</v>
      </c>
      <c r="D2673">
        <v>1.6E-2</v>
      </c>
      <c r="F2673" t="s">
        <v>1614</v>
      </c>
      <c r="H2673" t="s">
        <v>4023</v>
      </c>
      <c r="I2673" t="s">
        <v>4974</v>
      </c>
      <c r="K2673" t="s">
        <v>5037</v>
      </c>
      <c r="L2673" t="s">
        <v>5039</v>
      </c>
    </row>
    <row r="2674" spans="1:12" x14ac:dyDescent="0.35">
      <c r="A2674" t="s">
        <v>116</v>
      </c>
      <c r="B2674" t="s">
        <v>368</v>
      </c>
      <c r="C2674" t="s">
        <v>839</v>
      </c>
      <c r="D2674">
        <v>57.8</v>
      </c>
      <c r="F2674" t="s">
        <v>2309</v>
      </c>
      <c r="H2674" t="s">
        <v>4023</v>
      </c>
      <c r="I2674" t="s">
        <v>4974</v>
      </c>
      <c r="K2674" t="s">
        <v>5037</v>
      </c>
      <c r="L2674" t="s">
        <v>5039</v>
      </c>
    </row>
    <row r="2675" spans="1:12" x14ac:dyDescent="0.35">
      <c r="A2675" t="s">
        <v>116</v>
      </c>
      <c r="B2675" t="s">
        <v>368</v>
      </c>
      <c r="C2675" t="s">
        <v>961</v>
      </c>
      <c r="D2675">
        <v>5.1100000000000003</v>
      </c>
      <c r="F2675" t="s">
        <v>2310</v>
      </c>
      <c r="I2675" t="s">
        <v>4882</v>
      </c>
      <c r="K2675" t="s">
        <v>5037</v>
      </c>
      <c r="L2675" t="s">
        <v>5039</v>
      </c>
    </row>
    <row r="2676" spans="1:12" x14ac:dyDescent="0.35">
      <c r="A2676" t="s">
        <v>116</v>
      </c>
      <c r="B2676" t="s">
        <v>434</v>
      </c>
      <c r="C2676" t="s">
        <v>709</v>
      </c>
      <c r="D2676">
        <v>8.8999999999999996E-2</v>
      </c>
      <c r="F2676" t="s">
        <v>1970</v>
      </c>
      <c r="H2676" t="s">
        <v>4024</v>
      </c>
      <c r="I2676" t="s">
        <v>4975</v>
      </c>
      <c r="K2676" t="s">
        <v>5037</v>
      </c>
      <c r="L2676" t="s">
        <v>5039</v>
      </c>
    </row>
    <row r="2677" spans="1:12" x14ac:dyDescent="0.35">
      <c r="A2677" t="s">
        <v>116</v>
      </c>
      <c r="B2677" t="s">
        <v>434</v>
      </c>
      <c r="C2677" t="s">
        <v>716</v>
      </c>
      <c r="D2677">
        <v>6.6000000000000003E-2</v>
      </c>
      <c r="F2677" t="s">
        <v>1623</v>
      </c>
      <c r="H2677" t="s">
        <v>4024</v>
      </c>
      <c r="I2677" t="s">
        <v>4975</v>
      </c>
      <c r="K2677" t="s">
        <v>5037</v>
      </c>
      <c r="L2677" t="s">
        <v>5039</v>
      </c>
    </row>
    <row r="2678" spans="1:12" x14ac:dyDescent="0.35">
      <c r="A2678" t="s">
        <v>116</v>
      </c>
      <c r="B2678" t="s">
        <v>434</v>
      </c>
      <c r="C2678" t="s">
        <v>708</v>
      </c>
      <c r="D2678">
        <v>0.113</v>
      </c>
      <c r="F2678" t="s">
        <v>1632</v>
      </c>
      <c r="H2678" t="s">
        <v>4025</v>
      </c>
      <c r="I2678" t="s">
        <v>4975</v>
      </c>
      <c r="K2678" t="s">
        <v>5037</v>
      </c>
      <c r="L2678" t="s">
        <v>5039</v>
      </c>
    </row>
    <row r="2679" spans="1:12" x14ac:dyDescent="0.35">
      <c r="A2679" t="s">
        <v>116</v>
      </c>
      <c r="B2679" t="s">
        <v>434</v>
      </c>
      <c r="C2679" t="s">
        <v>716</v>
      </c>
      <c r="D2679">
        <v>0.113</v>
      </c>
      <c r="F2679" t="s">
        <v>1632</v>
      </c>
      <c r="H2679" t="s">
        <v>4026</v>
      </c>
      <c r="I2679" t="s">
        <v>4975</v>
      </c>
      <c r="K2679" t="s">
        <v>5037</v>
      </c>
      <c r="L2679" t="s">
        <v>5039</v>
      </c>
    </row>
    <row r="2680" spans="1:12" x14ac:dyDescent="0.35">
      <c r="A2680" t="s">
        <v>116</v>
      </c>
      <c r="B2680" t="s">
        <v>434</v>
      </c>
      <c r="C2680" t="s">
        <v>709</v>
      </c>
      <c r="D2680">
        <v>0.127</v>
      </c>
      <c r="F2680" t="s">
        <v>2311</v>
      </c>
      <c r="H2680" t="s">
        <v>4026</v>
      </c>
      <c r="I2680" t="s">
        <v>4975</v>
      </c>
      <c r="K2680" t="s">
        <v>5037</v>
      </c>
      <c r="L2680" t="s">
        <v>5039</v>
      </c>
    </row>
    <row r="2681" spans="1:12" x14ac:dyDescent="0.35">
      <c r="A2681" t="s">
        <v>116</v>
      </c>
      <c r="B2681" t="s">
        <v>434</v>
      </c>
      <c r="C2681" t="s">
        <v>1043</v>
      </c>
      <c r="D2681">
        <v>244</v>
      </c>
      <c r="F2681" t="s">
        <v>2312</v>
      </c>
      <c r="H2681" t="s">
        <v>4027</v>
      </c>
      <c r="I2681" t="s">
        <v>4975</v>
      </c>
      <c r="K2681" t="s">
        <v>5037</v>
      </c>
      <c r="L2681" t="s">
        <v>5039</v>
      </c>
    </row>
    <row r="2682" spans="1:12" x14ac:dyDescent="0.35">
      <c r="A2682" t="s">
        <v>116</v>
      </c>
      <c r="B2682" t="s">
        <v>434</v>
      </c>
      <c r="C2682" t="s">
        <v>844</v>
      </c>
      <c r="D2682">
        <v>30.2</v>
      </c>
      <c r="F2682" t="s">
        <v>2313</v>
      </c>
      <c r="H2682" t="s">
        <v>4028</v>
      </c>
      <c r="I2682" t="s">
        <v>4975</v>
      </c>
      <c r="K2682" t="s">
        <v>5037</v>
      </c>
      <c r="L2682" t="s">
        <v>5039</v>
      </c>
    </row>
    <row r="2683" spans="1:12" x14ac:dyDescent="0.35">
      <c r="A2683" t="s">
        <v>116</v>
      </c>
      <c r="B2683" t="s">
        <v>434</v>
      </c>
      <c r="C2683" t="s">
        <v>847</v>
      </c>
      <c r="D2683">
        <v>61.3</v>
      </c>
      <c r="F2683" t="s">
        <v>2314</v>
      </c>
      <c r="H2683" t="s">
        <v>4027</v>
      </c>
      <c r="I2683" t="s">
        <v>4975</v>
      </c>
      <c r="K2683" t="s">
        <v>5037</v>
      </c>
      <c r="L2683" t="s">
        <v>5039</v>
      </c>
    </row>
    <row r="2684" spans="1:12" x14ac:dyDescent="0.35">
      <c r="A2684" t="s">
        <v>116</v>
      </c>
      <c r="B2684" t="s">
        <v>542</v>
      </c>
      <c r="C2684" t="s">
        <v>720</v>
      </c>
      <c r="D2684">
        <v>0.6</v>
      </c>
      <c r="F2684" t="s">
        <v>1519</v>
      </c>
      <c r="H2684" t="s">
        <v>4029</v>
      </c>
      <c r="I2684" t="s">
        <v>4976</v>
      </c>
      <c r="K2684" t="s">
        <v>5037</v>
      </c>
      <c r="L2684" t="s">
        <v>5039</v>
      </c>
    </row>
    <row r="2685" spans="1:12" x14ac:dyDescent="0.35">
      <c r="A2685" t="s">
        <v>116</v>
      </c>
      <c r="B2685" t="s">
        <v>542</v>
      </c>
      <c r="C2685" t="s">
        <v>978</v>
      </c>
      <c r="D2685">
        <v>0.4</v>
      </c>
      <c r="F2685" t="s">
        <v>1315</v>
      </c>
      <c r="H2685" t="s">
        <v>4029</v>
      </c>
      <c r="I2685" t="s">
        <v>4976</v>
      </c>
      <c r="K2685" t="s">
        <v>5037</v>
      </c>
      <c r="L2685" t="s">
        <v>5039</v>
      </c>
    </row>
    <row r="2686" spans="1:12" x14ac:dyDescent="0.35">
      <c r="A2686" t="s">
        <v>116</v>
      </c>
      <c r="B2686" t="s">
        <v>542</v>
      </c>
      <c r="C2686" t="s">
        <v>1044</v>
      </c>
      <c r="D2686">
        <v>3.3</v>
      </c>
      <c r="F2686" t="s">
        <v>1377</v>
      </c>
      <c r="H2686" t="s">
        <v>4030</v>
      </c>
      <c r="I2686" t="s">
        <v>4976</v>
      </c>
      <c r="K2686" t="s">
        <v>5037</v>
      </c>
      <c r="L2686" t="s">
        <v>5039</v>
      </c>
    </row>
    <row r="2687" spans="1:12" x14ac:dyDescent="0.35">
      <c r="A2687" t="s">
        <v>116</v>
      </c>
      <c r="B2687" t="s">
        <v>542</v>
      </c>
      <c r="C2687" t="s">
        <v>716</v>
      </c>
      <c r="D2687">
        <v>0.7</v>
      </c>
      <c r="F2687" t="s">
        <v>1378</v>
      </c>
      <c r="H2687" t="s">
        <v>4031</v>
      </c>
      <c r="I2687" t="s">
        <v>4976</v>
      </c>
      <c r="K2687" t="s">
        <v>5037</v>
      </c>
      <c r="L2687" t="s">
        <v>5039</v>
      </c>
    </row>
    <row r="2688" spans="1:12" x14ac:dyDescent="0.35">
      <c r="A2688" t="s">
        <v>116</v>
      </c>
      <c r="B2688" t="s">
        <v>542</v>
      </c>
      <c r="C2688" t="s">
        <v>951</v>
      </c>
      <c r="D2688">
        <v>14</v>
      </c>
      <c r="F2688" t="s">
        <v>1467</v>
      </c>
      <c r="H2688" t="s">
        <v>4031</v>
      </c>
      <c r="I2688" t="s">
        <v>4976</v>
      </c>
      <c r="K2688" t="s">
        <v>5037</v>
      </c>
      <c r="L2688" t="s">
        <v>5039</v>
      </c>
    </row>
    <row r="2689" spans="1:12" x14ac:dyDescent="0.35">
      <c r="A2689" t="s">
        <v>116</v>
      </c>
      <c r="B2689" t="s">
        <v>542</v>
      </c>
      <c r="C2689" t="s">
        <v>1045</v>
      </c>
      <c r="D2689">
        <v>9.1</v>
      </c>
      <c r="F2689" t="s">
        <v>1877</v>
      </c>
      <c r="H2689" t="s">
        <v>4030</v>
      </c>
      <c r="I2689" t="s">
        <v>4976</v>
      </c>
      <c r="K2689" t="s">
        <v>5037</v>
      </c>
      <c r="L2689" t="s">
        <v>5039</v>
      </c>
    </row>
    <row r="2690" spans="1:12" x14ac:dyDescent="0.35">
      <c r="A2690" t="s">
        <v>116</v>
      </c>
      <c r="B2690" t="s">
        <v>543</v>
      </c>
      <c r="C2690" t="s">
        <v>709</v>
      </c>
      <c r="D2690">
        <v>0.02</v>
      </c>
      <c r="F2690" t="s">
        <v>1448</v>
      </c>
      <c r="H2690" t="s">
        <v>4032</v>
      </c>
      <c r="I2690" t="s">
        <v>4977</v>
      </c>
      <c r="K2690" t="s">
        <v>5037</v>
      </c>
      <c r="L2690" t="s">
        <v>5039</v>
      </c>
    </row>
    <row r="2691" spans="1:12" x14ac:dyDescent="0.35">
      <c r="A2691" t="s">
        <v>116</v>
      </c>
      <c r="B2691" t="s">
        <v>543</v>
      </c>
      <c r="C2691" t="s">
        <v>708</v>
      </c>
      <c r="D2691">
        <v>0.09</v>
      </c>
      <c r="F2691" t="s">
        <v>1310</v>
      </c>
      <c r="H2691" t="s">
        <v>4033</v>
      </c>
      <c r="I2691" t="s">
        <v>4977</v>
      </c>
      <c r="K2691" t="s">
        <v>5037</v>
      </c>
      <c r="L2691" t="s">
        <v>5039</v>
      </c>
    </row>
    <row r="2692" spans="1:12" x14ac:dyDescent="0.35">
      <c r="A2692" t="s">
        <v>116</v>
      </c>
      <c r="B2692" t="s">
        <v>543</v>
      </c>
      <c r="C2692" t="s">
        <v>965</v>
      </c>
      <c r="D2692">
        <v>0.48</v>
      </c>
      <c r="F2692" t="s">
        <v>1508</v>
      </c>
      <c r="H2692" t="s">
        <v>4034</v>
      </c>
      <c r="I2692" t="s">
        <v>4977</v>
      </c>
      <c r="K2692" t="s">
        <v>5037</v>
      </c>
      <c r="L2692" t="s">
        <v>5039</v>
      </c>
    </row>
    <row r="2693" spans="1:12" x14ac:dyDescent="0.35">
      <c r="A2693" t="s">
        <v>116</v>
      </c>
      <c r="B2693" t="s">
        <v>543</v>
      </c>
      <c r="C2693" t="s">
        <v>1046</v>
      </c>
      <c r="D2693">
        <v>5.65</v>
      </c>
      <c r="F2693" t="s">
        <v>2315</v>
      </c>
      <c r="H2693" t="s">
        <v>4035</v>
      </c>
      <c r="I2693" t="s">
        <v>4977</v>
      </c>
      <c r="K2693" t="s">
        <v>5037</v>
      </c>
      <c r="L2693" t="s">
        <v>5039</v>
      </c>
    </row>
    <row r="2694" spans="1:12" x14ac:dyDescent="0.35">
      <c r="A2694" t="s">
        <v>116</v>
      </c>
      <c r="B2694" t="s">
        <v>544</v>
      </c>
      <c r="C2694" t="s">
        <v>961</v>
      </c>
      <c r="D2694">
        <v>1.3</v>
      </c>
      <c r="F2694" t="s">
        <v>1358</v>
      </c>
      <c r="I2694" t="s">
        <v>1966</v>
      </c>
      <c r="K2694" t="s">
        <v>5037</v>
      </c>
      <c r="L2694" t="s">
        <v>5039</v>
      </c>
    </row>
    <row r="2695" spans="1:12" x14ac:dyDescent="0.35">
      <c r="A2695" t="s">
        <v>116</v>
      </c>
      <c r="B2695" t="s">
        <v>544</v>
      </c>
      <c r="C2695" t="s">
        <v>1047</v>
      </c>
      <c r="D2695">
        <v>1.3</v>
      </c>
      <c r="F2695" t="s">
        <v>1358</v>
      </c>
      <c r="I2695" t="s">
        <v>1966</v>
      </c>
      <c r="K2695" t="s">
        <v>5037</v>
      </c>
      <c r="L2695" t="s">
        <v>5039</v>
      </c>
    </row>
    <row r="2696" spans="1:12" x14ac:dyDescent="0.35">
      <c r="A2696" t="s">
        <v>116</v>
      </c>
      <c r="B2696" t="s">
        <v>544</v>
      </c>
      <c r="C2696" t="s">
        <v>708</v>
      </c>
      <c r="D2696">
        <v>0.35</v>
      </c>
      <c r="F2696" t="s">
        <v>1294</v>
      </c>
      <c r="I2696" t="s">
        <v>1966</v>
      </c>
      <c r="K2696" t="s">
        <v>5037</v>
      </c>
      <c r="L2696" t="s">
        <v>5039</v>
      </c>
    </row>
    <row r="2697" spans="1:12" x14ac:dyDescent="0.35">
      <c r="A2697" t="s">
        <v>116</v>
      </c>
      <c r="B2697" t="s">
        <v>544</v>
      </c>
      <c r="C2697" t="s">
        <v>855</v>
      </c>
      <c r="D2697">
        <v>5.2999999999999999E-2</v>
      </c>
      <c r="F2697" t="s">
        <v>1739</v>
      </c>
      <c r="I2697" t="s">
        <v>1966</v>
      </c>
      <c r="K2697" t="s">
        <v>5037</v>
      </c>
      <c r="L2697" t="s">
        <v>5039</v>
      </c>
    </row>
    <row r="2698" spans="1:12" x14ac:dyDescent="0.35">
      <c r="A2698" t="s">
        <v>116</v>
      </c>
      <c r="B2698" t="s">
        <v>544</v>
      </c>
      <c r="C2698" t="s">
        <v>709</v>
      </c>
      <c r="D2698">
        <v>550</v>
      </c>
      <c r="F2698" t="s">
        <v>2316</v>
      </c>
      <c r="H2698" t="s">
        <v>4036</v>
      </c>
      <c r="I2698" t="s">
        <v>1966</v>
      </c>
      <c r="K2698" t="s">
        <v>5037</v>
      </c>
      <c r="L2698" t="s">
        <v>5039</v>
      </c>
    </row>
    <row r="2699" spans="1:12" x14ac:dyDescent="0.35">
      <c r="A2699" t="s">
        <v>116</v>
      </c>
      <c r="B2699" t="s">
        <v>544</v>
      </c>
      <c r="C2699" t="s">
        <v>709</v>
      </c>
      <c r="D2699">
        <v>0.9</v>
      </c>
      <c r="F2699" t="s">
        <v>1556</v>
      </c>
      <c r="H2699" t="s">
        <v>4037</v>
      </c>
      <c r="I2699" t="s">
        <v>1966</v>
      </c>
      <c r="K2699" t="s">
        <v>5037</v>
      </c>
      <c r="L2699" t="s">
        <v>5039</v>
      </c>
    </row>
    <row r="2700" spans="1:12" x14ac:dyDescent="0.35">
      <c r="A2700" t="s">
        <v>116</v>
      </c>
      <c r="B2700" t="s">
        <v>545</v>
      </c>
      <c r="C2700" t="s">
        <v>709</v>
      </c>
      <c r="D2700">
        <v>1.7</v>
      </c>
      <c r="F2700" t="s">
        <v>1416</v>
      </c>
      <c r="H2700" t="s">
        <v>4038</v>
      </c>
      <c r="I2700" t="s">
        <v>4967</v>
      </c>
      <c r="K2700" t="s">
        <v>5037</v>
      </c>
      <c r="L2700" t="s">
        <v>5039</v>
      </c>
    </row>
    <row r="2701" spans="1:12" x14ac:dyDescent="0.35">
      <c r="A2701" t="s">
        <v>116</v>
      </c>
      <c r="B2701" t="s">
        <v>545</v>
      </c>
      <c r="C2701" t="s">
        <v>1048</v>
      </c>
      <c r="D2701">
        <v>0.67</v>
      </c>
      <c r="F2701" t="s">
        <v>1478</v>
      </c>
      <c r="H2701" t="s">
        <v>4039</v>
      </c>
      <c r="I2701" t="s">
        <v>4967</v>
      </c>
      <c r="K2701" t="s">
        <v>5037</v>
      </c>
      <c r="L2701" t="s">
        <v>5039</v>
      </c>
    </row>
    <row r="2702" spans="1:12" x14ac:dyDescent="0.35">
      <c r="A2702" t="s">
        <v>116</v>
      </c>
      <c r="B2702" t="s">
        <v>545</v>
      </c>
      <c r="C2702" t="s">
        <v>1049</v>
      </c>
      <c r="D2702">
        <v>0.36</v>
      </c>
      <c r="F2702" t="s">
        <v>1398</v>
      </c>
      <c r="H2702" t="s">
        <v>4038</v>
      </c>
      <c r="I2702" t="s">
        <v>4967</v>
      </c>
      <c r="K2702" t="s">
        <v>5037</v>
      </c>
      <c r="L2702" t="s">
        <v>5039</v>
      </c>
    </row>
    <row r="2703" spans="1:12" x14ac:dyDescent="0.35">
      <c r="A2703" t="s">
        <v>116</v>
      </c>
      <c r="B2703" t="s">
        <v>546</v>
      </c>
      <c r="C2703" t="s">
        <v>961</v>
      </c>
      <c r="D2703">
        <v>460</v>
      </c>
      <c r="F2703" t="s">
        <v>2317</v>
      </c>
      <c r="H2703" t="s">
        <v>4040</v>
      </c>
      <c r="I2703" t="s">
        <v>2404</v>
      </c>
      <c r="K2703" t="s">
        <v>5037</v>
      </c>
      <c r="L2703" t="s">
        <v>5039</v>
      </c>
    </row>
    <row r="2704" spans="1:12" x14ac:dyDescent="0.35">
      <c r="A2704" t="s">
        <v>116</v>
      </c>
      <c r="B2704" t="s">
        <v>546</v>
      </c>
      <c r="C2704" t="s">
        <v>855</v>
      </c>
      <c r="D2704">
        <v>7.43</v>
      </c>
      <c r="F2704" t="s">
        <v>2318</v>
      </c>
      <c r="H2704" t="s">
        <v>4040</v>
      </c>
      <c r="I2704" t="s">
        <v>2404</v>
      </c>
      <c r="K2704" t="s">
        <v>5037</v>
      </c>
      <c r="L2704" t="s">
        <v>5039</v>
      </c>
    </row>
    <row r="2705" spans="1:12" x14ac:dyDescent="0.35">
      <c r="A2705" t="s">
        <v>116</v>
      </c>
      <c r="B2705" t="s">
        <v>547</v>
      </c>
      <c r="C2705" t="s">
        <v>1050</v>
      </c>
      <c r="D2705">
        <v>24</v>
      </c>
      <c r="F2705" t="s">
        <v>1839</v>
      </c>
      <c r="H2705" t="s">
        <v>4041</v>
      </c>
      <c r="I2705" t="s">
        <v>4978</v>
      </c>
      <c r="K2705" t="s">
        <v>5037</v>
      </c>
      <c r="L2705" t="s">
        <v>5039</v>
      </c>
    </row>
    <row r="2706" spans="1:12" x14ac:dyDescent="0.35">
      <c r="A2706" t="s">
        <v>116</v>
      </c>
      <c r="B2706" t="s">
        <v>547</v>
      </c>
      <c r="C2706" t="s">
        <v>1051</v>
      </c>
      <c r="D2706">
        <v>24</v>
      </c>
      <c r="F2706" t="s">
        <v>1839</v>
      </c>
      <c r="H2706" t="s">
        <v>4041</v>
      </c>
      <c r="I2706" t="s">
        <v>4978</v>
      </c>
      <c r="K2706" t="s">
        <v>5037</v>
      </c>
      <c r="L2706" t="s">
        <v>5039</v>
      </c>
    </row>
    <row r="2707" spans="1:12" x14ac:dyDescent="0.35">
      <c r="A2707" t="s">
        <v>116</v>
      </c>
      <c r="B2707" t="s">
        <v>547</v>
      </c>
      <c r="C2707" t="s">
        <v>1052</v>
      </c>
      <c r="D2707">
        <v>12</v>
      </c>
      <c r="F2707" t="s">
        <v>1450</v>
      </c>
      <c r="H2707" t="s">
        <v>4041</v>
      </c>
      <c r="I2707" t="s">
        <v>4978</v>
      </c>
      <c r="K2707" t="s">
        <v>5037</v>
      </c>
      <c r="L2707" t="s">
        <v>5039</v>
      </c>
    </row>
    <row r="2708" spans="1:12" x14ac:dyDescent="0.35">
      <c r="A2708" t="s">
        <v>116</v>
      </c>
      <c r="B2708" t="s">
        <v>547</v>
      </c>
      <c r="C2708" t="s">
        <v>1053</v>
      </c>
      <c r="D2708">
        <v>14</v>
      </c>
      <c r="F2708" t="s">
        <v>1467</v>
      </c>
      <c r="H2708" t="s">
        <v>4041</v>
      </c>
      <c r="I2708" t="s">
        <v>4978</v>
      </c>
      <c r="K2708" t="s">
        <v>5037</v>
      </c>
      <c r="L2708" t="s">
        <v>5039</v>
      </c>
    </row>
    <row r="2709" spans="1:12" x14ac:dyDescent="0.35">
      <c r="A2709" t="s">
        <v>116</v>
      </c>
      <c r="B2709" t="s">
        <v>547</v>
      </c>
      <c r="C2709" t="s">
        <v>1054</v>
      </c>
      <c r="D2709">
        <v>16</v>
      </c>
      <c r="F2709" t="s">
        <v>1526</v>
      </c>
      <c r="H2709" t="s">
        <v>4041</v>
      </c>
      <c r="I2709" t="s">
        <v>4978</v>
      </c>
      <c r="K2709" t="s">
        <v>5037</v>
      </c>
      <c r="L2709" t="s">
        <v>5039</v>
      </c>
    </row>
    <row r="2710" spans="1:12" x14ac:dyDescent="0.35">
      <c r="A2710" t="s">
        <v>116</v>
      </c>
      <c r="B2710" t="s">
        <v>547</v>
      </c>
      <c r="C2710" t="s">
        <v>1055</v>
      </c>
      <c r="D2710">
        <v>16</v>
      </c>
      <c r="F2710" t="s">
        <v>1526</v>
      </c>
      <c r="H2710" t="s">
        <v>4041</v>
      </c>
      <c r="I2710" t="s">
        <v>4978</v>
      </c>
      <c r="K2710" t="s">
        <v>5037</v>
      </c>
      <c r="L2710" t="s">
        <v>5039</v>
      </c>
    </row>
    <row r="2711" spans="1:12" x14ac:dyDescent="0.35">
      <c r="A2711" t="s">
        <v>116</v>
      </c>
      <c r="B2711" t="s">
        <v>547</v>
      </c>
      <c r="C2711" t="s">
        <v>1056</v>
      </c>
      <c r="D2711">
        <v>6</v>
      </c>
      <c r="F2711" t="s">
        <v>1766</v>
      </c>
      <c r="H2711" t="s">
        <v>4041</v>
      </c>
      <c r="I2711" t="s">
        <v>4978</v>
      </c>
      <c r="K2711" t="s">
        <v>5037</v>
      </c>
      <c r="L2711" t="s">
        <v>5039</v>
      </c>
    </row>
    <row r="2712" spans="1:12" x14ac:dyDescent="0.35">
      <c r="A2712" t="s">
        <v>116</v>
      </c>
      <c r="B2712" t="s">
        <v>547</v>
      </c>
      <c r="C2712" t="s">
        <v>1057</v>
      </c>
      <c r="D2712">
        <v>13</v>
      </c>
      <c r="F2712" t="s">
        <v>1454</v>
      </c>
      <c r="H2712" t="s">
        <v>4042</v>
      </c>
      <c r="I2712" t="s">
        <v>4978</v>
      </c>
      <c r="K2712" t="s">
        <v>5037</v>
      </c>
      <c r="L2712" t="s">
        <v>5039</v>
      </c>
    </row>
    <row r="2713" spans="1:12" x14ac:dyDescent="0.35">
      <c r="A2713" t="s">
        <v>116</v>
      </c>
      <c r="B2713" t="s">
        <v>547</v>
      </c>
      <c r="C2713" t="s">
        <v>1058</v>
      </c>
      <c r="D2713">
        <v>220</v>
      </c>
      <c r="F2713" t="s">
        <v>2210</v>
      </c>
      <c r="H2713" t="s">
        <v>4041</v>
      </c>
      <c r="I2713" t="s">
        <v>4978</v>
      </c>
      <c r="K2713" t="s">
        <v>5037</v>
      </c>
      <c r="L2713" t="s">
        <v>5039</v>
      </c>
    </row>
    <row r="2714" spans="1:12" x14ac:dyDescent="0.35">
      <c r="A2714" t="s">
        <v>116</v>
      </c>
      <c r="B2714" t="s">
        <v>547</v>
      </c>
      <c r="C2714" t="s">
        <v>1059</v>
      </c>
      <c r="D2714">
        <v>350</v>
      </c>
      <c r="F2714" t="s">
        <v>2319</v>
      </c>
      <c r="H2714" t="s">
        <v>4041</v>
      </c>
      <c r="I2714" t="s">
        <v>4978</v>
      </c>
      <c r="K2714" t="s">
        <v>5037</v>
      </c>
      <c r="L2714" t="s">
        <v>5039</v>
      </c>
    </row>
    <row r="2715" spans="1:12" x14ac:dyDescent="0.35">
      <c r="A2715" t="s">
        <v>116</v>
      </c>
      <c r="B2715" t="s">
        <v>178</v>
      </c>
      <c r="C2715" t="s">
        <v>961</v>
      </c>
      <c r="D2715">
        <v>0.16600000000000001</v>
      </c>
      <c r="F2715" t="s">
        <v>1921</v>
      </c>
      <c r="H2715" t="s">
        <v>4043</v>
      </c>
      <c r="I2715" t="s">
        <v>4979</v>
      </c>
      <c r="K2715" t="s">
        <v>5037</v>
      </c>
      <c r="L2715" t="s">
        <v>5039</v>
      </c>
    </row>
    <row r="2716" spans="1:12" x14ac:dyDescent="0.35">
      <c r="A2716" t="s">
        <v>116</v>
      </c>
      <c r="B2716" t="s">
        <v>178</v>
      </c>
      <c r="C2716" t="s">
        <v>961</v>
      </c>
      <c r="D2716">
        <v>0.251</v>
      </c>
      <c r="F2716" t="s">
        <v>2320</v>
      </c>
      <c r="H2716" t="s">
        <v>4044</v>
      </c>
      <c r="I2716" t="s">
        <v>4979</v>
      </c>
      <c r="K2716" t="s">
        <v>5037</v>
      </c>
      <c r="L2716" t="s">
        <v>5039</v>
      </c>
    </row>
    <row r="2717" spans="1:12" x14ac:dyDescent="0.35">
      <c r="A2717" t="s">
        <v>116</v>
      </c>
      <c r="B2717" t="s">
        <v>317</v>
      </c>
      <c r="C2717" t="s">
        <v>855</v>
      </c>
      <c r="D2717">
        <v>0.74</v>
      </c>
      <c r="F2717" t="s">
        <v>1685</v>
      </c>
      <c r="H2717" t="s">
        <v>4045</v>
      </c>
      <c r="I2717" t="s">
        <v>2408</v>
      </c>
      <c r="K2717" t="s">
        <v>5037</v>
      </c>
      <c r="L2717" t="s">
        <v>5039</v>
      </c>
    </row>
    <row r="2718" spans="1:12" x14ac:dyDescent="0.35">
      <c r="A2718" t="s">
        <v>116</v>
      </c>
      <c r="B2718" t="s">
        <v>317</v>
      </c>
      <c r="C2718" t="s">
        <v>1004</v>
      </c>
      <c r="D2718">
        <v>16.11</v>
      </c>
      <c r="F2718" t="s">
        <v>2321</v>
      </c>
      <c r="H2718" t="s">
        <v>4045</v>
      </c>
      <c r="I2718" t="s">
        <v>2408</v>
      </c>
      <c r="K2718" t="s">
        <v>5037</v>
      </c>
      <c r="L2718" t="s">
        <v>5039</v>
      </c>
    </row>
    <row r="2719" spans="1:12" x14ac:dyDescent="0.35">
      <c r="A2719" t="s">
        <v>116</v>
      </c>
      <c r="B2719" t="s">
        <v>317</v>
      </c>
      <c r="C2719" t="s">
        <v>1000</v>
      </c>
      <c r="D2719">
        <v>97.37</v>
      </c>
      <c r="F2719" t="s">
        <v>2322</v>
      </c>
      <c r="H2719" t="s">
        <v>4045</v>
      </c>
      <c r="I2719" t="s">
        <v>2408</v>
      </c>
      <c r="K2719" t="s">
        <v>5037</v>
      </c>
      <c r="L2719" t="s">
        <v>5039</v>
      </c>
    </row>
    <row r="2720" spans="1:12" x14ac:dyDescent="0.35">
      <c r="A2720" t="s">
        <v>116</v>
      </c>
      <c r="B2720" t="s">
        <v>548</v>
      </c>
      <c r="C2720" t="s">
        <v>961</v>
      </c>
      <c r="D2720">
        <v>3.5</v>
      </c>
      <c r="F2720" t="s">
        <v>1451</v>
      </c>
      <c r="H2720" t="s">
        <v>4046</v>
      </c>
      <c r="I2720" t="s">
        <v>4873</v>
      </c>
      <c r="K2720" t="s">
        <v>5037</v>
      </c>
      <c r="L2720" t="s">
        <v>5039</v>
      </c>
    </row>
    <row r="2721" spans="1:12" x14ac:dyDescent="0.35">
      <c r="A2721" t="s">
        <v>116</v>
      </c>
      <c r="B2721" t="s">
        <v>548</v>
      </c>
      <c r="C2721" t="s">
        <v>708</v>
      </c>
      <c r="D2721">
        <v>25</v>
      </c>
      <c r="F2721" t="s">
        <v>1387</v>
      </c>
      <c r="H2721" t="s">
        <v>4046</v>
      </c>
      <c r="I2721" t="s">
        <v>4873</v>
      </c>
      <c r="K2721" t="s">
        <v>5037</v>
      </c>
      <c r="L2721" t="s">
        <v>5039</v>
      </c>
    </row>
    <row r="2722" spans="1:12" x14ac:dyDescent="0.35">
      <c r="A2722" t="s">
        <v>116</v>
      </c>
      <c r="B2722" t="s">
        <v>548</v>
      </c>
      <c r="C2722" t="s">
        <v>708</v>
      </c>
      <c r="D2722">
        <v>70</v>
      </c>
      <c r="F2722" t="s">
        <v>1752</v>
      </c>
      <c r="H2722" t="s">
        <v>4047</v>
      </c>
      <c r="I2722" t="s">
        <v>4873</v>
      </c>
      <c r="K2722" t="s">
        <v>5037</v>
      </c>
      <c r="L2722" t="s">
        <v>5039</v>
      </c>
    </row>
    <row r="2723" spans="1:12" x14ac:dyDescent="0.35">
      <c r="A2723" t="s">
        <v>116</v>
      </c>
      <c r="B2723" t="s">
        <v>548</v>
      </c>
      <c r="C2723" t="s">
        <v>709</v>
      </c>
      <c r="D2723">
        <v>30</v>
      </c>
      <c r="F2723" t="s">
        <v>1354</v>
      </c>
      <c r="H2723" t="s">
        <v>4047</v>
      </c>
      <c r="I2723" t="s">
        <v>4873</v>
      </c>
      <c r="K2723" t="s">
        <v>5037</v>
      </c>
      <c r="L2723" t="s">
        <v>5039</v>
      </c>
    </row>
    <row r="2724" spans="1:12" x14ac:dyDescent="0.35">
      <c r="A2724" t="s">
        <v>116</v>
      </c>
      <c r="B2724" t="s">
        <v>548</v>
      </c>
      <c r="C2724" t="s">
        <v>709</v>
      </c>
      <c r="D2724">
        <v>31</v>
      </c>
      <c r="F2724" t="s">
        <v>1390</v>
      </c>
      <c r="H2724" t="s">
        <v>4046</v>
      </c>
      <c r="I2724" t="s">
        <v>4873</v>
      </c>
      <c r="K2724" t="s">
        <v>5037</v>
      </c>
      <c r="L2724" t="s">
        <v>5039</v>
      </c>
    </row>
    <row r="2725" spans="1:12" x14ac:dyDescent="0.35">
      <c r="A2725" t="s">
        <v>116</v>
      </c>
      <c r="B2725" t="s">
        <v>548</v>
      </c>
      <c r="C2725" t="s">
        <v>709</v>
      </c>
      <c r="D2725">
        <v>73</v>
      </c>
      <c r="F2725" t="s">
        <v>2323</v>
      </c>
      <c r="H2725" t="s">
        <v>4048</v>
      </c>
      <c r="I2725" t="s">
        <v>4873</v>
      </c>
      <c r="K2725" t="s">
        <v>5037</v>
      </c>
      <c r="L2725" t="s">
        <v>5039</v>
      </c>
    </row>
    <row r="2726" spans="1:12" x14ac:dyDescent="0.35">
      <c r="A2726" t="s">
        <v>116</v>
      </c>
      <c r="B2726" t="s">
        <v>548</v>
      </c>
      <c r="C2726" t="s">
        <v>961</v>
      </c>
      <c r="D2726">
        <v>7.2</v>
      </c>
      <c r="F2726" t="s">
        <v>1853</v>
      </c>
      <c r="H2726" t="s">
        <v>4047</v>
      </c>
      <c r="I2726" t="s">
        <v>4873</v>
      </c>
      <c r="K2726" t="s">
        <v>5037</v>
      </c>
      <c r="L2726" t="s">
        <v>5039</v>
      </c>
    </row>
    <row r="2727" spans="1:12" x14ac:dyDescent="0.35">
      <c r="A2727" t="s">
        <v>116</v>
      </c>
      <c r="B2727" t="s">
        <v>548</v>
      </c>
      <c r="C2727" t="s">
        <v>855</v>
      </c>
      <c r="D2727">
        <v>1.45</v>
      </c>
      <c r="F2727" t="s">
        <v>1742</v>
      </c>
      <c r="H2727" t="s">
        <v>4049</v>
      </c>
      <c r="I2727" t="s">
        <v>4873</v>
      </c>
      <c r="K2727" t="s">
        <v>5037</v>
      </c>
      <c r="L2727" t="s">
        <v>5039</v>
      </c>
    </row>
    <row r="2728" spans="1:12" x14ac:dyDescent="0.35">
      <c r="A2728" t="s">
        <v>116</v>
      </c>
      <c r="B2728" t="s">
        <v>548</v>
      </c>
      <c r="C2728" t="s">
        <v>961</v>
      </c>
      <c r="D2728">
        <v>27.5</v>
      </c>
      <c r="F2728" t="s">
        <v>2324</v>
      </c>
      <c r="H2728" t="s">
        <v>4048</v>
      </c>
      <c r="I2728" t="s">
        <v>4873</v>
      </c>
      <c r="K2728" t="s">
        <v>5037</v>
      </c>
      <c r="L2728" t="s">
        <v>5039</v>
      </c>
    </row>
    <row r="2729" spans="1:12" x14ac:dyDescent="0.35">
      <c r="A2729" t="s">
        <v>116</v>
      </c>
      <c r="B2729" t="s">
        <v>548</v>
      </c>
      <c r="C2729" t="s">
        <v>708</v>
      </c>
      <c r="D2729">
        <v>121</v>
      </c>
      <c r="F2729" t="s">
        <v>2325</v>
      </c>
      <c r="H2729" t="s">
        <v>4048</v>
      </c>
      <c r="I2729" t="s">
        <v>4873</v>
      </c>
      <c r="K2729" t="s">
        <v>5037</v>
      </c>
      <c r="L2729" t="s">
        <v>5039</v>
      </c>
    </row>
    <row r="2730" spans="1:12" x14ac:dyDescent="0.35">
      <c r="A2730" t="s">
        <v>116</v>
      </c>
      <c r="B2730" t="s">
        <v>548</v>
      </c>
      <c r="C2730" t="s">
        <v>855</v>
      </c>
      <c r="D2730">
        <v>1.25</v>
      </c>
      <c r="F2730" t="s">
        <v>1522</v>
      </c>
      <c r="H2730" t="s">
        <v>4050</v>
      </c>
      <c r="I2730" t="s">
        <v>4873</v>
      </c>
      <c r="K2730" t="s">
        <v>5037</v>
      </c>
      <c r="L2730" t="s">
        <v>5039</v>
      </c>
    </row>
    <row r="2731" spans="1:12" x14ac:dyDescent="0.35">
      <c r="A2731" t="s">
        <v>116</v>
      </c>
      <c r="B2731" t="s">
        <v>549</v>
      </c>
      <c r="C2731" t="s">
        <v>709</v>
      </c>
      <c r="D2731">
        <v>3.7999999999999999E-2</v>
      </c>
      <c r="F2731" t="s">
        <v>1803</v>
      </c>
      <c r="H2731" t="s">
        <v>4051</v>
      </c>
      <c r="I2731" t="s">
        <v>4929</v>
      </c>
      <c r="K2731" t="s">
        <v>5037</v>
      </c>
      <c r="L2731" t="s">
        <v>5039</v>
      </c>
    </row>
    <row r="2732" spans="1:12" x14ac:dyDescent="0.35">
      <c r="A2732" t="s">
        <v>116</v>
      </c>
      <c r="B2732" t="s">
        <v>549</v>
      </c>
      <c r="C2732" t="s">
        <v>961</v>
      </c>
      <c r="D2732">
        <v>24</v>
      </c>
      <c r="F2732" t="s">
        <v>1839</v>
      </c>
      <c r="H2732" t="s">
        <v>4052</v>
      </c>
      <c r="I2732" t="s">
        <v>4929</v>
      </c>
      <c r="K2732" t="s">
        <v>5037</v>
      </c>
      <c r="L2732" t="s">
        <v>5039</v>
      </c>
    </row>
    <row r="2733" spans="1:12" x14ac:dyDescent="0.35">
      <c r="A2733" t="s">
        <v>116</v>
      </c>
      <c r="B2733" t="s">
        <v>549</v>
      </c>
      <c r="C2733" t="s">
        <v>708</v>
      </c>
      <c r="D2733">
        <v>4.2000000000000003E-2</v>
      </c>
      <c r="F2733" t="s">
        <v>1338</v>
      </c>
      <c r="H2733" t="s">
        <v>4051</v>
      </c>
      <c r="I2733" t="s">
        <v>4929</v>
      </c>
      <c r="K2733" t="s">
        <v>5037</v>
      </c>
      <c r="L2733" t="s">
        <v>5039</v>
      </c>
    </row>
    <row r="2734" spans="1:12" x14ac:dyDescent="0.35">
      <c r="A2734" t="s">
        <v>116</v>
      </c>
      <c r="B2734" t="s">
        <v>549</v>
      </c>
      <c r="C2734" t="s">
        <v>708</v>
      </c>
      <c r="D2734">
        <v>8.5000000000000006E-2</v>
      </c>
      <c r="F2734" t="s">
        <v>1459</v>
      </c>
      <c r="H2734" t="s">
        <v>4052</v>
      </c>
      <c r="I2734" t="s">
        <v>4929</v>
      </c>
      <c r="K2734" t="s">
        <v>5037</v>
      </c>
      <c r="L2734" t="s">
        <v>5039</v>
      </c>
    </row>
    <row r="2735" spans="1:12" x14ac:dyDescent="0.35">
      <c r="A2735" t="s">
        <v>116</v>
      </c>
      <c r="B2735" t="s">
        <v>549</v>
      </c>
      <c r="C2735" t="s">
        <v>709</v>
      </c>
      <c r="D2735">
        <v>3.6999999999999998E-2</v>
      </c>
      <c r="F2735" t="s">
        <v>1534</v>
      </c>
      <c r="H2735" t="s">
        <v>4052</v>
      </c>
      <c r="I2735" t="s">
        <v>4929</v>
      </c>
      <c r="K2735" t="s">
        <v>5037</v>
      </c>
      <c r="L2735" t="s">
        <v>5039</v>
      </c>
    </row>
    <row r="2736" spans="1:12" x14ac:dyDescent="0.35">
      <c r="A2736" t="s">
        <v>116</v>
      </c>
      <c r="B2736" t="s">
        <v>549</v>
      </c>
      <c r="C2736" t="s">
        <v>855</v>
      </c>
      <c r="D2736">
        <v>70</v>
      </c>
      <c r="F2736" t="s">
        <v>1752</v>
      </c>
      <c r="H2736" t="s">
        <v>4051</v>
      </c>
      <c r="I2736" t="s">
        <v>4929</v>
      </c>
      <c r="K2736" t="s">
        <v>5037</v>
      </c>
      <c r="L2736" t="s">
        <v>5039</v>
      </c>
    </row>
    <row r="2737" spans="1:12" x14ac:dyDescent="0.35">
      <c r="A2737" t="s">
        <v>116</v>
      </c>
      <c r="B2737" t="s">
        <v>549</v>
      </c>
      <c r="C2737" t="s">
        <v>855</v>
      </c>
      <c r="D2737">
        <v>85</v>
      </c>
      <c r="F2737" t="s">
        <v>2326</v>
      </c>
      <c r="H2737" t="s">
        <v>4052</v>
      </c>
      <c r="I2737" t="s">
        <v>4929</v>
      </c>
      <c r="K2737" t="s">
        <v>5037</v>
      </c>
      <c r="L2737" t="s">
        <v>5039</v>
      </c>
    </row>
    <row r="2738" spans="1:12" x14ac:dyDescent="0.35">
      <c r="A2738" t="s">
        <v>116</v>
      </c>
      <c r="B2738" t="s">
        <v>549</v>
      </c>
      <c r="C2738" t="s">
        <v>961</v>
      </c>
      <c r="D2738">
        <v>22</v>
      </c>
      <c r="F2738" t="s">
        <v>1449</v>
      </c>
      <c r="H2738" t="s">
        <v>4053</v>
      </c>
      <c r="I2738" t="s">
        <v>1961</v>
      </c>
      <c r="K2738" t="s">
        <v>5037</v>
      </c>
      <c r="L2738" t="s">
        <v>5039</v>
      </c>
    </row>
    <row r="2739" spans="1:12" x14ac:dyDescent="0.35">
      <c r="A2739" t="s">
        <v>116</v>
      </c>
      <c r="B2739" t="s">
        <v>550</v>
      </c>
      <c r="C2739" t="s">
        <v>961</v>
      </c>
      <c r="D2739">
        <v>16</v>
      </c>
      <c r="F2739" t="s">
        <v>1526</v>
      </c>
      <c r="H2739" t="s">
        <v>4054</v>
      </c>
      <c r="I2739" t="s">
        <v>1961</v>
      </c>
      <c r="K2739" t="s">
        <v>5037</v>
      </c>
      <c r="L2739" t="s">
        <v>5039</v>
      </c>
    </row>
    <row r="2740" spans="1:12" x14ac:dyDescent="0.35">
      <c r="A2740" t="s">
        <v>116</v>
      </c>
      <c r="B2740" t="s">
        <v>178</v>
      </c>
      <c r="C2740" t="s">
        <v>961</v>
      </c>
      <c r="D2740">
        <v>5.0999999999999996</v>
      </c>
      <c r="F2740" t="s">
        <v>1710</v>
      </c>
      <c r="H2740" t="s">
        <v>4055</v>
      </c>
      <c r="I2740" t="s">
        <v>4980</v>
      </c>
      <c r="K2740" t="s">
        <v>5037</v>
      </c>
      <c r="L2740" t="s">
        <v>5039</v>
      </c>
    </row>
    <row r="2741" spans="1:12" x14ac:dyDescent="0.35">
      <c r="A2741" t="s">
        <v>116</v>
      </c>
      <c r="B2741" t="s">
        <v>178</v>
      </c>
      <c r="C2741" t="s">
        <v>709</v>
      </c>
      <c r="D2741">
        <v>1.65</v>
      </c>
      <c r="F2741" t="s">
        <v>2200</v>
      </c>
      <c r="H2741" t="s">
        <v>4055</v>
      </c>
      <c r="I2741" t="s">
        <v>4980</v>
      </c>
      <c r="K2741" t="s">
        <v>5037</v>
      </c>
      <c r="L2741" t="s">
        <v>5039</v>
      </c>
    </row>
    <row r="2742" spans="1:12" x14ac:dyDescent="0.35">
      <c r="A2742" t="s">
        <v>116</v>
      </c>
      <c r="B2742" t="s">
        <v>551</v>
      </c>
      <c r="C2742" t="s">
        <v>855</v>
      </c>
      <c r="D2742">
        <v>0.6</v>
      </c>
      <c r="F2742" t="s">
        <v>1519</v>
      </c>
      <c r="I2742" t="s">
        <v>4872</v>
      </c>
      <c r="K2742" t="s">
        <v>5037</v>
      </c>
      <c r="L2742" t="s">
        <v>5039</v>
      </c>
    </row>
    <row r="2743" spans="1:12" x14ac:dyDescent="0.35">
      <c r="A2743" t="s">
        <v>116</v>
      </c>
      <c r="B2743" t="s">
        <v>551</v>
      </c>
      <c r="C2743" t="s">
        <v>169</v>
      </c>
      <c r="D2743">
        <v>35</v>
      </c>
      <c r="F2743" t="s">
        <v>2327</v>
      </c>
      <c r="I2743" t="s">
        <v>4872</v>
      </c>
      <c r="K2743" t="s">
        <v>5037</v>
      </c>
      <c r="L2743" t="s">
        <v>5039</v>
      </c>
    </row>
    <row r="2744" spans="1:12" x14ac:dyDescent="0.35">
      <c r="A2744" t="s">
        <v>116</v>
      </c>
      <c r="B2744" t="s">
        <v>429</v>
      </c>
      <c r="C2744" t="s">
        <v>716</v>
      </c>
      <c r="D2744">
        <v>66</v>
      </c>
      <c r="F2744" t="s">
        <v>2226</v>
      </c>
      <c r="H2744" t="s">
        <v>4056</v>
      </c>
      <c r="I2744" t="s">
        <v>4981</v>
      </c>
      <c r="K2744" t="s">
        <v>5037</v>
      </c>
      <c r="L2744" t="s">
        <v>5039</v>
      </c>
    </row>
    <row r="2745" spans="1:12" x14ac:dyDescent="0.35">
      <c r="A2745" t="s">
        <v>116</v>
      </c>
      <c r="B2745" t="s">
        <v>429</v>
      </c>
      <c r="C2745" t="s">
        <v>847</v>
      </c>
      <c r="D2745">
        <v>100</v>
      </c>
      <c r="F2745" t="s">
        <v>1353</v>
      </c>
      <c r="H2745" t="s">
        <v>4057</v>
      </c>
      <c r="I2745" t="s">
        <v>4981</v>
      </c>
      <c r="K2745" t="s">
        <v>5037</v>
      </c>
      <c r="L2745" t="s">
        <v>5039</v>
      </c>
    </row>
    <row r="2746" spans="1:12" x14ac:dyDescent="0.35">
      <c r="A2746" t="s">
        <v>116</v>
      </c>
      <c r="B2746" t="s">
        <v>429</v>
      </c>
      <c r="C2746" t="s">
        <v>708</v>
      </c>
      <c r="D2746">
        <v>0.05</v>
      </c>
      <c r="F2746" t="s">
        <v>1559</v>
      </c>
      <c r="H2746" t="s">
        <v>4058</v>
      </c>
      <c r="I2746" t="s">
        <v>4982</v>
      </c>
      <c r="K2746" t="s">
        <v>5037</v>
      </c>
      <c r="L2746" t="s">
        <v>5039</v>
      </c>
    </row>
    <row r="2747" spans="1:12" x14ac:dyDescent="0.35">
      <c r="A2747" t="s">
        <v>116</v>
      </c>
      <c r="B2747" t="s">
        <v>429</v>
      </c>
      <c r="C2747" t="s">
        <v>847</v>
      </c>
      <c r="D2747">
        <v>1.3</v>
      </c>
      <c r="F2747" t="s">
        <v>1358</v>
      </c>
      <c r="H2747" t="s">
        <v>4059</v>
      </c>
      <c r="I2747" t="s">
        <v>4982</v>
      </c>
      <c r="K2747" t="s">
        <v>5037</v>
      </c>
      <c r="L2747" t="s">
        <v>5039</v>
      </c>
    </row>
    <row r="2748" spans="1:12" x14ac:dyDescent="0.35">
      <c r="A2748" t="s">
        <v>116</v>
      </c>
      <c r="B2748" t="s">
        <v>429</v>
      </c>
      <c r="C2748" t="s">
        <v>716</v>
      </c>
      <c r="D2748">
        <v>7.8E-2</v>
      </c>
      <c r="F2748" t="s">
        <v>1649</v>
      </c>
      <c r="H2748" t="s">
        <v>4060</v>
      </c>
      <c r="I2748" t="s">
        <v>4982</v>
      </c>
      <c r="K2748" t="s">
        <v>5037</v>
      </c>
      <c r="L2748" t="s">
        <v>5039</v>
      </c>
    </row>
    <row r="2749" spans="1:12" x14ac:dyDescent="0.35">
      <c r="A2749" t="s">
        <v>116</v>
      </c>
      <c r="B2749" t="s">
        <v>429</v>
      </c>
      <c r="C2749" t="s">
        <v>720</v>
      </c>
      <c r="D2749">
        <v>0.28000000000000003</v>
      </c>
      <c r="F2749" t="s">
        <v>1732</v>
      </c>
      <c r="H2749" t="s">
        <v>4061</v>
      </c>
      <c r="I2749" t="s">
        <v>4982</v>
      </c>
      <c r="K2749" t="s">
        <v>5037</v>
      </c>
      <c r="L2749" t="s">
        <v>5039</v>
      </c>
    </row>
    <row r="2750" spans="1:12" x14ac:dyDescent="0.35">
      <c r="A2750" t="s">
        <v>116</v>
      </c>
      <c r="B2750" t="s">
        <v>429</v>
      </c>
      <c r="C2750" t="s">
        <v>1060</v>
      </c>
      <c r="D2750">
        <v>0.9</v>
      </c>
      <c r="F2750" t="s">
        <v>1556</v>
      </c>
      <c r="H2750" t="s">
        <v>4062</v>
      </c>
      <c r="I2750" t="s">
        <v>4982</v>
      </c>
      <c r="K2750" t="s">
        <v>5037</v>
      </c>
      <c r="L2750" t="s">
        <v>5039</v>
      </c>
    </row>
    <row r="2751" spans="1:12" x14ac:dyDescent="0.35">
      <c r="A2751" t="s">
        <v>116</v>
      </c>
      <c r="B2751" t="s">
        <v>429</v>
      </c>
      <c r="C2751" t="s">
        <v>708</v>
      </c>
      <c r="D2751">
        <v>0.19</v>
      </c>
      <c r="F2751" t="s">
        <v>1538</v>
      </c>
      <c r="H2751" t="s">
        <v>4061</v>
      </c>
      <c r="I2751" t="s">
        <v>4982</v>
      </c>
      <c r="K2751" t="s">
        <v>5037</v>
      </c>
      <c r="L2751" t="s">
        <v>5039</v>
      </c>
    </row>
    <row r="2752" spans="1:12" x14ac:dyDescent="0.35">
      <c r="A2752" t="s">
        <v>116</v>
      </c>
      <c r="B2752" t="s">
        <v>429</v>
      </c>
      <c r="C2752" t="s">
        <v>847</v>
      </c>
      <c r="D2752">
        <v>1.5</v>
      </c>
      <c r="F2752" t="s">
        <v>1426</v>
      </c>
      <c r="H2752" t="s">
        <v>4063</v>
      </c>
      <c r="I2752" t="s">
        <v>4981</v>
      </c>
      <c r="K2752" t="s">
        <v>5037</v>
      </c>
      <c r="L2752" t="s">
        <v>5039</v>
      </c>
    </row>
    <row r="2753" spans="1:12" x14ac:dyDescent="0.35">
      <c r="A2753" t="s">
        <v>116</v>
      </c>
      <c r="B2753" t="s">
        <v>429</v>
      </c>
      <c r="C2753" t="s">
        <v>720</v>
      </c>
      <c r="D2753">
        <v>3.3000000000000002E-2</v>
      </c>
      <c r="F2753" t="s">
        <v>1340</v>
      </c>
      <c r="H2753" t="s">
        <v>4058</v>
      </c>
      <c r="I2753" t="s">
        <v>4982</v>
      </c>
      <c r="K2753" t="s">
        <v>5037</v>
      </c>
      <c r="L2753" t="s">
        <v>5039</v>
      </c>
    </row>
    <row r="2754" spans="1:12" x14ac:dyDescent="0.35">
      <c r="A2754" t="s">
        <v>116</v>
      </c>
      <c r="B2754" t="s">
        <v>429</v>
      </c>
      <c r="C2754" t="s">
        <v>847</v>
      </c>
      <c r="D2754">
        <v>12</v>
      </c>
      <c r="F2754" t="s">
        <v>1450</v>
      </c>
      <c r="H2754" t="s">
        <v>4064</v>
      </c>
      <c r="I2754" t="s">
        <v>4981</v>
      </c>
      <c r="K2754" t="s">
        <v>5037</v>
      </c>
      <c r="L2754" t="s">
        <v>5039</v>
      </c>
    </row>
    <row r="2755" spans="1:12" x14ac:dyDescent="0.35">
      <c r="A2755" t="s">
        <v>116</v>
      </c>
      <c r="B2755" t="s">
        <v>429</v>
      </c>
      <c r="C2755" t="s">
        <v>847</v>
      </c>
      <c r="D2755">
        <v>17</v>
      </c>
      <c r="F2755" t="s">
        <v>1383</v>
      </c>
      <c r="H2755" t="s">
        <v>4065</v>
      </c>
      <c r="I2755" t="s">
        <v>4981</v>
      </c>
      <c r="K2755" t="s">
        <v>5037</v>
      </c>
      <c r="L2755" t="s">
        <v>5039</v>
      </c>
    </row>
    <row r="2756" spans="1:12" x14ac:dyDescent="0.35">
      <c r="A2756" t="s">
        <v>116</v>
      </c>
      <c r="B2756" t="s">
        <v>429</v>
      </c>
      <c r="C2756" t="s">
        <v>709</v>
      </c>
      <c r="D2756">
        <v>1.6</v>
      </c>
      <c r="F2756" t="s">
        <v>1328</v>
      </c>
      <c r="H2756" t="s">
        <v>4056</v>
      </c>
      <c r="I2756" t="s">
        <v>4981</v>
      </c>
      <c r="K2756" t="s">
        <v>5037</v>
      </c>
      <c r="L2756" t="s">
        <v>5039</v>
      </c>
    </row>
    <row r="2757" spans="1:12" x14ac:dyDescent="0.35">
      <c r="A2757" t="s">
        <v>116</v>
      </c>
      <c r="B2757" t="s">
        <v>429</v>
      </c>
      <c r="C2757" t="s">
        <v>1060</v>
      </c>
      <c r="D2757">
        <v>5</v>
      </c>
      <c r="F2757" t="s">
        <v>1477</v>
      </c>
      <c r="H2757" t="s">
        <v>4066</v>
      </c>
      <c r="I2757" t="s">
        <v>4982</v>
      </c>
      <c r="K2757" t="s">
        <v>5037</v>
      </c>
      <c r="L2757" t="s">
        <v>5039</v>
      </c>
    </row>
    <row r="2758" spans="1:12" x14ac:dyDescent="0.35">
      <c r="A2758" t="s">
        <v>116</v>
      </c>
      <c r="B2758" t="s">
        <v>429</v>
      </c>
      <c r="C2758" t="s">
        <v>847</v>
      </c>
      <c r="D2758">
        <v>0.91</v>
      </c>
      <c r="F2758" t="s">
        <v>1874</v>
      </c>
      <c r="H2758" t="s">
        <v>4067</v>
      </c>
      <c r="I2758" t="s">
        <v>4981</v>
      </c>
      <c r="K2758" t="s">
        <v>5037</v>
      </c>
      <c r="L2758" t="s">
        <v>5039</v>
      </c>
    </row>
    <row r="2759" spans="1:12" x14ac:dyDescent="0.35">
      <c r="A2759" t="s">
        <v>116</v>
      </c>
      <c r="B2759" t="s">
        <v>429</v>
      </c>
      <c r="C2759" t="s">
        <v>709</v>
      </c>
      <c r="D2759">
        <v>9.7000000000000003E-2</v>
      </c>
      <c r="F2759" t="s">
        <v>2185</v>
      </c>
      <c r="H2759" t="s">
        <v>4068</v>
      </c>
      <c r="I2759" t="s">
        <v>4981</v>
      </c>
      <c r="K2759" t="s">
        <v>5037</v>
      </c>
      <c r="L2759" t="s">
        <v>5039</v>
      </c>
    </row>
    <row r="2760" spans="1:12" x14ac:dyDescent="0.35">
      <c r="A2760" t="s">
        <v>116</v>
      </c>
      <c r="B2760" t="s">
        <v>429</v>
      </c>
      <c r="C2760" t="s">
        <v>847</v>
      </c>
      <c r="D2760">
        <v>260</v>
      </c>
      <c r="F2760" t="s">
        <v>2328</v>
      </c>
      <c r="H2760" t="s">
        <v>4069</v>
      </c>
      <c r="I2760" t="s">
        <v>4981</v>
      </c>
      <c r="K2760" t="s">
        <v>5037</v>
      </c>
      <c r="L2760" t="s">
        <v>5039</v>
      </c>
    </row>
    <row r="2761" spans="1:12" x14ac:dyDescent="0.35">
      <c r="A2761" t="s">
        <v>116</v>
      </c>
      <c r="B2761" t="s">
        <v>429</v>
      </c>
      <c r="C2761" t="s">
        <v>709</v>
      </c>
      <c r="D2761">
        <v>0.48</v>
      </c>
      <c r="F2761" t="s">
        <v>1508</v>
      </c>
      <c r="H2761" t="s">
        <v>4070</v>
      </c>
      <c r="I2761" t="s">
        <v>4981</v>
      </c>
      <c r="K2761" t="s">
        <v>5037</v>
      </c>
      <c r="L2761" t="s">
        <v>5039</v>
      </c>
    </row>
    <row r="2762" spans="1:12" x14ac:dyDescent="0.35">
      <c r="A2762" t="s">
        <v>116</v>
      </c>
      <c r="B2762" t="s">
        <v>429</v>
      </c>
      <c r="C2762" t="s">
        <v>716</v>
      </c>
      <c r="D2762">
        <v>25</v>
      </c>
      <c r="F2762" t="s">
        <v>1387</v>
      </c>
      <c r="H2762" t="s">
        <v>4070</v>
      </c>
      <c r="I2762" t="s">
        <v>4981</v>
      </c>
      <c r="K2762" t="s">
        <v>5037</v>
      </c>
      <c r="L2762" t="s">
        <v>5039</v>
      </c>
    </row>
    <row r="2763" spans="1:12" x14ac:dyDescent="0.35">
      <c r="A2763" t="s">
        <v>116</v>
      </c>
      <c r="B2763" t="s">
        <v>429</v>
      </c>
      <c r="C2763" t="s">
        <v>716</v>
      </c>
      <c r="D2763">
        <v>15</v>
      </c>
      <c r="F2763" t="s">
        <v>1489</v>
      </c>
      <c r="H2763" t="s">
        <v>4071</v>
      </c>
      <c r="I2763" t="s">
        <v>4981</v>
      </c>
      <c r="K2763" t="s">
        <v>5037</v>
      </c>
      <c r="L2763" t="s">
        <v>5039</v>
      </c>
    </row>
    <row r="2764" spans="1:12" x14ac:dyDescent="0.35">
      <c r="A2764" t="s">
        <v>116</v>
      </c>
      <c r="B2764" t="s">
        <v>429</v>
      </c>
      <c r="C2764" t="s">
        <v>716</v>
      </c>
      <c r="D2764">
        <v>33</v>
      </c>
      <c r="F2764" t="s">
        <v>1943</v>
      </c>
      <c r="H2764" t="s">
        <v>4072</v>
      </c>
      <c r="I2764" t="s">
        <v>4981</v>
      </c>
      <c r="K2764" t="s">
        <v>5037</v>
      </c>
      <c r="L2764" t="s">
        <v>5039</v>
      </c>
    </row>
    <row r="2765" spans="1:12" x14ac:dyDescent="0.35">
      <c r="A2765" t="s">
        <v>116</v>
      </c>
      <c r="B2765" t="s">
        <v>429</v>
      </c>
      <c r="C2765" t="s">
        <v>847</v>
      </c>
      <c r="D2765">
        <v>0.44</v>
      </c>
      <c r="F2765" t="s">
        <v>1723</v>
      </c>
      <c r="H2765" t="s">
        <v>4073</v>
      </c>
      <c r="I2765" t="s">
        <v>4981</v>
      </c>
      <c r="K2765" t="s">
        <v>5037</v>
      </c>
      <c r="L2765" t="s">
        <v>5039</v>
      </c>
    </row>
    <row r="2766" spans="1:12" x14ac:dyDescent="0.35">
      <c r="A2766" t="s">
        <v>116</v>
      </c>
      <c r="B2766" t="s">
        <v>429</v>
      </c>
      <c r="C2766" t="s">
        <v>847</v>
      </c>
      <c r="D2766">
        <v>29</v>
      </c>
      <c r="F2766" t="s">
        <v>1509</v>
      </c>
      <c r="H2766" t="s">
        <v>4074</v>
      </c>
      <c r="I2766" t="s">
        <v>4982</v>
      </c>
      <c r="K2766" t="s">
        <v>5037</v>
      </c>
      <c r="L2766" t="s">
        <v>5039</v>
      </c>
    </row>
    <row r="2767" spans="1:12" x14ac:dyDescent="0.35">
      <c r="A2767" t="s">
        <v>116</v>
      </c>
      <c r="B2767" t="s">
        <v>429</v>
      </c>
      <c r="C2767" t="s">
        <v>716</v>
      </c>
      <c r="D2767">
        <v>5.1000000000000004E-3</v>
      </c>
      <c r="F2767" t="s">
        <v>1911</v>
      </c>
      <c r="H2767" t="s">
        <v>4075</v>
      </c>
      <c r="I2767" t="s">
        <v>4982</v>
      </c>
      <c r="K2767" t="s">
        <v>5037</v>
      </c>
      <c r="L2767" t="s">
        <v>5039</v>
      </c>
    </row>
    <row r="2768" spans="1:12" x14ac:dyDescent="0.35">
      <c r="A2768" t="s">
        <v>116</v>
      </c>
      <c r="B2768" t="s">
        <v>429</v>
      </c>
      <c r="C2768" t="s">
        <v>1060</v>
      </c>
      <c r="D2768">
        <v>6.7</v>
      </c>
      <c r="F2768" t="s">
        <v>1520</v>
      </c>
      <c r="H2768" t="s">
        <v>4076</v>
      </c>
      <c r="I2768" t="s">
        <v>4982</v>
      </c>
      <c r="K2768" t="s">
        <v>5037</v>
      </c>
      <c r="L2768" t="s">
        <v>5039</v>
      </c>
    </row>
    <row r="2769" spans="1:12" x14ac:dyDescent="0.35">
      <c r="A2769" t="s">
        <v>116</v>
      </c>
      <c r="B2769" t="s">
        <v>429</v>
      </c>
      <c r="C2769" t="s">
        <v>709</v>
      </c>
      <c r="D2769">
        <v>0.46</v>
      </c>
      <c r="F2769" t="s">
        <v>1506</v>
      </c>
      <c r="H2769" t="s">
        <v>4060</v>
      </c>
      <c r="I2769" t="s">
        <v>4982</v>
      </c>
      <c r="K2769" t="s">
        <v>5037</v>
      </c>
      <c r="L2769" t="s">
        <v>5039</v>
      </c>
    </row>
    <row r="2770" spans="1:12" x14ac:dyDescent="0.35">
      <c r="A2770" t="s">
        <v>116</v>
      </c>
      <c r="B2770" t="s">
        <v>429</v>
      </c>
      <c r="C2770" t="s">
        <v>1060</v>
      </c>
      <c r="D2770">
        <v>13</v>
      </c>
      <c r="F2770" t="s">
        <v>1454</v>
      </c>
      <c r="H2770" t="s">
        <v>4077</v>
      </c>
      <c r="I2770" t="s">
        <v>4982</v>
      </c>
      <c r="K2770" t="s">
        <v>5037</v>
      </c>
      <c r="L2770" t="s">
        <v>5039</v>
      </c>
    </row>
    <row r="2771" spans="1:12" x14ac:dyDescent="0.35">
      <c r="A2771" t="s">
        <v>116</v>
      </c>
      <c r="B2771" t="s">
        <v>429</v>
      </c>
      <c r="C2771" t="s">
        <v>716</v>
      </c>
      <c r="D2771">
        <v>120</v>
      </c>
      <c r="F2771" t="s">
        <v>2329</v>
      </c>
      <c r="H2771" t="s">
        <v>4068</v>
      </c>
      <c r="I2771" t="s">
        <v>4981</v>
      </c>
      <c r="K2771" t="s">
        <v>5037</v>
      </c>
      <c r="L2771" t="s">
        <v>5039</v>
      </c>
    </row>
    <row r="2772" spans="1:12" x14ac:dyDescent="0.35">
      <c r="A2772" t="s">
        <v>116</v>
      </c>
      <c r="B2772" t="s">
        <v>429</v>
      </c>
      <c r="C2772" t="s">
        <v>716</v>
      </c>
      <c r="D2772">
        <v>7.4</v>
      </c>
      <c r="F2772" t="s">
        <v>2049</v>
      </c>
      <c r="H2772" t="s">
        <v>4078</v>
      </c>
      <c r="I2772" t="s">
        <v>4981</v>
      </c>
      <c r="K2772" t="s">
        <v>5037</v>
      </c>
      <c r="L2772" t="s">
        <v>5039</v>
      </c>
    </row>
    <row r="2773" spans="1:12" x14ac:dyDescent="0.35">
      <c r="A2773" t="s">
        <v>116</v>
      </c>
      <c r="B2773" t="s">
        <v>429</v>
      </c>
      <c r="C2773" t="s">
        <v>847</v>
      </c>
      <c r="D2773">
        <v>9.6</v>
      </c>
      <c r="F2773" t="s">
        <v>1665</v>
      </c>
      <c r="H2773" t="s">
        <v>4079</v>
      </c>
      <c r="I2773" t="s">
        <v>4981</v>
      </c>
      <c r="K2773" t="s">
        <v>5037</v>
      </c>
      <c r="L2773" t="s">
        <v>5039</v>
      </c>
    </row>
    <row r="2774" spans="1:12" x14ac:dyDescent="0.35">
      <c r="A2774" t="s">
        <v>116</v>
      </c>
      <c r="B2774" t="s">
        <v>429</v>
      </c>
      <c r="C2774" t="s">
        <v>847</v>
      </c>
      <c r="D2774">
        <v>90</v>
      </c>
      <c r="F2774" t="s">
        <v>2330</v>
      </c>
      <c r="H2774" t="s">
        <v>4080</v>
      </c>
      <c r="I2774" t="s">
        <v>4981</v>
      </c>
      <c r="K2774" t="s">
        <v>5037</v>
      </c>
      <c r="L2774" t="s">
        <v>5039</v>
      </c>
    </row>
    <row r="2775" spans="1:12" x14ac:dyDescent="0.35">
      <c r="A2775" t="s">
        <v>116</v>
      </c>
      <c r="B2775" t="s">
        <v>429</v>
      </c>
      <c r="C2775" t="s">
        <v>847</v>
      </c>
      <c r="D2775">
        <v>110</v>
      </c>
      <c r="F2775" t="s">
        <v>2331</v>
      </c>
      <c r="H2775" t="s">
        <v>4081</v>
      </c>
      <c r="I2775" t="s">
        <v>4981</v>
      </c>
      <c r="K2775" t="s">
        <v>5037</v>
      </c>
      <c r="L2775" t="s">
        <v>5039</v>
      </c>
    </row>
    <row r="2776" spans="1:12" x14ac:dyDescent="0.35">
      <c r="A2776" t="s">
        <v>116</v>
      </c>
      <c r="B2776" t="s">
        <v>429</v>
      </c>
      <c r="C2776" t="s">
        <v>847</v>
      </c>
      <c r="D2776">
        <v>200</v>
      </c>
      <c r="F2776" t="s">
        <v>2332</v>
      </c>
      <c r="H2776" t="s">
        <v>4082</v>
      </c>
      <c r="I2776" t="s">
        <v>4982</v>
      </c>
      <c r="K2776" t="s">
        <v>5037</v>
      </c>
      <c r="L2776" t="s">
        <v>5039</v>
      </c>
    </row>
    <row r="2777" spans="1:12" x14ac:dyDescent="0.35">
      <c r="A2777" t="s">
        <v>116</v>
      </c>
      <c r="B2777" t="s">
        <v>429</v>
      </c>
      <c r="C2777" t="s">
        <v>847</v>
      </c>
      <c r="D2777">
        <v>1100</v>
      </c>
      <c r="F2777" t="s">
        <v>1648</v>
      </c>
      <c r="H2777" t="s">
        <v>4083</v>
      </c>
      <c r="I2777" t="s">
        <v>4981</v>
      </c>
      <c r="K2777" t="s">
        <v>5037</v>
      </c>
      <c r="L2777" t="s">
        <v>5039</v>
      </c>
    </row>
    <row r="2778" spans="1:12" x14ac:dyDescent="0.35">
      <c r="A2778" t="s">
        <v>116</v>
      </c>
      <c r="B2778" t="s">
        <v>429</v>
      </c>
      <c r="C2778" t="s">
        <v>847</v>
      </c>
      <c r="D2778">
        <v>5.5</v>
      </c>
      <c r="F2778" t="s">
        <v>1860</v>
      </c>
      <c r="H2778" t="s">
        <v>4084</v>
      </c>
      <c r="I2778" t="s">
        <v>4981</v>
      </c>
      <c r="K2778" t="s">
        <v>5037</v>
      </c>
      <c r="L2778" t="s">
        <v>5039</v>
      </c>
    </row>
    <row r="2779" spans="1:12" x14ac:dyDescent="0.35">
      <c r="A2779" t="s">
        <v>116</v>
      </c>
      <c r="B2779" t="s">
        <v>429</v>
      </c>
      <c r="C2779" t="s">
        <v>716</v>
      </c>
      <c r="D2779">
        <v>360</v>
      </c>
      <c r="F2779" t="s">
        <v>1618</v>
      </c>
      <c r="H2779" t="s">
        <v>4085</v>
      </c>
      <c r="I2779" t="s">
        <v>4981</v>
      </c>
      <c r="K2779" t="s">
        <v>5037</v>
      </c>
      <c r="L2779" t="s">
        <v>5039</v>
      </c>
    </row>
    <row r="2780" spans="1:12" x14ac:dyDescent="0.35">
      <c r="A2780" t="s">
        <v>116</v>
      </c>
      <c r="B2780" t="s">
        <v>429</v>
      </c>
      <c r="C2780" t="s">
        <v>847</v>
      </c>
      <c r="D2780">
        <v>240</v>
      </c>
      <c r="F2780" t="s">
        <v>2333</v>
      </c>
      <c r="H2780" t="s">
        <v>4086</v>
      </c>
      <c r="I2780" t="s">
        <v>4981</v>
      </c>
      <c r="K2780" t="s">
        <v>5037</v>
      </c>
      <c r="L2780" t="s">
        <v>5039</v>
      </c>
    </row>
    <row r="2781" spans="1:12" x14ac:dyDescent="0.35">
      <c r="A2781" t="s">
        <v>116</v>
      </c>
      <c r="B2781" t="s">
        <v>429</v>
      </c>
      <c r="C2781" t="s">
        <v>847</v>
      </c>
      <c r="D2781">
        <v>76</v>
      </c>
      <c r="F2781" t="s">
        <v>2334</v>
      </c>
      <c r="H2781" t="s">
        <v>4087</v>
      </c>
      <c r="I2781" t="s">
        <v>4981</v>
      </c>
      <c r="K2781" t="s">
        <v>5037</v>
      </c>
      <c r="L2781" t="s">
        <v>5039</v>
      </c>
    </row>
    <row r="2782" spans="1:12" x14ac:dyDescent="0.35">
      <c r="A2782" t="s">
        <v>116</v>
      </c>
      <c r="B2782" t="s">
        <v>429</v>
      </c>
      <c r="C2782" t="s">
        <v>847</v>
      </c>
      <c r="D2782">
        <v>690</v>
      </c>
      <c r="F2782" t="s">
        <v>2335</v>
      </c>
      <c r="H2782" t="s">
        <v>4088</v>
      </c>
      <c r="I2782" t="s">
        <v>4982</v>
      </c>
      <c r="K2782" t="s">
        <v>5037</v>
      </c>
      <c r="L2782" t="s">
        <v>5039</v>
      </c>
    </row>
    <row r="2783" spans="1:12" x14ac:dyDescent="0.35">
      <c r="A2783" t="s">
        <v>116</v>
      </c>
      <c r="B2783" t="s">
        <v>429</v>
      </c>
      <c r="C2783" t="s">
        <v>709</v>
      </c>
      <c r="D2783">
        <v>0.28999999999999998</v>
      </c>
      <c r="F2783" t="s">
        <v>1396</v>
      </c>
      <c r="H2783" t="s">
        <v>4089</v>
      </c>
      <c r="I2783" t="s">
        <v>2333</v>
      </c>
      <c r="K2783" t="s">
        <v>5037</v>
      </c>
      <c r="L2783" t="s">
        <v>5039</v>
      </c>
    </row>
    <row r="2784" spans="1:12" x14ac:dyDescent="0.35">
      <c r="A2784" t="s">
        <v>116</v>
      </c>
      <c r="B2784" t="s">
        <v>429</v>
      </c>
      <c r="C2784" t="s">
        <v>709</v>
      </c>
      <c r="D2784">
        <v>0.23</v>
      </c>
      <c r="F2784" t="s">
        <v>1362</v>
      </c>
      <c r="H2784" t="s">
        <v>4090</v>
      </c>
      <c r="I2784" t="s">
        <v>1569</v>
      </c>
      <c r="K2784" t="s">
        <v>5037</v>
      </c>
      <c r="L2784" t="s">
        <v>5039</v>
      </c>
    </row>
    <row r="2785" spans="1:12" x14ac:dyDescent="0.35">
      <c r="A2785" t="s">
        <v>116</v>
      </c>
      <c r="B2785" t="s">
        <v>429</v>
      </c>
      <c r="C2785" t="s">
        <v>709</v>
      </c>
      <c r="D2785">
        <v>0.12</v>
      </c>
      <c r="F2785" t="s">
        <v>1473</v>
      </c>
      <c r="H2785" t="s">
        <v>4091</v>
      </c>
      <c r="I2785" t="s">
        <v>1515</v>
      </c>
      <c r="K2785" t="s">
        <v>5037</v>
      </c>
      <c r="L2785" t="s">
        <v>5039</v>
      </c>
    </row>
    <row r="2786" spans="1:12" x14ac:dyDescent="0.35">
      <c r="A2786" t="s">
        <v>116</v>
      </c>
      <c r="B2786" t="s">
        <v>552</v>
      </c>
      <c r="C2786" t="s">
        <v>972</v>
      </c>
      <c r="D2786">
        <v>0.57999999999999996</v>
      </c>
      <c r="F2786" t="s">
        <v>1444</v>
      </c>
      <c r="I2786" t="s">
        <v>4936</v>
      </c>
      <c r="K2786" t="s">
        <v>5037</v>
      </c>
      <c r="L2786" t="s">
        <v>5039</v>
      </c>
    </row>
    <row r="2787" spans="1:12" x14ac:dyDescent="0.35">
      <c r="A2787" t="s">
        <v>116</v>
      </c>
      <c r="B2787" t="s">
        <v>308</v>
      </c>
      <c r="C2787" t="s">
        <v>1061</v>
      </c>
      <c r="D2787">
        <v>200</v>
      </c>
      <c r="F2787" t="s">
        <v>2332</v>
      </c>
      <c r="H2787" t="s">
        <v>4092</v>
      </c>
      <c r="I2787" t="s">
        <v>4881</v>
      </c>
      <c r="K2787" t="s">
        <v>5037</v>
      </c>
      <c r="L2787" t="s">
        <v>5039</v>
      </c>
    </row>
    <row r="2788" spans="1:12" x14ac:dyDescent="0.35">
      <c r="A2788" t="s">
        <v>116</v>
      </c>
      <c r="B2788" t="s">
        <v>308</v>
      </c>
      <c r="C2788" t="s">
        <v>961</v>
      </c>
      <c r="D2788">
        <v>1.64</v>
      </c>
      <c r="F2788" t="s">
        <v>1712</v>
      </c>
      <c r="I2788" t="s">
        <v>4924</v>
      </c>
      <c r="K2788" t="s">
        <v>5037</v>
      </c>
      <c r="L2788" t="s">
        <v>5039</v>
      </c>
    </row>
    <row r="2789" spans="1:12" x14ac:dyDescent="0.35">
      <c r="A2789" t="s">
        <v>116</v>
      </c>
      <c r="B2789" t="s">
        <v>553</v>
      </c>
      <c r="C2789" t="s">
        <v>961</v>
      </c>
      <c r="D2789">
        <v>20</v>
      </c>
      <c r="F2789" t="s">
        <v>1458</v>
      </c>
      <c r="H2789" t="s">
        <v>4093</v>
      </c>
      <c r="I2789" t="s">
        <v>4904</v>
      </c>
      <c r="K2789" t="s">
        <v>5037</v>
      </c>
      <c r="L2789" t="s">
        <v>5039</v>
      </c>
    </row>
    <row r="2790" spans="1:12" x14ac:dyDescent="0.35">
      <c r="A2790" t="s">
        <v>116</v>
      </c>
      <c r="B2790" t="s">
        <v>553</v>
      </c>
      <c r="C2790" t="s">
        <v>709</v>
      </c>
      <c r="D2790">
        <v>0.185</v>
      </c>
      <c r="F2790" t="s">
        <v>2336</v>
      </c>
      <c r="H2790" t="s">
        <v>4094</v>
      </c>
      <c r="I2790" t="s">
        <v>4904</v>
      </c>
      <c r="K2790" t="s">
        <v>5037</v>
      </c>
      <c r="L2790" t="s">
        <v>5039</v>
      </c>
    </row>
    <row r="2791" spans="1:12" x14ac:dyDescent="0.35">
      <c r="A2791" t="s">
        <v>116</v>
      </c>
      <c r="B2791" t="s">
        <v>553</v>
      </c>
      <c r="C2791" t="s">
        <v>709</v>
      </c>
      <c r="D2791">
        <v>0.13600000000000001</v>
      </c>
      <c r="F2791" t="s">
        <v>2003</v>
      </c>
      <c r="H2791" t="s">
        <v>4093</v>
      </c>
      <c r="I2791" t="s">
        <v>4904</v>
      </c>
      <c r="K2791" t="s">
        <v>5037</v>
      </c>
      <c r="L2791" t="s">
        <v>5039</v>
      </c>
    </row>
    <row r="2792" spans="1:12" x14ac:dyDescent="0.35">
      <c r="A2792" t="s">
        <v>116</v>
      </c>
      <c r="B2792" t="s">
        <v>553</v>
      </c>
      <c r="C2792" t="s">
        <v>961</v>
      </c>
      <c r="D2792">
        <v>25</v>
      </c>
      <c r="F2792" t="s">
        <v>1387</v>
      </c>
      <c r="H2792" t="s">
        <v>4095</v>
      </c>
      <c r="I2792" t="s">
        <v>4904</v>
      </c>
      <c r="K2792" t="s">
        <v>5037</v>
      </c>
      <c r="L2792" t="s">
        <v>5039</v>
      </c>
    </row>
    <row r="2793" spans="1:12" x14ac:dyDescent="0.35">
      <c r="A2793" t="s">
        <v>116</v>
      </c>
      <c r="B2793" t="s">
        <v>553</v>
      </c>
      <c r="C2793" t="s">
        <v>709</v>
      </c>
      <c r="D2793">
        <v>0.155</v>
      </c>
      <c r="F2793" t="s">
        <v>1580</v>
      </c>
      <c r="H2793" t="s">
        <v>4095</v>
      </c>
      <c r="I2793" t="s">
        <v>4904</v>
      </c>
      <c r="K2793" t="s">
        <v>5037</v>
      </c>
      <c r="L2793" t="s">
        <v>5039</v>
      </c>
    </row>
    <row r="2794" spans="1:12" x14ac:dyDescent="0.35">
      <c r="A2794" t="s">
        <v>116</v>
      </c>
      <c r="B2794" t="s">
        <v>553</v>
      </c>
      <c r="C2794" t="s">
        <v>961</v>
      </c>
      <c r="D2794">
        <v>30</v>
      </c>
      <c r="F2794" t="s">
        <v>1354</v>
      </c>
      <c r="H2794" t="s">
        <v>4094</v>
      </c>
      <c r="I2794" t="s">
        <v>4904</v>
      </c>
      <c r="K2794" t="s">
        <v>5037</v>
      </c>
      <c r="L2794" t="s">
        <v>5039</v>
      </c>
    </row>
    <row r="2795" spans="1:12" x14ac:dyDescent="0.35">
      <c r="A2795" t="s">
        <v>116</v>
      </c>
      <c r="B2795" t="s">
        <v>553</v>
      </c>
      <c r="C2795" t="s">
        <v>709</v>
      </c>
      <c r="D2795">
        <v>0.224</v>
      </c>
      <c r="F2795" t="s">
        <v>2195</v>
      </c>
      <c r="H2795" t="s">
        <v>4096</v>
      </c>
      <c r="I2795" t="s">
        <v>4904</v>
      </c>
      <c r="K2795" t="s">
        <v>5037</v>
      </c>
      <c r="L2795" t="s">
        <v>5039</v>
      </c>
    </row>
    <row r="2796" spans="1:12" x14ac:dyDescent="0.35">
      <c r="A2796" t="s">
        <v>116</v>
      </c>
      <c r="B2796" t="s">
        <v>553</v>
      </c>
      <c r="C2796" t="s">
        <v>961</v>
      </c>
      <c r="D2796">
        <v>41.3</v>
      </c>
      <c r="F2796" t="s">
        <v>2337</v>
      </c>
      <c r="H2796" t="s">
        <v>4096</v>
      </c>
      <c r="I2796" t="s">
        <v>4904</v>
      </c>
      <c r="K2796" t="s">
        <v>5037</v>
      </c>
      <c r="L2796" t="s">
        <v>5039</v>
      </c>
    </row>
    <row r="2797" spans="1:12" x14ac:dyDescent="0.35">
      <c r="A2797" t="s">
        <v>116</v>
      </c>
      <c r="B2797" t="s">
        <v>554</v>
      </c>
      <c r="C2797" t="s">
        <v>855</v>
      </c>
      <c r="D2797">
        <v>1.2999999999999999E-2</v>
      </c>
      <c r="F2797" t="s">
        <v>1861</v>
      </c>
      <c r="H2797" t="s">
        <v>4097</v>
      </c>
      <c r="I2797" t="s">
        <v>2372</v>
      </c>
      <c r="K2797" t="s">
        <v>5037</v>
      </c>
      <c r="L2797" t="s">
        <v>5039</v>
      </c>
    </row>
    <row r="2798" spans="1:12" x14ac:dyDescent="0.35">
      <c r="A2798" t="s">
        <v>116</v>
      </c>
      <c r="B2798" t="s">
        <v>554</v>
      </c>
      <c r="C2798" t="s">
        <v>961</v>
      </c>
      <c r="D2798">
        <v>0.34</v>
      </c>
      <c r="F2798" t="s">
        <v>1327</v>
      </c>
      <c r="H2798" t="s">
        <v>4098</v>
      </c>
      <c r="I2798" t="s">
        <v>2372</v>
      </c>
      <c r="K2798" t="s">
        <v>5037</v>
      </c>
      <c r="L2798" t="s">
        <v>5039</v>
      </c>
    </row>
    <row r="2799" spans="1:12" x14ac:dyDescent="0.35">
      <c r="A2799" t="s">
        <v>116</v>
      </c>
      <c r="B2799" t="s">
        <v>554</v>
      </c>
      <c r="C2799" t="s">
        <v>855</v>
      </c>
      <c r="D2799">
        <v>5.8999999999999997E-2</v>
      </c>
      <c r="F2799" t="s">
        <v>1729</v>
      </c>
      <c r="H2799" t="s">
        <v>4098</v>
      </c>
      <c r="I2799" t="s">
        <v>2372</v>
      </c>
      <c r="K2799" t="s">
        <v>5037</v>
      </c>
      <c r="L2799" t="s">
        <v>5039</v>
      </c>
    </row>
    <row r="2800" spans="1:12" x14ac:dyDescent="0.35">
      <c r="A2800" t="s">
        <v>116</v>
      </c>
      <c r="B2800" t="s">
        <v>456</v>
      </c>
      <c r="C2800" t="s">
        <v>961</v>
      </c>
      <c r="D2800">
        <v>29.9</v>
      </c>
      <c r="F2800" t="s">
        <v>2338</v>
      </c>
      <c r="I2800" t="s">
        <v>4924</v>
      </c>
      <c r="K2800" t="s">
        <v>5037</v>
      </c>
      <c r="L2800" t="s">
        <v>5039</v>
      </c>
    </row>
    <row r="2801" spans="1:12" x14ac:dyDescent="0.35">
      <c r="A2801" t="s">
        <v>116</v>
      </c>
      <c r="B2801" t="s">
        <v>555</v>
      </c>
      <c r="C2801" t="s">
        <v>970</v>
      </c>
      <c r="D2801">
        <v>0.03</v>
      </c>
      <c r="F2801" t="s">
        <v>1266</v>
      </c>
      <c r="H2801" t="s">
        <v>4099</v>
      </c>
      <c r="I2801" t="s">
        <v>4983</v>
      </c>
      <c r="K2801" t="s">
        <v>5037</v>
      </c>
      <c r="L2801" t="s">
        <v>5039</v>
      </c>
    </row>
    <row r="2802" spans="1:12" x14ac:dyDescent="0.35">
      <c r="A2802" t="s">
        <v>116</v>
      </c>
      <c r="B2802" t="s">
        <v>555</v>
      </c>
      <c r="C2802" t="s">
        <v>823</v>
      </c>
      <c r="D2802">
        <v>0.05</v>
      </c>
      <c r="F2802" t="s">
        <v>1559</v>
      </c>
      <c r="H2802" t="s">
        <v>4100</v>
      </c>
      <c r="I2802" t="s">
        <v>4983</v>
      </c>
      <c r="K2802" t="s">
        <v>5037</v>
      </c>
      <c r="L2802" t="s">
        <v>5039</v>
      </c>
    </row>
    <row r="2803" spans="1:12" x14ac:dyDescent="0.35">
      <c r="A2803" t="s">
        <v>116</v>
      </c>
      <c r="B2803" t="s">
        <v>555</v>
      </c>
      <c r="C2803" t="s">
        <v>957</v>
      </c>
      <c r="D2803">
        <v>0.05</v>
      </c>
      <c r="F2803" t="s">
        <v>1559</v>
      </c>
      <c r="H2803" t="s">
        <v>4101</v>
      </c>
      <c r="I2803" t="s">
        <v>4983</v>
      </c>
      <c r="K2803" t="s">
        <v>5037</v>
      </c>
      <c r="L2803" t="s">
        <v>5039</v>
      </c>
    </row>
    <row r="2804" spans="1:12" x14ac:dyDescent="0.35">
      <c r="A2804" t="s">
        <v>116</v>
      </c>
      <c r="B2804" t="s">
        <v>555</v>
      </c>
      <c r="C2804" t="s">
        <v>957</v>
      </c>
      <c r="D2804">
        <v>0.06</v>
      </c>
      <c r="F2804" t="s">
        <v>1370</v>
      </c>
      <c r="H2804" t="s">
        <v>4100</v>
      </c>
      <c r="I2804" t="s">
        <v>4983</v>
      </c>
      <c r="K2804" t="s">
        <v>5037</v>
      </c>
      <c r="L2804" t="s">
        <v>5039</v>
      </c>
    </row>
    <row r="2805" spans="1:12" x14ac:dyDescent="0.35">
      <c r="A2805" t="s">
        <v>116</v>
      </c>
      <c r="B2805" t="s">
        <v>555</v>
      </c>
      <c r="C2805" t="s">
        <v>1062</v>
      </c>
      <c r="D2805">
        <v>0.26</v>
      </c>
      <c r="F2805" t="s">
        <v>1447</v>
      </c>
      <c r="H2805" t="s">
        <v>4102</v>
      </c>
      <c r="I2805" t="s">
        <v>4983</v>
      </c>
      <c r="K2805" t="s">
        <v>5037</v>
      </c>
      <c r="L2805" t="s">
        <v>5039</v>
      </c>
    </row>
    <row r="2806" spans="1:12" x14ac:dyDescent="0.35">
      <c r="A2806" t="s">
        <v>116</v>
      </c>
      <c r="B2806" t="s">
        <v>555</v>
      </c>
      <c r="C2806" t="s">
        <v>959</v>
      </c>
      <c r="D2806">
        <v>0.04</v>
      </c>
      <c r="F2806" t="s">
        <v>1334</v>
      </c>
      <c r="H2806" t="s">
        <v>4099</v>
      </c>
      <c r="I2806" t="s">
        <v>4983</v>
      </c>
      <c r="K2806" t="s">
        <v>5037</v>
      </c>
      <c r="L2806" t="s">
        <v>5039</v>
      </c>
    </row>
    <row r="2807" spans="1:12" x14ac:dyDescent="0.35">
      <c r="A2807" t="s">
        <v>116</v>
      </c>
      <c r="B2807" t="s">
        <v>555</v>
      </c>
      <c r="C2807" t="s">
        <v>1062</v>
      </c>
      <c r="D2807">
        <v>0.04</v>
      </c>
      <c r="F2807" t="s">
        <v>1334</v>
      </c>
      <c r="H2807" t="s">
        <v>4099</v>
      </c>
      <c r="I2807" t="s">
        <v>4983</v>
      </c>
      <c r="K2807" t="s">
        <v>5037</v>
      </c>
      <c r="L2807" t="s">
        <v>5039</v>
      </c>
    </row>
    <row r="2808" spans="1:12" x14ac:dyDescent="0.35">
      <c r="A2808" t="s">
        <v>116</v>
      </c>
      <c r="B2808" t="s">
        <v>555</v>
      </c>
      <c r="C2808" t="s">
        <v>961</v>
      </c>
      <c r="D2808">
        <v>0.5</v>
      </c>
      <c r="F2808" t="s">
        <v>1440</v>
      </c>
      <c r="H2808" t="s">
        <v>4100</v>
      </c>
      <c r="I2808" t="s">
        <v>4983</v>
      </c>
      <c r="K2808" t="s">
        <v>5037</v>
      </c>
      <c r="L2808" t="s">
        <v>5039</v>
      </c>
    </row>
    <row r="2809" spans="1:12" x14ac:dyDescent="0.35">
      <c r="A2809" t="s">
        <v>116</v>
      </c>
      <c r="B2809" t="s">
        <v>555</v>
      </c>
      <c r="C2809" t="s">
        <v>823</v>
      </c>
      <c r="D2809">
        <v>0.02</v>
      </c>
      <c r="F2809" t="s">
        <v>1448</v>
      </c>
      <c r="H2809" t="s">
        <v>4102</v>
      </c>
      <c r="I2809" t="s">
        <v>4983</v>
      </c>
      <c r="K2809" t="s">
        <v>5037</v>
      </c>
      <c r="L2809" t="s">
        <v>5039</v>
      </c>
    </row>
    <row r="2810" spans="1:12" x14ac:dyDescent="0.35">
      <c r="A2810" t="s">
        <v>116</v>
      </c>
      <c r="B2810" t="s">
        <v>555</v>
      </c>
      <c r="C2810" t="s">
        <v>1062</v>
      </c>
      <c r="D2810">
        <v>0.02</v>
      </c>
      <c r="F2810" t="s">
        <v>1448</v>
      </c>
      <c r="H2810" t="s">
        <v>4102</v>
      </c>
      <c r="I2810" t="s">
        <v>4983</v>
      </c>
      <c r="K2810" t="s">
        <v>5037</v>
      </c>
      <c r="L2810" t="s">
        <v>5039</v>
      </c>
    </row>
    <row r="2811" spans="1:12" x14ac:dyDescent="0.35">
      <c r="A2811" t="s">
        <v>116</v>
      </c>
      <c r="B2811" t="s">
        <v>555</v>
      </c>
      <c r="C2811" t="s">
        <v>957</v>
      </c>
      <c r="D2811">
        <v>0.02</v>
      </c>
      <c r="F2811" t="s">
        <v>1448</v>
      </c>
      <c r="H2811" t="s">
        <v>4099</v>
      </c>
      <c r="I2811" t="s">
        <v>4983</v>
      </c>
      <c r="K2811" t="s">
        <v>5037</v>
      </c>
      <c r="L2811" t="s">
        <v>5039</v>
      </c>
    </row>
    <row r="2812" spans="1:12" x14ac:dyDescent="0.35">
      <c r="A2812" t="s">
        <v>116</v>
      </c>
      <c r="B2812" t="s">
        <v>555</v>
      </c>
      <c r="C2812" t="s">
        <v>970</v>
      </c>
      <c r="D2812">
        <v>7.0000000000000007E-2</v>
      </c>
      <c r="F2812" t="s">
        <v>1456</v>
      </c>
      <c r="H2812" t="s">
        <v>4100</v>
      </c>
      <c r="I2812" t="s">
        <v>4983</v>
      </c>
      <c r="K2812" t="s">
        <v>5037</v>
      </c>
      <c r="L2812" t="s">
        <v>5039</v>
      </c>
    </row>
    <row r="2813" spans="1:12" x14ac:dyDescent="0.35">
      <c r="A2813" t="s">
        <v>116</v>
      </c>
      <c r="B2813" t="s">
        <v>555</v>
      </c>
      <c r="C2813" t="s">
        <v>957</v>
      </c>
      <c r="D2813">
        <v>2.2999999999999998</v>
      </c>
      <c r="F2813" t="s">
        <v>1453</v>
      </c>
      <c r="H2813" t="s">
        <v>4102</v>
      </c>
      <c r="I2813" t="s">
        <v>4983</v>
      </c>
      <c r="K2813" t="s">
        <v>5037</v>
      </c>
      <c r="L2813" t="s">
        <v>5039</v>
      </c>
    </row>
    <row r="2814" spans="1:12" x14ac:dyDescent="0.35">
      <c r="A2814" t="s">
        <v>116</v>
      </c>
      <c r="B2814" t="s">
        <v>555</v>
      </c>
      <c r="C2814" t="s">
        <v>959</v>
      </c>
      <c r="D2814">
        <v>0.76</v>
      </c>
      <c r="F2814" t="s">
        <v>1750</v>
      </c>
      <c r="H2814" t="s">
        <v>4100</v>
      </c>
      <c r="I2814" t="s">
        <v>4983</v>
      </c>
      <c r="K2814" t="s">
        <v>5037</v>
      </c>
      <c r="L2814" t="s">
        <v>5039</v>
      </c>
    </row>
    <row r="2815" spans="1:12" x14ac:dyDescent="0.35">
      <c r="A2815" t="s">
        <v>116</v>
      </c>
      <c r="B2815" t="s">
        <v>555</v>
      </c>
      <c r="C2815" t="s">
        <v>970</v>
      </c>
      <c r="D2815">
        <v>2.6</v>
      </c>
      <c r="F2815" t="s">
        <v>1428</v>
      </c>
      <c r="H2815" t="s">
        <v>4102</v>
      </c>
      <c r="I2815" t="s">
        <v>4983</v>
      </c>
      <c r="K2815" t="s">
        <v>5037</v>
      </c>
      <c r="L2815" t="s">
        <v>5039</v>
      </c>
    </row>
    <row r="2816" spans="1:12" x14ac:dyDescent="0.35">
      <c r="A2816" t="s">
        <v>116</v>
      </c>
      <c r="B2816" t="s">
        <v>555</v>
      </c>
      <c r="C2816" t="s">
        <v>959</v>
      </c>
      <c r="D2816">
        <v>320</v>
      </c>
      <c r="F2816" t="s">
        <v>2339</v>
      </c>
      <c r="H2816" t="s">
        <v>4102</v>
      </c>
      <c r="I2816" t="s">
        <v>4983</v>
      </c>
      <c r="K2816" t="s">
        <v>5037</v>
      </c>
      <c r="L2816" t="s">
        <v>5039</v>
      </c>
    </row>
    <row r="2817" spans="1:12" x14ac:dyDescent="0.35">
      <c r="A2817" t="s">
        <v>116</v>
      </c>
      <c r="B2817" t="s">
        <v>556</v>
      </c>
      <c r="C2817" t="s">
        <v>709</v>
      </c>
      <c r="D2817">
        <v>0.26</v>
      </c>
      <c r="F2817" t="s">
        <v>1447</v>
      </c>
      <c r="I2817" t="s">
        <v>2393</v>
      </c>
      <c r="K2817" t="s">
        <v>5037</v>
      </c>
      <c r="L2817" t="s">
        <v>5039</v>
      </c>
    </row>
    <row r="2818" spans="1:12" x14ac:dyDescent="0.35">
      <c r="A2818" t="s">
        <v>116</v>
      </c>
      <c r="B2818" t="s">
        <v>556</v>
      </c>
      <c r="C2818" t="s">
        <v>1063</v>
      </c>
      <c r="D2818">
        <v>0.86</v>
      </c>
      <c r="F2818" t="s">
        <v>1486</v>
      </c>
      <c r="I2818" t="s">
        <v>2393</v>
      </c>
      <c r="K2818" t="s">
        <v>5037</v>
      </c>
      <c r="L2818" t="s">
        <v>5039</v>
      </c>
    </row>
    <row r="2819" spans="1:12" x14ac:dyDescent="0.35">
      <c r="A2819" t="s">
        <v>116</v>
      </c>
      <c r="B2819" t="s">
        <v>556</v>
      </c>
      <c r="C2819" t="s">
        <v>1047</v>
      </c>
      <c r="D2819">
        <v>1.87</v>
      </c>
      <c r="F2819" t="s">
        <v>1999</v>
      </c>
      <c r="I2819" t="s">
        <v>2393</v>
      </c>
      <c r="K2819" t="s">
        <v>5037</v>
      </c>
      <c r="L2819" t="s">
        <v>5039</v>
      </c>
    </row>
    <row r="2820" spans="1:12" x14ac:dyDescent="0.35">
      <c r="A2820" t="s">
        <v>116</v>
      </c>
      <c r="B2820" t="s">
        <v>556</v>
      </c>
      <c r="C2820" t="s">
        <v>1046</v>
      </c>
      <c r="D2820">
        <v>3.31</v>
      </c>
      <c r="F2820" t="s">
        <v>2340</v>
      </c>
      <c r="I2820" t="s">
        <v>2393</v>
      </c>
      <c r="K2820" t="s">
        <v>5037</v>
      </c>
      <c r="L2820" t="s">
        <v>5039</v>
      </c>
    </row>
    <row r="2821" spans="1:12" x14ac:dyDescent="0.35">
      <c r="A2821" t="s">
        <v>116</v>
      </c>
      <c r="B2821" t="s">
        <v>556</v>
      </c>
      <c r="C2821" t="s">
        <v>1047</v>
      </c>
      <c r="D2821">
        <v>3.42</v>
      </c>
      <c r="F2821" t="s">
        <v>2341</v>
      </c>
      <c r="I2821" t="s">
        <v>2393</v>
      </c>
      <c r="K2821" t="s">
        <v>5037</v>
      </c>
      <c r="L2821" t="s">
        <v>5039</v>
      </c>
    </row>
    <row r="2822" spans="1:12" x14ac:dyDescent="0.35">
      <c r="A2822" t="s">
        <v>116</v>
      </c>
      <c r="B2822" t="s">
        <v>556</v>
      </c>
      <c r="C2822" t="s">
        <v>961</v>
      </c>
      <c r="D2822">
        <v>8.92</v>
      </c>
      <c r="F2822" t="s">
        <v>2342</v>
      </c>
      <c r="I2822" t="s">
        <v>2393</v>
      </c>
      <c r="K2822" t="s">
        <v>5037</v>
      </c>
      <c r="L2822" t="s">
        <v>5039</v>
      </c>
    </row>
    <row r="2823" spans="1:12" x14ac:dyDescent="0.35">
      <c r="A2823" t="s">
        <v>116</v>
      </c>
      <c r="B2823" t="s">
        <v>557</v>
      </c>
      <c r="C2823" t="s">
        <v>709</v>
      </c>
      <c r="D2823">
        <v>7.5999999999999998E-2</v>
      </c>
      <c r="F2823" t="s">
        <v>2107</v>
      </c>
      <c r="I2823" t="s">
        <v>2326</v>
      </c>
      <c r="K2823" t="s">
        <v>5037</v>
      </c>
      <c r="L2823" t="s">
        <v>5039</v>
      </c>
    </row>
    <row r="2824" spans="1:12" x14ac:dyDescent="0.35">
      <c r="A2824" t="s">
        <v>116</v>
      </c>
      <c r="B2824" t="s">
        <v>557</v>
      </c>
      <c r="C2824" t="s">
        <v>855</v>
      </c>
      <c r="D2824">
        <v>0.19400000000000001</v>
      </c>
      <c r="F2824" t="s">
        <v>1978</v>
      </c>
      <c r="I2824" t="s">
        <v>2326</v>
      </c>
      <c r="K2824" t="s">
        <v>5037</v>
      </c>
      <c r="L2824" t="s">
        <v>5039</v>
      </c>
    </row>
    <row r="2825" spans="1:12" x14ac:dyDescent="0.35">
      <c r="A2825" t="s">
        <v>116</v>
      </c>
      <c r="B2825" t="s">
        <v>557</v>
      </c>
      <c r="C2825" t="s">
        <v>961</v>
      </c>
      <c r="D2825">
        <v>4.68</v>
      </c>
      <c r="F2825" t="s">
        <v>2343</v>
      </c>
      <c r="I2825" t="s">
        <v>2326</v>
      </c>
      <c r="K2825" t="s">
        <v>5037</v>
      </c>
      <c r="L2825" t="s">
        <v>5039</v>
      </c>
    </row>
    <row r="2826" spans="1:12" x14ac:dyDescent="0.35">
      <c r="A2826" t="s">
        <v>116</v>
      </c>
      <c r="B2826" t="s">
        <v>557</v>
      </c>
      <c r="C2826" t="s">
        <v>708</v>
      </c>
      <c r="D2826">
        <v>3.5999999999999997E-2</v>
      </c>
      <c r="F2826" t="s">
        <v>1837</v>
      </c>
      <c r="I2826" t="s">
        <v>4984</v>
      </c>
      <c r="K2826" t="s">
        <v>5037</v>
      </c>
      <c r="L2826" t="s">
        <v>5039</v>
      </c>
    </row>
    <row r="2827" spans="1:12" x14ac:dyDescent="0.35">
      <c r="A2827" t="s">
        <v>116</v>
      </c>
      <c r="B2827" t="s">
        <v>558</v>
      </c>
      <c r="C2827" t="s">
        <v>1064</v>
      </c>
      <c r="D2827">
        <v>0.03</v>
      </c>
      <c r="F2827" t="s">
        <v>1266</v>
      </c>
      <c r="I2827" t="s">
        <v>1878</v>
      </c>
      <c r="K2827" t="s">
        <v>5037</v>
      </c>
      <c r="L2827" t="s">
        <v>5039</v>
      </c>
    </row>
    <row r="2828" spans="1:12" x14ac:dyDescent="0.35">
      <c r="A2828" t="s">
        <v>116</v>
      </c>
      <c r="B2828" t="s">
        <v>558</v>
      </c>
      <c r="C2828" t="s">
        <v>979</v>
      </c>
      <c r="D2828">
        <v>0.06</v>
      </c>
      <c r="F2828" t="s">
        <v>1370</v>
      </c>
      <c r="I2828" t="s">
        <v>1878</v>
      </c>
      <c r="K2828" t="s">
        <v>5037</v>
      </c>
      <c r="L2828" t="s">
        <v>5039</v>
      </c>
    </row>
    <row r="2829" spans="1:12" x14ac:dyDescent="0.35">
      <c r="A2829" t="s">
        <v>116</v>
      </c>
      <c r="B2829" t="s">
        <v>558</v>
      </c>
      <c r="C2829" t="s">
        <v>831</v>
      </c>
      <c r="D2829">
        <v>0.16</v>
      </c>
      <c r="F2829" t="s">
        <v>1573</v>
      </c>
      <c r="H2829" t="s">
        <v>4103</v>
      </c>
      <c r="I2829" t="s">
        <v>1551</v>
      </c>
      <c r="K2829" t="s">
        <v>5037</v>
      </c>
      <c r="L2829" t="s">
        <v>5039</v>
      </c>
    </row>
    <row r="2830" spans="1:12" x14ac:dyDescent="0.35">
      <c r="A2830" t="s">
        <v>116</v>
      </c>
      <c r="B2830" t="s">
        <v>558</v>
      </c>
      <c r="C2830" t="s">
        <v>1065</v>
      </c>
      <c r="D2830">
        <v>0.3</v>
      </c>
      <c r="F2830" t="s">
        <v>1401</v>
      </c>
      <c r="H2830" t="s">
        <v>4103</v>
      </c>
      <c r="I2830" t="s">
        <v>1551</v>
      </c>
      <c r="K2830" t="s">
        <v>5037</v>
      </c>
      <c r="L2830" t="s">
        <v>5039</v>
      </c>
    </row>
    <row r="2831" spans="1:12" x14ac:dyDescent="0.35">
      <c r="A2831" t="s">
        <v>116</v>
      </c>
      <c r="B2831" t="s">
        <v>558</v>
      </c>
      <c r="C2831" t="s">
        <v>1066</v>
      </c>
      <c r="D2831">
        <v>0.3</v>
      </c>
      <c r="F2831" t="s">
        <v>1401</v>
      </c>
      <c r="H2831" t="s">
        <v>4104</v>
      </c>
      <c r="I2831" t="s">
        <v>4985</v>
      </c>
      <c r="K2831" t="s">
        <v>5037</v>
      </c>
      <c r="L2831" t="s">
        <v>5039</v>
      </c>
    </row>
    <row r="2832" spans="1:12" x14ac:dyDescent="0.35">
      <c r="A2832" t="s">
        <v>116</v>
      </c>
      <c r="B2832" t="s">
        <v>558</v>
      </c>
      <c r="C2832" t="s">
        <v>1067</v>
      </c>
      <c r="D2832">
        <v>0.18</v>
      </c>
      <c r="F2832" t="s">
        <v>1531</v>
      </c>
      <c r="H2832" t="s">
        <v>2842</v>
      </c>
      <c r="I2832" t="s">
        <v>1390</v>
      </c>
      <c r="K2832" t="s">
        <v>5037</v>
      </c>
      <c r="L2832" t="s">
        <v>5039</v>
      </c>
    </row>
    <row r="2833" spans="1:12" x14ac:dyDescent="0.35">
      <c r="A2833" t="s">
        <v>116</v>
      </c>
      <c r="B2833" t="s">
        <v>558</v>
      </c>
      <c r="C2833" t="s">
        <v>818</v>
      </c>
      <c r="D2833">
        <v>0.26</v>
      </c>
      <c r="F2833" t="s">
        <v>1447</v>
      </c>
      <c r="H2833" t="s">
        <v>4103</v>
      </c>
      <c r="I2833" t="s">
        <v>1551</v>
      </c>
      <c r="K2833" t="s">
        <v>5037</v>
      </c>
      <c r="L2833" t="s">
        <v>5039</v>
      </c>
    </row>
    <row r="2834" spans="1:12" x14ac:dyDescent="0.35">
      <c r="A2834" t="s">
        <v>116</v>
      </c>
      <c r="B2834" t="s">
        <v>558</v>
      </c>
      <c r="C2834" t="s">
        <v>1068</v>
      </c>
      <c r="D2834">
        <v>3.0000000000000001E-3</v>
      </c>
      <c r="F2834" t="s">
        <v>1279</v>
      </c>
      <c r="H2834" t="s">
        <v>4105</v>
      </c>
      <c r="I2834" t="s">
        <v>4897</v>
      </c>
      <c r="K2834" t="s">
        <v>5037</v>
      </c>
      <c r="L2834" t="s">
        <v>5039</v>
      </c>
    </row>
    <row r="2835" spans="1:12" x14ac:dyDescent="0.35">
      <c r="A2835" t="s">
        <v>116</v>
      </c>
      <c r="B2835" t="s">
        <v>558</v>
      </c>
      <c r="C2835" t="s">
        <v>1069</v>
      </c>
      <c r="D2835">
        <v>1.2E-2</v>
      </c>
      <c r="F2835" t="s">
        <v>1280</v>
      </c>
      <c r="I2835" t="s">
        <v>1878</v>
      </c>
      <c r="K2835" t="s">
        <v>5037</v>
      </c>
      <c r="L2835" t="s">
        <v>5039</v>
      </c>
    </row>
    <row r="2836" spans="1:12" x14ac:dyDescent="0.35">
      <c r="A2836" t="s">
        <v>116</v>
      </c>
      <c r="B2836" t="s">
        <v>558</v>
      </c>
      <c r="C2836" t="s">
        <v>1070</v>
      </c>
      <c r="D2836">
        <v>8.0000000000000002E-3</v>
      </c>
      <c r="F2836" t="s">
        <v>1801</v>
      </c>
      <c r="H2836" t="s">
        <v>4106</v>
      </c>
      <c r="I2836" t="s">
        <v>4897</v>
      </c>
      <c r="K2836" t="s">
        <v>5037</v>
      </c>
      <c r="L2836" t="s">
        <v>5039</v>
      </c>
    </row>
    <row r="2837" spans="1:12" x14ac:dyDescent="0.35">
      <c r="A2837" t="s">
        <v>116</v>
      </c>
      <c r="B2837" t="s">
        <v>558</v>
      </c>
      <c r="C2837" t="s">
        <v>961</v>
      </c>
      <c r="D2837">
        <v>7</v>
      </c>
      <c r="F2837" t="s">
        <v>1335</v>
      </c>
      <c r="H2837" t="s">
        <v>4107</v>
      </c>
      <c r="I2837" t="s">
        <v>1961</v>
      </c>
      <c r="K2837" t="s">
        <v>5037</v>
      </c>
      <c r="L2837" t="s">
        <v>5039</v>
      </c>
    </row>
    <row r="2838" spans="1:12" x14ac:dyDescent="0.35">
      <c r="A2838" t="s">
        <v>116</v>
      </c>
      <c r="B2838" t="s">
        <v>558</v>
      </c>
      <c r="C2838" t="s">
        <v>1071</v>
      </c>
      <c r="D2838">
        <v>0.11</v>
      </c>
      <c r="F2838" t="s">
        <v>1295</v>
      </c>
      <c r="H2838" t="s">
        <v>4103</v>
      </c>
      <c r="I2838" t="s">
        <v>1551</v>
      </c>
      <c r="K2838" t="s">
        <v>5037</v>
      </c>
      <c r="L2838" t="s">
        <v>5039</v>
      </c>
    </row>
    <row r="2839" spans="1:12" x14ac:dyDescent="0.35">
      <c r="A2839" t="s">
        <v>116</v>
      </c>
      <c r="B2839" t="s">
        <v>558</v>
      </c>
      <c r="C2839" t="s">
        <v>1072</v>
      </c>
      <c r="D2839">
        <v>0.2</v>
      </c>
      <c r="F2839" t="s">
        <v>1371</v>
      </c>
      <c r="H2839" t="s">
        <v>4108</v>
      </c>
      <c r="I2839" t="s">
        <v>1551</v>
      </c>
      <c r="K2839" t="s">
        <v>5037</v>
      </c>
      <c r="L2839" t="s">
        <v>5039</v>
      </c>
    </row>
    <row r="2840" spans="1:12" x14ac:dyDescent="0.35">
      <c r="A2840" t="s">
        <v>116</v>
      </c>
      <c r="B2840" t="s">
        <v>558</v>
      </c>
      <c r="C2840" t="s">
        <v>1073</v>
      </c>
      <c r="D2840">
        <v>0.28000000000000003</v>
      </c>
      <c r="F2840" t="s">
        <v>1732</v>
      </c>
      <c r="H2840" t="s">
        <v>4103</v>
      </c>
      <c r="I2840" t="s">
        <v>1551</v>
      </c>
      <c r="K2840" t="s">
        <v>5037</v>
      </c>
      <c r="L2840" t="s">
        <v>5039</v>
      </c>
    </row>
    <row r="2841" spans="1:12" x14ac:dyDescent="0.35">
      <c r="A2841" t="s">
        <v>116</v>
      </c>
      <c r="B2841" t="s">
        <v>558</v>
      </c>
      <c r="C2841" t="s">
        <v>1071</v>
      </c>
      <c r="D2841">
        <v>0.13700000000000001</v>
      </c>
      <c r="F2841" t="s">
        <v>2344</v>
      </c>
      <c r="H2841" t="s">
        <v>4108</v>
      </c>
      <c r="I2841" t="s">
        <v>1551</v>
      </c>
      <c r="K2841" t="s">
        <v>5037</v>
      </c>
      <c r="L2841" t="s">
        <v>5039</v>
      </c>
    </row>
    <row r="2842" spans="1:12" x14ac:dyDescent="0.35">
      <c r="A2842" t="s">
        <v>116</v>
      </c>
      <c r="B2842" t="s">
        <v>558</v>
      </c>
      <c r="C2842" t="s">
        <v>1074</v>
      </c>
      <c r="D2842">
        <v>1.0999999999999999E-2</v>
      </c>
      <c r="F2842" t="s">
        <v>1612</v>
      </c>
      <c r="H2842" t="s">
        <v>4105</v>
      </c>
      <c r="I2842" t="s">
        <v>4897</v>
      </c>
      <c r="K2842" t="s">
        <v>5037</v>
      </c>
      <c r="L2842" t="s">
        <v>5039</v>
      </c>
    </row>
    <row r="2843" spans="1:12" x14ac:dyDescent="0.35">
      <c r="A2843" t="s">
        <v>116</v>
      </c>
      <c r="B2843" t="s">
        <v>558</v>
      </c>
      <c r="C2843" t="s">
        <v>1042</v>
      </c>
      <c r="D2843">
        <v>1.5</v>
      </c>
      <c r="F2843" t="s">
        <v>1426</v>
      </c>
      <c r="H2843" t="s">
        <v>4109</v>
      </c>
      <c r="I2843" t="s">
        <v>4885</v>
      </c>
      <c r="K2843" t="s">
        <v>5037</v>
      </c>
      <c r="L2843" t="s">
        <v>5039</v>
      </c>
    </row>
    <row r="2844" spans="1:12" x14ac:dyDescent="0.35">
      <c r="A2844" t="s">
        <v>116</v>
      </c>
      <c r="B2844" t="s">
        <v>558</v>
      </c>
      <c r="C2844" t="s">
        <v>951</v>
      </c>
      <c r="D2844">
        <v>4.5999999999999999E-2</v>
      </c>
      <c r="F2844" t="s">
        <v>1821</v>
      </c>
      <c r="I2844" t="s">
        <v>1878</v>
      </c>
      <c r="K2844" t="s">
        <v>5037</v>
      </c>
      <c r="L2844" t="s">
        <v>5039</v>
      </c>
    </row>
    <row r="2845" spans="1:12" x14ac:dyDescent="0.35">
      <c r="A2845" t="s">
        <v>116</v>
      </c>
      <c r="B2845" t="s">
        <v>558</v>
      </c>
      <c r="C2845" t="s">
        <v>1066</v>
      </c>
      <c r="D2845">
        <v>0.33</v>
      </c>
      <c r="F2845" t="s">
        <v>1397</v>
      </c>
      <c r="H2845" t="s">
        <v>4110</v>
      </c>
      <c r="I2845" t="s">
        <v>4985</v>
      </c>
      <c r="K2845" t="s">
        <v>5037</v>
      </c>
      <c r="L2845" t="s">
        <v>5039</v>
      </c>
    </row>
    <row r="2846" spans="1:12" x14ac:dyDescent="0.35">
      <c r="A2846" t="s">
        <v>116</v>
      </c>
      <c r="B2846" t="s">
        <v>558</v>
      </c>
      <c r="C2846" t="s">
        <v>1075</v>
      </c>
      <c r="D2846">
        <v>0.39</v>
      </c>
      <c r="F2846" t="s">
        <v>1422</v>
      </c>
      <c r="H2846" t="s">
        <v>4111</v>
      </c>
      <c r="I2846" t="s">
        <v>2329</v>
      </c>
      <c r="K2846" t="s">
        <v>5037</v>
      </c>
      <c r="L2846" t="s">
        <v>5039</v>
      </c>
    </row>
    <row r="2847" spans="1:12" x14ac:dyDescent="0.35">
      <c r="A2847" t="s">
        <v>116</v>
      </c>
      <c r="B2847" t="s">
        <v>558</v>
      </c>
      <c r="C2847" t="s">
        <v>818</v>
      </c>
      <c r="D2847">
        <v>0.34</v>
      </c>
      <c r="F2847" t="s">
        <v>1327</v>
      </c>
      <c r="H2847" t="s">
        <v>4108</v>
      </c>
      <c r="I2847" t="s">
        <v>1551</v>
      </c>
      <c r="K2847" t="s">
        <v>5037</v>
      </c>
      <c r="L2847" t="s">
        <v>5039</v>
      </c>
    </row>
    <row r="2848" spans="1:12" x14ac:dyDescent="0.35">
      <c r="A2848" t="s">
        <v>116</v>
      </c>
      <c r="B2848" t="s">
        <v>558</v>
      </c>
      <c r="C2848" t="s">
        <v>1066</v>
      </c>
      <c r="D2848">
        <v>0.36</v>
      </c>
      <c r="F2848" t="s">
        <v>1398</v>
      </c>
      <c r="H2848" t="s">
        <v>4112</v>
      </c>
      <c r="I2848" t="s">
        <v>4985</v>
      </c>
      <c r="K2848" t="s">
        <v>5037</v>
      </c>
      <c r="L2848" t="s">
        <v>5039</v>
      </c>
    </row>
    <row r="2849" spans="1:12" x14ac:dyDescent="0.35">
      <c r="A2849" t="s">
        <v>116</v>
      </c>
      <c r="B2849" t="s">
        <v>558</v>
      </c>
      <c r="C2849" t="s">
        <v>1076</v>
      </c>
      <c r="D2849">
        <v>0.71</v>
      </c>
      <c r="F2849" t="s">
        <v>1941</v>
      </c>
      <c r="H2849" t="s">
        <v>4111</v>
      </c>
      <c r="I2849" t="s">
        <v>2329</v>
      </c>
      <c r="K2849" t="s">
        <v>5037</v>
      </c>
      <c r="L2849" t="s">
        <v>5039</v>
      </c>
    </row>
    <row r="2850" spans="1:12" x14ac:dyDescent="0.35">
      <c r="A2850" t="s">
        <v>116</v>
      </c>
      <c r="B2850" t="s">
        <v>558</v>
      </c>
      <c r="C2850" t="s">
        <v>1013</v>
      </c>
      <c r="D2850">
        <v>9</v>
      </c>
      <c r="F2850" t="s">
        <v>1367</v>
      </c>
      <c r="I2850" t="s">
        <v>1390</v>
      </c>
      <c r="K2850" t="s">
        <v>5037</v>
      </c>
      <c r="L2850" t="s">
        <v>5039</v>
      </c>
    </row>
    <row r="2851" spans="1:12" x14ac:dyDescent="0.35">
      <c r="A2851" t="s">
        <v>116</v>
      </c>
      <c r="B2851" t="s">
        <v>558</v>
      </c>
      <c r="C2851" t="s">
        <v>1077</v>
      </c>
      <c r="D2851">
        <v>3.1E-2</v>
      </c>
      <c r="F2851" t="s">
        <v>1423</v>
      </c>
      <c r="I2851" t="s">
        <v>1878</v>
      </c>
      <c r="K2851" t="s">
        <v>5037</v>
      </c>
      <c r="L2851" t="s">
        <v>5039</v>
      </c>
    </row>
    <row r="2852" spans="1:12" x14ac:dyDescent="0.35">
      <c r="A2852" t="s">
        <v>116</v>
      </c>
      <c r="B2852" t="s">
        <v>558</v>
      </c>
      <c r="C2852" t="s">
        <v>1078</v>
      </c>
      <c r="D2852">
        <v>9.0999999999999998E-2</v>
      </c>
      <c r="F2852" t="s">
        <v>1958</v>
      </c>
      <c r="I2852" t="s">
        <v>1878</v>
      </c>
      <c r="K2852" t="s">
        <v>5037</v>
      </c>
      <c r="L2852" t="s">
        <v>5039</v>
      </c>
    </row>
    <row r="2853" spans="1:12" x14ac:dyDescent="0.35">
      <c r="A2853" t="s">
        <v>116</v>
      </c>
      <c r="B2853" t="s">
        <v>558</v>
      </c>
      <c r="C2853" t="s">
        <v>984</v>
      </c>
      <c r="D2853">
        <v>1.6</v>
      </c>
      <c r="F2853" t="s">
        <v>1328</v>
      </c>
      <c r="I2853" t="s">
        <v>1390</v>
      </c>
      <c r="K2853" t="s">
        <v>5037</v>
      </c>
      <c r="L2853" t="s">
        <v>5039</v>
      </c>
    </row>
    <row r="2854" spans="1:12" x14ac:dyDescent="0.35">
      <c r="A2854" t="s">
        <v>116</v>
      </c>
      <c r="B2854" t="s">
        <v>558</v>
      </c>
      <c r="C2854" t="s">
        <v>823</v>
      </c>
      <c r="D2854">
        <v>5.8999999999999997E-2</v>
      </c>
      <c r="F2854" t="s">
        <v>1729</v>
      </c>
      <c r="H2854" t="s">
        <v>4103</v>
      </c>
      <c r="I2854" t="s">
        <v>1551</v>
      </c>
      <c r="K2854" t="s">
        <v>5037</v>
      </c>
      <c r="L2854" t="s">
        <v>5039</v>
      </c>
    </row>
    <row r="2855" spans="1:12" x14ac:dyDescent="0.35">
      <c r="A2855" t="s">
        <v>116</v>
      </c>
      <c r="B2855" t="s">
        <v>558</v>
      </c>
      <c r="C2855" t="s">
        <v>981</v>
      </c>
      <c r="D2855">
        <v>0.73</v>
      </c>
      <c r="F2855" t="s">
        <v>2007</v>
      </c>
      <c r="H2855" t="s">
        <v>2842</v>
      </c>
      <c r="I2855" t="s">
        <v>1390</v>
      </c>
      <c r="K2855" t="s">
        <v>5037</v>
      </c>
      <c r="L2855" t="s">
        <v>5039</v>
      </c>
    </row>
    <row r="2856" spans="1:12" x14ac:dyDescent="0.35">
      <c r="A2856" t="s">
        <v>116</v>
      </c>
      <c r="B2856" t="s">
        <v>558</v>
      </c>
      <c r="C2856" t="s">
        <v>848</v>
      </c>
      <c r="D2856">
        <v>14</v>
      </c>
      <c r="F2856" t="s">
        <v>1467</v>
      </c>
      <c r="I2856" t="s">
        <v>1961</v>
      </c>
      <c r="K2856" t="s">
        <v>5037</v>
      </c>
      <c r="L2856" t="s">
        <v>5039</v>
      </c>
    </row>
    <row r="2857" spans="1:12" x14ac:dyDescent="0.35">
      <c r="A2857" t="s">
        <v>116</v>
      </c>
      <c r="B2857" t="s">
        <v>558</v>
      </c>
      <c r="C2857" t="s">
        <v>961</v>
      </c>
      <c r="D2857">
        <v>40</v>
      </c>
      <c r="F2857" t="s">
        <v>2345</v>
      </c>
      <c r="I2857" t="s">
        <v>1878</v>
      </c>
      <c r="K2857" t="s">
        <v>5037</v>
      </c>
      <c r="L2857" t="s">
        <v>5039</v>
      </c>
    </row>
    <row r="2858" spans="1:12" x14ac:dyDescent="0.35">
      <c r="A2858" t="s">
        <v>116</v>
      </c>
      <c r="B2858" t="s">
        <v>558</v>
      </c>
      <c r="C2858" t="s">
        <v>1079</v>
      </c>
      <c r="D2858">
        <v>4.7E-2</v>
      </c>
      <c r="F2858" t="s">
        <v>1615</v>
      </c>
      <c r="I2858" t="s">
        <v>1878</v>
      </c>
      <c r="K2858" t="s">
        <v>5037</v>
      </c>
      <c r="L2858" t="s">
        <v>5039</v>
      </c>
    </row>
    <row r="2859" spans="1:12" x14ac:dyDescent="0.35">
      <c r="A2859" t="s">
        <v>116</v>
      </c>
      <c r="B2859" t="s">
        <v>558</v>
      </c>
      <c r="C2859" t="s">
        <v>1066</v>
      </c>
      <c r="D2859">
        <v>0.61</v>
      </c>
      <c r="F2859" t="s">
        <v>1891</v>
      </c>
      <c r="H2859" t="s">
        <v>4113</v>
      </c>
      <c r="I2859" t="s">
        <v>4985</v>
      </c>
      <c r="K2859" t="s">
        <v>5037</v>
      </c>
      <c r="L2859" t="s">
        <v>5039</v>
      </c>
    </row>
    <row r="2860" spans="1:12" x14ac:dyDescent="0.35">
      <c r="A2860" t="s">
        <v>116</v>
      </c>
      <c r="B2860" t="s">
        <v>558</v>
      </c>
      <c r="C2860" t="s">
        <v>1080</v>
      </c>
      <c r="D2860">
        <v>2.9</v>
      </c>
      <c r="F2860" t="s">
        <v>1576</v>
      </c>
      <c r="I2860" t="s">
        <v>1878</v>
      </c>
      <c r="K2860" t="s">
        <v>5037</v>
      </c>
      <c r="L2860" t="s">
        <v>5039</v>
      </c>
    </row>
    <row r="2861" spans="1:12" x14ac:dyDescent="0.35">
      <c r="A2861" t="s">
        <v>116</v>
      </c>
      <c r="B2861" t="s">
        <v>558</v>
      </c>
      <c r="C2861" t="s">
        <v>855</v>
      </c>
      <c r="D2861">
        <v>6</v>
      </c>
      <c r="F2861" t="s">
        <v>1766</v>
      </c>
      <c r="I2861" t="s">
        <v>4986</v>
      </c>
      <c r="K2861" t="s">
        <v>5037</v>
      </c>
      <c r="L2861" t="s">
        <v>5039</v>
      </c>
    </row>
    <row r="2862" spans="1:12" x14ac:dyDescent="0.35">
      <c r="A2862" t="s">
        <v>116</v>
      </c>
      <c r="B2862" t="s">
        <v>558</v>
      </c>
      <c r="C2862" t="s">
        <v>846</v>
      </c>
      <c r="D2862">
        <v>15</v>
      </c>
      <c r="F2862" t="s">
        <v>1489</v>
      </c>
      <c r="I2862" t="s">
        <v>1390</v>
      </c>
      <c r="K2862" t="s">
        <v>5037</v>
      </c>
      <c r="L2862" t="s">
        <v>5039</v>
      </c>
    </row>
    <row r="2863" spans="1:12" x14ac:dyDescent="0.35">
      <c r="A2863" t="s">
        <v>116</v>
      </c>
      <c r="B2863" t="s">
        <v>558</v>
      </c>
      <c r="C2863" t="s">
        <v>840</v>
      </c>
      <c r="D2863">
        <v>1.35</v>
      </c>
      <c r="F2863" t="s">
        <v>2085</v>
      </c>
      <c r="H2863" t="s">
        <v>2842</v>
      </c>
      <c r="I2863" t="s">
        <v>1390</v>
      </c>
      <c r="K2863" t="s">
        <v>5037</v>
      </c>
      <c r="L2863" t="s">
        <v>5039</v>
      </c>
    </row>
    <row r="2864" spans="1:12" x14ac:dyDescent="0.35">
      <c r="A2864" t="s">
        <v>116</v>
      </c>
      <c r="B2864" t="s">
        <v>558</v>
      </c>
      <c r="C2864" t="s">
        <v>1081</v>
      </c>
      <c r="D2864">
        <v>6.7</v>
      </c>
      <c r="F2864" t="s">
        <v>1520</v>
      </c>
      <c r="H2864" t="s">
        <v>4109</v>
      </c>
      <c r="I2864" t="s">
        <v>4885</v>
      </c>
      <c r="K2864" t="s">
        <v>5037</v>
      </c>
      <c r="L2864" t="s">
        <v>5039</v>
      </c>
    </row>
    <row r="2865" spans="1:12" x14ac:dyDescent="0.35">
      <c r="A2865" t="s">
        <v>116</v>
      </c>
      <c r="B2865" t="s">
        <v>558</v>
      </c>
      <c r="C2865" t="s">
        <v>838</v>
      </c>
      <c r="D2865">
        <v>7.5</v>
      </c>
      <c r="F2865" t="s">
        <v>1464</v>
      </c>
      <c r="H2865" t="s">
        <v>3426</v>
      </c>
      <c r="I2865" t="s">
        <v>1390</v>
      </c>
      <c r="K2865" t="s">
        <v>5037</v>
      </c>
      <c r="L2865" t="s">
        <v>5039</v>
      </c>
    </row>
    <row r="2866" spans="1:12" x14ac:dyDescent="0.35">
      <c r="A2866" t="s">
        <v>116</v>
      </c>
      <c r="B2866" t="s">
        <v>558</v>
      </c>
      <c r="C2866" t="s">
        <v>1082</v>
      </c>
      <c r="D2866">
        <v>1.24</v>
      </c>
      <c r="F2866" t="s">
        <v>2008</v>
      </c>
      <c r="I2866" t="s">
        <v>1878</v>
      </c>
      <c r="K2866" t="s">
        <v>5037</v>
      </c>
      <c r="L2866" t="s">
        <v>5039</v>
      </c>
    </row>
    <row r="2867" spans="1:12" x14ac:dyDescent="0.35">
      <c r="A2867" t="s">
        <v>116</v>
      </c>
      <c r="B2867" t="s">
        <v>558</v>
      </c>
      <c r="C2867" t="s">
        <v>961</v>
      </c>
      <c r="D2867">
        <v>42</v>
      </c>
      <c r="F2867" t="s">
        <v>1878</v>
      </c>
      <c r="H2867" t="s">
        <v>4114</v>
      </c>
      <c r="I2867" t="s">
        <v>1961</v>
      </c>
      <c r="K2867" t="s">
        <v>5037</v>
      </c>
      <c r="L2867" t="s">
        <v>5039</v>
      </c>
    </row>
    <row r="2868" spans="1:12" x14ac:dyDescent="0.35">
      <c r="A2868" t="s">
        <v>116</v>
      </c>
      <c r="B2868" t="s">
        <v>558</v>
      </c>
      <c r="C2868" t="s">
        <v>1064</v>
      </c>
      <c r="D2868">
        <v>6.5</v>
      </c>
      <c r="F2868" t="s">
        <v>1419</v>
      </c>
      <c r="H2868" t="s">
        <v>4109</v>
      </c>
      <c r="I2868" t="s">
        <v>4885</v>
      </c>
      <c r="K2868" t="s">
        <v>5037</v>
      </c>
      <c r="L2868" t="s">
        <v>5039</v>
      </c>
    </row>
    <row r="2869" spans="1:12" x14ac:dyDescent="0.35">
      <c r="A2869" t="s">
        <v>116</v>
      </c>
      <c r="B2869" t="s">
        <v>558</v>
      </c>
      <c r="C2869" t="s">
        <v>1083</v>
      </c>
      <c r="D2869">
        <v>75</v>
      </c>
      <c r="F2869" t="s">
        <v>2346</v>
      </c>
      <c r="I2869" t="s">
        <v>1390</v>
      </c>
      <c r="K2869" t="s">
        <v>5037</v>
      </c>
      <c r="L2869" t="s">
        <v>5039</v>
      </c>
    </row>
    <row r="2870" spans="1:12" x14ac:dyDescent="0.35">
      <c r="A2870" t="s">
        <v>116</v>
      </c>
      <c r="B2870" t="s">
        <v>558</v>
      </c>
      <c r="C2870" t="s">
        <v>961</v>
      </c>
      <c r="D2870">
        <v>2.46</v>
      </c>
      <c r="F2870" t="s">
        <v>1864</v>
      </c>
      <c r="H2870" t="s">
        <v>4111</v>
      </c>
      <c r="I2870" t="s">
        <v>2329</v>
      </c>
      <c r="K2870" t="s">
        <v>5037</v>
      </c>
      <c r="L2870" t="s">
        <v>5039</v>
      </c>
    </row>
    <row r="2871" spans="1:12" x14ac:dyDescent="0.35">
      <c r="A2871" t="s">
        <v>116</v>
      </c>
      <c r="B2871" t="s">
        <v>558</v>
      </c>
      <c r="C2871" t="s">
        <v>978</v>
      </c>
      <c r="D2871">
        <v>0.14799999999999999</v>
      </c>
      <c r="F2871" t="s">
        <v>2347</v>
      </c>
      <c r="I2871" t="s">
        <v>1878</v>
      </c>
      <c r="K2871" t="s">
        <v>5037</v>
      </c>
      <c r="L2871" t="s">
        <v>5039</v>
      </c>
    </row>
    <row r="2872" spans="1:12" x14ac:dyDescent="0.35">
      <c r="A2872" t="s">
        <v>116</v>
      </c>
      <c r="B2872" t="s">
        <v>558</v>
      </c>
      <c r="C2872" t="s">
        <v>961</v>
      </c>
      <c r="D2872">
        <v>13.4</v>
      </c>
      <c r="F2872" t="s">
        <v>1963</v>
      </c>
      <c r="H2872" t="s">
        <v>4109</v>
      </c>
      <c r="I2872" t="s">
        <v>4885</v>
      </c>
      <c r="K2872" t="s">
        <v>5037</v>
      </c>
      <c r="L2872" t="s">
        <v>5039</v>
      </c>
    </row>
    <row r="2873" spans="1:12" x14ac:dyDescent="0.35">
      <c r="A2873" t="s">
        <v>116</v>
      </c>
      <c r="B2873" t="s">
        <v>558</v>
      </c>
      <c r="C2873" t="s">
        <v>831</v>
      </c>
      <c r="D2873">
        <v>0.24199999999999999</v>
      </c>
      <c r="F2873" t="s">
        <v>2348</v>
      </c>
      <c r="H2873" t="s">
        <v>4108</v>
      </c>
      <c r="I2873" t="s">
        <v>1551</v>
      </c>
      <c r="K2873" t="s">
        <v>5037</v>
      </c>
      <c r="L2873" t="s">
        <v>5039</v>
      </c>
    </row>
    <row r="2874" spans="1:12" x14ac:dyDescent="0.35">
      <c r="A2874" t="s">
        <v>116</v>
      </c>
      <c r="B2874" t="s">
        <v>558</v>
      </c>
      <c r="C2874" t="s">
        <v>848</v>
      </c>
      <c r="D2874">
        <v>14.1</v>
      </c>
      <c r="F2874" t="s">
        <v>2349</v>
      </c>
      <c r="I2874" t="s">
        <v>1878</v>
      </c>
      <c r="K2874" t="s">
        <v>5037</v>
      </c>
      <c r="L2874" t="s">
        <v>5039</v>
      </c>
    </row>
    <row r="2875" spans="1:12" x14ac:dyDescent="0.35">
      <c r="A2875" t="s">
        <v>116</v>
      </c>
      <c r="B2875" t="s">
        <v>558</v>
      </c>
      <c r="C2875" t="s">
        <v>1084</v>
      </c>
      <c r="D2875">
        <v>11.8</v>
      </c>
      <c r="F2875" t="s">
        <v>1749</v>
      </c>
      <c r="H2875" t="s">
        <v>4109</v>
      </c>
      <c r="I2875" t="s">
        <v>4885</v>
      </c>
      <c r="K2875" t="s">
        <v>5037</v>
      </c>
      <c r="L2875" t="s">
        <v>5039</v>
      </c>
    </row>
    <row r="2876" spans="1:12" x14ac:dyDescent="0.35">
      <c r="A2876" t="s">
        <v>116</v>
      </c>
      <c r="B2876" t="s">
        <v>558</v>
      </c>
      <c r="C2876" t="s">
        <v>1078</v>
      </c>
      <c r="D2876">
        <v>29.4</v>
      </c>
      <c r="F2876" t="s">
        <v>1404</v>
      </c>
      <c r="H2876" t="s">
        <v>4109</v>
      </c>
      <c r="I2876" t="s">
        <v>4885</v>
      </c>
      <c r="K2876" t="s">
        <v>5037</v>
      </c>
      <c r="L2876" t="s">
        <v>5039</v>
      </c>
    </row>
    <row r="2877" spans="1:12" x14ac:dyDescent="0.35">
      <c r="A2877" t="s">
        <v>116</v>
      </c>
      <c r="B2877" t="s">
        <v>558</v>
      </c>
      <c r="C2877" t="s">
        <v>1085</v>
      </c>
      <c r="D2877">
        <v>1.92</v>
      </c>
      <c r="F2877" t="s">
        <v>2350</v>
      </c>
      <c r="H2877" t="s">
        <v>3426</v>
      </c>
      <c r="I2877" t="s">
        <v>1390</v>
      </c>
      <c r="K2877" t="s">
        <v>5037</v>
      </c>
      <c r="L2877" t="s">
        <v>5039</v>
      </c>
    </row>
    <row r="2878" spans="1:12" x14ac:dyDescent="0.35">
      <c r="A2878" t="s">
        <v>116</v>
      </c>
      <c r="B2878" t="s">
        <v>558</v>
      </c>
      <c r="C2878" t="s">
        <v>1080</v>
      </c>
      <c r="D2878">
        <v>13.6</v>
      </c>
      <c r="F2878" t="s">
        <v>2351</v>
      </c>
      <c r="H2878" t="s">
        <v>4115</v>
      </c>
      <c r="I2878" t="s">
        <v>4885</v>
      </c>
      <c r="K2878" t="s">
        <v>5037</v>
      </c>
      <c r="L2878" t="s">
        <v>5039</v>
      </c>
    </row>
    <row r="2879" spans="1:12" x14ac:dyDescent="0.35">
      <c r="A2879" t="s">
        <v>116</v>
      </c>
      <c r="B2879" t="s">
        <v>558</v>
      </c>
      <c r="C2879" t="s">
        <v>843</v>
      </c>
      <c r="D2879">
        <v>14.2</v>
      </c>
      <c r="F2879" t="s">
        <v>2352</v>
      </c>
      <c r="I2879" t="s">
        <v>1390</v>
      </c>
      <c r="K2879" t="s">
        <v>5037</v>
      </c>
      <c r="L2879" t="s">
        <v>5039</v>
      </c>
    </row>
    <row r="2880" spans="1:12" x14ac:dyDescent="0.35">
      <c r="A2880" t="s">
        <v>116</v>
      </c>
      <c r="B2880" t="s">
        <v>558</v>
      </c>
      <c r="C2880" t="s">
        <v>1064</v>
      </c>
      <c r="D2880">
        <v>13.8</v>
      </c>
      <c r="F2880" t="s">
        <v>1677</v>
      </c>
      <c r="H2880" t="s">
        <v>4115</v>
      </c>
      <c r="I2880" t="s">
        <v>4885</v>
      </c>
      <c r="K2880" t="s">
        <v>5037</v>
      </c>
      <c r="L2880" t="s">
        <v>5039</v>
      </c>
    </row>
    <row r="2881" spans="1:12" x14ac:dyDescent="0.35">
      <c r="A2881" t="s">
        <v>116</v>
      </c>
      <c r="B2881" t="s">
        <v>558</v>
      </c>
      <c r="C2881" t="s">
        <v>1086</v>
      </c>
      <c r="D2881">
        <v>0.25700000000000001</v>
      </c>
      <c r="F2881" t="s">
        <v>2353</v>
      </c>
      <c r="H2881" t="s">
        <v>4103</v>
      </c>
      <c r="I2881" t="s">
        <v>1551</v>
      </c>
      <c r="K2881" t="s">
        <v>5037</v>
      </c>
      <c r="L2881" t="s">
        <v>5039</v>
      </c>
    </row>
    <row r="2882" spans="1:12" x14ac:dyDescent="0.35">
      <c r="A2882" t="s">
        <v>116</v>
      </c>
      <c r="B2882" t="s">
        <v>558</v>
      </c>
      <c r="C2882" t="s">
        <v>1042</v>
      </c>
      <c r="D2882">
        <v>4.58</v>
      </c>
      <c r="F2882" t="s">
        <v>2187</v>
      </c>
      <c r="H2882" t="s">
        <v>4115</v>
      </c>
      <c r="I2882" t="s">
        <v>4885</v>
      </c>
      <c r="K2882" t="s">
        <v>5037</v>
      </c>
      <c r="L2882" t="s">
        <v>5039</v>
      </c>
    </row>
    <row r="2883" spans="1:12" x14ac:dyDescent="0.35">
      <c r="A2883" t="s">
        <v>116</v>
      </c>
      <c r="B2883" t="s">
        <v>558</v>
      </c>
      <c r="C2883" t="s">
        <v>983</v>
      </c>
      <c r="D2883">
        <v>31.7</v>
      </c>
      <c r="F2883" t="s">
        <v>2354</v>
      </c>
      <c r="H2883" t="s">
        <v>3426</v>
      </c>
      <c r="I2883" t="s">
        <v>1390</v>
      </c>
      <c r="K2883" t="s">
        <v>5037</v>
      </c>
      <c r="L2883" t="s">
        <v>5039</v>
      </c>
    </row>
    <row r="2884" spans="1:12" x14ac:dyDescent="0.35">
      <c r="A2884" t="s">
        <v>116</v>
      </c>
      <c r="B2884" t="s">
        <v>558</v>
      </c>
      <c r="C2884" t="s">
        <v>1080</v>
      </c>
      <c r="D2884">
        <v>43.9</v>
      </c>
      <c r="F2884" t="s">
        <v>2355</v>
      </c>
      <c r="H2884" t="s">
        <v>4109</v>
      </c>
      <c r="I2884" t="s">
        <v>4885</v>
      </c>
      <c r="K2884" t="s">
        <v>5037</v>
      </c>
      <c r="L2884" t="s">
        <v>5039</v>
      </c>
    </row>
    <row r="2885" spans="1:12" x14ac:dyDescent="0.35">
      <c r="A2885" t="s">
        <v>116</v>
      </c>
      <c r="B2885" t="s">
        <v>558</v>
      </c>
      <c r="C2885" t="s">
        <v>1081</v>
      </c>
      <c r="D2885">
        <v>53.8</v>
      </c>
      <c r="F2885" t="s">
        <v>2356</v>
      </c>
      <c r="H2885" t="s">
        <v>4115</v>
      </c>
      <c r="I2885" t="s">
        <v>4885</v>
      </c>
      <c r="K2885" t="s">
        <v>5037</v>
      </c>
      <c r="L2885" t="s">
        <v>5039</v>
      </c>
    </row>
    <row r="2886" spans="1:12" x14ac:dyDescent="0.35">
      <c r="A2886" t="s">
        <v>116</v>
      </c>
      <c r="B2886" t="s">
        <v>558</v>
      </c>
      <c r="C2886" t="s">
        <v>1078</v>
      </c>
      <c r="D2886">
        <v>53.9</v>
      </c>
      <c r="F2886" t="s">
        <v>2357</v>
      </c>
      <c r="H2886" t="s">
        <v>4115</v>
      </c>
      <c r="I2886" t="s">
        <v>4885</v>
      </c>
      <c r="K2886" t="s">
        <v>5037</v>
      </c>
      <c r="L2886" t="s">
        <v>5039</v>
      </c>
    </row>
    <row r="2887" spans="1:12" x14ac:dyDescent="0.35">
      <c r="A2887" t="s">
        <v>116</v>
      </c>
      <c r="B2887" t="s">
        <v>558</v>
      </c>
      <c r="C2887" t="s">
        <v>1084</v>
      </c>
      <c r="D2887">
        <v>56.2</v>
      </c>
      <c r="F2887" t="s">
        <v>2358</v>
      </c>
      <c r="H2887" t="s">
        <v>4115</v>
      </c>
      <c r="I2887" t="s">
        <v>4885</v>
      </c>
      <c r="K2887" t="s">
        <v>5037</v>
      </c>
      <c r="L2887" t="s">
        <v>5039</v>
      </c>
    </row>
    <row r="2888" spans="1:12" x14ac:dyDescent="0.35">
      <c r="A2888" t="s">
        <v>116</v>
      </c>
      <c r="B2888" t="s">
        <v>558</v>
      </c>
      <c r="C2888" t="s">
        <v>1063</v>
      </c>
      <c r="D2888">
        <v>93.3</v>
      </c>
      <c r="F2888" t="s">
        <v>2359</v>
      </c>
      <c r="H2888" t="s">
        <v>4115</v>
      </c>
      <c r="I2888" t="s">
        <v>4885</v>
      </c>
      <c r="K2888" t="s">
        <v>5037</v>
      </c>
      <c r="L2888" t="s">
        <v>5039</v>
      </c>
    </row>
    <row r="2889" spans="1:12" x14ac:dyDescent="0.35">
      <c r="A2889" t="s">
        <v>116</v>
      </c>
      <c r="B2889" t="s">
        <v>558</v>
      </c>
      <c r="C2889" t="s">
        <v>961</v>
      </c>
      <c r="D2889">
        <v>118</v>
      </c>
      <c r="F2889" t="s">
        <v>2360</v>
      </c>
      <c r="H2889" t="s">
        <v>4116</v>
      </c>
      <c r="I2889" t="s">
        <v>1961</v>
      </c>
      <c r="K2889" t="s">
        <v>5037</v>
      </c>
      <c r="L2889" t="s">
        <v>5039</v>
      </c>
    </row>
    <row r="2890" spans="1:12" x14ac:dyDescent="0.35">
      <c r="A2890" t="s">
        <v>116</v>
      </c>
      <c r="B2890" t="s">
        <v>558</v>
      </c>
      <c r="C2890" t="s">
        <v>853</v>
      </c>
      <c r="D2890">
        <v>135</v>
      </c>
      <c r="F2890" t="s">
        <v>2361</v>
      </c>
      <c r="I2890" t="s">
        <v>1390</v>
      </c>
      <c r="K2890" t="s">
        <v>5037</v>
      </c>
      <c r="L2890" t="s">
        <v>5039</v>
      </c>
    </row>
    <row r="2891" spans="1:12" x14ac:dyDescent="0.35">
      <c r="A2891" t="s">
        <v>116</v>
      </c>
      <c r="B2891" t="s">
        <v>558</v>
      </c>
      <c r="C2891" t="s">
        <v>1047</v>
      </c>
      <c r="D2891">
        <v>193</v>
      </c>
      <c r="F2891" t="s">
        <v>2362</v>
      </c>
      <c r="H2891" t="s">
        <v>4109</v>
      </c>
      <c r="I2891" t="s">
        <v>4885</v>
      </c>
      <c r="K2891" t="s">
        <v>5037</v>
      </c>
      <c r="L2891" t="s">
        <v>5039</v>
      </c>
    </row>
    <row r="2892" spans="1:12" x14ac:dyDescent="0.35">
      <c r="A2892" t="s">
        <v>116</v>
      </c>
      <c r="B2892" t="s">
        <v>558</v>
      </c>
      <c r="C2892" t="s">
        <v>839</v>
      </c>
      <c r="D2892">
        <v>268</v>
      </c>
      <c r="F2892" t="s">
        <v>2363</v>
      </c>
      <c r="H2892" t="s">
        <v>4115</v>
      </c>
      <c r="I2892" t="s">
        <v>4885</v>
      </c>
      <c r="K2892" t="s">
        <v>5037</v>
      </c>
      <c r="L2892" t="s">
        <v>5039</v>
      </c>
    </row>
    <row r="2893" spans="1:12" x14ac:dyDescent="0.35">
      <c r="A2893" t="s">
        <v>116</v>
      </c>
      <c r="B2893" t="s">
        <v>558</v>
      </c>
      <c r="C2893" t="s">
        <v>961</v>
      </c>
      <c r="D2893">
        <v>4</v>
      </c>
      <c r="F2893" t="s">
        <v>1379</v>
      </c>
      <c r="H2893" t="s">
        <v>4117</v>
      </c>
      <c r="I2893" t="s">
        <v>1839</v>
      </c>
      <c r="K2893" t="s">
        <v>5037</v>
      </c>
      <c r="L2893" t="s">
        <v>5039</v>
      </c>
    </row>
    <row r="2894" spans="1:12" x14ac:dyDescent="0.35">
      <c r="A2894" t="s">
        <v>116</v>
      </c>
      <c r="B2894" t="s">
        <v>559</v>
      </c>
      <c r="C2894" t="s">
        <v>855</v>
      </c>
      <c r="D2894">
        <v>1.3</v>
      </c>
      <c r="F2894" t="s">
        <v>1358</v>
      </c>
      <c r="H2894" t="s">
        <v>4118</v>
      </c>
      <c r="I2894" t="s">
        <v>4860</v>
      </c>
      <c r="K2894" t="s">
        <v>5037</v>
      </c>
      <c r="L2894" t="s">
        <v>5039</v>
      </c>
    </row>
    <row r="2895" spans="1:12" x14ac:dyDescent="0.35">
      <c r="A2895" t="s">
        <v>116</v>
      </c>
      <c r="B2895" t="s">
        <v>559</v>
      </c>
      <c r="C2895" t="s">
        <v>708</v>
      </c>
      <c r="D2895">
        <v>1.2E-2</v>
      </c>
      <c r="F2895" t="s">
        <v>1280</v>
      </c>
      <c r="H2895" t="s">
        <v>4118</v>
      </c>
      <c r="I2895" t="s">
        <v>4860</v>
      </c>
      <c r="K2895" t="s">
        <v>5037</v>
      </c>
      <c r="L2895" t="s">
        <v>5039</v>
      </c>
    </row>
    <row r="2896" spans="1:12" x14ac:dyDescent="0.35">
      <c r="A2896" t="s">
        <v>116</v>
      </c>
      <c r="B2896" t="s">
        <v>559</v>
      </c>
      <c r="C2896" t="s">
        <v>708</v>
      </c>
      <c r="D2896">
        <v>2.7E-2</v>
      </c>
      <c r="F2896" t="s">
        <v>1420</v>
      </c>
      <c r="H2896" t="s">
        <v>4119</v>
      </c>
      <c r="I2896" t="s">
        <v>4860</v>
      </c>
      <c r="K2896" t="s">
        <v>5037</v>
      </c>
      <c r="L2896" t="s">
        <v>5039</v>
      </c>
    </row>
    <row r="2897" spans="1:12" x14ac:dyDescent="0.35">
      <c r="A2897" t="s">
        <v>116</v>
      </c>
      <c r="B2897" t="s">
        <v>559</v>
      </c>
      <c r="C2897" t="s">
        <v>709</v>
      </c>
      <c r="D2897">
        <v>0.11</v>
      </c>
      <c r="F2897" t="s">
        <v>1295</v>
      </c>
      <c r="H2897" t="s">
        <v>4118</v>
      </c>
      <c r="I2897" t="s">
        <v>4860</v>
      </c>
      <c r="K2897" t="s">
        <v>5037</v>
      </c>
      <c r="L2897" t="s">
        <v>5039</v>
      </c>
    </row>
    <row r="2898" spans="1:12" x14ac:dyDescent="0.35">
      <c r="A2898" t="s">
        <v>116</v>
      </c>
      <c r="B2898" t="s">
        <v>559</v>
      </c>
      <c r="C2898" t="s">
        <v>855</v>
      </c>
      <c r="D2898">
        <v>8.5999999999999993E-2</v>
      </c>
      <c r="F2898" t="s">
        <v>1582</v>
      </c>
      <c r="H2898" t="s">
        <v>4119</v>
      </c>
      <c r="I2898" t="s">
        <v>4860</v>
      </c>
      <c r="K2898" t="s">
        <v>5037</v>
      </c>
      <c r="L2898" t="s">
        <v>5039</v>
      </c>
    </row>
    <row r="2899" spans="1:12" x14ac:dyDescent="0.35">
      <c r="A2899" t="s">
        <v>116</v>
      </c>
      <c r="B2899" t="s">
        <v>559</v>
      </c>
      <c r="C2899" t="s">
        <v>961</v>
      </c>
      <c r="D2899">
        <v>4.8</v>
      </c>
      <c r="F2899" t="s">
        <v>1567</v>
      </c>
      <c r="H2899" t="s">
        <v>4119</v>
      </c>
      <c r="I2899" t="s">
        <v>4860</v>
      </c>
      <c r="K2899" t="s">
        <v>5037</v>
      </c>
      <c r="L2899" t="s">
        <v>5039</v>
      </c>
    </row>
    <row r="2900" spans="1:12" x14ac:dyDescent="0.35">
      <c r="A2900" t="s">
        <v>116</v>
      </c>
      <c r="B2900" t="s">
        <v>559</v>
      </c>
      <c r="C2900" t="s">
        <v>709</v>
      </c>
      <c r="D2900">
        <v>7.2999999999999995E-2</v>
      </c>
      <c r="F2900" t="s">
        <v>1787</v>
      </c>
      <c r="H2900" t="s">
        <v>4119</v>
      </c>
      <c r="I2900" t="s">
        <v>4860</v>
      </c>
      <c r="K2900" t="s">
        <v>5037</v>
      </c>
      <c r="L2900" t="s">
        <v>5039</v>
      </c>
    </row>
    <row r="2901" spans="1:12" x14ac:dyDescent="0.35">
      <c r="A2901" t="s">
        <v>116</v>
      </c>
      <c r="B2901" t="s">
        <v>559</v>
      </c>
      <c r="C2901" t="s">
        <v>961</v>
      </c>
      <c r="D2901">
        <v>27</v>
      </c>
      <c r="F2901" t="s">
        <v>2364</v>
      </c>
      <c r="H2901" t="s">
        <v>4118</v>
      </c>
      <c r="I2901" t="s">
        <v>4860</v>
      </c>
      <c r="K2901" t="s">
        <v>5037</v>
      </c>
      <c r="L2901" t="s">
        <v>5039</v>
      </c>
    </row>
    <row r="2902" spans="1:12" x14ac:dyDescent="0.35">
      <c r="A2902" t="s">
        <v>116</v>
      </c>
      <c r="B2902" t="s">
        <v>499</v>
      </c>
      <c r="C2902" t="s">
        <v>1087</v>
      </c>
      <c r="D2902">
        <v>0.17</v>
      </c>
      <c r="F2902" t="s">
        <v>1409</v>
      </c>
      <c r="H2902" t="s">
        <v>4120</v>
      </c>
      <c r="I2902" t="s">
        <v>4987</v>
      </c>
      <c r="K2902" t="s">
        <v>5037</v>
      </c>
      <c r="L2902" t="s">
        <v>5039</v>
      </c>
    </row>
    <row r="2903" spans="1:12" x14ac:dyDescent="0.35">
      <c r="A2903" t="s">
        <v>116</v>
      </c>
      <c r="B2903" t="s">
        <v>499</v>
      </c>
      <c r="C2903" t="s">
        <v>1088</v>
      </c>
      <c r="D2903">
        <v>0.2</v>
      </c>
      <c r="F2903" t="s">
        <v>1371</v>
      </c>
      <c r="H2903" t="s">
        <v>4121</v>
      </c>
      <c r="I2903" t="s">
        <v>4987</v>
      </c>
      <c r="K2903" t="s">
        <v>5037</v>
      </c>
      <c r="L2903" t="s">
        <v>5039</v>
      </c>
    </row>
    <row r="2904" spans="1:12" x14ac:dyDescent="0.35">
      <c r="A2904" t="s">
        <v>116</v>
      </c>
      <c r="B2904" t="s">
        <v>499</v>
      </c>
      <c r="C2904" t="s">
        <v>1088</v>
      </c>
      <c r="D2904">
        <v>0.4</v>
      </c>
      <c r="F2904" t="s">
        <v>1315</v>
      </c>
      <c r="H2904" t="s">
        <v>4122</v>
      </c>
      <c r="I2904" t="s">
        <v>4987</v>
      </c>
      <c r="K2904" t="s">
        <v>5037</v>
      </c>
      <c r="L2904" t="s">
        <v>5039</v>
      </c>
    </row>
    <row r="2905" spans="1:12" x14ac:dyDescent="0.35">
      <c r="A2905" t="s">
        <v>116</v>
      </c>
      <c r="B2905" t="s">
        <v>499</v>
      </c>
      <c r="C2905" t="s">
        <v>1087</v>
      </c>
      <c r="D2905">
        <v>2</v>
      </c>
      <c r="F2905" t="s">
        <v>1372</v>
      </c>
      <c r="H2905" t="s">
        <v>4121</v>
      </c>
      <c r="I2905" t="s">
        <v>4987</v>
      </c>
      <c r="K2905" t="s">
        <v>5037</v>
      </c>
      <c r="L2905" t="s">
        <v>5039</v>
      </c>
    </row>
    <row r="2906" spans="1:12" x14ac:dyDescent="0.35">
      <c r="A2906" t="s">
        <v>116</v>
      </c>
      <c r="B2906" t="s">
        <v>499</v>
      </c>
      <c r="C2906" t="s">
        <v>1089</v>
      </c>
      <c r="D2906">
        <v>0.25</v>
      </c>
      <c r="F2906" t="s">
        <v>1403</v>
      </c>
      <c r="H2906" t="s">
        <v>4121</v>
      </c>
      <c r="I2906" t="s">
        <v>4987</v>
      </c>
      <c r="K2906" t="s">
        <v>5037</v>
      </c>
      <c r="L2906" t="s">
        <v>5039</v>
      </c>
    </row>
    <row r="2907" spans="1:12" x14ac:dyDescent="0.35">
      <c r="A2907" t="s">
        <v>116</v>
      </c>
      <c r="B2907" t="s">
        <v>499</v>
      </c>
      <c r="C2907" t="s">
        <v>1087</v>
      </c>
      <c r="D2907">
        <v>0.28000000000000003</v>
      </c>
      <c r="F2907" t="s">
        <v>1732</v>
      </c>
      <c r="H2907" t="s">
        <v>4122</v>
      </c>
      <c r="I2907" t="s">
        <v>4987</v>
      </c>
      <c r="K2907" t="s">
        <v>5037</v>
      </c>
      <c r="L2907" t="s">
        <v>5039</v>
      </c>
    </row>
    <row r="2908" spans="1:12" x14ac:dyDescent="0.35">
      <c r="A2908" t="s">
        <v>116</v>
      </c>
      <c r="B2908" t="s">
        <v>499</v>
      </c>
      <c r="C2908" t="s">
        <v>1090</v>
      </c>
      <c r="D2908">
        <v>0.14000000000000001</v>
      </c>
      <c r="F2908" t="s">
        <v>1361</v>
      </c>
      <c r="H2908" t="s">
        <v>4123</v>
      </c>
      <c r="I2908" t="s">
        <v>4987</v>
      </c>
      <c r="K2908" t="s">
        <v>5037</v>
      </c>
      <c r="L2908" t="s">
        <v>5039</v>
      </c>
    </row>
    <row r="2909" spans="1:12" x14ac:dyDescent="0.35">
      <c r="A2909" t="s">
        <v>116</v>
      </c>
      <c r="B2909" t="s">
        <v>499</v>
      </c>
      <c r="C2909" t="s">
        <v>1089</v>
      </c>
      <c r="D2909">
        <v>0.14000000000000001</v>
      </c>
      <c r="F2909" t="s">
        <v>1361</v>
      </c>
      <c r="H2909" t="s">
        <v>4122</v>
      </c>
      <c r="I2909" t="s">
        <v>4987</v>
      </c>
      <c r="K2909" t="s">
        <v>5037</v>
      </c>
      <c r="L2909" t="s">
        <v>5039</v>
      </c>
    </row>
    <row r="2910" spans="1:12" x14ac:dyDescent="0.35">
      <c r="A2910" t="s">
        <v>116</v>
      </c>
      <c r="B2910" t="s">
        <v>499</v>
      </c>
      <c r="C2910" t="s">
        <v>1091</v>
      </c>
      <c r="D2910">
        <v>0.19</v>
      </c>
      <c r="F2910" t="s">
        <v>1538</v>
      </c>
      <c r="H2910" t="s">
        <v>4120</v>
      </c>
      <c r="I2910" t="s">
        <v>4987</v>
      </c>
      <c r="K2910" t="s">
        <v>5037</v>
      </c>
      <c r="L2910" t="s">
        <v>5039</v>
      </c>
    </row>
    <row r="2911" spans="1:12" x14ac:dyDescent="0.35">
      <c r="A2911" t="s">
        <v>116</v>
      </c>
      <c r="B2911" t="s">
        <v>499</v>
      </c>
      <c r="C2911" t="s">
        <v>1089</v>
      </c>
      <c r="D2911">
        <v>0.22</v>
      </c>
      <c r="F2911" t="s">
        <v>1438</v>
      </c>
      <c r="H2911" t="s">
        <v>4120</v>
      </c>
      <c r="I2911" t="s">
        <v>4987</v>
      </c>
      <c r="K2911" t="s">
        <v>5037</v>
      </c>
      <c r="L2911" t="s">
        <v>5039</v>
      </c>
    </row>
    <row r="2912" spans="1:12" x14ac:dyDescent="0.35">
      <c r="A2912" t="s">
        <v>116</v>
      </c>
      <c r="B2912" t="s">
        <v>499</v>
      </c>
      <c r="C2912" t="s">
        <v>1091</v>
      </c>
      <c r="D2912">
        <v>0.33</v>
      </c>
      <c r="F2912" t="s">
        <v>1397</v>
      </c>
      <c r="H2912" t="s">
        <v>4121</v>
      </c>
      <c r="I2912" t="s">
        <v>4987</v>
      </c>
      <c r="K2912" t="s">
        <v>5037</v>
      </c>
      <c r="L2912" t="s">
        <v>5039</v>
      </c>
    </row>
    <row r="2913" spans="1:12" x14ac:dyDescent="0.35">
      <c r="A2913" t="s">
        <v>116</v>
      </c>
      <c r="B2913" t="s">
        <v>499</v>
      </c>
      <c r="C2913" t="s">
        <v>1088</v>
      </c>
      <c r="D2913">
        <v>0.66</v>
      </c>
      <c r="F2913" t="s">
        <v>2006</v>
      </c>
      <c r="H2913" t="s">
        <v>4120</v>
      </c>
      <c r="I2913" t="s">
        <v>4987</v>
      </c>
      <c r="K2913" t="s">
        <v>5037</v>
      </c>
      <c r="L2913" t="s">
        <v>5039</v>
      </c>
    </row>
    <row r="2914" spans="1:12" x14ac:dyDescent="0.35">
      <c r="A2914" t="s">
        <v>116</v>
      </c>
      <c r="B2914" t="s">
        <v>499</v>
      </c>
      <c r="C2914" t="s">
        <v>1091</v>
      </c>
      <c r="D2914">
        <v>0.91</v>
      </c>
      <c r="F2914" t="s">
        <v>1874</v>
      </c>
      <c r="H2914" t="s">
        <v>4122</v>
      </c>
      <c r="I2914" t="s">
        <v>4987</v>
      </c>
      <c r="K2914" t="s">
        <v>5037</v>
      </c>
      <c r="L2914" t="s">
        <v>5039</v>
      </c>
    </row>
    <row r="2915" spans="1:12" x14ac:dyDescent="0.35">
      <c r="A2915" t="s">
        <v>116</v>
      </c>
      <c r="B2915" t="s">
        <v>499</v>
      </c>
      <c r="C2915" t="s">
        <v>1090</v>
      </c>
      <c r="D2915">
        <v>0.53</v>
      </c>
      <c r="F2915" t="s">
        <v>1817</v>
      </c>
      <c r="H2915" t="s">
        <v>4124</v>
      </c>
      <c r="I2915" t="s">
        <v>4987</v>
      </c>
      <c r="K2915" t="s">
        <v>5037</v>
      </c>
      <c r="L2915" t="s">
        <v>5039</v>
      </c>
    </row>
    <row r="2916" spans="1:12" x14ac:dyDescent="0.35">
      <c r="A2916" t="s">
        <v>116</v>
      </c>
      <c r="B2916" t="s">
        <v>499</v>
      </c>
      <c r="C2916" t="s">
        <v>1090</v>
      </c>
      <c r="D2916">
        <v>1.1100000000000001</v>
      </c>
      <c r="F2916" t="s">
        <v>2365</v>
      </c>
      <c r="H2916" t="s">
        <v>4125</v>
      </c>
      <c r="I2916" t="s">
        <v>4987</v>
      </c>
      <c r="K2916" t="s">
        <v>5037</v>
      </c>
      <c r="L2916" t="s">
        <v>5039</v>
      </c>
    </row>
    <row r="2917" spans="1:12" x14ac:dyDescent="0.35">
      <c r="A2917" t="s">
        <v>116</v>
      </c>
      <c r="B2917" t="s">
        <v>340</v>
      </c>
      <c r="C2917" t="s">
        <v>855</v>
      </c>
      <c r="D2917">
        <v>7.05</v>
      </c>
      <c r="F2917" t="s">
        <v>2366</v>
      </c>
      <c r="I2917" t="s">
        <v>1766</v>
      </c>
      <c r="K2917" t="s">
        <v>5037</v>
      </c>
      <c r="L2917" t="s">
        <v>5039</v>
      </c>
    </row>
    <row r="2918" spans="1:12" x14ac:dyDescent="0.35">
      <c r="A2918" t="s">
        <v>116</v>
      </c>
      <c r="B2918" t="s">
        <v>340</v>
      </c>
      <c r="C2918" t="s">
        <v>708</v>
      </c>
      <c r="D2918">
        <v>31.1</v>
      </c>
      <c r="F2918" t="s">
        <v>2367</v>
      </c>
      <c r="I2918" t="s">
        <v>1766</v>
      </c>
      <c r="K2918" t="s">
        <v>5037</v>
      </c>
      <c r="L2918" t="s">
        <v>5039</v>
      </c>
    </row>
    <row r="2919" spans="1:12" x14ac:dyDescent="0.35">
      <c r="A2919" t="s">
        <v>116</v>
      </c>
      <c r="B2919" t="s">
        <v>340</v>
      </c>
      <c r="C2919" t="s">
        <v>961</v>
      </c>
      <c r="D2919">
        <v>47.3</v>
      </c>
      <c r="F2919" t="s">
        <v>2368</v>
      </c>
      <c r="I2919" t="s">
        <v>1766</v>
      </c>
      <c r="K2919" t="s">
        <v>5037</v>
      </c>
      <c r="L2919" t="s">
        <v>5039</v>
      </c>
    </row>
    <row r="2920" spans="1:12" x14ac:dyDescent="0.35">
      <c r="A2920" t="s">
        <v>116</v>
      </c>
      <c r="B2920" t="s">
        <v>340</v>
      </c>
      <c r="C2920" t="s">
        <v>709</v>
      </c>
      <c r="D2920">
        <v>51.7</v>
      </c>
      <c r="F2920" t="s">
        <v>2369</v>
      </c>
      <c r="I2920" t="s">
        <v>1766</v>
      </c>
      <c r="K2920" t="s">
        <v>5037</v>
      </c>
      <c r="L2920" t="s">
        <v>5039</v>
      </c>
    </row>
    <row r="2921" spans="1:12" x14ac:dyDescent="0.35">
      <c r="A2921" t="s">
        <v>116</v>
      </c>
      <c r="B2921" t="s">
        <v>341</v>
      </c>
      <c r="C2921" t="s">
        <v>959</v>
      </c>
      <c r="D2921">
        <v>4.4999999999999998E-2</v>
      </c>
      <c r="F2921" t="s">
        <v>1290</v>
      </c>
      <c r="H2921" t="s">
        <v>4126</v>
      </c>
      <c r="I2921" t="s">
        <v>4988</v>
      </c>
      <c r="K2921" t="s">
        <v>5037</v>
      </c>
      <c r="L2921" t="s">
        <v>5039</v>
      </c>
    </row>
    <row r="2922" spans="1:12" x14ac:dyDescent="0.35">
      <c r="A2922" t="s">
        <v>116</v>
      </c>
      <c r="B2922" t="s">
        <v>341</v>
      </c>
      <c r="C2922" t="s">
        <v>1092</v>
      </c>
      <c r="D2922">
        <v>0.05</v>
      </c>
      <c r="F2922" t="s">
        <v>1559</v>
      </c>
      <c r="I2922" t="s">
        <v>2226</v>
      </c>
      <c r="K2922" t="s">
        <v>5037</v>
      </c>
      <c r="L2922" t="s">
        <v>5039</v>
      </c>
    </row>
    <row r="2923" spans="1:12" x14ac:dyDescent="0.35">
      <c r="A2923" t="s">
        <v>116</v>
      </c>
      <c r="B2923" t="s">
        <v>341</v>
      </c>
      <c r="C2923" t="s">
        <v>978</v>
      </c>
      <c r="D2923">
        <v>0.3</v>
      </c>
      <c r="F2923" t="s">
        <v>1401</v>
      </c>
      <c r="H2923" t="s">
        <v>4127</v>
      </c>
      <c r="I2923" t="s">
        <v>4988</v>
      </c>
      <c r="K2923" t="s">
        <v>5037</v>
      </c>
      <c r="L2923" t="s">
        <v>5039</v>
      </c>
    </row>
    <row r="2924" spans="1:12" x14ac:dyDescent="0.35">
      <c r="A2924" t="s">
        <v>116</v>
      </c>
      <c r="B2924" t="s">
        <v>341</v>
      </c>
      <c r="C2924" t="s">
        <v>961</v>
      </c>
      <c r="D2924">
        <v>0.26</v>
      </c>
      <c r="F2924" t="s">
        <v>1447</v>
      </c>
      <c r="I2924" t="s">
        <v>2226</v>
      </c>
      <c r="K2924" t="s">
        <v>5037</v>
      </c>
      <c r="L2924" t="s">
        <v>5039</v>
      </c>
    </row>
    <row r="2925" spans="1:12" x14ac:dyDescent="0.35">
      <c r="A2925" t="s">
        <v>116</v>
      </c>
      <c r="B2925" t="s">
        <v>341</v>
      </c>
      <c r="C2925" t="s">
        <v>978</v>
      </c>
      <c r="D2925">
        <v>0.26</v>
      </c>
      <c r="F2925" t="s">
        <v>1447</v>
      </c>
      <c r="H2925" t="s">
        <v>4128</v>
      </c>
      <c r="I2925" t="s">
        <v>4917</v>
      </c>
      <c r="K2925" t="s">
        <v>5037</v>
      </c>
      <c r="L2925" t="s">
        <v>5039</v>
      </c>
    </row>
    <row r="2926" spans="1:12" x14ac:dyDescent="0.35">
      <c r="A2926" t="s">
        <v>116</v>
      </c>
      <c r="B2926" t="s">
        <v>341</v>
      </c>
      <c r="C2926" t="s">
        <v>985</v>
      </c>
      <c r="D2926">
        <v>0.6</v>
      </c>
      <c r="F2926" t="s">
        <v>1519</v>
      </c>
      <c r="H2926" t="s">
        <v>4129</v>
      </c>
      <c r="I2926" t="s">
        <v>4917</v>
      </c>
      <c r="K2926" t="s">
        <v>5037</v>
      </c>
      <c r="L2926" t="s">
        <v>5039</v>
      </c>
    </row>
    <row r="2927" spans="1:12" x14ac:dyDescent="0.35">
      <c r="A2927" t="s">
        <v>116</v>
      </c>
      <c r="B2927" t="s">
        <v>341</v>
      </c>
      <c r="C2927" t="s">
        <v>839</v>
      </c>
      <c r="D2927">
        <v>0.6</v>
      </c>
      <c r="F2927" t="s">
        <v>1519</v>
      </c>
      <c r="H2927" t="s">
        <v>4126</v>
      </c>
      <c r="I2927" t="s">
        <v>4988</v>
      </c>
      <c r="K2927" t="s">
        <v>5037</v>
      </c>
      <c r="L2927" t="s">
        <v>5039</v>
      </c>
    </row>
    <row r="2928" spans="1:12" x14ac:dyDescent="0.35">
      <c r="A2928" t="s">
        <v>116</v>
      </c>
      <c r="B2928" t="s">
        <v>341</v>
      </c>
      <c r="C2928" t="s">
        <v>842</v>
      </c>
      <c r="D2928">
        <v>1.3</v>
      </c>
      <c r="F2928" t="s">
        <v>1358</v>
      </c>
      <c r="I2928" t="s">
        <v>2226</v>
      </c>
      <c r="K2928" t="s">
        <v>5037</v>
      </c>
      <c r="L2928" t="s">
        <v>5039</v>
      </c>
    </row>
    <row r="2929" spans="1:12" x14ac:dyDescent="0.35">
      <c r="A2929" t="s">
        <v>116</v>
      </c>
      <c r="B2929" t="s">
        <v>341</v>
      </c>
      <c r="C2929" t="s">
        <v>1093</v>
      </c>
      <c r="D2929">
        <v>1.3</v>
      </c>
      <c r="F2929" t="s">
        <v>1358</v>
      </c>
      <c r="H2929" t="s">
        <v>4130</v>
      </c>
      <c r="I2929" t="s">
        <v>4988</v>
      </c>
      <c r="K2929" t="s">
        <v>5037</v>
      </c>
      <c r="L2929" t="s">
        <v>5039</v>
      </c>
    </row>
    <row r="2930" spans="1:12" x14ac:dyDescent="0.35">
      <c r="A2930" t="s">
        <v>116</v>
      </c>
      <c r="B2930" t="s">
        <v>341</v>
      </c>
      <c r="C2930" t="s">
        <v>708</v>
      </c>
      <c r="D2930">
        <v>1.2999999999999999E-2</v>
      </c>
      <c r="F2930" t="s">
        <v>1861</v>
      </c>
      <c r="H2930" t="s">
        <v>4131</v>
      </c>
      <c r="I2930" t="s">
        <v>4917</v>
      </c>
      <c r="K2930" t="s">
        <v>5037</v>
      </c>
      <c r="L2930" t="s">
        <v>5039</v>
      </c>
    </row>
    <row r="2931" spans="1:12" x14ac:dyDescent="0.35">
      <c r="A2931" t="s">
        <v>116</v>
      </c>
      <c r="B2931" t="s">
        <v>341</v>
      </c>
      <c r="C2931" t="s">
        <v>708</v>
      </c>
      <c r="D2931">
        <v>0.21</v>
      </c>
      <c r="F2931" t="s">
        <v>1572</v>
      </c>
      <c r="H2931" t="s">
        <v>4132</v>
      </c>
      <c r="I2931" t="s">
        <v>4917</v>
      </c>
      <c r="K2931" t="s">
        <v>5037</v>
      </c>
      <c r="L2931" t="s">
        <v>5039</v>
      </c>
    </row>
    <row r="2932" spans="1:12" x14ac:dyDescent="0.35">
      <c r="A2932" t="s">
        <v>116</v>
      </c>
      <c r="B2932" t="s">
        <v>341</v>
      </c>
      <c r="C2932" t="s">
        <v>1047</v>
      </c>
      <c r="D2932">
        <v>0.5</v>
      </c>
      <c r="F2932" t="s">
        <v>1440</v>
      </c>
      <c r="I2932" t="s">
        <v>2226</v>
      </c>
      <c r="K2932" t="s">
        <v>5037</v>
      </c>
      <c r="L2932" t="s">
        <v>5039</v>
      </c>
    </row>
    <row r="2933" spans="1:12" x14ac:dyDescent="0.35">
      <c r="A2933" t="s">
        <v>116</v>
      </c>
      <c r="B2933" t="s">
        <v>341</v>
      </c>
      <c r="C2933" t="s">
        <v>985</v>
      </c>
      <c r="D2933">
        <v>1.7</v>
      </c>
      <c r="F2933" t="s">
        <v>1416</v>
      </c>
      <c r="H2933" t="s">
        <v>4128</v>
      </c>
      <c r="I2933" t="s">
        <v>4917</v>
      </c>
      <c r="K2933" t="s">
        <v>5037</v>
      </c>
      <c r="L2933" t="s">
        <v>5039</v>
      </c>
    </row>
    <row r="2934" spans="1:12" x14ac:dyDescent="0.35">
      <c r="A2934" t="s">
        <v>116</v>
      </c>
      <c r="B2934" t="s">
        <v>341</v>
      </c>
      <c r="C2934" t="s">
        <v>1094</v>
      </c>
      <c r="D2934">
        <v>0.09</v>
      </c>
      <c r="F2934" t="s">
        <v>1310</v>
      </c>
      <c r="I2934" t="s">
        <v>1752</v>
      </c>
      <c r="K2934" t="s">
        <v>5037</v>
      </c>
      <c r="L2934" t="s">
        <v>5039</v>
      </c>
    </row>
    <row r="2935" spans="1:12" x14ac:dyDescent="0.35">
      <c r="A2935" t="s">
        <v>116</v>
      </c>
      <c r="B2935" t="s">
        <v>341</v>
      </c>
      <c r="C2935" t="s">
        <v>1095</v>
      </c>
      <c r="D2935">
        <v>2.1000000000000001E-2</v>
      </c>
      <c r="F2935" t="s">
        <v>1617</v>
      </c>
      <c r="I2935" t="s">
        <v>2226</v>
      </c>
      <c r="K2935" t="s">
        <v>5037</v>
      </c>
      <c r="L2935" t="s">
        <v>5039</v>
      </c>
    </row>
    <row r="2936" spans="1:12" x14ac:dyDescent="0.35">
      <c r="A2936" t="s">
        <v>116</v>
      </c>
      <c r="B2936" t="s">
        <v>341</v>
      </c>
      <c r="C2936" t="s">
        <v>978</v>
      </c>
      <c r="D2936">
        <v>0.2</v>
      </c>
      <c r="F2936" t="s">
        <v>1371</v>
      </c>
      <c r="H2936" t="s">
        <v>4133</v>
      </c>
      <c r="I2936" t="s">
        <v>4865</v>
      </c>
      <c r="K2936" t="s">
        <v>5037</v>
      </c>
      <c r="L2936" t="s">
        <v>5039</v>
      </c>
    </row>
    <row r="2937" spans="1:12" x14ac:dyDescent="0.35">
      <c r="A2937" t="s">
        <v>116</v>
      </c>
      <c r="B2937" t="s">
        <v>341</v>
      </c>
      <c r="C2937" t="s">
        <v>1096</v>
      </c>
      <c r="D2937">
        <v>0.4</v>
      </c>
      <c r="F2937" t="s">
        <v>1315</v>
      </c>
      <c r="H2937" t="s">
        <v>4134</v>
      </c>
      <c r="I2937" t="s">
        <v>4865</v>
      </c>
      <c r="K2937" t="s">
        <v>5037</v>
      </c>
      <c r="L2937" t="s">
        <v>5039</v>
      </c>
    </row>
    <row r="2938" spans="1:12" x14ac:dyDescent="0.35">
      <c r="A2938" t="s">
        <v>116</v>
      </c>
      <c r="B2938" t="s">
        <v>341</v>
      </c>
      <c r="C2938" t="s">
        <v>951</v>
      </c>
      <c r="D2938">
        <v>2</v>
      </c>
      <c r="F2938" t="s">
        <v>1372</v>
      </c>
      <c r="H2938" t="s">
        <v>4133</v>
      </c>
      <c r="I2938" t="s">
        <v>4865</v>
      </c>
      <c r="K2938" t="s">
        <v>5037</v>
      </c>
      <c r="L2938" t="s">
        <v>5039</v>
      </c>
    </row>
    <row r="2939" spans="1:12" x14ac:dyDescent="0.35">
      <c r="A2939" t="s">
        <v>116</v>
      </c>
      <c r="B2939" t="s">
        <v>341</v>
      </c>
      <c r="C2939" t="s">
        <v>1096</v>
      </c>
      <c r="D2939">
        <v>0.12</v>
      </c>
      <c r="F2939" t="s">
        <v>1473</v>
      </c>
      <c r="H2939" t="s">
        <v>4135</v>
      </c>
      <c r="I2939" t="s">
        <v>4865</v>
      </c>
      <c r="K2939" t="s">
        <v>5037</v>
      </c>
      <c r="L2939" t="s">
        <v>5039</v>
      </c>
    </row>
    <row r="2940" spans="1:12" x14ac:dyDescent="0.35">
      <c r="A2940" t="s">
        <v>116</v>
      </c>
      <c r="B2940" t="s">
        <v>341</v>
      </c>
      <c r="C2940" t="s">
        <v>1097</v>
      </c>
      <c r="D2940">
        <v>0.12</v>
      </c>
      <c r="F2940" t="s">
        <v>1473</v>
      </c>
      <c r="H2940" t="s">
        <v>4130</v>
      </c>
      <c r="I2940" t="s">
        <v>4988</v>
      </c>
      <c r="K2940" t="s">
        <v>5037</v>
      </c>
      <c r="L2940" t="s">
        <v>5039</v>
      </c>
    </row>
    <row r="2941" spans="1:12" x14ac:dyDescent="0.35">
      <c r="A2941" t="s">
        <v>116</v>
      </c>
      <c r="B2941" t="s">
        <v>341</v>
      </c>
      <c r="C2941" t="s">
        <v>1098</v>
      </c>
      <c r="D2941">
        <v>0.25</v>
      </c>
      <c r="F2941" t="s">
        <v>1403</v>
      </c>
      <c r="H2941" t="s">
        <v>4136</v>
      </c>
      <c r="I2941" t="s">
        <v>2226</v>
      </c>
      <c r="K2941" t="s">
        <v>5037</v>
      </c>
      <c r="L2941" t="s">
        <v>5039</v>
      </c>
    </row>
    <row r="2942" spans="1:12" x14ac:dyDescent="0.35">
      <c r="A2942" t="s">
        <v>116</v>
      </c>
      <c r="B2942" t="s">
        <v>341</v>
      </c>
      <c r="C2942" t="s">
        <v>1099</v>
      </c>
      <c r="D2942">
        <v>0.28000000000000003</v>
      </c>
      <c r="F2942" t="s">
        <v>1732</v>
      </c>
      <c r="H2942" t="s">
        <v>4127</v>
      </c>
      <c r="I2942" t="s">
        <v>4988</v>
      </c>
      <c r="K2942" t="s">
        <v>5037</v>
      </c>
      <c r="L2942" t="s">
        <v>5039</v>
      </c>
    </row>
    <row r="2943" spans="1:12" x14ac:dyDescent="0.35">
      <c r="A2943" t="s">
        <v>116</v>
      </c>
      <c r="B2943" t="s">
        <v>341</v>
      </c>
      <c r="C2943" t="s">
        <v>1100</v>
      </c>
      <c r="D2943">
        <v>0.9</v>
      </c>
      <c r="F2943" t="s">
        <v>1556</v>
      </c>
      <c r="H2943" t="s">
        <v>4134</v>
      </c>
      <c r="I2943" t="s">
        <v>4865</v>
      </c>
      <c r="K2943" t="s">
        <v>5037</v>
      </c>
      <c r="L2943" t="s">
        <v>5039</v>
      </c>
    </row>
    <row r="2944" spans="1:12" x14ac:dyDescent="0.35">
      <c r="A2944" t="s">
        <v>116</v>
      </c>
      <c r="B2944" t="s">
        <v>341</v>
      </c>
      <c r="C2944" t="s">
        <v>1094</v>
      </c>
      <c r="D2944">
        <v>2.5000000000000001E-3</v>
      </c>
      <c r="F2944" t="s">
        <v>2130</v>
      </c>
      <c r="I2944" t="s">
        <v>2226</v>
      </c>
      <c r="K2944" t="s">
        <v>5037</v>
      </c>
      <c r="L2944" t="s">
        <v>5039</v>
      </c>
    </row>
    <row r="2945" spans="1:12" x14ac:dyDescent="0.35">
      <c r="A2945" t="s">
        <v>116</v>
      </c>
      <c r="B2945" t="s">
        <v>341</v>
      </c>
      <c r="C2945" t="s">
        <v>1101</v>
      </c>
      <c r="D2945">
        <v>0.14000000000000001</v>
      </c>
      <c r="F2945" t="s">
        <v>1361</v>
      </c>
      <c r="H2945" t="s">
        <v>4127</v>
      </c>
      <c r="I2945" t="s">
        <v>4988</v>
      </c>
      <c r="K2945" t="s">
        <v>5037</v>
      </c>
      <c r="L2945" t="s">
        <v>5039</v>
      </c>
    </row>
    <row r="2946" spans="1:12" x14ac:dyDescent="0.35">
      <c r="A2946" t="s">
        <v>116</v>
      </c>
      <c r="B2946" t="s">
        <v>341</v>
      </c>
      <c r="C2946" t="s">
        <v>1100</v>
      </c>
      <c r="D2946">
        <v>0.14000000000000001</v>
      </c>
      <c r="F2946" t="s">
        <v>1361</v>
      </c>
      <c r="H2946" t="s">
        <v>4135</v>
      </c>
      <c r="I2946" t="s">
        <v>4865</v>
      </c>
      <c r="K2946" t="s">
        <v>5037</v>
      </c>
      <c r="L2946" t="s">
        <v>5039</v>
      </c>
    </row>
    <row r="2947" spans="1:12" x14ac:dyDescent="0.35">
      <c r="A2947" t="s">
        <v>116</v>
      </c>
      <c r="B2947" t="s">
        <v>341</v>
      </c>
      <c r="C2947" t="s">
        <v>1102</v>
      </c>
      <c r="D2947">
        <v>0.14000000000000001</v>
      </c>
      <c r="F2947" t="s">
        <v>1361</v>
      </c>
      <c r="H2947" t="s">
        <v>4130</v>
      </c>
      <c r="I2947" t="s">
        <v>4988</v>
      </c>
      <c r="K2947" t="s">
        <v>5037</v>
      </c>
      <c r="L2947" t="s">
        <v>5039</v>
      </c>
    </row>
    <row r="2948" spans="1:12" x14ac:dyDescent="0.35">
      <c r="A2948" t="s">
        <v>116</v>
      </c>
      <c r="B2948" t="s">
        <v>341</v>
      </c>
      <c r="C2948" t="s">
        <v>1103</v>
      </c>
      <c r="D2948">
        <v>0.8</v>
      </c>
      <c r="F2948" t="s">
        <v>1319</v>
      </c>
      <c r="H2948" t="s">
        <v>4137</v>
      </c>
      <c r="I2948" t="s">
        <v>4988</v>
      </c>
      <c r="K2948" t="s">
        <v>5037</v>
      </c>
      <c r="L2948" t="s">
        <v>5039</v>
      </c>
    </row>
    <row r="2949" spans="1:12" x14ac:dyDescent="0.35">
      <c r="A2949" t="s">
        <v>116</v>
      </c>
      <c r="B2949" t="s">
        <v>341</v>
      </c>
      <c r="C2949" t="s">
        <v>980</v>
      </c>
      <c r="D2949">
        <v>1.4</v>
      </c>
      <c r="F2949" t="s">
        <v>1469</v>
      </c>
      <c r="H2949" t="s">
        <v>4134</v>
      </c>
      <c r="I2949" t="s">
        <v>4865</v>
      </c>
      <c r="K2949" t="s">
        <v>5037</v>
      </c>
      <c r="L2949" t="s">
        <v>5039</v>
      </c>
    </row>
    <row r="2950" spans="1:12" x14ac:dyDescent="0.35">
      <c r="A2950" t="s">
        <v>116</v>
      </c>
      <c r="B2950" t="s">
        <v>341</v>
      </c>
      <c r="C2950" t="s">
        <v>985</v>
      </c>
      <c r="D2950">
        <v>2.4</v>
      </c>
      <c r="F2950" t="s">
        <v>1433</v>
      </c>
      <c r="H2950" t="s">
        <v>4133</v>
      </c>
      <c r="I2950" t="s">
        <v>4865</v>
      </c>
      <c r="K2950" t="s">
        <v>5037</v>
      </c>
      <c r="L2950" t="s">
        <v>5039</v>
      </c>
    </row>
    <row r="2951" spans="1:12" x14ac:dyDescent="0.35">
      <c r="A2951" t="s">
        <v>116</v>
      </c>
      <c r="B2951" t="s">
        <v>341</v>
      </c>
      <c r="C2951" t="s">
        <v>959</v>
      </c>
      <c r="D2951">
        <v>0.23</v>
      </c>
      <c r="F2951" t="s">
        <v>1362</v>
      </c>
      <c r="H2951" t="s">
        <v>4138</v>
      </c>
      <c r="I2951" t="s">
        <v>4865</v>
      </c>
      <c r="K2951" t="s">
        <v>5037</v>
      </c>
      <c r="L2951" t="s">
        <v>5039</v>
      </c>
    </row>
    <row r="2952" spans="1:12" x14ac:dyDescent="0.35">
      <c r="A2952" t="s">
        <v>116</v>
      </c>
      <c r="B2952" t="s">
        <v>341</v>
      </c>
      <c r="C2952" t="s">
        <v>980</v>
      </c>
      <c r="D2952">
        <v>0.23</v>
      </c>
      <c r="F2952" t="s">
        <v>1362</v>
      </c>
      <c r="H2952" t="s">
        <v>4139</v>
      </c>
      <c r="I2952" t="s">
        <v>4917</v>
      </c>
      <c r="K2952" t="s">
        <v>5037</v>
      </c>
      <c r="L2952" t="s">
        <v>5039</v>
      </c>
    </row>
    <row r="2953" spans="1:12" x14ac:dyDescent="0.35">
      <c r="A2953" t="s">
        <v>116</v>
      </c>
      <c r="B2953" t="s">
        <v>341</v>
      </c>
      <c r="C2953" t="s">
        <v>1104</v>
      </c>
      <c r="D2953">
        <v>1.2</v>
      </c>
      <c r="F2953" t="s">
        <v>1421</v>
      </c>
      <c r="H2953" t="s">
        <v>4135</v>
      </c>
      <c r="I2953" t="s">
        <v>4865</v>
      </c>
      <c r="K2953" t="s">
        <v>5037</v>
      </c>
      <c r="L2953" t="s">
        <v>5039</v>
      </c>
    </row>
    <row r="2954" spans="1:12" x14ac:dyDescent="0.35">
      <c r="A2954" t="s">
        <v>116</v>
      </c>
      <c r="B2954" t="s">
        <v>341</v>
      </c>
      <c r="C2954" t="s">
        <v>1105</v>
      </c>
      <c r="D2954">
        <v>1.2</v>
      </c>
      <c r="F2954" t="s">
        <v>1421</v>
      </c>
      <c r="H2954" t="s">
        <v>4140</v>
      </c>
      <c r="I2954" t="s">
        <v>4988</v>
      </c>
      <c r="K2954" t="s">
        <v>5037</v>
      </c>
      <c r="L2954" t="s">
        <v>5039</v>
      </c>
    </row>
    <row r="2955" spans="1:12" x14ac:dyDescent="0.35">
      <c r="A2955" t="s">
        <v>116</v>
      </c>
      <c r="B2955" t="s">
        <v>341</v>
      </c>
      <c r="C2955" t="s">
        <v>959</v>
      </c>
      <c r="D2955">
        <v>1.9</v>
      </c>
      <c r="F2955" t="s">
        <v>1503</v>
      </c>
      <c r="H2955" t="s">
        <v>4128</v>
      </c>
      <c r="I2955" t="s">
        <v>4917</v>
      </c>
      <c r="K2955" t="s">
        <v>5037</v>
      </c>
      <c r="L2955" t="s">
        <v>5039</v>
      </c>
    </row>
    <row r="2956" spans="1:12" x14ac:dyDescent="0.35">
      <c r="A2956" t="s">
        <v>116</v>
      </c>
      <c r="B2956" t="s">
        <v>341</v>
      </c>
      <c r="C2956" t="s">
        <v>1104</v>
      </c>
      <c r="D2956">
        <v>3.3</v>
      </c>
      <c r="F2956" t="s">
        <v>1377</v>
      </c>
      <c r="H2956" t="s">
        <v>4134</v>
      </c>
      <c r="I2956" t="s">
        <v>4865</v>
      </c>
      <c r="K2956" t="s">
        <v>5037</v>
      </c>
      <c r="L2956" t="s">
        <v>5039</v>
      </c>
    </row>
    <row r="2957" spans="1:12" x14ac:dyDescent="0.35">
      <c r="A2957" t="s">
        <v>116</v>
      </c>
      <c r="B2957" t="s">
        <v>341</v>
      </c>
      <c r="C2957" t="s">
        <v>1046</v>
      </c>
      <c r="D2957">
        <v>5.5E-2</v>
      </c>
      <c r="F2957" t="s">
        <v>1613</v>
      </c>
      <c r="I2957" t="s">
        <v>2226</v>
      </c>
      <c r="K2957" t="s">
        <v>5037</v>
      </c>
      <c r="L2957" t="s">
        <v>5039</v>
      </c>
    </row>
    <row r="2958" spans="1:12" x14ac:dyDescent="0.35">
      <c r="A2958" t="s">
        <v>116</v>
      </c>
      <c r="B2958" t="s">
        <v>341</v>
      </c>
      <c r="C2958" t="s">
        <v>985</v>
      </c>
      <c r="D2958">
        <v>0.33</v>
      </c>
      <c r="F2958" t="s">
        <v>1397</v>
      </c>
      <c r="H2958" t="s">
        <v>4126</v>
      </c>
      <c r="I2958" t="s">
        <v>4988</v>
      </c>
      <c r="K2958" t="s">
        <v>5037</v>
      </c>
      <c r="L2958" t="s">
        <v>5039</v>
      </c>
    </row>
    <row r="2959" spans="1:12" x14ac:dyDescent="0.35">
      <c r="A2959" t="s">
        <v>116</v>
      </c>
      <c r="B2959" t="s">
        <v>341</v>
      </c>
      <c r="C2959" t="s">
        <v>1063</v>
      </c>
      <c r="D2959">
        <v>0.35</v>
      </c>
      <c r="F2959" t="s">
        <v>1294</v>
      </c>
      <c r="I2959" t="s">
        <v>2226</v>
      </c>
      <c r="K2959" t="s">
        <v>5037</v>
      </c>
      <c r="L2959" t="s">
        <v>5039</v>
      </c>
    </row>
    <row r="2960" spans="1:12" x14ac:dyDescent="0.35">
      <c r="A2960" t="s">
        <v>116</v>
      </c>
      <c r="B2960" t="s">
        <v>341</v>
      </c>
      <c r="C2960" t="s">
        <v>1101</v>
      </c>
      <c r="D2960">
        <v>2.4E-2</v>
      </c>
      <c r="F2960" t="s">
        <v>1620</v>
      </c>
      <c r="H2960" t="s">
        <v>4139</v>
      </c>
      <c r="I2960" t="s">
        <v>4917</v>
      </c>
      <c r="K2960" t="s">
        <v>5037</v>
      </c>
      <c r="L2960" t="s">
        <v>5039</v>
      </c>
    </row>
    <row r="2961" spans="1:12" x14ac:dyDescent="0.35">
      <c r="A2961" t="s">
        <v>116</v>
      </c>
      <c r="B2961" t="s">
        <v>341</v>
      </c>
      <c r="C2961" t="s">
        <v>1101</v>
      </c>
      <c r="D2961">
        <v>0.86</v>
      </c>
      <c r="F2961" t="s">
        <v>1486</v>
      </c>
      <c r="H2961" t="s">
        <v>4141</v>
      </c>
      <c r="I2961" t="s">
        <v>4917</v>
      </c>
      <c r="K2961" t="s">
        <v>5037</v>
      </c>
      <c r="L2961" t="s">
        <v>5039</v>
      </c>
    </row>
    <row r="2962" spans="1:12" x14ac:dyDescent="0.35">
      <c r="A2962" t="s">
        <v>116</v>
      </c>
      <c r="B2962" t="s">
        <v>341</v>
      </c>
      <c r="C2962" t="s">
        <v>1106</v>
      </c>
      <c r="D2962">
        <v>14</v>
      </c>
      <c r="F2962" t="s">
        <v>1467</v>
      </c>
      <c r="I2962" t="s">
        <v>2226</v>
      </c>
      <c r="K2962" t="s">
        <v>5037</v>
      </c>
      <c r="L2962" t="s">
        <v>5039</v>
      </c>
    </row>
    <row r="2963" spans="1:12" x14ac:dyDescent="0.35">
      <c r="A2963" t="s">
        <v>116</v>
      </c>
      <c r="B2963" t="s">
        <v>341</v>
      </c>
      <c r="C2963" t="s">
        <v>1107</v>
      </c>
      <c r="D2963">
        <v>1.9E-2</v>
      </c>
      <c r="F2963" t="s">
        <v>1628</v>
      </c>
      <c r="I2963" t="s">
        <v>2226</v>
      </c>
      <c r="K2963" t="s">
        <v>5037</v>
      </c>
      <c r="L2963" t="s">
        <v>5039</v>
      </c>
    </row>
    <row r="2964" spans="1:12" x14ac:dyDescent="0.35">
      <c r="A2964" t="s">
        <v>116</v>
      </c>
      <c r="B2964" t="s">
        <v>341</v>
      </c>
      <c r="C2964" t="s">
        <v>1108</v>
      </c>
      <c r="D2964">
        <v>7.5</v>
      </c>
      <c r="F2964" t="s">
        <v>1464</v>
      </c>
      <c r="I2964" t="s">
        <v>2226</v>
      </c>
      <c r="K2964" t="s">
        <v>5037</v>
      </c>
      <c r="L2964" t="s">
        <v>5039</v>
      </c>
    </row>
    <row r="2965" spans="1:12" x14ac:dyDescent="0.35">
      <c r="A2965" t="s">
        <v>116</v>
      </c>
      <c r="B2965" t="s">
        <v>341</v>
      </c>
      <c r="C2965" t="s">
        <v>980</v>
      </c>
      <c r="D2965">
        <v>1.24</v>
      </c>
      <c r="F2965" t="s">
        <v>2008</v>
      </c>
      <c r="H2965" t="s">
        <v>4141</v>
      </c>
      <c r="I2965" t="s">
        <v>4917</v>
      </c>
      <c r="K2965" t="s">
        <v>5037</v>
      </c>
      <c r="L2965" t="s">
        <v>5039</v>
      </c>
    </row>
    <row r="2966" spans="1:12" x14ac:dyDescent="0.35">
      <c r="A2966" t="s">
        <v>116</v>
      </c>
      <c r="B2966" t="s">
        <v>341</v>
      </c>
      <c r="C2966" t="s">
        <v>1109</v>
      </c>
      <c r="D2966">
        <v>0.22500000000000001</v>
      </c>
      <c r="F2966" t="s">
        <v>2370</v>
      </c>
      <c r="I2966" t="s">
        <v>2226</v>
      </c>
      <c r="K2966" t="s">
        <v>5037</v>
      </c>
      <c r="L2966" t="s">
        <v>5039</v>
      </c>
    </row>
    <row r="2967" spans="1:12" x14ac:dyDescent="0.35">
      <c r="A2967" t="s">
        <v>116</v>
      </c>
      <c r="B2967" t="s">
        <v>341</v>
      </c>
      <c r="C2967" t="s">
        <v>839</v>
      </c>
      <c r="D2967">
        <v>53</v>
      </c>
      <c r="F2967" t="s">
        <v>2254</v>
      </c>
      <c r="H2967" t="s">
        <v>4133</v>
      </c>
      <c r="I2967" t="s">
        <v>4865</v>
      </c>
      <c r="K2967" t="s">
        <v>5037</v>
      </c>
      <c r="L2967" t="s">
        <v>5039</v>
      </c>
    </row>
    <row r="2968" spans="1:12" x14ac:dyDescent="0.35">
      <c r="A2968" t="s">
        <v>116</v>
      </c>
      <c r="B2968" t="s">
        <v>341</v>
      </c>
      <c r="C2968" t="s">
        <v>687</v>
      </c>
      <c r="D2968">
        <v>27</v>
      </c>
      <c r="F2968" t="s">
        <v>2364</v>
      </c>
      <c r="I2968" t="s">
        <v>2226</v>
      </c>
      <c r="K2968" t="s">
        <v>5037</v>
      </c>
      <c r="L2968" t="s">
        <v>5039</v>
      </c>
    </row>
    <row r="2969" spans="1:12" x14ac:dyDescent="0.35">
      <c r="A2969" t="s">
        <v>116</v>
      </c>
      <c r="B2969" t="s">
        <v>341</v>
      </c>
      <c r="C2969" t="s">
        <v>853</v>
      </c>
      <c r="D2969">
        <v>6.6</v>
      </c>
      <c r="F2969" t="s">
        <v>1517</v>
      </c>
      <c r="I2969" t="s">
        <v>2226</v>
      </c>
      <c r="K2969" t="s">
        <v>5037</v>
      </c>
      <c r="L2969" t="s">
        <v>5039</v>
      </c>
    </row>
    <row r="2970" spans="1:12" x14ac:dyDescent="0.35">
      <c r="A2970" t="s">
        <v>116</v>
      </c>
      <c r="B2970" t="s">
        <v>341</v>
      </c>
      <c r="C2970" t="s">
        <v>709</v>
      </c>
      <c r="D2970">
        <v>12.4</v>
      </c>
      <c r="F2970" t="s">
        <v>2371</v>
      </c>
      <c r="H2970" t="s">
        <v>4142</v>
      </c>
      <c r="I2970" t="s">
        <v>4917</v>
      </c>
      <c r="K2970" t="s">
        <v>5037</v>
      </c>
      <c r="L2970" t="s">
        <v>5039</v>
      </c>
    </row>
    <row r="2971" spans="1:12" x14ac:dyDescent="0.35">
      <c r="A2971" t="s">
        <v>116</v>
      </c>
      <c r="B2971" t="s">
        <v>341</v>
      </c>
      <c r="C2971" t="s">
        <v>961</v>
      </c>
      <c r="D2971">
        <v>184</v>
      </c>
      <c r="F2971" t="s">
        <v>2372</v>
      </c>
      <c r="H2971" t="s">
        <v>4133</v>
      </c>
      <c r="I2971" t="s">
        <v>4865</v>
      </c>
      <c r="K2971" t="s">
        <v>5037</v>
      </c>
      <c r="L2971" t="s">
        <v>5039</v>
      </c>
    </row>
    <row r="2972" spans="1:12" x14ac:dyDescent="0.35">
      <c r="A2972" t="s">
        <v>116</v>
      </c>
      <c r="B2972" t="s">
        <v>341</v>
      </c>
      <c r="C2972" t="s">
        <v>978</v>
      </c>
      <c r="D2972">
        <v>0.03</v>
      </c>
      <c r="F2972" t="s">
        <v>1266</v>
      </c>
      <c r="H2972" t="s">
        <v>4143</v>
      </c>
      <c r="I2972" t="s">
        <v>4917</v>
      </c>
      <c r="K2972" t="s">
        <v>5037</v>
      </c>
      <c r="L2972" t="s">
        <v>5039</v>
      </c>
    </row>
    <row r="2973" spans="1:12" x14ac:dyDescent="0.35">
      <c r="A2973" t="s">
        <v>116</v>
      </c>
      <c r="B2973" t="s">
        <v>341</v>
      </c>
      <c r="C2973" t="s">
        <v>959</v>
      </c>
      <c r="D2973">
        <v>0.03</v>
      </c>
      <c r="F2973" t="s">
        <v>1266</v>
      </c>
      <c r="H2973" t="s">
        <v>4143</v>
      </c>
      <c r="I2973" t="s">
        <v>4917</v>
      </c>
      <c r="K2973" t="s">
        <v>5037</v>
      </c>
      <c r="L2973" t="s">
        <v>5039</v>
      </c>
    </row>
    <row r="2974" spans="1:12" x14ac:dyDescent="0.35">
      <c r="A2974" t="s">
        <v>116</v>
      </c>
      <c r="B2974" t="s">
        <v>341</v>
      </c>
      <c r="C2974" t="s">
        <v>951</v>
      </c>
      <c r="D2974">
        <v>0.26</v>
      </c>
      <c r="F2974" t="s">
        <v>1447</v>
      </c>
      <c r="H2974" t="s">
        <v>4143</v>
      </c>
      <c r="I2974" t="s">
        <v>4917</v>
      </c>
      <c r="K2974" t="s">
        <v>5037</v>
      </c>
      <c r="L2974" t="s">
        <v>5039</v>
      </c>
    </row>
    <row r="2975" spans="1:12" x14ac:dyDescent="0.35">
      <c r="A2975" t="s">
        <v>116</v>
      </c>
      <c r="B2975" t="s">
        <v>341</v>
      </c>
      <c r="C2975" t="s">
        <v>980</v>
      </c>
      <c r="D2975">
        <v>1.3</v>
      </c>
      <c r="F2975" t="s">
        <v>1358</v>
      </c>
      <c r="H2975" t="s">
        <v>4144</v>
      </c>
      <c r="I2975" t="s">
        <v>4865</v>
      </c>
      <c r="K2975" t="s">
        <v>5037</v>
      </c>
      <c r="L2975" t="s">
        <v>5039</v>
      </c>
    </row>
    <row r="2976" spans="1:12" x14ac:dyDescent="0.35">
      <c r="A2976" t="s">
        <v>116</v>
      </c>
      <c r="B2976" t="s">
        <v>341</v>
      </c>
      <c r="C2976" t="s">
        <v>709</v>
      </c>
      <c r="D2976">
        <v>0.5</v>
      </c>
      <c r="F2976" t="s">
        <v>1440</v>
      </c>
      <c r="H2976" t="s">
        <v>4145</v>
      </c>
      <c r="I2976" t="s">
        <v>4865</v>
      </c>
      <c r="K2976" t="s">
        <v>5037</v>
      </c>
      <c r="L2976" t="s">
        <v>5039</v>
      </c>
    </row>
    <row r="2977" spans="1:12" x14ac:dyDescent="0.35">
      <c r="A2977" t="s">
        <v>116</v>
      </c>
      <c r="B2977" t="s">
        <v>341</v>
      </c>
      <c r="C2977" t="s">
        <v>951</v>
      </c>
      <c r="D2977">
        <v>0.8</v>
      </c>
      <c r="F2977" t="s">
        <v>1319</v>
      </c>
      <c r="H2977" t="s">
        <v>4146</v>
      </c>
      <c r="I2977" t="s">
        <v>4865</v>
      </c>
      <c r="K2977" t="s">
        <v>5037</v>
      </c>
      <c r="L2977" t="s">
        <v>5039</v>
      </c>
    </row>
    <row r="2978" spans="1:12" x14ac:dyDescent="0.35">
      <c r="A2978" t="s">
        <v>116</v>
      </c>
      <c r="B2978" t="s">
        <v>341</v>
      </c>
      <c r="C2978" t="s">
        <v>951</v>
      </c>
      <c r="D2978">
        <v>1.5</v>
      </c>
      <c r="F2978" t="s">
        <v>1426</v>
      </c>
      <c r="H2978" t="s">
        <v>4147</v>
      </c>
      <c r="I2978" t="s">
        <v>4917</v>
      </c>
      <c r="K2978" t="s">
        <v>5037</v>
      </c>
      <c r="L2978" t="s">
        <v>5039</v>
      </c>
    </row>
    <row r="2979" spans="1:12" x14ac:dyDescent="0.35">
      <c r="A2979" t="s">
        <v>116</v>
      </c>
      <c r="B2979" t="s">
        <v>341</v>
      </c>
      <c r="C2979" t="s">
        <v>708</v>
      </c>
      <c r="D2979">
        <v>0.04</v>
      </c>
      <c r="F2979" t="s">
        <v>1334</v>
      </c>
      <c r="H2979" t="s">
        <v>4148</v>
      </c>
      <c r="I2979" t="s">
        <v>4865</v>
      </c>
      <c r="K2979" t="s">
        <v>5037</v>
      </c>
      <c r="L2979" t="s">
        <v>5039</v>
      </c>
    </row>
    <row r="2980" spans="1:12" x14ac:dyDescent="0.35">
      <c r="A2980" t="s">
        <v>116</v>
      </c>
      <c r="B2980" t="s">
        <v>341</v>
      </c>
      <c r="C2980" t="s">
        <v>961</v>
      </c>
      <c r="D2980">
        <v>0.7</v>
      </c>
      <c r="F2980" t="s">
        <v>1378</v>
      </c>
      <c r="H2980" t="s">
        <v>4126</v>
      </c>
      <c r="I2980" t="s">
        <v>4988</v>
      </c>
      <c r="K2980" t="s">
        <v>5037</v>
      </c>
      <c r="L2980" t="s">
        <v>5039</v>
      </c>
    </row>
    <row r="2981" spans="1:12" x14ac:dyDescent="0.35">
      <c r="A2981" t="s">
        <v>116</v>
      </c>
      <c r="B2981" t="s">
        <v>341</v>
      </c>
      <c r="C2981" t="s">
        <v>708</v>
      </c>
      <c r="D2981">
        <v>0.03</v>
      </c>
      <c r="F2981" t="s">
        <v>1266</v>
      </c>
      <c r="H2981" t="s">
        <v>4149</v>
      </c>
      <c r="I2981" t="s">
        <v>4884</v>
      </c>
      <c r="K2981" t="s">
        <v>5037</v>
      </c>
      <c r="L2981" t="s">
        <v>5039</v>
      </c>
    </row>
    <row r="2982" spans="1:12" x14ac:dyDescent="0.35">
      <c r="A2982" t="s">
        <v>116</v>
      </c>
      <c r="B2982" t="s">
        <v>341</v>
      </c>
      <c r="C2982" t="s">
        <v>951</v>
      </c>
      <c r="D2982">
        <v>1.2999999999999999E-2</v>
      </c>
      <c r="F2982" t="s">
        <v>1861</v>
      </c>
      <c r="H2982" t="s">
        <v>4150</v>
      </c>
      <c r="I2982" t="s">
        <v>1569</v>
      </c>
      <c r="K2982" t="s">
        <v>5037</v>
      </c>
      <c r="L2982" t="s">
        <v>5039</v>
      </c>
    </row>
    <row r="2983" spans="1:12" x14ac:dyDescent="0.35">
      <c r="A2983" t="s">
        <v>116</v>
      </c>
      <c r="B2983" t="s">
        <v>356</v>
      </c>
      <c r="C2983" t="s">
        <v>961</v>
      </c>
      <c r="D2983">
        <v>2.1</v>
      </c>
      <c r="F2983" t="s">
        <v>1399</v>
      </c>
      <c r="H2983" t="s">
        <v>4151</v>
      </c>
      <c r="I2983" t="s">
        <v>4989</v>
      </c>
      <c r="K2983" t="s">
        <v>5037</v>
      </c>
      <c r="L2983" t="s">
        <v>5039</v>
      </c>
    </row>
    <row r="2984" spans="1:12" x14ac:dyDescent="0.35">
      <c r="A2984" t="s">
        <v>116</v>
      </c>
      <c r="B2984" t="s">
        <v>356</v>
      </c>
      <c r="C2984" t="s">
        <v>961</v>
      </c>
      <c r="D2984">
        <v>1.1200000000000001</v>
      </c>
      <c r="F2984" t="s">
        <v>1788</v>
      </c>
      <c r="H2984" t="s">
        <v>4152</v>
      </c>
      <c r="I2984" t="s">
        <v>4989</v>
      </c>
      <c r="K2984" t="s">
        <v>5037</v>
      </c>
      <c r="L2984" t="s">
        <v>5039</v>
      </c>
    </row>
    <row r="2985" spans="1:12" x14ac:dyDescent="0.35">
      <c r="A2985" t="s">
        <v>116</v>
      </c>
      <c r="B2985" t="s">
        <v>560</v>
      </c>
      <c r="C2985" t="s">
        <v>1091</v>
      </c>
      <c r="D2985">
        <v>0.26</v>
      </c>
      <c r="F2985" t="s">
        <v>1447</v>
      </c>
      <c r="I2985" t="s">
        <v>4889</v>
      </c>
      <c r="K2985" t="s">
        <v>5037</v>
      </c>
      <c r="L2985" t="s">
        <v>5039</v>
      </c>
    </row>
    <row r="2986" spans="1:12" x14ac:dyDescent="0.35">
      <c r="A2986" t="s">
        <v>116</v>
      </c>
      <c r="B2986" t="s">
        <v>560</v>
      </c>
      <c r="C2986" t="s">
        <v>951</v>
      </c>
      <c r="D2986">
        <v>1.2E-2</v>
      </c>
      <c r="F2986" t="s">
        <v>1280</v>
      </c>
      <c r="I2986" t="s">
        <v>4889</v>
      </c>
      <c r="K2986" t="s">
        <v>5037</v>
      </c>
      <c r="L2986" t="s">
        <v>5039</v>
      </c>
    </row>
    <row r="2987" spans="1:12" x14ac:dyDescent="0.35">
      <c r="A2987" t="s">
        <v>116</v>
      </c>
      <c r="B2987" t="s">
        <v>560</v>
      </c>
      <c r="C2987" t="s">
        <v>1110</v>
      </c>
      <c r="D2987">
        <v>0.02</v>
      </c>
      <c r="F2987" t="s">
        <v>1448</v>
      </c>
      <c r="H2987" t="s">
        <v>3426</v>
      </c>
      <c r="I2987" t="s">
        <v>4889</v>
      </c>
      <c r="K2987" t="s">
        <v>5037</v>
      </c>
      <c r="L2987" t="s">
        <v>5039</v>
      </c>
    </row>
    <row r="2988" spans="1:12" x14ac:dyDescent="0.35">
      <c r="A2988" t="s">
        <v>116</v>
      </c>
      <c r="B2988" t="s">
        <v>560</v>
      </c>
      <c r="C2988" t="s">
        <v>1043</v>
      </c>
      <c r="D2988">
        <v>2.5000000000000001E-2</v>
      </c>
      <c r="F2988" t="s">
        <v>1282</v>
      </c>
      <c r="I2988" t="s">
        <v>4889</v>
      </c>
      <c r="K2988" t="s">
        <v>5037</v>
      </c>
      <c r="L2988" t="s">
        <v>5039</v>
      </c>
    </row>
    <row r="2989" spans="1:12" x14ac:dyDescent="0.35">
      <c r="A2989" t="s">
        <v>116</v>
      </c>
      <c r="B2989" t="s">
        <v>560</v>
      </c>
      <c r="C2989" t="s">
        <v>1111</v>
      </c>
      <c r="D2989">
        <v>3.3000000000000002E-2</v>
      </c>
      <c r="F2989" t="s">
        <v>1340</v>
      </c>
      <c r="I2989" t="s">
        <v>4889</v>
      </c>
      <c r="K2989" t="s">
        <v>5037</v>
      </c>
      <c r="L2989" t="s">
        <v>5039</v>
      </c>
    </row>
    <row r="2990" spans="1:12" x14ac:dyDescent="0.35">
      <c r="A2990" t="s">
        <v>116</v>
      </c>
      <c r="B2990" t="s">
        <v>560</v>
      </c>
      <c r="C2990" t="s">
        <v>1112</v>
      </c>
      <c r="D2990">
        <v>0.157</v>
      </c>
      <c r="F2990" t="s">
        <v>1818</v>
      </c>
      <c r="H2990" t="s">
        <v>2842</v>
      </c>
      <c r="I2990" t="s">
        <v>4889</v>
      </c>
      <c r="K2990" t="s">
        <v>5037</v>
      </c>
      <c r="L2990" t="s">
        <v>5039</v>
      </c>
    </row>
    <row r="2991" spans="1:12" x14ac:dyDescent="0.35">
      <c r="A2991" t="s">
        <v>116</v>
      </c>
      <c r="B2991" t="s">
        <v>560</v>
      </c>
      <c r="C2991" t="s">
        <v>1113</v>
      </c>
      <c r="D2991">
        <v>0.86399999999999999</v>
      </c>
      <c r="F2991" t="s">
        <v>2373</v>
      </c>
      <c r="I2991" t="s">
        <v>4889</v>
      </c>
      <c r="K2991" t="s">
        <v>5037</v>
      </c>
      <c r="L2991" t="s">
        <v>5039</v>
      </c>
    </row>
    <row r="2992" spans="1:12" x14ac:dyDescent="0.35">
      <c r="A2992" t="s">
        <v>116</v>
      </c>
      <c r="B2992" t="s">
        <v>561</v>
      </c>
      <c r="C2992" t="s">
        <v>961</v>
      </c>
      <c r="D2992">
        <v>10.4</v>
      </c>
      <c r="F2992" t="s">
        <v>1876</v>
      </c>
      <c r="H2992" t="s">
        <v>4153</v>
      </c>
      <c r="I2992" t="s">
        <v>4990</v>
      </c>
      <c r="K2992" t="s">
        <v>5037</v>
      </c>
      <c r="L2992" t="s">
        <v>5039</v>
      </c>
    </row>
    <row r="2993" spans="1:12" x14ac:dyDescent="0.35">
      <c r="A2993" t="s">
        <v>116</v>
      </c>
      <c r="B2993" t="s">
        <v>561</v>
      </c>
      <c r="C2993" t="s">
        <v>855</v>
      </c>
      <c r="D2993">
        <v>2.6</v>
      </c>
      <c r="F2993" t="s">
        <v>1428</v>
      </c>
      <c r="H2993" t="s">
        <v>4154</v>
      </c>
      <c r="I2993" t="s">
        <v>4990</v>
      </c>
      <c r="K2993" t="s">
        <v>5037</v>
      </c>
      <c r="L2993" t="s">
        <v>5039</v>
      </c>
    </row>
    <row r="2994" spans="1:12" x14ac:dyDescent="0.35">
      <c r="A2994" t="s">
        <v>116</v>
      </c>
      <c r="B2994" t="s">
        <v>561</v>
      </c>
      <c r="C2994" t="s">
        <v>1114</v>
      </c>
      <c r="D2994">
        <v>11.5</v>
      </c>
      <c r="F2994" t="s">
        <v>1741</v>
      </c>
      <c r="H2994" t="s">
        <v>4155</v>
      </c>
      <c r="I2994" t="s">
        <v>4990</v>
      </c>
      <c r="K2994" t="s">
        <v>5037</v>
      </c>
      <c r="L2994" t="s">
        <v>5039</v>
      </c>
    </row>
    <row r="2995" spans="1:12" x14ac:dyDescent="0.35">
      <c r="A2995" t="s">
        <v>116</v>
      </c>
      <c r="B2995" t="s">
        <v>561</v>
      </c>
      <c r="C2995" t="s">
        <v>1012</v>
      </c>
      <c r="D2995">
        <v>26.7</v>
      </c>
      <c r="F2995" t="s">
        <v>2374</v>
      </c>
      <c r="H2995" t="s">
        <v>4156</v>
      </c>
      <c r="I2995" t="s">
        <v>4990</v>
      </c>
      <c r="K2995" t="s">
        <v>5037</v>
      </c>
      <c r="L2995" t="s">
        <v>5039</v>
      </c>
    </row>
    <row r="2996" spans="1:12" x14ac:dyDescent="0.35">
      <c r="A2996" t="s">
        <v>116</v>
      </c>
      <c r="B2996" t="s">
        <v>561</v>
      </c>
      <c r="C2996" t="s">
        <v>708</v>
      </c>
      <c r="D2996">
        <v>0.2</v>
      </c>
      <c r="F2996" t="s">
        <v>1371</v>
      </c>
      <c r="H2996" t="s">
        <v>4157</v>
      </c>
      <c r="I2996" t="s">
        <v>1858</v>
      </c>
      <c r="K2996" t="s">
        <v>5037</v>
      </c>
      <c r="L2996" t="s">
        <v>5039</v>
      </c>
    </row>
    <row r="2997" spans="1:12" x14ac:dyDescent="0.35">
      <c r="A2997" t="s">
        <v>116</v>
      </c>
      <c r="B2997" t="s">
        <v>562</v>
      </c>
      <c r="C2997" t="s">
        <v>961</v>
      </c>
      <c r="D2997">
        <v>0.06</v>
      </c>
      <c r="F2997" t="s">
        <v>1370</v>
      </c>
      <c r="I2997" t="s">
        <v>4924</v>
      </c>
      <c r="K2997" t="s">
        <v>5037</v>
      </c>
      <c r="L2997" t="s">
        <v>5039</v>
      </c>
    </row>
    <row r="2998" spans="1:12" x14ac:dyDescent="0.35">
      <c r="A2998" t="s">
        <v>116</v>
      </c>
      <c r="B2998" t="s">
        <v>563</v>
      </c>
      <c r="C2998" t="s">
        <v>709</v>
      </c>
      <c r="D2998">
        <v>0.48699999999999999</v>
      </c>
      <c r="F2998" t="s">
        <v>2375</v>
      </c>
      <c r="I2998" t="s">
        <v>4896</v>
      </c>
      <c r="K2998" t="s">
        <v>5037</v>
      </c>
      <c r="L2998" t="s">
        <v>5039</v>
      </c>
    </row>
    <row r="2999" spans="1:12" x14ac:dyDescent="0.35">
      <c r="A2999" t="s">
        <v>116</v>
      </c>
      <c r="B2999" t="s">
        <v>563</v>
      </c>
      <c r="C2999" t="s">
        <v>709</v>
      </c>
      <c r="D2999">
        <v>0.19500000000000001</v>
      </c>
      <c r="F2999" t="s">
        <v>1366</v>
      </c>
      <c r="I2999" t="s">
        <v>4896</v>
      </c>
      <c r="K2999" t="s">
        <v>5037</v>
      </c>
      <c r="L2999" t="s">
        <v>5039</v>
      </c>
    </row>
    <row r="3000" spans="1:12" x14ac:dyDescent="0.35">
      <c r="A3000" t="s">
        <v>116</v>
      </c>
      <c r="B3000" t="s">
        <v>412</v>
      </c>
      <c r="C3000" t="s">
        <v>709</v>
      </c>
      <c r="D3000">
        <v>40</v>
      </c>
      <c r="F3000" t="s">
        <v>2345</v>
      </c>
      <c r="H3000" t="s">
        <v>4158</v>
      </c>
      <c r="I3000" t="s">
        <v>4880</v>
      </c>
      <c r="K3000" t="s">
        <v>5037</v>
      </c>
      <c r="L3000" t="s">
        <v>5039</v>
      </c>
    </row>
    <row r="3001" spans="1:12" x14ac:dyDescent="0.35">
      <c r="A3001" t="s">
        <v>116</v>
      </c>
      <c r="B3001" t="s">
        <v>412</v>
      </c>
      <c r="C3001" t="s">
        <v>709</v>
      </c>
      <c r="D3001">
        <v>60</v>
      </c>
      <c r="F3001" t="s">
        <v>1569</v>
      </c>
      <c r="H3001" t="s">
        <v>4159</v>
      </c>
      <c r="I3001" t="s">
        <v>4880</v>
      </c>
      <c r="K3001" t="s">
        <v>5037</v>
      </c>
      <c r="L3001" t="s">
        <v>5039</v>
      </c>
    </row>
    <row r="3002" spans="1:12" x14ac:dyDescent="0.35">
      <c r="A3002" t="s">
        <v>116</v>
      </c>
      <c r="B3002" t="s">
        <v>564</v>
      </c>
      <c r="C3002" t="s">
        <v>708</v>
      </c>
      <c r="D3002">
        <v>0.02</v>
      </c>
      <c r="F3002" t="s">
        <v>1448</v>
      </c>
      <c r="H3002" t="s">
        <v>4160</v>
      </c>
      <c r="I3002" t="s">
        <v>4930</v>
      </c>
      <c r="K3002" t="s">
        <v>5037</v>
      </c>
      <c r="L3002" t="s">
        <v>5039</v>
      </c>
    </row>
    <row r="3003" spans="1:12" x14ac:dyDescent="0.35">
      <c r="A3003" t="s">
        <v>116</v>
      </c>
      <c r="B3003" t="s">
        <v>564</v>
      </c>
      <c r="C3003" t="s">
        <v>1107</v>
      </c>
      <c r="D3003">
        <v>0.28000000000000003</v>
      </c>
      <c r="F3003" t="s">
        <v>1732</v>
      </c>
      <c r="I3003" t="s">
        <v>4930</v>
      </c>
      <c r="K3003" t="s">
        <v>5037</v>
      </c>
      <c r="L3003" t="s">
        <v>5039</v>
      </c>
    </row>
    <row r="3004" spans="1:12" x14ac:dyDescent="0.35">
      <c r="A3004" t="s">
        <v>116</v>
      </c>
      <c r="B3004" t="s">
        <v>564</v>
      </c>
      <c r="C3004" t="s">
        <v>855</v>
      </c>
      <c r="D3004">
        <v>1.8</v>
      </c>
      <c r="F3004" t="s">
        <v>1375</v>
      </c>
      <c r="I3004" t="s">
        <v>4930</v>
      </c>
      <c r="K3004" t="s">
        <v>5037</v>
      </c>
      <c r="L3004" t="s">
        <v>5039</v>
      </c>
    </row>
    <row r="3005" spans="1:12" x14ac:dyDescent="0.35">
      <c r="A3005" t="s">
        <v>116</v>
      </c>
      <c r="B3005" t="s">
        <v>564</v>
      </c>
      <c r="C3005" t="s">
        <v>961</v>
      </c>
      <c r="D3005">
        <v>0.15</v>
      </c>
      <c r="F3005" t="s">
        <v>1269</v>
      </c>
      <c r="I3005" t="s">
        <v>4930</v>
      </c>
      <c r="K3005" t="s">
        <v>5037</v>
      </c>
      <c r="L3005" t="s">
        <v>5039</v>
      </c>
    </row>
    <row r="3006" spans="1:12" x14ac:dyDescent="0.35">
      <c r="A3006" t="s">
        <v>116</v>
      </c>
      <c r="B3006" t="s">
        <v>564</v>
      </c>
      <c r="C3006" t="s">
        <v>1003</v>
      </c>
      <c r="D3006">
        <v>50</v>
      </c>
      <c r="F3006" t="s">
        <v>1359</v>
      </c>
      <c r="I3006" t="s">
        <v>4930</v>
      </c>
      <c r="K3006" t="s">
        <v>5037</v>
      </c>
      <c r="L3006" t="s">
        <v>5039</v>
      </c>
    </row>
    <row r="3007" spans="1:12" x14ac:dyDescent="0.35">
      <c r="A3007" t="s">
        <v>116</v>
      </c>
      <c r="B3007" t="s">
        <v>326</v>
      </c>
      <c r="C3007" t="s">
        <v>1064</v>
      </c>
      <c r="D3007">
        <v>1.9</v>
      </c>
      <c r="F3007" t="s">
        <v>1503</v>
      </c>
      <c r="H3007" t="s">
        <v>4161</v>
      </c>
      <c r="I3007" t="s">
        <v>4951</v>
      </c>
      <c r="K3007" t="s">
        <v>5037</v>
      </c>
      <c r="L3007" t="s">
        <v>5039</v>
      </c>
    </row>
    <row r="3008" spans="1:12" x14ac:dyDescent="0.35">
      <c r="A3008" t="s">
        <v>116</v>
      </c>
      <c r="B3008" t="s">
        <v>326</v>
      </c>
      <c r="C3008" t="s">
        <v>1064</v>
      </c>
      <c r="D3008">
        <v>8.5000000000000006E-2</v>
      </c>
      <c r="F3008" t="s">
        <v>1459</v>
      </c>
      <c r="H3008" t="s">
        <v>4162</v>
      </c>
      <c r="I3008" t="s">
        <v>4951</v>
      </c>
      <c r="K3008" t="s">
        <v>5037</v>
      </c>
      <c r="L3008" t="s">
        <v>5039</v>
      </c>
    </row>
    <row r="3009" spans="1:12" x14ac:dyDescent="0.35">
      <c r="A3009" t="s">
        <v>116</v>
      </c>
      <c r="B3009" t="s">
        <v>326</v>
      </c>
      <c r="C3009" t="s">
        <v>1064</v>
      </c>
      <c r="D3009">
        <v>6.0000000000000001E-3</v>
      </c>
      <c r="F3009" t="s">
        <v>1273</v>
      </c>
      <c r="H3009" t="s">
        <v>4163</v>
      </c>
      <c r="I3009" t="s">
        <v>4951</v>
      </c>
      <c r="K3009" t="s">
        <v>5037</v>
      </c>
      <c r="L3009" t="s">
        <v>5039</v>
      </c>
    </row>
    <row r="3010" spans="1:12" x14ac:dyDescent="0.35">
      <c r="A3010" t="s">
        <v>116</v>
      </c>
      <c r="B3010" t="s">
        <v>326</v>
      </c>
      <c r="C3010" t="s">
        <v>1064</v>
      </c>
      <c r="D3010">
        <v>0.63</v>
      </c>
      <c r="F3010" t="s">
        <v>1931</v>
      </c>
      <c r="H3010" t="s">
        <v>4164</v>
      </c>
      <c r="I3010" t="s">
        <v>4951</v>
      </c>
      <c r="K3010" t="s">
        <v>5037</v>
      </c>
      <c r="L3010" t="s">
        <v>5039</v>
      </c>
    </row>
    <row r="3011" spans="1:12" x14ac:dyDescent="0.35">
      <c r="A3011" t="s">
        <v>116</v>
      </c>
      <c r="B3011" t="s">
        <v>326</v>
      </c>
      <c r="C3011" t="s">
        <v>961</v>
      </c>
      <c r="D3011">
        <v>0.83</v>
      </c>
      <c r="F3011" t="s">
        <v>1734</v>
      </c>
      <c r="H3011" t="s">
        <v>4161</v>
      </c>
      <c r="I3011" t="s">
        <v>4951</v>
      </c>
      <c r="K3011" t="s">
        <v>5037</v>
      </c>
      <c r="L3011" t="s">
        <v>5039</v>
      </c>
    </row>
    <row r="3012" spans="1:12" x14ac:dyDescent="0.35">
      <c r="A3012" t="s">
        <v>116</v>
      </c>
      <c r="B3012" t="s">
        <v>326</v>
      </c>
      <c r="C3012" t="s">
        <v>961</v>
      </c>
      <c r="D3012">
        <v>0.48</v>
      </c>
      <c r="F3012" t="s">
        <v>1508</v>
      </c>
      <c r="H3012" t="s">
        <v>4162</v>
      </c>
      <c r="I3012" t="s">
        <v>4951</v>
      </c>
      <c r="K3012" t="s">
        <v>5037</v>
      </c>
      <c r="L3012" t="s">
        <v>5039</v>
      </c>
    </row>
    <row r="3013" spans="1:12" x14ac:dyDescent="0.35">
      <c r="A3013" t="s">
        <v>116</v>
      </c>
      <c r="B3013" t="s">
        <v>326</v>
      </c>
      <c r="C3013" t="s">
        <v>961</v>
      </c>
      <c r="D3013">
        <v>255</v>
      </c>
      <c r="F3013" t="s">
        <v>2376</v>
      </c>
      <c r="H3013" t="s">
        <v>4164</v>
      </c>
      <c r="I3013" t="s">
        <v>4951</v>
      </c>
      <c r="K3013" t="s">
        <v>5037</v>
      </c>
      <c r="L3013" t="s">
        <v>5039</v>
      </c>
    </row>
    <row r="3014" spans="1:12" x14ac:dyDescent="0.35">
      <c r="A3014" t="s">
        <v>116</v>
      </c>
      <c r="B3014" t="s">
        <v>326</v>
      </c>
      <c r="C3014" t="s">
        <v>961</v>
      </c>
      <c r="D3014">
        <v>1625</v>
      </c>
      <c r="F3014" t="s">
        <v>2377</v>
      </c>
      <c r="H3014" t="s">
        <v>4163</v>
      </c>
      <c r="I3014" t="s">
        <v>4951</v>
      </c>
      <c r="K3014" t="s">
        <v>5037</v>
      </c>
      <c r="L3014" t="s">
        <v>5039</v>
      </c>
    </row>
    <row r="3015" spans="1:12" x14ac:dyDescent="0.35">
      <c r="A3015" t="s">
        <v>116</v>
      </c>
      <c r="B3015" t="s">
        <v>565</v>
      </c>
      <c r="C3015" t="s">
        <v>687</v>
      </c>
      <c r="D3015">
        <v>0.78</v>
      </c>
      <c r="F3015" t="s">
        <v>1442</v>
      </c>
      <c r="I3015" t="s">
        <v>1892</v>
      </c>
      <c r="K3015" t="s">
        <v>5037</v>
      </c>
      <c r="L3015" t="s">
        <v>5039</v>
      </c>
    </row>
    <row r="3016" spans="1:12" x14ac:dyDescent="0.35">
      <c r="A3016" t="s">
        <v>116</v>
      </c>
      <c r="B3016" t="s">
        <v>565</v>
      </c>
      <c r="C3016" t="s">
        <v>1114</v>
      </c>
      <c r="D3016">
        <v>1.65</v>
      </c>
      <c r="F3016" t="s">
        <v>2200</v>
      </c>
      <c r="I3016" t="s">
        <v>1892</v>
      </c>
      <c r="K3016" t="s">
        <v>5037</v>
      </c>
      <c r="L3016" t="s">
        <v>5039</v>
      </c>
    </row>
    <row r="3017" spans="1:12" x14ac:dyDescent="0.35">
      <c r="A3017" t="s">
        <v>116</v>
      </c>
      <c r="B3017" t="s">
        <v>565</v>
      </c>
      <c r="C3017" t="s">
        <v>985</v>
      </c>
      <c r="D3017">
        <v>3.09</v>
      </c>
      <c r="F3017" t="s">
        <v>2378</v>
      </c>
      <c r="I3017" t="s">
        <v>1892</v>
      </c>
      <c r="K3017" t="s">
        <v>5037</v>
      </c>
      <c r="L3017" t="s">
        <v>5039</v>
      </c>
    </row>
    <row r="3018" spans="1:12" x14ac:dyDescent="0.35">
      <c r="A3018" t="s">
        <v>116</v>
      </c>
      <c r="B3018" t="s">
        <v>565</v>
      </c>
      <c r="C3018" t="s">
        <v>1115</v>
      </c>
      <c r="D3018">
        <v>2.58</v>
      </c>
      <c r="F3018" t="s">
        <v>2379</v>
      </c>
      <c r="I3018" t="s">
        <v>1892</v>
      </c>
      <c r="K3018" t="s">
        <v>5037</v>
      </c>
      <c r="L3018" t="s">
        <v>5039</v>
      </c>
    </row>
    <row r="3019" spans="1:12" x14ac:dyDescent="0.35">
      <c r="A3019" t="s">
        <v>116</v>
      </c>
      <c r="B3019" t="s">
        <v>565</v>
      </c>
      <c r="C3019" t="s">
        <v>839</v>
      </c>
      <c r="D3019">
        <v>3.42</v>
      </c>
      <c r="F3019" t="s">
        <v>2341</v>
      </c>
      <c r="I3019" t="s">
        <v>1892</v>
      </c>
      <c r="K3019" t="s">
        <v>5037</v>
      </c>
      <c r="L3019" t="s">
        <v>5039</v>
      </c>
    </row>
    <row r="3020" spans="1:12" x14ac:dyDescent="0.35">
      <c r="A3020" t="s">
        <v>116</v>
      </c>
      <c r="B3020" t="s">
        <v>565</v>
      </c>
      <c r="C3020" t="s">
        <v>961</v>
      </c>
      <c r="D3020">
        <v>5.38</v>
      </c>
      <c r="F3020" t="s">
        <v>2380</v>
      </c>
      <c r="I3020" t="s">
        <v>1892</v>
      </c>
      <c r="K3020" t="s">
        <v>5037</v>
      </c>
      <c r="L3020" t="s">
        <v>5039</v>
      </c>
    </row>
    <row r="3021" spans="1:12" x14ac:dyDescent="0.35">
      <c r="A3021" t="s">
        <v>116</v>
      </c>
      <c r="B3021" t="s">
        <v>565</v>
      </c>
      <c r="C3021" t="s">
        <v>1003</v>
      </c>
      <c r="D3021">
        <v>4.46</v>
      </c>
      <c r="F3021" t="s">
        <v>2381</v>
      </c>
      <c r="I3021" t="s">
        <v>1892</v>
      </c>
      <c r="K3021" t="s">
        <v>5037</v>
      </c>
      <c r="L3021" t="s">
        <v>5039</v>
      </c>
    </row>
    <row r="3022" spans="1:12" x14ac:dyDescent="0.35">
      <c r="A3022" t="s">
        <v>116</v>
      </c>
      <c r="B3022" t="s">
        <v>565</v>
      </c>
      <c r="C3022" t="s">
        <v>951</v>
      </c>
      <c r="D3022">
        <v>7.72</v>
      </c>
      <c r="F3022" t="s">
        <v>2382</v>
      </c>
      <c r="I3022" t="s">
        <v>1892</v>
      </c>
      <c r="K3022" t="s">
        <v>5037</v>
      </c>
      <c r="L3022" t="s">
        <v>5039</v>
      </c>
    </row>
    <row r="3023" spans="1:12" x14ac:dyDescent="0.35">
      <c r="A3023" t="s">
        <v>116</v>
      </c>
      <c r="B3023" t="s">
        <v>565</v>
      </c>
      <c r="C3023" t="s">
        <v>955</v>
      </c>
      <c r="D3023">
        <v>25.78</v>
      </c>
      <c r="F3023" t="s">
        <v>2383</v>
      </c>
      <c r="I3023" t="s">
        <v>1892</v>
      </c>
      <c r="K3023" t="s">
        <v>5037</v>
      </c>
      <c r="L3023" t="s">
        <v>5039</v>
      </c>
    </row>
    <row r="3024" spans="1:12" x14ac:dyDescent="0.35">
      <c r="A3024" t="s">
        <v>116</v>
      </c>
      <c r="B3024" t="s">
        <v>566</v>
      </c>
      <c r="C3024" t="s">
        <v>961</v>
      </c>
      <c r="D3024">
        <v>6.66</v>
      </c>
      <c r="F3024" t="s">
        <v>2384</v>
      </c>
      <c r="I3024" t="s">
        <v>1892</v>
      </c>
      <c r="K3024" t="s">
        <v>5037</v>
      </c>
      <c r="L3024" t="s">
        <v>5039</v>
      </c>
    </row>
    <row r="3025" spans="1:12" x14ac:dyDescent="0.35">
      <c r="A3025" t="s">
        <v>116</v>
      </c>
      <c r="B3025" t="s">
        <v>566</v>
      </c>
      <c r="C3025" t="s">
        <v>985</v>
      </c>
      <c r="D3025">
        <v>3.54</v>
      </c>
      <c r="F3025" t="s">
        <v>2385</v>
      </c>
      <c r="I3025" t="s">
        <v>1892</v>
      </c>
      <c r="K3025" t="s">
        <v>5037</v>
      </c>
      <c r="L3025" t="s">
        <v>5039</v>
      </c>
    </row>
    <row r="3026" spans="1:12" x14ac:dyDescent="0.35">
      <c r="A3026" t="s">
        <v>116</v>
      </c>
      <c r="B3026" t="s">
        <v>566</v>
      </c>
      <c r="C3026" t="s">
        <v>1115</v>
      </c>
      <c r="D3026">
        <v>18.600000000000001</v>
      </c>
      <c r="F3026" t="s">
        <v>1856</v>
      </c>
      <c r="I3026" t="s">
        <v>1892</v>
      </c>
      <c r="K3026" t="s">
        <v>5037</v>
      </c>
      <c r="L3026" t="s">
        <v>5039</v>
      </c>
    </row>
    <row r="3027" spans="1:12" x14ac:dyDescent="0.35">
      <c r="A3027" t="s">
        <v>116</v>
      </c>
      <c r="B3027" t="s">
        <v>566</v>
      </c>
      <c r="C3027" t="s">
        <v>687</v>
      </c>
      <c r="D3027">
        <v>9.69</v>
      </c>
      <c r="F3027" t="s">
        <v>2386</v>
      </c>
      <c r="I3027" t="s">
        <v>1892</v>
      </c>
      <c r="K3027" t="s">
        <v>5037</v>
      </c>
      <c r="L3027" t="s">
        <v>5039</v>
      </c>
    </row>
    <row r="3028" spans="1:12" x14ac:dyDescent="0.35">
      <c r="A3028" t="s">
        <v>116</v>
      </c>
      <c r="B3028" t="s">
        <v>566</v>
      </c>
      <c r="C3028" t="s">
        <v>1114</v>
      </c>
      <c r="D3028">
        <v>15.84</v>
      </c>
      <c r="F3028" t="s">
        <v>2387</v>
      </c>
      <c r="I3028" t="s">
        <v>1892</v>
      </c>
      <c r="K3028" t="s">
        <v>5037</v>
      </c>
      <c r="L3028" t="s">
        <v>5039</v>
      </c>
    </row>
    <row r="3029" spans="1:12" x14ac:dyDescent="0.35">
      <c r="A3029" t="s">
        <v>116</v>
      </c>
      <c r="B3029" t="s">
        <v>566</v>
      </c>
      <c r="C3029" t="s">
        <v>839</v>
      </c>
      <c r="D3029">
        <v>11.46</v>
      </c>
      <c r="F3029" t="s">
        <v>2388</v>
      </c>
      <c r="I3029" t="s">
        <v>1892</v>
      </c>
      <c r="K3029" t="s">
        <v>5037</v>
      </c>
      <c r="L3029" t="s">
        <v>5039</v>
      </c>
    </row>
    <row r="3030" spans="1:12" x14ac:dyDescent="0.35">
      <c r="A3030" t="s">
        <v>116</v>
      </c>
      <c r="B3030" t="s">
        <v>566</v>
      </c>
      <c r="C3030" t="s">
        <v>951</v>
      </c>
      <c r="D3030">
        <v>19.96</v>
      </c>
      <c r="F3030" t="s">
        <v>2389</v>
      </c>
      <c r="I3030" t="s">
        <v>1892</v>
      </c>
      <c r="K3030" t="s">
        <v>5037</v>
      </c>
      <c r="L3030" t="s">
        <v>5039</v>
      </c>
    </row>
    <row r="3031" spans="1:12" x14ac:dyDescent="0.35">
      <c r="A3031" t="s">
        <v>116</v>
      </c>
      <c r="B3031" t="s">
        <v>566</v>
      </c>
      <c r="C3031" t="s">
        <v>955</v>
      </c>
      <c r="D3031">
        <v>19.93</v>
      </c>
      <c r="F3031" t="s">
        <v>2390</v>
      </c>
      <c r="I3031" t="s">
        <v>1892</v>
      </c>
      <c r="K3031" t="s">
        <v>5037</v>
      </c>
      <c r="L3031" t="s">
        <v>5039</v>
      </c>
    </row>
    <row r="3032" spans="1:12" x14ac:dyDescent="0.35">
      <c r="A3032" t="s">
        <v>116</v>
      </c>
      <c r="B3032" t="s">
        <v>567</v>
      </c>
      <c r="C3032" t="s">
        <v>855</v>
      </c>
      <c r="D3032">
        <v>0.3</v>
      </c>
      <c r="F3032" t="s">
        <v>1401</v>
      </c>
      <c r="H3032" t="s">
        <v>4165</v>
      </c>
      <c r="I3032" t="s">
        <v>1858</v>
      </c>
      <c r="K3032" t="s">
        <v>5037</v>
      </c>
      <c r="L3032" t="s">
        <v>5039</v>
      </c>
    </row>
    <row r="3033" spans="1:12" x14ac:dyDescent="0.35">
      <c r="A3033" t="s">
        <v>116</v>
      </c>
      <c r="B3033" t="s">
        <v>567</v>
      </c>
      <c r="C3033" t="s">
        <v>855</v>
      </c>
      <c r="D3033">
        <v>24</v>
      </c>
      <c r="F3033" t="s">
        <v>1839</v>
      </c>
      <c r="H3033" t="s">
        <v>4166</v>
      </c>
      <c r="I3033" t="s">
        <v>1858</v>
      </c>
      <c r="K3033" t="s">
        <v>5037</v>
      </c>
      <c r="L3033" t="s">
        <v>5039</v>
      </c>
    </row>
    <row r="3034" spans="1:12" x14ac:dyDescent="0.35">
      <c r="A3034" t="s">
        <v>116</v>
      </c>
      <c r="B3034" t="s">
        <v>567</v>
      </c>
      <c r="C3034" t="s">
        <v>709</v>
      </c>
      <c r="D3034">
        <v>1.2</v>
      </c>
      <c r="F3034" t="s">
        <v>1421</v>
      </c>
      <c r="H3034" t="s">
        <v>4167</v>
      </c>
      <c r="I3034" t="s">
        <v>1858</v>
      </c>
      <c r="K3034" t="s">
        <v>5037</v>
      </c>
      <c r="L3034" t="s">
        <v>5039</v>
      </c>
    </row>
    <row r="3035" spans="1:12" x14ac:dyDescent="0.35">
      <c r="A3035" t="s">
        <v>116</v>
      </c>
      <c r="B3035" t="s">
        <v>567</v>
      </c>
      <c r="C3035" t="s">
        <v>961</v>
      </c>
      <c r="D3035">
        <v>2.2999999999999998</v>
      </c>
      <c r="F3035" t="s">
        <v>1453</v>
      </c>
      <c r="H3035" t="s">
        <v>4167</v>
      </c>
      <c r="I3035" t="s">
        <v>1858</v>
      </c>
      <c r="K3035" t="s">
        <v>5037</v>
      </c>
      <c r="L3035" t="s">
        <v>5039</v>
      </c>
    </row>
    <row r="3036" spans="1:12" x14ac:dyDescent="0.35">
      <c r="A3036" t="s">
        <v>116</v>
      </c>
      <c r="B3036" t="s">
        <v>567</v>
      </c>
      <c r="C3036" t="s">
        <v>961</v>
      </c>
      <c r="D3036">
        <v>7.3</v>
      </c>
      <c r="F3036" t="s">
        <v>1670</v>
      </c>
      <c r="H3036" t="s">
        <v>4168</v>
      </c>
      <c r="I3036" t="s">
        <v>1858</v>
      </c>
      <c r="K3036" t="s">
        <v>5037</v>
      </c>
      <c r="L3036" t="s">
        <v>5039</v>
      </c>
    </row>
    <row r="3037" spans="1:12" x14ac:dyDescent="0.35">
      <c r="A3037" t="s">
        <v>116</v>
      </c>
      <c r="B3037" t="s">
        <v>568</v>
      </c>
      <c r="C3037" t="s">
        <v>961</v>
      </c>
      <c r="D3037">
        <v>8.6999999999999993</v>
      </c>
      <c r="F3037" t="s">
        <v>2288</v>
      </c>
      <c r="I3037" t="s">
        <v>4924</v>
      </c>
      <c r="K3037" t="s">
        <v>5037</v>
      </c>
      <c r="L3037" t="s">
        <v>5039</v>
      </c>
    </row>
    <row r="3038" spans="1:12" x14ac:dyDescent="0.35">
      <c r="A3038" t="s">
        <v>116</v>
      </c>
      <c r="B3038" t="s">
        <v>355</v>
      </c>
      <c r="C3038" t="s">
        <v>1018</v>
      </c>
      <c r="D3038">
        <v>1</v>
      </c>
      <c r="F3038" t="s">
        <v>1317</v>
      </c>
      <c r="H3038" t="s">
        <v>4169</v>
      </c>
      <c r="I3038" t="s">
        <v>4914</v>
      </c>
      <c r="K3038" t="s">
        <v>5037</v>
      </c>
      <c r="L3038" t="s">
        <v>5039</v>
      </c>
    </row>
    <row r="3039" spans="1:12" x14ac:dyDescent="0.35">
      <c r="A3039" t="s">
        <v>116</v>
      </c>
      <c r="B3039" t="s">
        <v>355</v>
      </c>
      <c r="C3039" t="s">
        <v>1116</v>
      </c>
      <c r="D3039">
        <v>1</v>
      </c>
      <c r="F3039" t="s">
        <v>1317</v>
      </c>
      <c r="H3039" t="s">
        <v>4170</v>
      </c>
      <c r="I3039" t="s">
        <v>4914</v>
      </c>
      <c r="K3039" t="s">
        <v>5037</v>
      </c>
      <c r="L3039" t="s">
        <v>5039</v>
      </c>
    </row>
    <row r="3040" spans="1:12" x14ac:dyDescent="0.35">
      <c r="A3040" t="s">
        <v>116</v>
      </c>
      <c r="B3040" t="s">
        <v>355</v>
      </c>
      <c r="C3040" t="s">
        <v>1117</v>
      </c>
      <c r="D3040">
        <v>5.3</v>
      </c>
      <c r="F3040" t="s">
        <v>1671</v>
      </c>
      <c r="H3040" t="s">
        <v>4169</v>
      </c>
      <c r="I3040" t="s">
        <v>4914</v>
      </c>
      <c r="K3040" t="s">
        <v>5037</v>
      </c>
      <c r="L3040" t="s">
        <v>5039</v>
      </c>
    </row>
    <row r="3041" spans="1:12" x14ac:dyDescent="0.35">
      <c r="A3041" t="s">
        <v>116</v>
      </c>
      <c r="B3041" t="s">
        <v>355</v>
      </c>
      <c r="C3041" t="s">
        <v>1118</v>
      </c>
      <c r="D3041">
        <v>5.8</v>
      </c>
      <c r="F3041" t="s">
        <v>1733</v>
      </c>
      <c r="H3041" t="s">
        <v>4171</v>
      </c>
      <c r="I3041" t="s">
        <v>4914</v>
      </c>
      <c r="K3041" t="s">
        <v>5037</v>
      </c>
      <c r="L3041" t="s">
        <v>5039</v>
      </c>
    </row>
    <row r="3042" spans="1:12" x14ac:dyDescent="0.35">
      <c r="A3042" t="s">
        <v>116</v>
      </c>
      <c r="B3042" t="s">
        <v>355</v>
      </c>
      <c r="C3042" t="s">
        <v>708</v>
      </c>
      <c r="D3042">
        <v>3.5000000000000003E-2</v>
      </c>
      <c r="F3042" t="s">
        <v>1341</v>
      </c>
      <c r="H3042" t="s">
        <v>4169</v>
      </c>
      <c r="I3042" t="s">
        <v>4914</v>
      </c>
      <c r="K3042" t="s">
        <v>5037</v>
      </c>
      <c r="L3042" t="s">
        <v>5039</v>
      </c>
    </row>
    <row r="3043" spans="1:12" x14ac:dyDescent="0.35">
      <c r="A3043" t="s">
        <v>116</v>
      </c>
      <c r="B3043" t="s">
        <v>355</v>
      </c>
      <c r="C3043" t="s">
        <v>1119</v>
      </c>
      <c r="D3043">
        <v>2.7</v>
      </c>
      <c r="F3043" t="s">
        <v>1557</v>
      </c>
      <c r="H3043" t="s">
        <v>4169</v>
      </c>
      <c r="I3043" t="s">
        <v>4914</v>
      </c>
      <c r="K3043" t="s">
        <v>5037</v>
      </c>
      <c r="L3043" t="s">
        <v>5039</v>
      </c>
    </row>
    <row r="3044" spans="1:12" x14ac:dyDescent="0.35">
      <c r="A3044" t="s">
        <v>116</v>
      </c>
      <c r="B3044" t="s">
        <v>355</v>
      </c>
      <c r="C3044" t="s">
        <v>1120</v>
      </c>
      <c r="D3044">
        <v>2.7</v>
      </c>
      <c r="F3044" t="s">
        <v>1557</v>
      </c>
      <c r="H3044" t="s">
        <v>4170</v>
      </c>
      <c r="I3044" t="s">
        <v>4914</v>
      </c>
      <c r="K3044" t="s">
        <v>5037</v>
      </c>
      <c r="L3044" t="s">
        <v>5039</v>
      </c>
    </row>
    <row r="3045" spans="1:12" x14ac:dyDescent="0.35">
      <c r="A3045" t="s">
        <v>116</v>
      </c>
      <c r="B3045" t="s">
        <v>355</v>
      </c>
      <c r="C3045" t="s">
        <v>1022</v>
      </c>
      <c r="D3045">
        <v>4.2</v>
      </c>
      <c r="F3045" t="s">
        <v>1868</v>
      </c>
      <c r="H3045" t="s">
        <v>2842</v>
      </c>
      <c r="I3045" t="s">
        <v>4914</v>
      </c>
      <c r="K3045" t="s">
        <v>5037</v>
      </c>
      <c r="L3045" t="s">
        <v>5039</v>
      </c>
    </row>
    <row r="3046" spans="1:12" x14ac:dyDescent="0.35">
      <c r="A3046" t="s">
        <v>116</v>
      </c>
      <c r="B3046" t="s">
        <v>355</v>
      </c>
      <c r="C3046" t="s">
        <v>1021</v>
      </c>
      <c r="D3046">
        <v>4.2</v>
      </c>
      <c r="F3046" t="s">
        <v>1868</v>
      </c>
      <c r="H3046" t="s">
        <v>2842</v>
      </c>
      <c r="I3046" t="s">
        <v>4914</v>
      </c>
      <c r="K3046" t="s">
        <v>5037</v>
      </c>
      <c r="L3046" t="s">
        <v>5039</v>
      </c>
    </row>
    <row r="3047" spans="1:12" x14ac:dyDescent="0.35">
      <c r="A3047" t="s">
        <v>116</v>
      </c>
      <c r="B3047" t="s">
        <v>355</v>
      </c>
      <c r="C3047" t="s">
        <v>1121</v>
      </c>
      <c r="D3047">
        <v>4.2</v>
      </c>
      <c r="F3047" t="s">
        <v>1868</v>
      </c>
      <c r="H3047" t="s">
        <v>2842</v>
      </c>
      <c r="I3047" t="s">
        <v>4914</v>
      </c>
      <c r="K3047" t="s">
        <v>5037</v>
      </c>
      <c r="L3047" t="s">
        <v>5039</v>
      </c>
    </row>
    <row r="3048" spans="1:12" x14ac:dyDescent="0.35">
      <c r="A3048" t="s">
        <v>116</v>
      </c>
      <c r="B3048" t="s">
        <v>355</v>
      </c>
      <c r="C3048" t="s">
        <v>1122</v>
      </c>
      <c r="D3048">
        <v>4.2</v>
      </c>
      <c r="F3048" t="s">
        <v>1868</v>
      </c>
      <c r="H3048" t="s">
        <v>2842</v>
      </c>
      <c r="I3048" t="s">
        <v>4914</v>
      </c>
      <c r="K3048" t="s">
        <v>5037</v>
      </c>
      <c r="L3048" t="s">
        <v>5039</v>
      </c>
    </row>
    <row r="3049" spans="1:12" x14ac:dyDescent="0.35">
      <c r="A3049" t="s">
        <v>116</v>
      </c>
      <c r="B3049" t="s">
        <v>355</v>
      </c>
      <c r="C3049" t="s">
        <v>708</v>
      </c>
      <c r="D3049">
        <v>3.5000000000000001E-3</v>
      </c>
      <c r="F3049" t="s">
        <v>2391</v>
      </c>
      <c r="H3049" t="s">
        <v>4172</v>
      </c>
      <c r="I3049" t="s">
        <v>4914</v>
      </c>
      <c r="K3049" t="s">
        <v>5037</v>
      </c>
      <c r="L3049" t="s">
        <v>5039</v>
      </c>
    </row>
    <row r="3050" spans="1:12" x14ac:dyDescent="0.35">
      <c r="A3050" t="s">
        <v>116</v>
      </c>
      <c r="B3050" t="s">
        <v>355</v>
      </c>
      <c r="C3050" t="s">
        <v>709</v>
      </c>
      <c r="D3050">
        <v>0.24</v>
      </c>
      <c r="F3050" t="s">
        <v>1488</v>
      </c>
      <c r="H3050" t="s">
        <v>4171</v>
      </c>
      <c r="I3050" t="s">
        <v>4914</v>
      </c>
      <c r="K3050" t="s">
        <v>5037</v>
      </c>
      <c r="L3050" t="s">
        <v>5039</v>
      </c>
    </row>
    <row r="3051" spans="1:12" x14ac:dyDescent="0.35">
      <c r="A3051" t="s">
        <v>116</v>
      </c>
      <c r="B3051" t="s">
        <v>355</v>
      </c>
      <c r="C3051" t="s">
        <v>1030</v>
      </c>
      <c r="D3051">
        <v>5.0999999999999996</v>
      </c>
      <c r="F3051" t="s">
        <v>1710</v>
      </c>
      <c r="H3051" t="s">
        <v>4169</v>
      </c>
      <c r="I3051" t="s">
        <v>4914</v>
      </c>
      <c r="K3051" t="s">
        <v>5037</v>
      </c>
      <c r="L3051" t="s">
        <v>5039</v>
      </c>
    </row>
    <row r="3052" spans="1:12" x14ac:dyDescent="0.35">
      <c r="A3052" t="s">
        <v>116</v>
      </c>
      <c r="B3052" t="s">
        <v>355</v>
      </c>
      <c r="C3052" t="s">
        <v>1101</v>
      </c>
      <c r="D3052">
        <v>4.4000000000000004</v>
      </c>
      <c r="F3052" t="s">
        <v>1492</v>
      </c>
      <c r="H3052" t="s">
        <v>4173</v>
      </c>
      <c r="I3052" t="s">
        <v>4914</v>
      </c>
      <c r="K3052" t="s">
        <v>5037</v>
      </c>
      <c r="L3052" t="s">
        <v>5039</v>
      </c>
    </row>
    <row r="3053" spans="1:12" x14ac:dyDescent="0.35">
      <c r="A3053" t="s">
        <v>116</v>
      </c>
      <c r="B3053" t="s">
        <v>355</v>
      </c>
      <c r="C3053" t="s">
        <v>1123</v>
      </c>
      <c r="D3053">
        <v>4.4000000000000004</v>
      </c>
      <c r="F3053" t="s">
        <v>1492</v>
      </c>
      <c r="H3053" t="s">
        <v>4169</v>
      </c>
      <c r="I3053" t="s">
        <v>4914</v>
      </c>
      <c r="K3053" t="s">
        <v>5037</v>
      </c>
      <c r="L3053" t="s">
        <v>5039</v>
      </c>
    </row>
    <row r="3054" spans="1:12" x14ac:dyDescent="0.35">
      <c r="A3054" t="s">
        <v>116</v>
      </c>
      <c r="B3054" t="s">
        <v>355</v>
      </c>
      <c r="C3054" t="s">
        <v>902</v>
      </c>
      <c r="D3054">
        <v>5.9</v>
      </c>
      <c r="F3054" t="s">
        <v>1852</v>
      </c>
      <c r="H3054" t="s">
        <v>4169</v>
      </c>
      <c r="I3054" t="s">
        <v>4914</v>
      </c>
      <c r="K3054" t="s">
        <v>5037</v>
      </c>
      <c r="L3054" t="s">
        <v>5039</v>
      </c>
    </row>
    <row r="3055" spans="1:12" x14ac:dyDescent="0.35">
      <c r="A3055" t="s">
        <v>116</v>
      </c>
      <c r="B3055" t="s">
        <v>355</v>
      </c>
      <c r="C3055" t="s">
        <v>1124</v>
      </c>
      <c r="D3055">
        <v>5.9</v>
      </c>
      <c r="F3055" t="s">
        <v>1852</v>
      </c>
      <c r="H3055" t="s">
        <v>4172</v>
      </c>
      <c r="I3055" t="s">
        <v>4914</v>
      </c>
      <c r="K3055" t="s">
        <v>5037</v>
      </c>
      <c r="L3055" t="s">
        <v>5039</v>
      </c>
    </row>
    <row r="3056" spans="1:12" x14ac:dyDescent="0.35">
      <c r="A3056" t="s">
        <v>116</v>
      </c>
      <c r="B3056" t="s">
        <v>355</v>
      </c>
      <c r="C3056" t="s">
        <v>877</v>
      </c>
      <c r="D3056">
        <v>11.2</v>
      </c>
      <c r="F3056" t="s">
        <v>1880</v>
      </c>
      <c r="H3056" t="s">
        <v>4174</v>
      </c>
      <c r="I3056" t="s">
        <v>4914</v>
      </c>
      <c r="K3056" t="s">
        <v>5037</v>
      </c>
      <c r="L3056" t="s">
        <v>5039</v>
      </c>
    </row>
    <row r="3057" spans="1:12" x14ac:dyDescent="0.35">
      <c r="A3057" t="s">
        <v>116</v>
      </c>
      <c r="B3057" t="s">
        <v>355</v>
      </c>
      <c r="C3057" t="s">
        <v>980</v>
      </c>
      <c r="D3057">
        <v>61</v>
      </c>
      <c r="F3057" t="s">
        <v>2052</v>
      </c>
      <c r="H3057" t="s">
        <v>4175</v>
      </c>
      <c r="I3057" t="s">
        <v>4914</v>
      </c>
      <c r="K3057" t="s">
        <v>5037</v>
      </c>
      <c r="L3057" t="s">
        <v>5039</v>
      </c>
    </row>
    <row r="3058" spans="1:12" x14ac:dyDescent="0.35">
      <c r="A3058" t="s">
        <v>116</v>
      </c>
      <c r="B3058" t="s">
        <v>355</v>
      </c>
      <c r="C3058" t="s">
        <v>1125</v>
      </c>
      <c r="D3058">
        <v>18.100000000000001</v>
      </c>
      <c r="F3058" t="s">
        <v>1773</v>
      </c>
      <c r="H3058" t="s">
        <v>2842</v>
      </c>
      <c r="I3058" t="s">
        <v>4914</v>
      </c>
      <c r="K3058" t="s">
        <v>5037</v>
      </c>
      <c r="L3058" t="s">
        <v>5039</v>
      </c>
    </row>
    <row r="3059" spans="1:12" x14ac:dyDescent="0.35">
      <c r="A3059" t="s">
        <v>116</v>
      </c>
      <c r="B3059" t="s">
        <v>355</v>
      </c>
      <c r="C3059" t="s">
        <v>1126</v>
      </c>
      <c r="D3059">
        <v>18.100000000000001</v>
      </c>
      <c r="F3059" t="s">
        <v>1773</v>
      </c>
      <c r="H3059" t="s">
        <v>2842</v>
      </c>
      <c r="I3059" t="s">
        <v>4914</v>
      </c>
      <c r="K3059" t="s">
        <v>5037</v>
      </c>
      <c r="L3059" t="s">
        <v>5039</v>
      </c>
    </row>
    <row r="3060" spans="1:12" x14ac:dyDescent="0.35">
      <c r="A3060" t="s">
        <v>116</v>
      </c>
      <c r="B3060" t="s">
        <v>355</v>
      </c>
      <c r="C3060" t="s">
        <v>1127</v>
      </c>
      <c r="D3060">
        <v>27.6</v>
      </c>
      <c r="F3060" t="s">
        <v>2392</v>
      </c>
      <c r="H3060" t="s">
        <v>4171</v>
      </c>
      <c r="I3060" t="s">
        <v>4914</v>
      </c>
      <c r="K3060" t="s">
        <v>5037</v>
      </c>
      <c r="L3060" t="s">
        <v>5039</v>
      </c>
    </row>
    <row r="3061" spans="1:12" x14ac:dyDescent="0.35">
      <c r="A3061" t="s">
        <v>116</v>
      </c>
      <c r="B3061" t="s">
        <v>569</v>
      </c>
      <c r="C3061" t="s">
        <v>708</v>
      </c>
      <c r="D3061">
        <v>0.11</v>
      </c>
      <c r="F3061" t="s">
        <v>1295</v>
      </c>
      <c r="I3061" t="s">
        <v>4899</v>
      </c>
      <c r="K3061" t="s">
        <v>5037</v>
      </c>
      <c r="L3061" t="s">
        <v>5039</v>
      </c>
    </row>
    <row r="3062" spans="1:12" x14ac:dyDescent="0.35">
      <c r="A3062" t="s">
        <v>116</v>
      </c>
      <c r="B3062" t="s">
        <v>569</v>
      </c>
      <c r="C3062" t="s">
        <v>709</v>
      </c>
      <c r="D3062">
        <v>0.125</v>
      </c>
      <c r="F3062" t="s">
        <v>1311</v>
      </c>
      <c r="I3062" t="s">
        <v>4899</v>
      </c>
      <c r="K3062" t="s">
        <v>5037</v>
      </c>
      <c r="L3062" t="s">
        <v>5039</v>
      </c>
    </row>
    <row r="3063" spans="1:12" x14ac:dyDescent="0.35">
      <c r="A3063" t="s">
        <v>116</v>
      </c>
      <c r="B3063" t="s">
        <v>569</v>
      </c>
      <c r="C3063" t="s">
        <v>961</v>
      </c>
      <c r="D3063">
        <v>22.2</v>
      </c>
      <c r="F3063" t="s">
        <v>1873</v>
      </c>
      <c r="I3063" t="s">
        <v>4899</v>
      </c>
      <c r="K3063" t="s">
        <v>5037</v>
      </c>
      <c r="L3063" t="s">
        <v>5039</v>
      </c>
    </row>
    <row r="3064" spans="1:12" x14ac:dyDescent="0.35">
      <c r="A3064" t="s">
        <v>116</v>
      </c>
      <c r="B3064" t="s">
        <v>570</v>
      </c>
      <c r="C3064" t="s">
        <v>957</v>
      </c>
      <c r="D3064">
        <v>0.04</v>
      </c>
      <c r="F3064" t="s">
        <v>1334</v>
      </c>
      <c r="H3064" t="s">
        <v>4176</v>
      </c>
      <c r="I3064" t="s">
        <v>1569</v>
      </c>
      <c r="K3064" t="s">
        <v>5037</v>
      </c>
      <c r="L3064" t="s">
        <v>5039</v>
      </c>
    </row>
    <row r="3065" spans="1:12" x14ac:dyDescent="0.35">
      <c r="A3065" t="s">
        <v>116</v>
      </c>
      <c r="B3065" t="s">
        <v>570</v>
      </c>
      <c r="C3065" t="s">
        <v>1128</v>
      </c>
      <c r="D3065">
        <v>0.2</v>
      </c>
      <c r="F3065" t="s">
        <v>1371</v>
      </c>
      <c r="H3065" t="s">
        <v>4176</v>
      </c>
      <c r="I3065" t="s">
        <v>1569</v>
      </c>
      <c r="K3065" t="s">
        <v>5037</v>
      </c>
      <c r="L3065" t="s">
        <v>5039</v>
      </c>
    </row>
    <row r="3066" spans="1:12" x14ac:dyDescent="0.35">
      <c r="A3066" t="s">
        <v>116</v>
      </c>
      <c r="B3066" t="s">
        <v>570</v>
      </c>
      <c r="C3066" t="s">
        <v>1046</v>
      </c>
      <c r="D3066">
        <v>2</v>
      </c>
      <c r="F3066" t="s">
        <v>1372</v>
      </c>
      <c r="H3066" t="s">
        <v>4176</v>
      </c>
      <c r="I3066" t="s">
        <v>1569</v>
      </c>
      <c r="K3066" t="s">
        <v>5037</v>
      </c>
      <c r="L3066" t="s">
        <v>5039</v>
      </c>
    </row>
    <row r="3067" spans="1:12" x14ac:dyDescent="0.35">
      <c r="A3067" t="s">
        <v>116</v>
      </c>
      <c r="B3067" t="s">
        <v>570</v>
      </c>
      <c r="C3067" t="s">
        <v>1129</v>
      </c>
      <c r="D3067">
        <v>1.0999999999999999E-2</v>
      </c>
      <c r="F3067" t="s">
        <v>1612</v>
      </c>
      <c r="H3067" t="s">
        <v>4176</v>
      </c>
      <c r="I3067" t="s">
        <v>1569</v>
      </c>
      <c r="K3067" t="s">
        <v>5037</v>
      </c>
      <c r="L3067" t="s">
        <v>5039</v>
      </c>
    </row>
    <row r="3068" spans="1:12" x14ac:dyDescent="0.35">
      <c r="A3068" t="s">
        <v>116</v>
      </c>
      <c r="B3068" t="s">
        <v>570</v>
      </c>
      <c r="C3068" t="s">
        <v>708</v>
      </c>
      <c r="D3068">
        <v>5.1000000000000004E-3</v>
      </c>
      <c r="F3068" t="s">
        <v>1911</v>
      </c>
      <c r="H3068" t="s">
        <v>4177</v>
      </c>
      <c r="I3068" t="s">
        <v>1569</v>
      </c>
      <c r="K3068" t="s">
        <v>5037</v>
      </c>
      <c r="L3068" t="s">
        <v>5039</v>
      </c>
    </row>
    <row r="3069" spans="1:12" x14ac:dyDescent="0.35">
      <c r="A3069" t="s">
        <v>116</v>
      </c>
      <c r="B3069" t="s">
        <v>570</v>
      </c>
      <c r="C3069" t="s">
        <v>956</v>
      </c>
      <c r="D3069">
        <v>4.2999999999999997E-2</v>
      </c>
      <c r="F3069" t="s">
        <v>1437</v>
      </c>
      <c r="H3069" t="s">
        <v>4150</v>
      </c>
      <c r="I3069" t="s">
        <v>1569</v>
      </c>
      <c r="K3069" t="s">
        <v>5037</v>
      </c>
      <c r="L3069" t="s">
        <v>5039</v>
      </c>
    </row>
    <row r="3070" spans="1:12" x14ac:dyDescent="0.35">
      <c r="A3070" t="s">
        <v>116</v>
      </c>
      <c r="B3070" t="s">
        <v>570</v>
      </c>
      <c r="C3070" t="s">
        <v>959</v>
      </c>
      <c r="D3070">
        <v>5.2</v>
      </c>
      <c r="F3070" t="s">
        <v>1511</v>
      </c>
      <c r="H3070" t="s">
        <v>4176</v>
      </c>
      <c r="I3070" t="s">
        <v>1569</v>
      </c>
      <c r="K3070" t="s">
        <v>5037</v>
      </c>
      <c r="L3070" t="s">
        <v>5039</v>
      </c>
    </row>
    <row r="3071" spans="1:12" x14ac:dyDescent="0.35">
      <c r="A3071" t="s">
        <v>116</v>
      </c>
      <c r="B3071" t="s">
        <v>570</v>
      </c>
      <c r="C3071" t="s">
        <v>961</v>
      </c>
      <c r="D3071">
        <v>8.1</v>
      </c>
      <c r="F3071" t="s">
        <v>1540</v>
      </c>
      <c r="H3071" t="s">
        <v>4176</v>
      </c>
      <c r="I3071" t="s">
        <v>1569</v>
      </c>
      <c r="K3071" t="s">
        <v>5037</v>
      </c>
      <c r="L3071" t="s">
        <v>5039</v>
      </c>
    </row>
    <row r="3072" spans="1:12" x14ac:dyDescent="0.35">
      <c r="A3072" t="s">
        <v>116</v>
      </c>
      <c r="B3072" t="s">
        <v>571</v>
      </c>
      <c r="C3072" t="s">
        <v>709</v>
      </c>
      <c r="D3072">
        <v>0.17</v>
      </c>
      <c r="F3072" t="s">
        <v>1409</v>
      </c>
      <c r="I3072" t="s">
        <v>4907</v>
      </c>
      <c r="K3072" t="s">
        <v>5037</v>
      </c>
      <c r="L3072" t="s">
        <v>5039</v>
      </c>
    </row>
    <row r="3073" spans="1:12" x14ac:dyDescent="0.35">
      <c r="A3073" t="s">
        <v>116</v>
      </c>
      <c r="B3073" t="s">
        <v>571</v>
      </c>
      <c r="C3073" t="s">
        <v>708</v>
      </c>
      <c r="D3073">
        <v>2.1000000000000001E-2</v>
      </c>
      <c r="F3073" t="s">
        <v>1617</v>
      </c>
      <c r="I3073" t="s">
        <v>4907</v>
      </c>
      <c r="K3073" t="s">
        <v>5037</v>
      </c>
      <c r="L3073" t="s">
        <v>5039</v>
      </c>
    </row>
    <row r="3074" spans="1:12" x14ac:dyDescent="0.35">
      <c r="A3074" t="s">
        <v>116</v>
      </c>
      <c r="B3074" t="s">
        <v>571</v>
      </c>
      <c r="C3074" t="s">
        <v>961</v>
      </c>
      <c r="D3074">
        <v>2.5</v>
      </c>
      <c r="F3074" t="s">
        <v>1406</v>
      </c>
      <c r="I3074" t="s">
        <v>4907</v>
      </c>
      <c r="K3074" t="s">
        <v>5037</v>
      </c>
      <c r="L3074" t="s">
        <v>5039</v>
      </c>
    </row>
    <row r="3075" spans="1:12" x14ac:dyDescent="0.35">
      <c r="A3075" t="s">
        <v>116</v>
      </c>
      <c r="B3075" t="s">
        <v>571</v>
      </c>
      <c r="C3075" t="s">
        <v>855</v>
      </c>
      <c r="D3075">
        <v>8.6E-3</v>
      </c>
      <c r="F3075" t="s">
        <v>1796</v>
      </c>
      <c r="I3075" t="s">
        <v>4907</v>
      </c>
      <c r="K3075" t="s">
        <v>5037</v>
      </c>
      <c r="L3075" t="s">
        <v>5039</v>
      </c>
    </row>
    <row r="3076" spans="1:12" x14ac:dyDescent="0.35">
      <c r="A3076" t="s">
        <v>116</v>
      </c>
      <c r="B3076" t="s">
        <v>571</v>
      </c>
      <c r="C3076" t="s">
        <v>961</v>
      </c>
      <c r="D3076">
        <v>64</v>
      </c>
      <c r="F3076" t="s">
        <v>2393</v>
      </c>
      <c r="I3076" t="s">
        <v>4907</v>
      </c>
      <c r="K3076" t="s">
        <v>5037</v>
      </c>
      <c r="L3076" t="s">
        <v>5039</v>
      </c>
    </row>
    <row r="3077" spans="1:12" x14ac:dyDescent="0.35">
      <c r="A3077" t="s">
        <v>116</v>
      </c>
      <c r="B3077" t="s">
        <v>571</v>
      </c>
      <c r="C3077" t="s">
        <v>1047</v>
      </c>
      <c r="D3077">
        <v>64</v>
      </c>
      <c r="F3077" t="s">
        <v>2393</v>
      </c>
      <c r="I3077" t="s">
        <v>4907</v>
      </c>
      <c r="K3077" t="s">
        <v>5037</v>
      </c>
      <c r="L3077" t="s">
        <v>5039</v>
      </c>
    </row>
    <row r="3078" spans="1:12" x14ac:dyDescent="0.35">
      <c r="A3078" t="s">
        <v>116</v>
      </c>
      <c r="B3078" t="s">
        <v>572</v>
      </c>
      <c r="C3078" t="s">
        <v>1063</v>
      </c>
      <c r="D3078">
        <v>1.6</v>
      </c>
      <c r="F3078" t="s">
        <v>1328</v>
      </c>
      <c r="I3078" t="s">
        <v>2393</v>
      </c>
      <c r="K3078" t="s">
        <v>5037</v>
      </c>
      <c r="L3078" t="s">
        <v>5039</v>
      </c>
    </row>
    <row r="3079" spans="1:12" x14ac:dyDescent="0.35">
      <c r="A3079" t="s">
        <v>116</v>
      </c>
      <c r="B3079" t="s">
        <v>572</v>
      </c>
      <c r="C3079" t="s">
        <v>1047</v>
      </c>
      <c r="D3079">
        <v>1.99</v>
      </c>
      <c r="F3079" t="s">
        <v>2394</v>
      </c>
      <c r="I3079" t="s">
        <v>2393</v>
      </c>
      <c r="K3079" t="s">
        <v>5037</v>
      </c>
      <c r="L3079" t="s">
        <v>5039</v>
      </c>
    </row>
    <row r="3080" spans="1:12" x14ac:dyDescent="0.35">
      <c r="A3080" t="s">
        <v>116</v>
      </c>
      <c r="B3080" t="s">
        <v>572</v>
      </c>
      <c r="C3080" t="s">
        <v>1047</v>
      </c>
      <c r="D3080">
        <v>4.16</v>
      </c>
      <c r="F3080" t="s">
        <v>2395</v>
      </c>
      <c r="I3080" t="s">
        <v>2393</v>
      </c>
      <c r="K3080" t="s">
        <v>5037</v>
      </c>
      <c r="L3080" t="s">
        <v>5039</v>
      </c>
    </row>
    <row r="3081" spans="1:12" x14ac:dyDescent="0.35">
      <c r="A3081" t="s">
        <v>116</v>
      </c>
      <c r="B3081" t="s">
        <v>572</v>
      </c>
      <c r="C3081" t="s">
        <v>961</v>
      </c>
      <c r="D3081">
        <v>6.44</v>
      </c>
      <c r="F3081" t="s">
        <v>2396</v>
      </c>
      <c r="I3081" t="s">
        <v>2393</v>
      </c>
      <c r="K3081" t="s">
        <v>5037</v>
      </c>
      <c r="L3081" t="s">
        <v>5039</v>
      </c>
    </row>
    <row r="3082" spans="1:12" x14ac:dyDescent="0.35">
      <c r="A3082" t="s">
        <v>116</v>
      </c>
      <c r="B3082" t="s">
        <v>573</v>
      </c>
      <c r="C3082" t="s">
        <v>708</v>
      </c>
      <c r="D3082">
        <v>6.2E-2</v>
      </c>
      <c r="F3082" t="s">
        <v>1414</v>
      </c>
      <c r="H3082" t="s">
        <v>4178</v>
      </c>
      <c r="I3082" t="s">
        <v>2312</v>
      </c>
      <c r="K3082" t="s">
        <v>5037</v>
      </c>
      <c r="L3082" t="s">
        <v>5039</v>
      </c>
    </row>
    <row r="3083" spans="1:12" x14ac:dyDescent="0.35">
      <c r="A3083" t="s">
        <v>116</v>
      </c>
      <c r="B3083" t="s">
        <v>573</v>
      </c>
      <c r="C3083" t="s">
        <v>708</v>
      </c>
      <c r="D3083">
        <v>3.7999999999999999E-2</v>
      </c>
      <c r="F3083" t="s">
        <v>1803</v>
      </c>
      <c r="H3083" t="s">
        <v>4179</v>
      </c>
      <c r="I3083" t="s">
        <v>2312</v>
      </c>
      <c r="K3083" t="s">
        <v>5037</v>
      </c>
      <c r="L3083" t="s">
        <v>5039</v>
      </c>
    </row>
    <row r="3084" spans="1:12" x14ac:dyDescent="0.35">
      <c r="A3084" t="s">
        <v>116</v>
      </c>
      <c r="B3084" t="s">
        <v>573</v>
      </c>
      <c r="C3084" t="s">
        <v>855</v>
      </c>
      <c r="D3084">
        <v>34</v>
      </c>
      <c r="F3084" t="s">
        <v>1584</v>
      </c>
      <c r="H3084" t="s">
        <v>4180</v>
      </c>
      <c r="I3084" t="s">
        <v>2312</v>
      </c>
      <c r="K3084" t="s">
        <v>5037</v>
      </c>
      <c r="L3084" t="s">
        <v>5039</v>
      </c>
    </row>
    <row r="3085" spans="1:12" x14ac:dyDescent="0.35">
      <c r="A3085" t="s">
        <v>116</v>
      </c>
      <c r="B3085" t="s">
        <v>573</v>
      </c>
      <c r="C3085" t="s">
        <v>855</v>
      </c>
      <c r="D3085">
        <v>121</v>
      </c>
      <c r="F3085" t="s">
        <v>2325</v>
      </c>
      <c r="H3085" t="s">
        <v>4181</v>
      </c>
      <c r="I3085" t="s">
        <v>2312</v>
      </c>
      <c r="K3085" t="s">
        <v>5037</v>
      </c>
      <c r="L3085" t="s">
        <v>5039</v>
      </c>
    </row>
    <row r="3086" spans="1:12" x14ac:dyDescent="0.35">
      <c r="A3086" t="s">
        <v>116</v>
      </c>
      <c r="B3086" t="s">
        <v>574</v>
      </c>
      <c r="C3086" t="s">
        <v>1063</v>
      </c>
      <c r="D3086">
        <v>0.41</v>
      </c>
      <c r="F3086" t="s">
        <v>1555</v>
      </c>
      <c r="I3086" t="s">
        <v>2393</v>
      </c>
      <c r="K3086" t="s">
        <v>5037</v>
      </c>
      <c r="L3086" t="s">
        <v>5039</v>
      </c>
    </row>
    <row r="3087" spans="1:12" x14ac:dyDescent="0.35">
      <c r="A3087" t="s">
        <v>116</v>
      </c>
      <c r="B3087" t="s">
        <v>574</v>
      </c>
      <c r="C3087" t="s">
        <v>709</v>
      </c>
      <c r="D3087">
        <v>0.19</v>
      </c>
      <c r="F3087" t="s">
        <v>1538</v>
      </c>
      <c r="I3087" t="s">
        <v>2393</v>
      </c>
      <c r="K3087" t="s">
        <v>5037</v>
      </c>
      <c r="L3087" t="s">
        <v>5039</v>
      </c>
    </row>
    <row r="3088" spans="1:12" x14ac:dyDescent="0.35">
      <c r="A3088" t="s">
        <v>116</v>
      </c>
      <c r="B3088" t="s">
        <v>574</v>
      </c>
      <c r="C3088" t="s">
        <v>1047</v>
      </c>
      <c r="D3088">
        <v>3.33</v>
      </c>
      <c r="F3088" t="s">
        <v>1691</v>
      </c>
      <c r="I3088" t="s">
        <v>2393</v>
      </c>
      <c r="K3088" t="s">
        <v>5037</v>
      </c>
      <c r="L3088" t="s">
        <v>5039</v>
      </c>
    </row>
    <row r="3089" spans="1:12" x14ac:dyDescent="0.35">
      <c r="A3089" t="s">
        <v>116</v>
      </c>
      <c r="B3089" t="s">
        <v>574</v>
      </c>
      <c r="C3089" t="s">
        <v>1047</v>
      </c>
      <c r="D3089">
        <v>0.93</v>
      </c>
      <c r="F3089" t="s">
        <v>1558</v>
      </c>
      <c r="I3089" t="s">
        <v>2393</v>
      </c>
      <c r="K3089" t="s">
        <v>5037</v>
      </c>
      <c r="L3089" t="s">
        <v>5039</v>
      </c>
    </row>
    <row r="3090" spans="1:12" x14ac:dyDescent="0.35">
      <c r="A3090" t="s">
        <v>116</v>
      </c>
      <c r="B3090" t="s">
        <v>574</v>
      </c>
      <c r="C3090" t="s">
        <v>1046</v>
      </c>
      <c r="D3090">
        <v>3.01</v>
      </c>
      <c r="F3090" t="s">
        <v>2397</v>
      </c>
      <c r="I3090" t="s">
        <v>2393</v>
      </c>
      <c r="K3090" t="s">
        <v>5037</v>
      </c>
      <c r="L3090" t="s">
        <v>5039</v>
      </c>
    </row>
    <row r="3091" spans="1:12" x14ac:dyDescent="0.35">
      <c r="A3091" t="s">
        <v>116</v>
      </c>
      <c r="B3091" t="s">
        <v>574</v>
      </c>
      <c r="C3091" t="s">
        <v>961</v>
      </c>
      <c r="D3091">
        <v>5.22</v>
      </c>
      <c r="F3091" t="s">
        <v>2398</v>
      </c>
      <c r="I3091" t="s">
        <v>2393</v>
      </c>
      <c r="K3091" t="s">
        <v>5037</v>
      </c>
      <c r="L3091" t="s">
        <v>5039</v>
      </c>
    </row>
    <row r="3092" spans="1:12" x14ac:dyDescent="0.35">
      <c r="A3092" t="s">
        <v>116</v>
      </c>
      <c r="B3092" t="s">
        <v>353</v>
      </c>
      <c r="C3092" t="s">
        <v>961</v>
      </c>
      <c r="D3092">
        <v>10.6</v>
      </c>
      <c r="F3092" t="s">
        <v>2399</v>
      </c>
      <c r="H3092" t="s">
        <v>4182</v>
      </c>
      <c r="I3092" t="s">
        <v>2360</v>
      </c>
      <c r="K3092" t="s">
        <v>5037</v>
      </c>
      <c r="L3092" t="s">
        <v>5039</v>
      </c>
    </row>
    <row r="3093" spans="1:12" x14ac:dyDescent="0.35">
      <c r="A3093" t="s">
        <v>116</v>
      </c>
      <c r="B3093" t="s">
        <v>575</v>
      </c>
      <c r="C3093" t="s">
        <v>1130</v>
      </c>
      <c r="D3093">
        <v>1</v>
      </c>
      <c r="F3093" t="s">
        <v>1317</v>
      </c>
      <c r="I3093" t="s">
        <v>2052</v>
      </c>
      <c r="K3093" t="s">
        <v>5037</v>
      </c>
      <c r="L3093" t="s">
        <v>5039</v>
      </c>
    </row>
    <row r="3094" spans="1:12" x14ac:dyDescent="0.35">
      <c r="A3094" t="s">
        <v>116</v>
      </c>
      <c r="B3094" t="s">
        <v>575</v>
      </c>
      <c r="C3094" t="s">
        <v>709</v>
      </c>
      <c r="D3094">
        <v>2.8000000000000001E-2</v>
      </c>
      <c r="F3094" t="s">
        <v>2039</v>
      </c>
      <c r="H3094" t="s">
        <v>4183</v>
      </c>
      <c r="I3094" t="s">
        <v>2052</v>
      </c>
      <c r="K3094" t="s">
        <v>5037</v>
      </c>
      <c r="L3094" t="s">
        <v>5039</v>
      </c>
    </row>
    <row r="3095" spans="1:12" x14ac:dyDescent="0.35">
      <c r="A3095" t="s">
        <v>116</v>
      </c>
      <c r="B3095" t="s">
        <v>575</v>
      </c>
      <c r="C3095" t="s">
        <v>709</v>
      </c>
      <c r="D3095">
        <v>1.0999999999999999E-2</v>
      </c>
      <c r="F3095" t="s">
        <v>1612</v>
      </c>
      <c r="H3095" t="s">
        <v>4184</v>
      </c>
      <c r="I3095" t="s">
        <v>2052</v>
      </c>
      <c r="K3095" t="s">
        <v>5037</v>
      </c>
      <c r="L3095" t="s">
        <v>5039</v>
      </c>
    </row>
    <row r="3096" spans="1:12" x14ac:dyDescent="0.35">
      <c r="A3096" t="s">
        <v>116</v>
      </c>
      <c r="B3096" t="s">
        <v>575</v>
      </c>
      <c r="C3096" t="s">
        <v>1131</v>
      </c>
      <c r="D3096">
        <v>1.2</v>
      </c>
      <c r="F3096" t="s">
        <v>1421</v>
      </c>
      <c r="H3096" t="s">
        <v>4185</v>
      </c>
      <c r="I3096" t="s">
        <v>2052</v>
      </c>
      <c r="K3096" t="s">
        <v>5037</v>
      </c>
      <c r="L3096" t="s">
        <v>5039</v>
      </c>
    </row>
    <row r="3097" spans="1:12" x14ac:dyDescent="0.35">
      <c r="A3097" t="s">
        <v>116</v>
      </c>
      <c r="B3097" t="s">
        <v>575</v>
      </c>
      <c r="C3097" t="s">
        <v>1132</v>
      </c>
      <c r="D3097">
        <v>1.5</v>
      </c>
      <c r="F3097" t="s">
        <v>1426</v>
      </c>
      <c r="H3097" t="s">
        <v>4185</v>
      </c>
      <c r="I3097" t="s">
        <v>2052</v>
      </c>
      <c r="K3097" t="s">
        <v>5037</v>
      </c>
      <c r="L3097" t="s">
        <v>5039</v>
      </c>
    </row>
    <row r="3098" spans="1:12" x14ac:dyDescent="0.35">
      <c r="A3098" t="s">
        <v>116</v>
      </c>
      <c r="B3098" t="s">
        <v>575</v>
      </c>
      <c r="C3098" t="s">
        <v>1046</v>
      </c>
      <c r="D3098">
        <v>1.9</v>
      </c>
      <c r="F3098" t="s">
        <v>1503</v>
      </c>
      <c r="I3098" t="s">
        <v>2052</v>
      </c>
      <c r="K3098" t="s">
        <v>5037</v>
      </c>
      <c r="L3098" t="s">
        <v>5039</v>
      </c>
    </row>
    <row r="3099" spans="1:12" x14ac:dyDescent="0.35">
      <c r="A3099" t="s">
        <v>116</v>
      </c>
      <c r="B3099" t="s">
        <v>575</v>
      </c>
      <c r="C3099" t="s">
        <v>1107</v>
      </c>
      <c r="D3099">
        <v>1.9</v>
      </c>
      <c r="F3099" t="s">
        <v>1503</v>
      </c>
      <c r="I3099" t="s">
        <v>2052</v>
      </c>
      <c r="K3099" t="s">
        <v>5037</v>
      </c>
      <c r="L3099" t="s">
        <v>5039</v>
      </c>
    </row>
    <row r="3100" spans="1:12" x14ac:dyDescent="0.35">
      <c r="A3100" t="s">
        <v>116</v>
      </c>
      <c r="B3100" t="s">
        <v>575</v>
      </c>
      <c r="C3100" t="s">
        <v>1133</v>
      </c>
      <c r="D3100">
        <v>0.81</v>
      </c>
      <c r="F3100" t="s">
        <v>1820</v>
      </c>
      <c r="I3100" t="s">
        <v>2052</v>
      </c>
      <c r="K3100" t="s">
        <v>5037</v>
      </c>
      <c r="L3100" t="s">
        <v>5039</v>
      </c>
    </row>
    <row r="3101" spans="1:12" x14ac:dyDescent="0.35">
      <c r="A3101" t="s">
        <v>116</v>
      </c>
      <c r="B3101" t="s">
        <v>575</v>
      </c>
      <c r="C3101" t="s">
        <v>839</v>
      </c>
      <c r="D3101">
        <v>1.1000000000000001</v>
      </c>
      <c r="F3101" t="s">
        <v>1505</v>
      </c>
      <c r="I3101" t="s">
        <v>2052</v>
      </c>
      <c r="K3101" t="s">
        <v>5037</v>
      </c>
      <c r="L3101" t="s">
        <v>5039</v>
      </c>
    </row>
    <row r="3102" spans="1:12" x14ac:dyDescent="0.35">
      <c r="A3102" t="s">
        <v>116</v>
      </c>
      <c r="B3102" t="s">
        <v>575</v>
      </c>
      <c r="C3102" t="s">
        <v>1134</v>
      </c>
      <c r="D3102">
        <v>1.1000000000000001</v>
      </c>
      <c r="F3102" t="s">
        <v>1505</v>
      </c>
      <c r="I3102" t="s">
        <v>2052</v>
      </c>
      <c r="K3102" t="s">
        <v>5037</v>
      </c>
      <c r="L3102" t="s">
        <v>5039</v>
      </c>
    </row>
    <row r="3103" spans="1:12" x14ac:dyDescent="0.35">
      <c r="A3103" t="s">
        <v>116</v>
      </c>
      <c r="B3103" t="s">
        <v>575</v>
      </c>
      <c r="C3103" t="s">
        <v>1135</v>
      </c>
      <c r="D3103">
        <v>2.7</v>
      </c>
      <c r="F3103" t="s">
        <v>1557</v>
      </c>
      <c r="I3103" t="s">
        <v>2052</v>
      </c>
      <c r="K3103" t="s">
        <v>5037</v>
      </c>
      <c r="L3103" t="s">
        <v>5039</v>
      </c>
    </row>
    <row r="3104" spans="1:12" x14ac:dyDescent="0.35">
      <c r="A3104" t="s">
        <v>116</v>
      </c>
      <c r="B3104" t="s">
        <v>575</v>
      </c>
      <c r="C3104" t="s">
        <v>1136</v>
      </c>
      <c r="D3104">
        <v>0.85</v>
      </c>
      <c r="F3104" t="s">
        <v>1474</v>
      </c>
      <c r="H3104" t="s">
        <v>4186</v>
      </c>
      <c r="I3104" t="s">
        <v>2052</v>
      </c>
      <c r="K3104" t="s">
        <v>5037</v>
      </c>
      <c r="L3104" t="s">
        <v>5039</v>
      </c>
    </row>
    <row r="3105" spans="1:12" x14ac:dyDescent="0.35">
      <c r="A3105" t="s">
        <v>116</v>
      </c>
      <c r="B3105" t="s">
        <v>575</v>
      </c>
      <c r="C3105" t="s">
        <v>1128</v>
      </c>
      <c r="D3105">
        <v>4.0999999999999996</v>
      </c>
      <c r="F3105" t="s">
        <v>1385</v>
      </c>
      <c r="I3105" t="s">
        <v>2052</v>
      </c>
      <c r="K3105" t="s">
        <v>5037</v>
      </c>
      <c r="L3105" t="s">
        <v>5039</v>
      </c>
    </row>
    <row r="3106" spans="1:12" x14ac:dyDescent="0.35">
      <c r="A3106" t="s">
        <v>116</v>
      </c>
      <c r="B3106" t="s">
        <v>575</v>
      </c>
      <c r="C3106" t="s">
        <v>1137</v>
      </c>
      <c r="D3106">
        <v>3.9</v>
      </c>
      <c r="F3106" t="s">
        <v>1410</v>
      </c>
      <c r="H3106" t="s">
        <v>4186</v>
      </c>
      <c r="I3106" t="s">
        <v>2052</v>
      </c>
      <c r="K3106" t="s">
        <v>5037</v>
      </c>
      <c r="L3106" t="s">
        <v>5039</v>
      </c>
    </row>
    <row r="3107" spans="1:12" x14ac:dyDescent="0.35">
      <c r="A3107" t="s">
        <v>116</v>
      </c>
      <c r="B3107" t="s">
        <v>575</v>
      </c>
      <c r="C3107" t="s">
        <v>1138</v>
      </c>
      <c r="D3107">
        <v>3.4</v>
      </c>
      <c r="F3107" t="s">
        <v>1706</v>
      </c>
      <c r="H3107" t="s">
        <v>4185</v>
      </c>
      <c r="I3107" t="s">
        <v>2052</v>
      </c>
      <c r="K3107" t="s">
        <v>5037</v>
      </c>
      <c r="L3107" t="s">
        <v>5039</v>
      </c>
    </row>
    <row r="3108" spans="1:12" x14ac:dyDescent="0.35">
      <c r="A3108" t="s">
        <v>116</v>
      </c>
      <c r="B3108" t="s">
        <v>575</v>
      </c>
      <c r="C3108" t="s">
        <v>961</v>
      </c>
      <c r="D3108">
        <v>6</v>
      </c>
      <c r="F3108" t="s">
        <v>1766</v>
      </c>
      <c r="I3108" t="s">
        <v>2052</v>
      </c>
      <c r="K3108" t="s">
        <v>5037</v>
      </c>
      <c r="L3108" t="s">
        <v>5039</v>
      </c>
    </row>
    <row r="3109" spans="1:12" x14ac:dyDescent="0.35">
      <c r="A3109" t="s">
        <v>116</v>
      </c>
      <c r="B3109" t="s">
        <v>575</v>
      </c>
      <c r="C3109" t="s">
        <v>1139</v>
      </c>
      <c r="D3109">
        <v>3.8</v>
      </c>
      <c r="F3109" t="s">
        <v>1388</v>
      </c>
      <c r="H3109" t="s">
        <v>4186</v>
      </c>
      <c r="I3109" t="s">
        <v>2052</v>
      </c>
      <c r="K3109" t="s">
        <v>5037</v>
      </c>
      <c r="L3109" t="s">
        <v>5039</v>
      </c>
    </row>
    <row r="3110" spans="1:12" x14ac:dyDescent="0.35">
      <c r="A3110" t="s">
        <v>116</v>
      </c>
      <c r="B3110" t="s">
        <v>575</v>
      </c>
      <c r="C3110" t="s">
        <v>1140</v>
      </c>
      <c r="D3110">
        <v>0.95</v>
      </c>
      <c r="F3110" t="s">
        <v>1630</v>
      </c>
      <c r="H3110" t="s">
        <v>4186</v>
      </c>
      <c r="I3110" t="s">
        <v>2052</v>
      </c>
      <c r="K3110" t="s">
        <v>5037</v>
      </c>
      <c r="L3110" t="s">
        <v>5039</v>
      </c>
    </row>
    <row r="3111" spans="1:12" x14ac:dyDescent="0.35">
      <c r="A3111" t="s">
        <v>116</v>
      </c>
      <c r="B3111" t="s">
        <v>575</v>
      </c>
      <c r="C3111" t="s">
        <v>1141</v>
      </c>
      <c r="D3111">
        <v>7.4</v>
      </c>
      <c r="F3111" t="s">
        <v>2049</v>
      </c>
      <c r="I3111" t="s">
        <v>2052</v>
      </c>
      <c r="K3111" t="s">
        <v>5037</v>
      </c>
      <c r="L3111" t="s">
        <v>5039</v>
      </c>
    </row>
    <row r="3112" spans="1:12" x14ac:dyDescent="0.35">
      <c r="A3112" t="s">
        <v>116</v>
      </c>
      <c r="B3112" t="s">
        <v>575</v>
      </c>
      <c r="C3112" t="s">
        <v>961</v>
      </c>
      <c r="D3112">
        <v>6.2</v>
      </c>
      <c r="F3112" t="s">
        <v>2400</v>
      </c>
      <c r="I3112" t="s">
        <v>2052</v>
      </c>
      <c r="K3112" t="s">
        <v>5037</v>
      </c>
      <c r="L3112" t="s">
        <v>5039</v>
      </c>
    </row>
    <row r="3113" spans="1:12" x14ac:dyDescent="0.35">
      <c r="A3113" t="s">
        <v>116</v>
      </c>
      <c r="B3113" t="s">
        <v>575</v>
      </c>
      <c r="C3113" t="s">
        <v>1142</v>
      </c>
      <c r="D3113">
        <v>6.6</v>
      </c>
      <c r="F3113" t="s">
        <v>1517</v>
      </c>
      <c r="I3113" t="s">
        <v>2052</v>
      </c>
      <c r="K3113" t="s">
        <v>5037</v>
      </c>
      <c r="L3113" t="s">
        <v>5039</v>
      </c>
    </row>
    <row r="3114" spans="1:12" x14ac:dyDescent="0.35">
      <c r="A3114" t="s">
        <v>116</v>
      </c>
      <c r="B3114" t="s">
        <v>575</v>
      </c>
      <c r="C3114" t="s">
        <v>959</v>
      </c>
      <c r="D3114">
        <v>0.72</v>
      </c>
      <c r="F3114" t="s">
        <v>2401</v>
      </c>
      <c r="I3114" t="s">
        <v>2052</v>
      </c>
      <c r="K3114" t="s">
        <v>5037</v>
      </c>
      <c r="L3114" t="s">
        <v>5039</v>
      </c>
    </row>
    <row r="3115" spans="1:12" x14ac:dyDescent="0.35">
      <c r="A3115" t="s">
        <v>116</v>
      </c>
      <c r="B3115" t="s">
        <v>576</v>
      </c>
      <c r="C3115" t="s">
        <v>1078</v>
      </c>
      <c r="D3115">
        <v>0.06</v>
      </c>
      <c r="F3115" t="s">
        <v>1370</v>
      </c>
      <c r="H3115" t="s">
        <v>4187</v>
      </c>
      <c r="I3115" t="s">
        <v>1839</v>
      </c>
      <c r="K3115" t="s">
        <v>5037</v>
      </c>
      <c r="L3115" t="s">
        <v>5039</v>
      </c>
    </row>
    <row r="3116" spans="1:12" x14ac:dyDescent="0.35">
      <c r="A3116" t="s">
        <v>116</v>
      </c>
      <c r="B3116" t="s">
        <v>576</v>
      </c>
      <c r="C3116" t="s">
        <v>855</v>
      </c>
      <c r="D3116">
        <v>0.1</v>
      </c>
      <c r="F3116" t="s">
        <v>1309</v>
      </c>
      <c r="H3116" t="s">
        <v>4188</v>
      </c>
      <c r="I3116" t="s">
        <v>1839</v>
      </c>
      <c r="K3116" t="s">
        <v>5037</v>
      </c>
      <c r="L3116" t="s">
        <v>5039</v>
      </c>
    </row>
    <row r="3117" spans="1:12" x14ac:dyDescent="0.35">
      <c r="A3117" t="s">
        <v>116</v>
      </c>
      <c r="B3117" t="s">
        <v>576</v>
      </c>
      <c r="C3117" t="s">
        <v>961</v>
      </c>
      <c r="D3117">
        <v>0.18</v>
      </c>
      <c r="F3117" t="s">
        <v>1531</v>
      </c>
      <c r="H3117" t="s">
        <v>4189</v>
      </c>
      <c r="I3117" t="s">
        <v>1839</v>
      </c>
      <c r="K3117" t="s">
        <v>5037</v>
      </c>
      <c r="L3117" t="s">
        <v>5039</v>
      </c>
    </row>
    <row r="3118" spans="1:12" x14ac:dyDescent="0.35">
      <c r="A3118" t="s">
        <v>116</v>
      </c>
      <c r="B3118" t="s">
        <v>576</v>
      </c>
      <c r="C3118" t="s">
        <v>1078</v>
      </c>
      <c r="D3118">
        <v>1.2E-2</v>
      </c>
      <c r="F3118" t="s">
        <v>1280</v>
      </c>
      <c r="H3118" t="s">
        <v>4189</v>
      </c>
      <c r="I3118" t="s">
        <v>1839</v>
      </c>
      <c r="K3118" t="s">
        <v>5037</v>
      </c>
      <c r="L3118" t="s">
        <v>5039</v>
      </c>
    </row>
    <row r="3119" spans="1:12" x14ac:dyDescent="0.35">
      <c r="A3119" t="s">
        <v>116</v>
      </c>
      <c r="B3119" t="s">
        <v>576</v>
      </c>
      <c r="C3119" t="s">
        <v>1084</v>
      </c>
      <c r="D3119">
        <v>1.2E-2</v>
      </c>
      <c r="F3119" t="s">
        <v>1280</v>
      </c>
      <c r="H3119" t="s">
        <v>4189</v>
      </c>
      <c r="I3119" t="s">
        <v>1839</v>
      </c>
      <c r="K3119" t="s">
        <v>5037</v>
      </c>
      <c r="L3119" t="s">
        <v>5039</v>
      </c>
    </row>
    <row r="3120" spans="1:12" x14ac:dyDescent="0.35">
      <c r="A3120" t="s">
        <v>116</v>
      </c>
      <c r="B3120" t="s">
        <v>576</v>
      </c>
      <c r="C3120" t="s">
        <v>1084</v>
      </c>
      <c r="D3120">
        <v>1.7999999999999999E-2</v>
      </c>
      <c r="F3120" t="s">
        <v>1611</v>
      </c>
      <c r="H3120" t="s">
        <v>3901</v>
      </c>
      <c r="I3120" t="s">
        <v>1839</v>
      </c>
      <c r="K3120" t="s">
        <v>5037</v>
      </c>
      <c r="L3120" t="s">
        <v>5039</v>
      </c>
    </row>
    <row r="3121" spans="1:12" x14ac:dyDescent="0.35">
      <c r="A3121" t="s">
        <v>116</v>
      </c>
      <c r="B3121" t="s">
        <v>576</v>
      </c>
      <c r="C3121" t="s">
        <v>1078</v>
      </c>
      <c r="D3121">
        <v>0.02</v>
      </c>
      <c r="F3121" t="s">
        <v>1448</v>
      </c>
      <c r="H3121" t="s">
        <v>4190</v>
      </c>
      <c r="I3121" t="s">
        <v>1839</v>
      </c>
      <c r="K3121" t="s">
        <v>5037</v>
      </c>
      <c r="L3121" t="s">
        <v>5039</v>
      </c>
    </row>
    <row r="3122" spans="1:12" x14ac:dyDescent="0.35">
      <c r="A3122" t="s">
        <v>116</v>
      </c>
      <c r="B3122" t="s">
        <v>576</v>
      </c>
      <c r="C3122" t="s">
        <v>1078</v>
      </c>
      <c r="D3122">
        <v>0.09</v>
      </c>
      <c r="F3122" t="s">
        <v>1310</v>
      </c>
      <c r="H3122" t="s">
        <v>3901</v>
      </c>
      <c r="I3122" t="s">
        <v>1839</v>
      </c>
      <c r="K3122" t="s">
        <v>5037</v>
      </c>
      <c r="L3122" t="s">
        <v>5039</v>
      </c>
    </row>
    <row r="3123" spans="1:12" x14ac:dyDescent="0.35">
      <c r="A3123" t="s">
        <v>116</v>
      </c>
      <c r="B3123" t="s">
        <v>576</v>
      </c>
      <c r="C3123" t="s">
        <v>687</v>
      </c>
      <c r="D3123">
        <v>12</v>
      </c>
      <c r="F3123" t="s">
        <v>1450</v>
      </c>
      <c r="H3123" t="s">
        <v>4189</v>
      </c>
      <c r="I3123" t="s">
        <v>1839</v>
      </c>
      <c r="K3123" t="s">
        <v>5037</v>
      </c>
      <c r="L3123" t="s">
        <v>5039</v>
      </c>
    </row>
    <row r="3124" spans="1:12" x14ac:dyDescent="0.35">
      <c r="A3124" t="s">
        <v>116</v>
      </c>
      <c r="B3124" t="s">
        <v>576</v>
      </c>
      <c r="C3124" t="s">
        <v>961</v>
      </c>
      <c r="D3124">
        <v>5</v>
      </c>
      <c r="F3124" t="s">
        <v>1477</v>
      </c>
      <c r="H3124" t="s">
        <v>4191</v>
      </c>
      <c r="I3124" t="s">
        <v>1839</v>
      </c>
      <c r="K3124" t="s">
        <v>5037</v>
      </c>
      <c r="L3124" t="s">
        <v>5039</v>
      </c>
    </row>
    <row r="3125" spans="1:12" x14ac:dyDescent="0.35">
      <c r="A3125" t="s">
        <v>116</v>
      </c>
      <c r="B3125" t="s">
        <v>576</v>
      </c>
      <c r="C3125" t="s">
        <v>687</v>
      </c>
      <c r="D3125">
        <v>14</v>
      </c>
      <c r="F3125" t="s">
        <v>1467</v>
      </c>
      <c r="H3125" t="s">
        <v>3901</v>
      </c>
      <c r="I3125" t="s">
        <v>1839</v>
      </c>
      <c r="K3125" t="s">
        <v>5037</v>
      </c>
      <c r="L3125" t="s">
        <v>5039</v>
      </c>
    </row>
    <row r="3126" spans="1:12" x14ac:dyDescent="0.35">
      <c r="A3126" t="s">
        <v>116</v>
      </c>
      <c r="B3126" t="s">
        <v>576</v>
      </c>
      <c r="C3126" t="s">
        <v>855</v>
      </c>
      <c r="D3126">
        <v>11.5</v>
      </c>
      <c r="F3126" t="s">
        <v>1741</v>
      </c>
      <c r="H3126" t="s">
        <v>4192</v>
      </c>
      <c r="I3126" t="s">
        <v>1839</v>
      </c>
      <c r="K3126" t="s">
        <v>5037</v>
      </c>
      <c r="L3126" t="s">
        <v>5039</v>
      </c>
    </row>
    <row r="3127" spans="1:12" x14ac:dyDescent="0.35">
      <c r="A3127" t="s">
        <v>116</v>
      </c>
      <c r="B3127" t="s">
        <v>577</v>
      </c>
      <c r="C3127" t="s">
        <v>967</v>
      </c>
      <c r="D3127">
        <v>1.4E-3</v>
      </c>
      <c r="F3127" t="s">
        <v>1278</v>
      </c>
      <c r="I3127" t="s">
        <v>4932</v>
      </c>
      <c r="K3127" t="s">
        <v>5037</v>
      </c>
      <c r="L3127" t="s">
        <v>5039</v>
      </c>
    </row>
    <row r="3128" spans="1:12" x14ac:dyDescent="0.35">
      <c r="A3128" t="s">
        <v>116</v>
      </c>
      <c r="B3128" t="s">
        <v>577</v>
      </c>
      <c r="C3128" t="s">
        <v>1064</v>
      </c>
      <c r="D3128">
        <v>6.9999999999999999E-4</v>
      </c>
      <c r="F3128" t="s">
        <v>2402</v>
      </c>
      <c r="I3128" t="s">
        <v>4932</v>
      </c>
      <c r="K3128" t="s">
        <v>5037</v>
      </c>
      <c r="L3128" t="s">
        <v>5039</v>
      </c>
    </row>
    <row r="3129" spans="1:12" x14ac:dyDescent="0.35">
      <c r="A3129" t="s">
        <v>116</v>
      </c>
      <c r="B3129" t="s">
        <v>577</v>
      </c>
      <c r="C3129" t="s">
        <v>1078</v>
      </c>
      <c r="D3129">
        <v>0.35</v>
      </c>
      <c r="F3129" t="s">
        <v>1294</v>
      </c>
      <c r="I3129" t="s">
        <v>4932</v>
      </c>
      <c r="K3129" t="s">
        <v>5037</v>
      </c>
      <c r="L3129" t="s">
        <v>5039</v>
      </c>
    </row>
    <row r="3130" spans="1:12" x14ac:dyDescent="0.35">
      <c r="A3130" t="s">
        <v>116</v>
      </c>
      <c r="B3130" t="s">
        <v>577</v>
      </c>
      <c r="C3130" t="s">
        <v>959</v>
      </c>
      <c r="D3130">
        <v>0.39</v>
      </c>
      <c r="F3130" t="s">
        <v>1422</v>
      </c>
      <c r="I3130" t="s">
        <v>4932</v>
      </c>
      <c r="K3130" t="s">
        <v>5037</v>
      </c>
      <c r="L3130" t="s">
        <v>5039</v>
      </c>
    </row>
    <row r="3131" spans="1:12" x14ac:dyDescent="0.35">
      <c r="A3131" t="s">
        <v>116</v>
      </c>
      <c r="B3131" t="s">
        <v>577</v>
      </c>
      <c r="C3131" t="s">
        <v>687</v>
      </c>
      <c r="D3131">
        <v>5</v>
      </c>
      <c r="F3131" t="s">
        <v>1477</v>
      </c>
      <c r="I3131" t="s">
        <v>4932</v>
      </c>
      <c r="K3131" t="s">
        <v>5037</v>
      </c>
      <c r="L3131" t="s">
        <v>5039</v>
      </c>
    </row>
    <row r="3132" spans="1:12" x14ac:dyDescent="0.35">
      <c r="A3132" t="s">
        <v>116</v>
      </c>
      <c r="B3132" t="s">
        <v>577</v>
      </c>
      <c r="C3132" t="s">
        <v>961</v>
      </c>
      <c r="D3132">
        <v>1.23</v>
      </c>
      <c r="F3132" t="s">
        <v>1267</v>
      </c>
      <c r="I3132" t="s">
        <v>4932</v>
      </c>
      <c r="K3132" t="s">
        <v>5037</v>
      </c>
      <c r="L3132" t="s">
        <v>5039</v>
      </c>
    </row>
    <row r="3133" spans="1:12" x14ac:dyDescent="0.35">
      <c r="A3133" t="s">
        <v>116</v>
      </c>
      <c r="B3133" t="s">
        <v>578</v>
      </c>
      <c r="C3133" t="s">
        <v>861</v>
      </c>
      <c r="D3133">
        <v>5.3</v>
      </c>
      <c r="F3133" t="s">
        <v>1671</v>
      </c>
      <c r="H3133" t="s">
        <v>4193</v>
      </c>
      <c r="I3133" t="s">
        <v>1929</v>
      </c>
      <c r="K3133" t="s">
        <v>5037</v>
      </c>
      <c r="L3133" t="s">
        <v>5039</v>
      </c>
    </row>
    <row r="3134" spans="1:12" x14ac:dyDescent="0.35">
      <c r="A3134" t="s">
        <v>116</v>
      </c>
      <c r="B3134" t="s">
        <v>327</v>
      </c>
      <c r="C3134" t="s">
        <v>1143</v>
      </c>
      <c r="D3134">
        <v>0.06</v>
      </c>
      <c r="F3134" t="s">
        <v>1370</v>
      </c>
      <c r="H3134" t="s">
        <v>4194</v>
      </c>
      <c r="I3134" t="s">
        <v>1467</v>
      </c>
      <c r="K3134" t="s">
        <v>5037</v>
      </c>
      <c r="L3134" t="s">
        <v>5039</v>
      </c>
    </row>
    <row r="3135" spans="1:12" x14ac:dyDescent="0.35">
      <c r="A3135" t="s">
        <v>116</v>
      </c>
      <c r="B3135" t="s">
        <v>327</v>
      </c>
      <c r="C3135" t="s">
        <v>952</v>
      </c>
      <c r="D3135">
        <v>0.55000000000000004</v>
      </c>
      <c r="F3135" t="s">
        <v>1432</v>
      </c>
      <c r="I3135" t="s">
        <v>1841</v>
      </c>
      <c r="K3135" t="s">
        <v>5037</v>
      </c>
      <c r="L3135" t="s">
        <v>5039</v>
      </c>
    </row>
    <row r="3136" spans="1:12" x14ac:dyDescent="0.35">
      <c r="A3136" t="s">
        <v>116</v>
      </c>
      <c r="B3136" t="s">
        <v>327</v>
      </c>
      <c r="C3136" t="s">
        <v>1144</v>
      </c>
      <c r="D3136">
        <v>4.0000000000000001E-3</v>
      </c>
      <c r="F3136" t="s">
        <v>1838</v>
      </c>
      <c r="H3136" t="s">
        <v>4195</v>
      </c>
      <c r="I3136" t="s">
        <v>2331</v>
      </c>
      <c r="K3136" t="s">
        <v>5037</v>
      </c>
      <c r="L3136" t="s">
        <v>5039</v>
      </c>
    </row>
    <row r="3137" spans="1:12" x14ac:dyDescent="0.35">
      <c r="A3137" t="s">
        <v>116</v>
      </c>
      <c r="B3137" t="s">
        <v>327</v>
      </c>
      <c r="C3137" t="s">
        <v>818</v>
      </c>
      <c r="D3137">
        <v>1.2E-2</v>
      </c>
      <c r="F3137" t="s">
        <v>1280</v>
      </c>
      <c r="H3137" t="s">
        <v>4196</v>
      </c>
      <c r="I3137" t="s">
        <v>2331</v>
      </c>
      <c r="K3137" t="s">
        <v>5037</v>
      </c>
      <c r="L3137" t="s">
        <v>5039</v>
      </c>
    </row>
    <row r="3138" spans="1:12" x14ac:dyDescent="0.35">
      <c r="A3138" t="s">
        <v>116</v>
      </c>
      <c r="B3138" t="s">
        <v>327</v>
      </c>
      <c r="C3138" t="s">
        <v>1145</v>
      </c>
      <c r="D3138">
        <v>1.2E-2</v>
      </c>
      <c r="F3138" t="s">
        <v>1280</v>
      </c>
      <c r="H3138" t="s">
        <v>4182</v>
      </c>
      <c r="I3138" t="s">
        <v>2360</v>
      </c>
      <c r="K3138" t="s">
        <v>5037</v>
      </c>
      <c r="L3138" t="s">
        <v>5039</v>
      </c>
    </row>
    <row r="3139" spans="1:12" x14ac:dyDescent="0.35">
      <c r="A3139" t="s">
        <v>116</v>
      </c>
      <c r="B3139" t="s">
        <v>327</v>
      </c>
      <c r="C3139" t="s">
        <v>959</v>
      </c>
      <c r="D3139">
        <v>8.0000000000000002E-3</v>
      </c>
      <c r="F3139" t="s">
        <v>1801</v>
      </c>
      <c r="H3139" t="s">
        <v>4197</v>
      </c>
      <c r="I3139" t="s">
        <v>1454</v>
      </c>
      <c r="K3139" t="s">
        <v>5037</v>
      </c>
      <c r="L3139" t="s">
        <v>5039</v>
      </c>
    </row>
    <row r="3140" spans="1:12" x14ac:dyDescent="0.35">
      <c r="A3140" t="s">
        <v>116</v>
      </c>
      <c r="B3140" t="s">
        <v>327</v>
      </c>
      <c r="C3140" t="s">
        <v>709</v>
      </c>
      <c r="D3140">
        <v>1.2999999999999999E-2</v>
      </c>
      <c r="F3140" t="s">
        <v>1861</v>
      </c>
      <c r="H3140" t="s">
        <v>4198</v>
      </c>
      <c r="I3140" t="s">
        <v>4991</v>
      </c>
      <c r="K3140" t="s">
        <v>5037</v>
      </c>
      <c r="L3140" t="s">
        <v>5039</v>
      </c>
    </row>
    <row r="3141" spans="1:12" x14ac:dyDescent="0.35">
      <c r="A3141" t="s">
        <v>116</v>
      </c>
      <c r="B3141" t="s">
        <v>327</v>
      </c>
      <c r="C3141" t="s">
        <v>961</v>
      </c>
      <c r="D3141">
        <v>4.9000000000000002E-2</v>
      </c>
      <c r="F3141" t="s">
        <v>1452</v>
      </c>
      <c r="H3141" t="s">
        <v>4199</v>
      </c>
      <c r="I3141" t="s">
        <v>1383</v>
      </c>
      <c r="K3141" t="s">
        <v>5037</v>
      </c>
      <c r="L3141" t="s">
        <v>5039</v>
      </c>
    </row>
    <row r="3142" spans="1:12" x14ac:dyDescent="0.35">
      <c r="A3142" t="s">
        <v>116</v>
      </c>
      <c r="B3142" t="s">
        <v>327</v>
      </c>
      <c r="C3142" t="s">
        <v>1144</v>
      </c>
      <c r="D3142">
        <v>1.4999999999999999E-2</v>
      </c>
      <c r="F3142" t="s">
        <v>1336</v>
      </c>
      <c r="H3142" t="s">
        <v>4200</v>
      </c>
      <c r="I3142" t="s">
        <v>2331</v>
      </c>
      <c r="K3142" t="s">
        <v>5037</v>
      </c>
      <c r="L3142" t="s">
        <v>5039</v>
      </c>
    </row>
    <row r="3143" spans="1:12" x14ac:dyDescent="0.35">
      <c r="A3143" t="s">
        <v>116</v>
      </c>
      <c r="B3143" t="s">
        <v>327</v>
      </c>
      <c r="C3143" t="s">
        <v>1073</v>
      </c>
      <c r="D3143">
        <v>1.7999999999999999E-2</v>
      </c>
      <c r="F3143" t="s">
        <v>1611</v>
      </c>
      <c r="H3143" t="s">
        <v>4201</v>
      </c>
      <c r="I3143" t="s">
        <v>4951</v>
      </c>
      <c r="K3143" t="s">
        <v>5037</v>
      </c>
      <c r="L3143" t="s">
        <v>5039</v>
      </c>
    </row>
    <row r="3144" spans="1:12" x14ac:dyDescent="0.35">
      <c r="A3144" t="s">
        <v>116</v>
      </c>
      <c r="B3144" t="s">
        <v>327</v>
      </c>
      <c r="C3144" t="s">
        <v>709</v>
      </c>
      <c r="D3144">
        <v>2.1999999999999999E-2</v>
      </c>
      <c r="F3144" t="s">
        <v>1890</v>
      </c>
      <c r="I3144" t="s">
        <v>1450</v>
      </c>
      <c r="K3144" t="s">
        <v>5037</v>
      </c>
      <c r="L3144" t="s">
        <v>5039</v>
      </c>
    </row>
    <row r="3145" spans="1:12" x14ac:dyDescent="0.35">
      <c r="A3145" t="s">
        <v>116</v>
      </c>
      <c r="B3145" t="s">
        <v>327</v>
      </c>
      <c r="C3145" t="s">
        <v>1146</v>
      </c>
      <c r="D3145">
        <v>2.7E-2</v>
      </c>
      <c r="F3145" t="s">
        <v>1420</v>
      </c>
      <c r="H3145" t="s">
        <v>4202</v>
      </c>
      <c r="I3145" t="s">
        <v>4897</v>
      </c>
      <c r="K3145" t="s">
        <v>5037</v>
      </c>
      <c r="L3145" t="s">
        <v>5039</v>
      </c>
    </row>
    <row r="3146" spans="1:12" x14ac:dyDescent="0.35">
      <c r="A3146" t="s">
        <v>116</v>
      </c>
      <c r="B3146" t="s">
        <v>327</v>
      </c>
      <c r="C3146" t="s">
        <v>1147</v>
      </c>
      <c r="D3146">
        <v>2.7E-2</v>
      </c>
      <c r="F3146" t="s">
        <v>1420</v>
      </c>
      <c r="H3146" t="s">
        <v>4196</v>
      </c>
      <c r="I3146" t="s">
        <v>2331</v>
      </c>
      <c r="K3146" t="s">
        <v>5037</v>
      </c>
      <c r="L3146" t="s">
        <v>5039</v>
      </c>
    </row>
    <row r="3147" spans="1:12" x14ac:dyDescent="0.35">
      <c r="A3147" t="s">
        <v>116</v>
      </c>
      <c r="B3147" t="s">
        <v>327</v>
      </c>
      <c r="C3147" t="s">
        <v>1148</v>
      </c>
      <c r="D3147">
        <v>3.2000000000000001E-2</v>
      </c>
      <c r="F3147" t="s">
        <v>1314</v>
      </c>
      <c r="H3147" t="s">
        <v>4194</v>
      </c>
      <c r="I3147" t="s">
        <v>1467</v>
      </c>
      <c r="K3147" t="s">
        <v>5037</v>
      </c>
      <c r="L3147" t="s">
        <v>5039</v>
      </c>
    </row>
    <row r="3148" spans="1:12" x14ac:dyDescent="0.35">
      <c r="A3148" t="s">
        <v>116</v>
      </c>
      <c r="B3148" t="s">
        <v>327</v>
      </c>
      <c r="C3148" t="s">
        <v>1084</v>
      </c>
      <c r="D3148">
        <v>0.09</v>
      </c>
      <c r="F3148" t="s">
        <v>1310</v>
      </c>
      <c r="H3148" t="s">
        <v>4203</v>
      </c>
      <c r="I3148" t="s">
        <v>1467</v>
      </c>
      <c r="K3148" t="s">
        <v>5037</v>
      </c>
      <c r="L3148" t="s">
        <v>5039</v>
      </c>
    </row>
    <row r="3149" spans="1:12" x14ac:dyDescent="0.35">
      <c r="A3149" t="s">
        <v>116</v>
      </c>
      <c r="B3149" t="s">
        <v>327</v>
      </c>
      <c r="C3149" t="s">
        <v>709</v>
      </c>
      <c r="D3149">
        <v>2.5000000000000001E-2</v>
      </c>
      <c r="F3149" t="s">
        <v>1282</v>
      </c>
      <c r="I3149" t="s">
        <v>1526</v>
      </c>
      <c r="K3149" t="s">
        <v>5037</v>
      </c>
      <c r="L3149" t="s">
        <v>5039</v>
      </c>
    </row>
    <row r="3150" spans="1:12" x14ac:dyDescent="0.35">
      <c r="A3150" t="s">
        <v>116</v>
      </c>
      <c r="B3150" t="s">
        <v>327</v>
      </c>
      <c r="C3150" t="s">
        <v>1147</v>
      </c>
      <c r="D3150">
        <v>2.5000000000000001E-2</v>
      </c>
      <c r="F3150" t="s">
        <v>1282</v>
      </c>
      <c r="H3150" t="s">
        <v>4195</v>
      </c>
      <c r="I3150" t="s">
        <v>2331</v>
      </c>
      <c r="K3150" t="s">
        <v>5037</v>
      </c>
      <c r="L3150" t="s">
        <v>5039</v>
      </c>
    </row>
    <row r="3151" spans="1:12" x14ac:dyDescent="0.35">
      <c r="A3151" t="s">
        <v>116</v>
      </c>
      <c r="B3151" t="s">
        <v>327</v>
      </c>
      <c r="C3151" t="s">
        <v>1149</v>
      </c>
      <c r="D3151">
        <v>2.5000000000000001E-2</v>
      </c>
      <c r="F3151" t="s">
        <v>1282</v>
      </c>
      <c r="H3151" t="s">
        <v>4204</v>
      </c>
      <c r="I3151" t="s">
        <v>2331</v>
      </c>
      <c r="K3151" t="s">
        <v>5037</v>
      </c>
      <c r="L3151" t="s">
        <v>5039</v>
      </c>
    </row>
    <row r="3152" spans="1:12" x14ac:dyDescent="0.35">
      <c r="A3152" t="s">
        <v>116</v>
      </c>
      <c r="B3152" t="s">
        <v>327</v>
      </c>
      <c r="C3152" t="s">
        <v>1150</v>
      </c>
      <c r="D3152">
        <v>0.2</v>
      </c>
      <c r="F3152" t="s">
        <v>1371</v>
      </c>
      <c r="H3152" t="s">
        <v>4203</v>
      </c>
      <c r="I3152" t="s">
        <v>1467</v>
      </c>
      <c r="K3152" t="s">
        <v>5037</v>
      </c>
      <c r="L3152" t="s">
        <v>5039</v>
      </c>
    </row>
    <row r="3153" spans="1:12" x14ac:dyDescent="0.35">
      <c r="A3153" t="s">
        <v>116</v>
      </c>
      <c r="B3153" t="s">
        <v>327</v>
      </c>
      <c r="C3153" t="s">
        <v>961</v>
      </c>
      <c r="D3153">
        <v>1</v>
      </c>
      <c r="F3153" t="s">
        <v>1317</v>
      </c>
      <c r="H3153" t="s">
        <v>4205</v>
      </c>
      <c r="I3153" t="s">
        <v>1489</v>
      </c>
      <c r="K3153" t="s">
        <v>5037</v>
      </c>
      <c r="L3153" t="s">
        <v>5039</v>
      </c>
    </row>
    <row r="3154" spans="1:12" x14ac:dyDescent="0.35">
      <c r="A3154" t="s">
        <v>116</v>
      </c>
      <c r="B3154" t="s">
        <v>327</v>
      </c>
      <c r="C3154" t="s">
        <v>823</v>
      </c>
      <c r="D3154">
        <v>8.9999999999999993E-3</v>
      </c>
      <c r="F3154" t="s">
        <v>1546</v>
      </c>
      <c r="I3154" t="s">
        <v>2254</v>
      </c>
      <c r="K3154" t="s">
        <v>5037</v>
      </c>
      <c r="L3154" t="s">
        <v>5039</v>
      </c>
    </row>
    <row r="3155" spans="1:12" x14ac:dyDescent="0.35">
      <c r="A3155" t="s">
        <v>116</v>
      </c>
      <c r="B3155" t="s">
        <v>327</v>
      </c>
      <c r="C3155" t="s">
        <v>967</v>
      </c>
      <c r="D3155">
        <v>8.9999999999999993E-3</v>
      </c>
      <c r="F3155" t="s">
        <v>1546</v>
      </c>
      <c r="H3155" t="s">
        <v>4206</v>
      </c>
      <c r="I3155" t="s">
        <v>2360</v>
      </c>
      <c r="K3155" t="s">
        <v>5037</v>
      </c>
      <c r="L3155" t="s">
        <v>5039</v>
      </c>
    </row>
    <row r="3156" spans="1:12" x14ac:dyDescent="0.35">
      <c r="A3156" t="s">
        <v>116</v>
      </c>
      <c r="B3156" t="s">
        <v>327</v>
      </c>
      <c r="C3156" t="s">
        <v>823</v>
      </c>
      <c r="D3156">
        <v>2.3E-2</v>
      </c>
      <c r="F3156" t="s">
        <v>1457</v>
      </c>
      <c r="H3156" t="s">
        <v>4200</v>
      </c>
      <c r="I3156" t="s">
        <v>2331</v>
      </c>
      <c r="K3156" t="s">
        <v>5037</v>
      </c>
      <c r="L3156" t="s">
        <v>5039</v>
      </c>
    </row>
    <row r="3157" spans="1:12" x14ac:dyDescent="0.35">
      <c r="A3157" t="s">
        <v>116</v>
      </c>
      <c r="B3157" t="s">
        <v>327</v>
      </c>
      <c r="C3157" t="s">
        <v>1065</v>
      </c>
      <c r="D3157">
        <v>2.3E-2</v>
      </c>
      <c r="F3157" t="s">
        <v>1457</v>
      </c>
      <c r="H3157" t="s">
        <v>4201</v>
      </c>
      <c r="I3157" t="s">
        <v>4951</v>
      </c>
      <c r="K3157" t="s">
        <v>5037</v>
      </c>
      <c r="L3157" t="s">
        <v>5039</v>
      </c>
    </row>
    <row r="3158" spans="1:12" x14ac:dyDescent="0.35">
      <c r="A3158" t="s">
        <v>116</v>
      </c>
      <c r="B3158" t="s">
        <v>327</v>
      </c>
      <c r="C3158" t="s">
        <v>1070</v>
      </c>
      <c r="D3158">
        <v>0.25</v>
      </c>
      <c r="F3158" t="s">
        <v>1403</v>
      </c>
      <c r="H3158" t="s">
        <v>4202</v>
      </c>
      <c r="I3158" t="s">
        <v>4897</v>
      </c>
      <c r="K3158" t="s">
        <v>5037</v>
      </c>
      <c r="L3158" t="s">
        <v>5039</v>
      </c>
    </row>
    <row r="3159" spans="1:12" x14ac:dyDescent="0.35">
      <c r="A3159" t="s">
        <v>116</v>
      </c>
      <c r="B3159" t="s">
        <v>327</v>
      </c>
      <c r="C3159" t="s">
        <v>1084</v>
      </c>
      <c r="D3159">
        <v>0.28000000000000003</v>
      </c>
      <c r="F3159" t="s">
        <v>1732</v>
      </c>
      <c r="I3159" t="s">
        <v>2254</v>
      </c>
      <c r="K3159" t="s">
        <v>5037</v>
      </c>
      <c r="L3159" t="s">
        <v>5039</v>
      </c>
    </row>
    <row r="3160" spans="1:12" x14ac:dyDescent="0.35">
      <c r="A3160" t="s">
        <v>116</v>
      </c>
      <c r="B3160" t="s">
        <v>327</v>
      </c>
      <c r="C3160" t="s">
        <v>708</v>
      </c>
      <c r="D3160">
        <v>2.5000000000000001E-3</v>
      </c>
      <c r="F3160" t="s">
        <v>2130</v>
      </c>
      <c r="I3160" t="s">
        <v>1526</v>
      </c>
      <c r="K3160" t="s">
        <v>5037</v>
      </c>
      <c r="L3160" t="s">
        <v>5039</v>
      </c>
    </row>
    <row r="3161" spans="1:12" x14ac:dyDescent="0.35">
      <c r="A3161" t="s">
        <v>116</v>
      </c>
      <c r="B3161" t="s">
        <v>327</v>
      </c>
      <c r="C3161" t="s">
        <v>967</v>
      </c>
      <c r="D3161">
        <v>0.8</v>
      </c>
      <c r="F3161" t="s">
        <v>1319</v>
      </c>
      <c r="I3161" t="s">
        <v>2051</v>
      </c>
      <c r="K3161" t="s">
        <v>5037</v>
      </c>
      <c r="L3161" t="s">
        <v>5039</v>
      </c>
    </row>
    <row r="3162" spans="1:12" x14ac:dyDescent="0.35">
      <c r="A3162" t="s">
        <v>116</v>
      </c>
      <c r="B3162" t="s">
        <v>327</v>
      </c>
      <c r="C3162" t="s">
        <v>956</v>
      </c>
      <c r="D3162">
        <v>2.4</v>
      </c>
      <c r="F3162" t="s">
        <v>1433</v>
      </c>
      <c r="I3162" t="s">
        <v>1526</v>
      </c>
      <c r="K3162" t="s">
        <v>5037</v>
      </c>
      <c r="L3162" t="s">
        <v>5039</v>
      </c>
    </row>
    <row r="3163" spans="1:12" x14ac:dyDescent="0.35">
      <c r="A3163" t="s">
        <v>116</v>
      </c>
      <c r="B3163" t="s">
        <v>327</v>
      </c>
      <c r="C3163" t="s">
        <v>961</v>
      </c>
      <c r="D3163">
        <v>1.8</v>
      </c>
      <c r="F3163" t="s">
        <v>1375</v>
      </c>
      <c r="I3163" t="s">
        <v>1533</v>
      </c>
      <c r="K3163" t="s">
        <v>5037</v>
      </c>
      <c r="L3163" t="s">
        <v>5039</v>
      </c>
    </row>
    <row r="3164" spans="1:12" x14ac:dyDescent="0.35">
      <c r="A3164" t="s">
        <v>116</v>
      </c>
      <c r="B3164" t="s">
        <v>327</v>
      </c>
      <c r="C3164" t="s">
        <v>957</v>
      </c>
      <c r="D3164">
        <v>0.23</v>
      </c>
      <c r="F3164" t="s">
        <v>1362</v>
      </c>
      <c r="H3164" t="s">
        <v>4194</v>
      </c>
      <c r="I3164" t="s">
        <v>1467</v>
      </c>
      <c r="K3164" t="s">
        <v>5037</v>
      </c>
      <c r="L3164" t="s">
        <v>5039</v>
      </c>
    </row>
    <row r="3165" spans="1:12" x14ac:dyDescent="0.35">
      <c r="A3165" t="s">
        <v>116</v>
      </c>
      <c r="B3165" t="s">
        <v>327</v>
      </c>
      <c r="C3165" t="s">
        <v>1151</v>
      </c>
      <c r="D3165">
        <v>2.8000000000000001E-2</v>
      </c>
      <c r="F3165" t="s">
        <v>2039</v>
      </c>
      <c r="H3165" t="s">
        <v>4200</v>
      </c>
      <c r="I3165" t="s">
        <v>2331</v>
      </c>
      <c r="K3165" t="s">
        <v>5037</v>
      </c>
      <c r="L3165" t="s">
        <v>5039</v>
      </c>
    </row>
    <row r="3166" spans="1:12" x14ac:dyDescent="0.35">
      <c r="A3166" t="s">
        <v>116</v>
      </c>
      <c r="B3166" t="s">
        <v>327</v>
      </c>
      <c r="C3166" t="s">
        <v>951</v>
      </c>
      <c r="D3166">
        <v>0.15</v>
      </c>
      <c r="F3166" t="s">
        <v>1269</v>
      </c>
      <c r="I3166" t="s">
        <v>4869</v>
      </c>
      <c r="K3166" t="s">
        <v>5037</v>
      </c>
      <c r="L3166" t="s">
        <v>5039</v>
      </c>
    </row>
    <row r="3167" spans="1:12" x14ac:dyDescent="0.35">
      <c r="A3167" t="s">
        <v>116</v>
      </c>
      <c r="B3167" t="s">
        <v>327</v>
      </c>
      <c r="C3167" t="s">
        <v>886</v>
      </c>
      <c r="D3167">
        <v>3.5999999999999999E-3</v>
      </c>
      <c r="F3167" t="s">
        <v>1794</v>
      </c>
      <c r="H3167" t="s">
        <v>4207</v>
      </c>
      <c r="I3167" t="s">
        <v>4897</v>
      </c>
      <c r="K3167" t="s">
        <v>5037</v>
      </c>
      <c r="L3167" t="s">
        <v>5039</v>
      </c>
    </row>
    <row r="3168" spans="1:12" x14ac:dyDescent="0.35">
      <c r="A3168" t="s">
        <v>116</v>
      </c>
      <c r="B3168" t="s">
        <v>327</v>
      </c>
      <c r="C3168" t="s">
        <v>1152</v>
      </c>
      <c r="D3168">
        <v>3.5999999999999999E-3</v>
      </c>
      <c r="F3168" t="s">
        <v>1794</v>
      </c>
      <c r="H3168" t="s">
        <v>4202</v>
      </c>
      <c r="I3168" t="s">
        <v>4897</v>
      </c>
      <c r="K3168" t="s">
        <v>5037</v>
      </c>
      <c r="L3168" t="s">
        <v>5039</v>
      </c>
    </row>
    <row r="3169" spans="1:12" x14ac:dyDescent="0.35">
      <c r="A3169" t="s">
        <v>116</v>
      </c>
      <c r="B3169" t="s">
        <v>327</v>
      </c>
      <c r="C3169" t="s">
        <v>708</v>
      </c>
      <c r="D3169">
        <v>1.0999999999999999E-2</v>
      </c>
      <c r="F3169" t="s">
        <v>1612</v>
      </c>
      <c r="H3169" t="s">
        <v>4208</v>
      </c>
      <c r="I3169" t="s">
        <v>1526</v>
      </c>
      <c r="K3169" t="s">
        <v>5037</v>
      </c>
      <c r="L3169" t="s">
        <v>5039</v>
      </c>
    </row>
    <row r="3170" spans="1:12" x14ac:dyDescent="0.35">
      <c r="A3170" t="s">
        <v>116</v>
      </c>
      <c r="B3170" t="s">
        <v>327</v>
      </c>
      <c r="C3170" t="s">
        <v>818</v>
      </c>
      <c r="D3170">
        <v>1.0999999999999999E-2</v>
      </c>
      <c r="F3170" t="s">
        <v>1612</v>
      </c>
      <c r="H3170" t="s">
        <v>4195</v>
      </c>
      <c r="I3170" t="s">
        <v>2331</v>
      </c>
      <c r="K3170" t="s">
        <v>5037</v>
      </c>
      <c r="L3170" t="s">
        <v>5039</v>
      </c>
    </row>
    <row r="3171" spans="1:12" x14ac:dyDescent="0.35">
      <c r="A3171" t="s">
        <v>116</v>
      </c>
      <c r="B3171" t="s">
        <v>327</v>
      </c>
      <c r="C3171" t="s">
        <v>1145</v>
      </c>
      <c r="D3171">
        <v>1.0999999999999999E-2</v>
      </c>
      <c r="F3171" t="s">
        <v>1612</v>
      </c>
      <c r="H3171" t="s">
        <v>4206</v>
      </c>
      <c r="I3171" t="s">
        <v>2360</v>
      </c>
      <c r="K3171" t="s">
        <v>5037</v>
      </c>
      <c r="L3171" t="s">
        <v>5039</v>
      </c>
    </row>
    <row r="3172" spans="1:12" x14ac:dyDescent="0.35">
      <c r="A3172" t="s">
        <v>116</v>
      </c>
      <c r="B3172" t="s">
        <v>327</v>
      </c>
      <c r="C3172" t="s">
        <v>1065</v>
      </c>
      <c r="D3172">
        <v>1.0999999999999999E-2</v>
      </c>
      <c r="F3172" t="s">
        <v>1612</v>
      </c>
      <c r="H3172" t="s">
        <v>4209</v>
      </c>
      <c r="I3172" t="s">
        <v>4951</v>
      </c>
      <c r="K3172" t="s">
        <v>5037</v>
      </c>
      <c r="L3172" t="s">
        <v>5039</v>
      </c>
    </row>
    <row r="3173" spans="1:12" x14ac:dyDescent="0.35">
      <c r="A3173" t="s">
        <v>116</v>
      </c>
      <c r="B3173" t="s">
        <v>327</v>
      </c>
      <c r="C3173" t="s">
        <v>1144</v>
      </c>
      <c r="D3173">
        <v>1.0999999999999999E-2</v>
      </c>
      <c r="F3173" t="s">
        <v>1612</v>
      </c>
      <c r="H3173" t="s">
        <v>4196</v>
      </c>
      <c r="I3173" t="s">
        <v>2331</v>
      </c>
      <c r="K3173" t="s">
        <v>5037</v>
      </c>
      <c r="L3173" t="s">
        <v>5039</v>
      </c>
    </row>
    <row r="3174" spans="1:12" x14ac:dyDescent="0.35">
      <c r="A3174" t="s">
        <v>116</v>
      </c>
      <c r="B3174" t="s">
        <v>327</v>
      </c>
      <c r="C3174" t="s">
        <v>967</v>
      </c>
      <c r="D3174">
        <v>1.2</v>
      </c>
      <c r="F3174" t="s">
        <v>1421</v>
      </c>
      <c r="I3174" t="s">
        <v>1526</v>
      </c>
      <c r="K3174" t="s">
        <v>5037</v>
      </c>
      <c r="L3174" t="s">
        <v>5039</v>
      </c>
    </row>
    <row r="3175" spans="1:12" x14ac:dyDescent="0.35">
      <c r="A3175" t="s">
        <v>116</v>
      </c>
      <c r="B3175" t="s">
        <v>327</v>
      </c>
      <c r="C3175" t="s">
        <v>855</v>
      </c>
      <c r="D3175">
        <v>4.3</v>
      </c>
      <c r="F3175" t="s">
        <v>1674</v>
      </c>
      <c r="H3175" t="s">
        <v>4210</v>
      </c>
      <c r="I3175" t="s">
        <v>1489</v>
      </c>
      <c r="K3175" t="s">
        <v>5037</v>
      </c>
      <c r="L3175" t="s">
        <v>5039</v>
      </c>
    </row>
    <row r="3176" spans="1:12" x14ac:dyDescent="0.35">
      <c r="A3176" t="s">
        <v>116</v>
      </c>
      <c r="B3176" t="s">
        <v>327</v>
      </c>
      <c r="C3176" t="s">
        <v>708</v>
      </c>
      <c r="D3176">
        <v>7.0000000000000001E-3</v>
      </c>
      <c r="F3176" t="s">
        <v>1261</v>
      </c>
      <c r="H3176" t="s">
        <v>4211</v>
      </c>
      <c r="I3176" t="s">
        <v>1526</v>
      </c>
      <c r="K3176" t="s">
        <v>5037</v>
      </c>
      <c r="L3176" t="s">
        <v>5039</v>
      </c>
    </row>
    <row r="3177" spans="1:12" x14ac:dyDescent="0.35">
      <c r="A3177" t="s">
        <v>116</v>
      </c>
      <c r="B3177" t="s">
        <v>327</v>
      </c>
      <c r="C3177" t="s">
        <v>951</v>
      </c>
      <c r="D3177">
        <v>7.0000000000000001E-3</v>
      </c>
      <c r="F3177" t="s">
        <v>1261</v>
      </c>
      <c r="H3177" t="s">
        <v>4212</v>
      </c>
      <c r="I3177" t="s">
        <v>1467</v>
      </c>
      <c r="K3177" t="s">
        <v>5037</v>
      </c>
      <c r="L3177" t="s">
        <v>5039</v>
      </c>
    </row>
    <row r="3178" spans="1:12" x14ac:dyDescent="0.35">
      <c r="A3178" t="s">
        <v>116</v>
      </c>
      <c r="B3178" t="s">
        <v>327</v>
      </c>
      <c r="C3178" t="s">
        <v>967</v>
      </c>
      <c r="D3178">
        <v>7.0000000000000001E-3</v>
      </c>
      <c r="F3178" t="s">
        <v>1261</v>
      </c>
      <c r="H3178" t="s">
        <v>4203</v>
      </c>
      <c r="I3178" t="s">
        <v>1467</v>
      </c>
      <c r="K3178" t="s">
        <v>5037</v>
      </c>
      <c r="L3178" t="s">
        <v>5039</v>
      </c>
    </row>
    <row r="3179" spans="1:12" x14ac:dyDescent="0.35">
      <c r="A3179" t="s">
        <v>116</v>
      </c>
      <c r="B3179" t="s">
        <v>327</v>
      </c>
      <c r="C3179" t="s">
        <v>823</v>
      </c>
      <c r="D3179">
        <v>3.3000000000000002E-2</v>
      </c>
      <c r="F3179" t="s">
        <v>1340</v>
      </c>
      <c r="H3179" t="s">
        <v>4213</v>
      </c>
      <c r="I3179" t="s">
        <v>4951</v>
      </c>
      <c r="K3179" t="s">
        <v>5037</v>
      </c>
      <c r="L3179" t="s">
        <v>5039</v>
      </c>
    </row>
    <row r="3180" spans="1:12" x14ac:dyDescent="0.35">
      <c r="A3180" t="s">
        <v>116</v>
      </c>
      <c r="B3180" t="s">
        <v>327</v>
      </c>
      <c r="C3180" t="s">
        <v>818</v>
      </c>
      <c r="D3180">
        <v>3.4000000000000002E-2</v>
      </c>
      <c r="F3180" t="s">
        <v>1323</v>
      </c>
      <c r="H3180" t="s">
        <v>4200</v>
      </c>
      <c r="I3180" t="s">
        <v>2331</v>
      </c>
      <c r="K3180" t="s">
        <v>5037</v>
      </c>
      <c r="L3180" t="s">
        <v>5039</v>
      </c>
    </row>
    <row r="3181" spans="1:12" x14ac:dyDescent="0.35">
      <c r="A3181" t="s">
        <v>116</v>
      </c>
      <c r="B3181" t="s">
        <v>327</v>
      </c>
      <c r="C3181" t="s">
        <v>1153</v>
      </c>
      <c r="D3181">
        <v>3.4000000000000002E-2</v>
      </c>
      <c r="F3181" t="s">
        <v>1323</v>
      </c>
      <c r="H3181" t="s">
        <v>4212</v>
      </c>
      <c r="I3181" t="s">
        <v>1467</v>
      </c>
      <c r="K3181" t="s">
        <v>5037</v>
      </c>
      <c r="L3181" t="s">
        <v>5039</v>
      </c>
    </row>
    <row r="3182" spans="1:12" x14ac:dyDescent="0.35">
      <c r="A3182" t="s">
        <v>116</v>
      </c>
      <c r="B3182" t="s">
        <v>327</v>
      </c>
      <c r="C3182" t="s">
        <v>967</v>
      </c>
      <c r="D3182">
        <v>0.08</v>
      </c>
      <c r="F3182" t="s">
        <v>1402</v>
      </c>
      <c r="H3182" t="s">
        <v>4197</v>
      </c>
      <c r="I3182" t="s">
        <v>1454</v>
      </c>
      <c r="K3182" t="s">
        <v>5037</v>
      </c>
      <c r="L3182" t="s">
        <v>5039</v>
      </c>
    </row>
    <row r="3183" spans="1:12" x14ac:dyDescent="0.35">
      <c r="A3183" t="s">
        <v>116</v>
      </c>
      <c r="B3183" t="s">
        <v>327</v>
      </c>
      <c r="C3183" t="s">
        <v>855</v>
      </c>
      <c r="D3183">
        <v>8.5000000000000006E-2</v>
      </c>
      <c r="F3183" t="s">
        <v>1459</v>
      </c>
      <c r="H3183" t="s">
        <v>4214</v>
      </c>
      <c r="I3183" t="s">
        <v>1489</v>
      </c>
      <c r="K3183" t="s">
        <v>5037</v>
      </c>
      <c r="L3183" t="s">
        <v>5039</v>
      </c>
    </row>
    <row r="3184" spans="1:12" x14ac:dyDescent="0.35">
      <c r="A3184" t="s">
        <v>116</v>
      </c>
      <c r="B3184" t="s">
        <v>327</v>
      </c>
      <c r="C3184" t="s">
        <v>961</v>
      </c>
      <c r="D3184">
        <v>0.84</v>
      </c>
      <c r="F3184" t="s">
        <v>1673</v>
      </c>
      <c r="H3184" t="s">
        <v>4215</v>
      </c>
      <c r="I3184" t="s">
        <v>1458</v>
      </c>
      <c r="K3184" t="s">
        <v>5037</v>
      </c>
      <c r="L3184" t="s">
        <v>5039</v>
      </c>
    </row>
    <row r="3185" spans="1:12" x14ac:dyDescent="0.35">
      <c r="A3185" t="s">
        <v>116</v>
      </c>
      <c r="B3185" t="s">
        <v>327</v>
      </c>
      <c r="C3185" t="s">
        <v>1147</v>
      </c>
      <c r="D3185">
        <v>1.7000000000000001E-2</v>
      </c>
      <c r="F3185" t="s">
        <v>1363</v>
      </c>
      <c r="H3185" t="s">
        <v>4200</v>
      </c>
      <c r="I3185" t="s">
        <v>2331</v>
      </c>
      <c r="K3185" t="s">
        <v>5037</v>
      </c>
      <c r="L3185" t="s">
        <v>5039</v>
      </c>
    </row>
    <row r="3186" spans="1:12" x14ac:dyDescent="0.35">
      <c r="A3186" t="s">
        <v>116</v>
      </c>
      <c r="B3186" t="s">
        <v>327</v>
      </c>
      <c r="C3186" t="s">
        <v>1074</v>
      </c>
      <c r="D3186">
        <v>4.5999999999999999E-2</v>
      </c>
      <c r="F3186" t="s">
        <v>1821</v>
      </c>
      <c r="H3186" t="s">
        <v>4202</v>
      </c>
      <c r="I3186" t="s">
        <v>4897</v>
      </c>
      <c r="K3186" t="s">
        <v>5037</v>
      </c>
      <c r="L3186" t="s">
        <v>5039</v>
      </c>
    </row>
    <row r="3187" spans="1:12" x14ac:dyDescent="0.35">
      <c r="A3187" t="s">
        <v>116</v>
      </c>
      <c r="B3187" t="s">
        <v>327</v>
      </c>
      <c r="C3187" t="s">
        <v>855</v>
      </c>
      <c r="D3187">
        <v>0.33</v>
      </c>
      <c r="F3187" t="s">
        <v>1397</v>
      </c>
      <c r="H3187" t="s">
        <v>4205</v>
      </c>
      <c r="I3187" t="s">
        <v>1489</v>
      </c>
      <c r="K3187" t="s">
        <v>5037</v>
      </c>
      <c r="L3187" t="s">
        <v>5039</v>
      </c>
    </row>
    <row r="3188" spans="1:12" x14ac:dyDescent="0.35">
      <c r="A3188" t="s">
        <v>116</v>
      </c>
      <c r="B3188" t="s">
        <v>327</v>
      </c>
      <c r="C3188" t="s">
        <v>1064</v>
      </c>
      <c r="D3188">
        <v>0.13</v>
      </c>
      <c r="F3188" t="s">
        <v>1466</v>
      </c>
      <c r="I3188" t="s">
        <v>2254</v>
      </c>
      <c r="K3188" t="s">
        <v>5037</v>
      </c>
      <c r="L3188" t="s">
        <v>5039</v>
      </c>
    </row>
    <row r="3189" spans="1:12" x14ac:dyDescent="0.35">
      <c r="A3189" t="s">
        <v>116</v>
      </c>
      <c r="B3189" t="s">
        <v>327</v>
      </c>
      <c r="C3189" t="s">
        <v>709</v>
      </c>
      <c r="D3189">
        <v>0.34</v>
      </c>
      <c r="F3189" t="s">
        <v>1327</v>
      </c>
      <c r="I3189" t="s">
        <v>4869</v>
      </c>
      <c r="K3189" t="s">
        <v>5037</v>
      </c>
      <c r="L3189" t="s">
        <v>5039</v>
      </c>
    </row>
    <row r="3190" spans="1:12" x14ac:dyDescent="0.35">
      <c r="A3190" t="s">
        <v>116</v>
      </c>
      <c r="B3190" t="s">
        <v>327</v>
      </c>
      <c r="C3190" t="s">
        <v>1151</v>
      </c>
      <c r="D3190">
        <v>2.4E-2</v>
      </c>
      <c r="F3190" t="s">
        <v>1620</v>
      </c>
      <c r="H3190" t="s">
        <v>4204</v>
      </c>
      <c r="I3190" t="s">
        <v>2331</v>
      </c>
      <c r="K3190" t="s">
        <v>5037</v>
      </c>
      <c r="L3190" t="s">
        <v>5039</v>
      </c>
    </row>
    <row r="3191" spans="1:12" x14ac:dyDescent="0.35">
      <c r="A3191" t="s">
        <v>116</v>
      </c>
      <c r="B3191" t="s">
        <v>327</v>
      </c>
      <c r="C3191" t="s">
        <v>1073</v>
      </c>
      <c r="D3191">
        <v>3.5000000000000003E-2</v>
      </c>
      <c r="F3191" t="s">
        <v>1341</v>
      </c>
      <c r="H3191" t="s">
        <v>4209</v>
      </c>
      <c r="I3191" t="s">
        <v>4951</v>
      </c>
      <c r="K3191" t="s">
        <v>5037</v>
      </c>
      <c r="L3191" t="s">
        <v>5039</v>
      </c>
    </row>
    <row r="3192" spans="1:12" x14ac:dyDescent="0.35">
      <c r="A3192" t="s">
        <v>116</v>
      </c>
      <c r="B3192" t="s">
        <v>327</v>
      </c>
      <c r="C3192" t="s">
        <v>957</v>
      </c>
      <c r="D3192">
        <v>4.8000000000000001E-2</v>
      </c>
      <c r="F3192" t="s">
        <v>1434</v>
      </c>
      <c r="I3192" t="s">
        <v>2254</v>
      </c>
      <c r="K3192" t="s">
        <v>5037</v>
      </c>
      <c r="L3192" t="s">
        <v>5039</v>
      </c>
    </row>
    <row r="3193" spans="1:12" x14ac:dyDescent="0.35">
      <c r="A3193" t="s">
        <v>116</v>
      </c>
      <c r="B3193" t="s">
        <v>327</v>
      </c>
      <c r="C3193" t="s">
        <v>961</v>
      </c>
      <c r="D3193">
        <v>9</v>
      </c>
      <c r="F3193" t="s">
        <v>1367</v>
      </c>
      <c r="H3193" t="s">
        <v>4216</v>
      </c>
      <c r="I3193" t="s">
        <v>2360</v>
      </c>
      <c r="K3193" t="s">
        <v>5037</v>
      </c>
      <c r="L3193" t="s">
        <v>5039</v>
      </c>
    </row>
    <row r="3194" spans="1:12" x14ac:dyDescent="0.35">
      <c r="A3194" t="s">
        <v>116</v>
      </c>
      <c r="B3194" t="s">
        <v>327</v>
      </c>
      <c r="C3194" t="s">
        <v>1064</v>
      </c>
      <c r="D3194">
        <v>17</v>
      </c>
      <c r="F3194" t="s">
        <v>1383</v>
      </c>
      <c r="I3194" t="s">
        <v>2051</v>
      </c>
      <c r="K3194" t="s">
        <v>5037</v>
      </c>
      <c r="L3194" t="s">
        <v>5039</v>
      </c>
    </row>
    <row r="3195" spans="1:12" x14ac:dyDescent="0.35">
      <c r="A3195" t="s">
        <v>116</v>
      </c>
      <c r="B3195" t="s">
        <v>327</v>
      </c>
      <c r="C3195" t="s">
        <v>1149</v>
      </c>
      <c r="D3195">
        <v>2.5999999999999999E-2</v>
      </c>
      <c r="F3195" t="s">
        <v>1737</v>
      </c>
      <c r="H3195" t="s">
        <v>4200</v>
      </c>
      <c r="I3195" t="s">
        <v>2331</v>
      </c>
      <c r="K3195" t="s">
        <v>5037</v>
      </c>
      <c r="L3195" t="s">
        <v>5039</v>
      </c>
    </row>
    <row r="3196" spans="1:12" x14ac:dyDescent="0.35">
      <c r="A3196" t="s">
        <v>116</v>
      </c>
      <c r="B3196" t="s">
        <v>327</v>
      </c>
      <c r="C3196" t="s">
        <v>961</v>
      </c>
      <c r="D3196">
        <v>0.63</v>
      </c>
      <c r="F3196" t="s">
        <v>1931</v>
      </c>
      <c r="H3196" t="s">
        <v>4217</v>
      </c>
      <c r="I3196" t="s">
        <v>1489</v>
      </c>
      <c r="K3196" t="s">
        <v>5037</v>
      </c>
      <c r="L3196" t="s">
        <v>5039</v>
      </c>
    </row>
    <row r="3197" spans="1:12" x14ac:dyDescent="0.35">
      <c r="A3197" t="s">
        <v>116</v>
      </c>
      <c r="B3197" t="s">
        <v>327</v>
      </c>
      <c r="C3197" t="s">
        <v>1153</v>
      </c>
      <c r="D3197">
        <v>11</v>
      </c>
      <c r="F3197" t="s">
        <v>1841</v>
      </c>
      <c r="I3197" t="s">
        <v>1526</v>
      </c>
      <c r="K3197" t="s">
        <v>5037</v>
      </c>
      <c r="L3197" t="s">
        <v>5039</v>
      </c>
    </row>
    <row r="3198" spans="1:12" x14ac:dyDescent="0.35">
      <c r="A3198" t="s">
        <v>116</v>
      </c>
      <c r="B3198" t="s">
        <v>327</v>
      </c>
      <c r="C3198" t="s">
        <v>961</v>
      </c>
      <c r="D3198">
        <v>1.6</v>
      </c>
      <c r="F3198" t="s">
        <v>1328</v>
      </c>
      <c r="H3198" t="s">
        <v>4199</v>
      </c>
      <c r="I3198" t="s">
        <v>1383</v>
      </c>
      <c r="K3198" t="s">
        <v>5037</v>
      </c>
      <c r="L3198" t="s">
        <v>5039</v>
      </c>
    </row>
    <row r="3199" spans="1:12" x14ac:dyDescent="0.35">
      <c r="A3199" t="s">
        <v>116</v>
      </c>
      <c r="B3199" t="s">
        <v>327</v>
      </c>
      <c r="C3199" t="s">
        <v>961</v>
      </c>
      <c r="D3199">
        <v>4.2</v>
      </c>
      <c r="F3199" t="s">
        <v>1868</v>
      </c>
      <c r="H3199" t="s">
        <v>4218</v>
      </c>
      <c r="I3199" t="s">
        <v>4992</v>
      </c>
      <c r="K3199" t="s">
        <v>5037</v>
      </c>
      <c r="L3199" t="s">
        <v>5039</v>
      </c>
    </row>
    <row r="3200" spans="1:12" x14ac:dyDescent="0.35">
      <c r="A3200" t="s">
        <v>116</v>
      </c>
      <c r="B3200" t="s">
        <v>327</v>
      </c>
      <c r="C3200" t="s">
        <v>967</v>
      </c>
      <c r="D3200">
        <v>1.6E-2</v>
      </c>
      <c r="F3200" t="s">
        <v>1614</v>
      </c>
      <c r="H3200" t="s">
        <v>4182</v>
      </c>
      <c r="I3200" t="s">
        <v>2360</v>
      </c>
      <c r="K3200" t="s">
        <v>5037</v>
      </c>
      <c r="L3200" t="s">
        <v>5039</v>
      </c>
    </row>
    <row r="3201" spans="1:12" x14ac:dyDescent="0.35">
      <c r="A3201" t="s">
        <v>116</v>
      </c>
      <c r="B3201" t="s">
        <v>327</v>
      </c>
      <c r="C3201" t="s">
        <v>1154</v>
      </c>
      <c r="D3201">
        <v>5.6000000000000001E-2</v>
      </c>
      <c r="F3201" t="s">
        <v>1462</v>
      </c>
      <c r="I3201" t="s">
        <v>1841</v>
      </c>
      <c r="K3201" t="s">
        <v>5037</v>
      </c>
      <c r="L3201" t="s">
        <v>5039</v>
      </c>
    </row>
    <row r="3202" spans="1:12" x14ac:dyDescent="0.35">
      <c r="A3202" t="s">
        <v>116</v>
      </c>
      <c r="B3202" t="s">
        <v>327</v>
      </c>
      <c r="C3202" t="s">
        <v>1080</v>
      </c>
      <c r="D3202">
        <v>0.91</v>
      </c>
      <c r="F3202" t="s">
        <v>1874</v>
      </c>
      <c r="I3202" t="s">
        <v>4869</v>
      </c>
      <c r="K3202" t="s">
        <v>5037</v>
      </c>
      <c r="L3202" t="s">
        <v>5039</v>
      </c>
    </row>
    <row r="3203" spans="1:12" x14ac:dyDescent="0.35">
      <c r="A3203" t="s">
        <v>116</v>
      </c>
      <c r="B3203" t="s">
        <v>327</v>
      </c>
      <c r="C3203" t="s">
        <v>1061</v>
      </c>
      <c r="D3203">
        <v>50</v>
      </c>
      <c r="F3203" t="s">
        <v>1359</v>
      </c>
      <c r="H3203" t="s">
        <v>4197</v>
      </c>
      <c r="I3203" t="s">
        <v>1454</v>
      </c>
      <c r="K3203" t="s">
        <v>5037</v>
      </c>
      <c r="L3203" t="s">
        <v>5039</v>
      </c>
    </row>
    <row r="3204" spans="1:12" x14ac:dyDescent="0.35">
      <c r="A3204" t="s">
        <v>116</v>
      </c>
      <c r="B3204" t="s">
        <v>327</v>
      </c>
      <c r="C3204" t="s">
        <v>708</v>
      </c>
      <c r="D3204">
        <v>260</v>
      </c>
      <c r="F3204" t="s">
        <v>2328</v>
      </c>
      <c r="H3204" t="s">
        <v>4219</v>
      </c>
      <c r="I3204" t="s">
        <v>1458</v>
      </c>
      <c r="K3204" t="s">
        <v>5037</v>
      </c>
      <c r="L3204" t="s">
        <v>5039</v>
      </c>
    </row>
    <row r="3205" spans="1:12" x14ac:dyDescent="0.35">
      <c r="A3205" t="s">
        <v>116</v>
      </c>
      <c r="B3205" t="s">
        <v>327</v>
      </c>
      <c r="C3205" t="s">
        <v>957</v>
      </c>
      <c r="D3205">
        <v>4.7E-2</v>
      </c>
      <c r="F3205" t="s">
        <v>1615</v>
      </c>
      <c r="I3205" t="s">
        <v>4869</v>
      </c>
      <c r="K3205" t="s">
        <v>5037</v>
      </c>
      <c r="L3205" t="s">
        <v>5039</v>
      </c>
    </row>
    <row r="3206" spans="1:12" x14ac:dyDescent="0.35">
      <c r="A3206" t="s">
        <v>116</v>
      </c>
      <c r="B3206" t="s">
        <v>327</v>
      </c>
      <c r="C3206" t="s">
        <v>687</v>
      </c>
      <c r="D3206">
        <v>150</v>
      </c>
      <c r="F3206" t="s">
        <v>1892</v>
      </c>
      <c r="H3206" t="s">
        <v>4197</v>
      </c>
      <c r="I3206" t="s">
        <v>1454</v>
      </c>
      <c r="K3206" t="s">
        <v>5037</v>
      </c>
      <c r="L3206" t="s">
        <v>5039</v>
      </c>
    </row>
    <row r="3207" spans="1:12" x14ac:dyDescent="0.35">
      <c r="A3207" t="s">
        <v>116</v>
      </c>
      <c r="B3207" t="s">
        <v>327</v>
      </c>
      <c r="C3207" t="s">
        <v>855</v>
      </c>
      <c r="D3207">
        <v>0.24</v>
      </c>
      <c r="F3207" t="s">
        <v>1488</v>
      </c>
      <c r="H3207" t="s">
        <v>4220</v>
      </c>
      <c r="I3207" t="s">
        <v>1489</v>
      </c>
      <c r="K3207" t="s">
        <v>5037</v>
      </c>
      <c r="L3207" t="s">
        <v>5039</v>
      </c>
    </row>
    <row r="3208" spans="1:12" x14ac:dyDescent="0.35">
      <c r="A3208" t="s">
        <v>116</v>
      </c>
      <c r="B3208" t="s">
        <v>327</v>
      </c>
      <c r="C3208" t="s">
        <v>1078</v>
      </c>
      <c r="D3208">
        <v>0.24</v>
      </c>
      <c r="F3208" t="s">
        <v>1488</v>
      </c>
      <c r="I3208" t="s">
        <v>4869</v>
      </c>
      <c r="K3208" t="s">
        <v>5037</v>
      </c>
      <c r="L3208" t="s">
        <v>5039</v>
      </c>
    </row>
    <row r="3209" spans="1:12" x14ac:dyDescent="0.35">
      <c r="A3209" t="s">
        <v>116</v>
      </c>
      <c r="B3209" t="s">
        <v>327</v>
      </c>
      <c r="C3209" t="s">
        <v>961</v>
      </c>
      <c r="D3209">
        <v>0.94</v>
      </c>
      <c r="F3209" t="s">
        <v>1651</v>
      </c>
      <c r="H3209" t="s">
        <v>4221</v>
      </c>
      <c r="I3209" t="s">
        <v>1489</v>
      </c>
      <c r="K3209" t="s">
        <v>5037</v>
      </c>
      <c r="L3209" t="s">
        <v>5039</v>
      </c>
    </row>
    <row r="3210" spans="1:12" x14ac:dyDescent="0.35">
      <c r="A3210" t="s">
        <v>116</v>
      </c>
      <c r="B3210" t="s">
        <v>327</v>
      </c>
      <c r="C3210" t="s">
        <v>687</v>
      </c>
      <c r="D3210">
        <v>10.4</v>
      </c>
      <c r="F3210" t="s">
        <v>1876</v>
      </c>
      <c r="I3210" t="s">
        <v>1450</v>
      </c>
      <c r="K3210" t="s">
        <v>5037</v>
      </c>
      <c r="L3210" t="s">
        <v>5039</v>
      </c>
    </row>
    <row r="3211" spans="1:12" x14ac:dyDescent="0.35">
      <c r="A3211" t="s">
        <v>116</v>
      </c>
      <c r="B3211" t="s">
        <v>327</v>
      </c>
      <c r="C3211" t="s">
        <v>855</v>
      </c>
      <c r="D3211">
        <v>3.4</v>
      </c>
      <c r="F3211" t="s">
        <v>1706</v>
      </c>
      <c r="H3211" t="s">
        <v>4222</v>
      </c>
      <c r="I3211" t="s">
        <v>1458</v>
      </c>
      <c r="K3211" t="s">
        <v>5037</v>
      </c>
      <c r="L3211" t="s">
        <v>5039</v>
      </c>
    </row>
    <row r="3212" spans="1:12" x14ac:dyDescent="0.35">
      <c r="A3212" t="s">
        <v>116</v>
      </c>
      <c r="B3212" t="s">
        <v>327</v>
      </c>
      <c r="C3212" t="s">
        <v>708</v>
      </c>
      <c r="D3212">
        <v>6.4</v>
      </c>
      <c r="F3212" t="s">
        <v>1771</v>
      </c>
      <c r="H3212" t="s">
        <v>4223</v>
      </c>
      <c r="I3212" t="s">
        <v>1458</v>
      </c>
      <c r="K3212" t="s">
        <v>5037</v>
      </c>
      <c r="L3212" t="s">
        <v>5039</v>
      </c>
    </row>
    <row r="3213" spans="1:12" x14ac:dyDescent="0.35">
      <c r="A3213" t="s">
        <v>116</v>
      </c>
      <c r="B3213" t="s">
        <v>327</v>
      </c>
      <c r="C3213" t="s">
        <v>1084</v>
      </c>
      <c r="D3213">
        <v>4.3999999999999997E-2</v>
      </c>
      <c r="F3213" t="s">
        <v>1429</v>
      </c>
      <c r="I3213" t="s">
        <v>4869</v>
      </c>
      <c r="K3213" t="s">
        <v>5037</v>
      </c>
      <c r="L3213" t="s">
        <v>5039</v>
      </c>
    </row>
    <row r="3214" spans="1:12" x14ac:dyDescent="0.35">
      <c r="A3214" t="s">
        <v>116</v>
      </c>
      <c r="B3214" t="s">
        <v>327</v>
      </c>
      <c r="C3214" t="s">
        <v>1068</v>
      </c>
      <c r="D3214">
        <v>5.8000000000000003E-2</v>
      </c>
      <c r="F3214" t="s">
        <v>1577</v>
      </c>
      <c r="H3214" t="s">
        <v>4202</v>
      </c>
      <c r="I3214" t="s">
        <v>4897</v>
      </c>
      <c r="K3214" t="s">
        <v>5037</v>
      </c>
      <c r="L3214" t="s">
        <v>5039</v>
      </c>
    </row>
    <row r="3215" spans="1:12" x14ac:dyDescent="0.35">
      <c r="A3215" t="s">
        <v>116</v>
      </c>
      <c r="B3215" t="s">
        <v>327</v>
      </c>
      <c r="C3215" t="s">
        <v>708</v>
      </c>
      <c r="D3215">
        <v>6.4000000000000003E-3</v>
      </c>
      <c r="F3215" t="s">
        <v>2138</v>
      </c>
      <c r="H3215" t="s">
        <v>4224</v>
      </c>
      <c r="I3215" t="s">
        <v>1526</v>
      </c>
      <c r="K3215" t="s">
        <v>5037</v>
      </c>
      <c r="L3215" t="s">
        <v>5039</v>
      </c>
    </row>
    <row r="3216" spans="1:12" x14ac:dyDescent="0.35">
      <c r="A3216" t="s">
        <v>116</v>
      </c>
      <c r="B3216" t="s">
        <v>327</v>
      </c>
      <c r="C3216" t="s">
        <v>961</v>
      </c>
      <c r="D3216">
        <v>36</v>
      </c>
      <c r="F3216" t="s">
        <v>1848</v>
      </c>
      <c r="H3216" t="s">
        <v>4219</v>
      </c>
      <c r="I3216" t="s">
        <v>1458</v>
      </c>
      <c r="K3216" t="s">
        <v>5037</v>
      </c>
      <c r="L3216" t="s">
        <v>5039</v>
      </c>
    </row>
    <row r="3217" spans="1:12" x14ac:dyDescent="0.35">
      <c r="A3217" t="s">
        <v>116</v>
      </c>
      <c r="B3217" t="s">
        <v>327</v>
      </c>
      <c r="C3217" t="s">
        <v>961</v>
      </c>
      <c r="D3217">
        <v>120</v>
      </c>
      <c r="F3217" t="s">
        <v>2329</v>
      </c>
      <c r="H3217" t="s">
        <v>4225</v>
      </c>
      <c r="I3217" t="s">
        <v>1467</v>
      </c>
      <c r="K3217" t="s">
        <v>5037</v>
      </c>
      <c r="L3217" t="s">
        <v>5039</v>
      </c>
    </row>
    <row r="3218" spans="1:12" x14ac:dyDescent="0.35">
      <c r="A3218" t="s">
        <v>116</v>
      </c>
      <c r="B3218" t="s">
        <v>327</v>
      </c>
      <c r="C3218" t="s">
        <v>840</v>
      </c>
      <c r="D3218">
        <v>120</v>
      </c>
      <c r="F3218" t="s">
        <v>2329</v>
      </c>
      <c r="H3218" t="s">
        <v>2842</v>
      </c>
      <c r="I3218" t="s">
        <v>2254</v>
      </c>
      <c r="K3218" t="s">
        <v>5037</v>
      </c>
      <c r="L3218" t="s">
        <v>5039</v>
      </c>
    </row>
    <row r="3219" spans="1:12" x14ac:dyDescent="0.35">
      <c r="A3219" t="s">
        <v>116</v>
      </c>
      <c r="B3219" t="s">
        <v>327</v>
      </c>
      <c r="C3219" t="s">
        <v>709</v>
      </c>
      <c r="D3219">
        <v>7.4</v>
      </c>
      <c r="F3219" t="s">
        <v>2049</v>
      </c>
      <c r="H3219" t="s">
        <v>4223</v>
      </c>
      <c r="I3219" t="s">
        <v>1458</v>
      </c>
      <c r="K3219" t="s">
        <v>5037</v>
      </c>
      <c r="L3219" t="s">
        <v>5039</v>
      </c>
    </row>
    <row r="3220" spans="1:12" x14ac:dyDescent="0.35">
      <c r="A3220" t="s">
        <v>116</v>
      </c>
      <c r="B3220" t="s">
        <v>327</v>
      </c>
      <c r="C3220" t="s">
        <v>961</v>
      </c>
      <c r="D3220">
        <v>18</v>
      </c>
      <c r="F3220" t="s">
        <v>1389</v>
      </c>
      <c r="I3220" t="s">
        <v>4869</v>
      </c>
      <c r="K3220" t="s">
        <v>5037</v>
      </c>
      <c r="L3220" t="s">
        <v>5039</v>
      </c>
    </row>
    <row r="3221" spans="1:12" x14ac:dyDescent="0.35">
      <c r="A3221" t="s">
        <v>116</v>
      </c>
      <c r="B3221" t="s">
        <v>327</v>
      </c>
      <c r="C3221" t="s">
        <v>959</v>
      </c>
      <c r="D3221">
        <v>23</v>
      </c>
      <c r="F3221" t="s">
        <v>1851</v>
      </c>
      <c r="H3221" t="s">
        <v>4226</v>
      </c>
      <c r="I3221" t="s">
        <v>1454</v>
      </c>
      <c r="K3221" t="s">
        <v>5037</v>
      </c>
      <c r="L3221" t="s">
        <v>5039</v>
      </c>
    </row>
    <row r="3222" spans="1:12" x14ac:dyDescent="0.35">
      <c r="A3222" t="s">
        <v>116</v>
      </c>
      <c r="B3222" t="s">
        <v>327</v>
      </c>
      <c r="C3222" t="s">
        <v>963</v>
      </c>
      <c r="D3222">
        <v>27</v>
      </c>
      <c r="F3222" t="s">
        <v>2364</v>
      </c>
      <c r="I3222" t="s">
        <v>1841</v>
      </c>
      <c r="K3222" t="s">
        <v>5037</v>
      </c>
      <c r="L3222" t="s">
        <v>5039</v>
      </c>
    </row>
    <row r="3223" spans="1:12" x14ac:dyDescent="0.35">
      <c r="A3223" t="s">
        <v>116</v>
      </c>
      <c r="B3223" t="s">
        <v>327</v>
      </c>
      <c r="C3223" t="s">
        <v>959</v>
      </c>
      <c r="D3223">
        <v>210</v>
      </c>
      <c r="F3223" t="s">
        <v>2403</v>
      </c>
      <c r="H3223" t="s">
        <v>4203</v>
      </c>
      <c r="I3223" t="s">
        <v>1467</v>
      </c>
      <c r="K3223" t="s">
        <v>5037</v>
      </c>
      <c r="L3223" t="s">
        <v>5039</v>
      </c>
    </row>
    <row r="3224" spans="1:12" x14ac:dyDescent="0.35">
      <c r="A3224" t="s">
        <v>116</v>
      </c>
      <c r="B3224" t="s">
        <v>327</v>
      </c>
      <c r="C3224" t="s">
        <v>1061</v>
      </c>
      <c r="D3224">
        <v>290</v>
      </c>
      <c r="F3224" t="s">
        <v>2404</v>
      </c>
      <c r="H3224" t="s">
        <v>4212</v>
      </c>
      <c r="I3224" t="s">
        <v>1467</v>
      </c>
      <c r="K3224" t="s">
        <v>5037</v>
      </c>
      <c r="L3224" t="s">
        <v>5039</v>
      </c>
    </row>
    <row r="3225" spans="1:12" x14ac:dyDescent="0.35">
      <c r="A3225" t="s">
        <v>116</v>
      </c>
      <c r="B3225" t="s">
        <v>327</v>
      </c>
      <c r="C3225" t="s">
        <v>709</v>
      </c>
      <c r="D3225">
        <v>7.4000000000000003E-3</v>
      </c>
      <c r="F3225" t="s">
        <v>2405</v>
      </c>
      <c r="H3225" t="s">
        <v>4227</v>
      </c>
      <c r="I3225" t="s">
        <v>1383</v>
      </c>
      <c r="K3225" t="s">
        <v>5037</v>
      </c>
      <c r="L3225" t="s">
        <v>5039</v>
      </c>
    </row>
    <row r="3226" spans="1:12" x14ac:dyDescent="0.35">
      <c r="A3226" t="s">
        <v>116</v>
      </c>
      <c r="B3226" t="s">
        <v>327</v>
      </c>
      <c r="C3226" t="s">
        <v>709</v>
      </c>
      <c r="D3226">
        <v>8.6999999999999994E-3</v>
      </c>
      <c r="F3226" t="s">
        <v>2406</v>
      </c>
      <c r="H3226" t="s">
        <v>4228</v>
      </c>
      <c r="I3226" t="s">
        <v>4991</v>
      </c>
      <c r="K3226" t="s">
        <v>5037</v>
      </c>
      <c r="L3226" t="s">
        <v>5039</v>
      </c>
    </row>
    <row r="3227" spans="1:12" x14ac:dyDescent="0.35">
      <c r="A3227" t="s">
        <v>116</v>
      </c>
      <c r="B3227" t="s">
        <v>327</v>
      </c>
      <c r="C3227" t="s">
        <v>1078</v>
      </c>
      <c r="D3227">
        <v>0.79</v>
      </c>
      <c r="F3227" t="s">
        <v>2224</v>
      </c>
      <c r="I3227" t="s">
        <v>2254</v>
      </c>
      <c r="K3227" t="s">
        <v>5037</v>
      </c>
      <c r="L3227" t="s">
        <v>5039</v>
      </c>
    </row>
    <row r="3228" spans="1:12" x14ac:dyDescent="0.35">
      <c r="A3228" t="s">
        <v>116</v>
      </c>
      <c r="B3228" t="s">
        <v>327</v>
      </c>
      <c r="C3228" t="s">
        <v>709</v>
      </c>
      <c r="D3228">
        <v>180</v>
      </c>
      <c r="F3228" t="s">
        <v>2407</v>
      </c>
      <c r="H3228" t="s">
        <v>4215</v>
      </c>
      <c r="I3228" t="s">
        <v>1458</v>
      </c>
      <c r="K3228" t="s">
        <v>5037</v>
      </c>
      <c r="L3228" t="s">
        <v>5039</v>
      </c>
    </row>
    <row r="3229" spans="1:12" x14ac:dyDescent="0.35">
      <c r="A3229" t="s">
        <v>116</v>
      </c>
      <c r="B3229" t="s">
        <v>327</v>
      </c>
      <c r="C3229" t="s">
        <v>1155</v>
      </c>
      <c r="D3229">
        <v>310</v>
      </c>
      <c r="F3229" t="s">
        <v>2408</v>
      </c>
      <c r="H3229" t="s">
        <v>4212</v>
      </c>
      <c r="I3229" t="s">
        <v>1467</v>
      </c>
      <c r="K3229" t="s">
        <v>5037</v>
      </c>
      <c r="L3229" t="s">
        <v>5039</v>
      </c>
    </row>
    <row r="3230" spans="1:12" x14ac:dyDescent="0.35">
      <c r="A3230" t="s">
        <v>116</v>
      </c>
      <c r="B3230" t="s">
        <v>327</v>
      </c>
      <c r="C3230" t="s">
        <v>1080</v>
      </c>
      <c r="D3230">
        <v>1.39</v>
      </c>
      <c r="F3230" t="s">
        <v>2294</v>
      </c>
      <c r="I3230" t="s">
        <v>2254</v>
      </c>
      <c r="K3230" t="s">
        <v>5037</v>
      </c>
      <c r="L3230" t="s">
        <v>5039</v>
      </c>
    </row>
    <row r="3231" spans="1:12" x14ac:dyDescent="0.35">
      <c r="A3231" t="s">
        <v>116</v>
      </c>
      <c r="B3231" t="s">
        <v>327</v>
      </c>
      <c r="C3231" t="s">
        <v>709</v>
      </c>
      <c r="D3231">
        <v>7.9000000000000008E-3</v>
      </c>
      <c r="F3231" t="s">
        <v>2409</v>
      </c>
      <c r="H3231" t="s">
        <v>4229</v>
      </c>
      <c r="I3231" t="s">
        <v>4991</v>
      </c>
      <c r="K3231" t="s">
        <v>5037</v>
      </c>
      <c r="L3231" t="s">
        <v>5039</v>
      </c>
    </row>
    <row r="3232" spans="1:12" x14ac:dyDescent="0.35">
      <c r="A3232" t="s">
        <v>116</v>
      </c>
      <c r="B3232" t="s">
        <v>327</v>
      </c>
      <c r="C3232" t="s">
        <v>708</v>
      </c>
      <c r="D3232">
        <v>105</v>
      </c>
      <c r="F3232" t="s">
        <v>1494</v>
      </c>
      <c r="H3232" t="s">
        <v>4215</v>
      </c>
      <c r="I3232" t="s">
        <v>1458</v>
      </c>
      <c r="K3232" t="s">
        <v>5037</v>
      </c>
      <c r="L3232" t="s">
        <v>5039</v>
      </c>
    </row>
    <row r="3233" spans="1:12" x14ac:dyDescent="0.35">
      <c r="A3233" t="s">
        <v>116</v>
      </c>
      <c r="B3233" t="s">
        <v>327</v>
      </c>
      <c r="C3233" t="s">
        <v>839</v>
      </c>
      <c r="D3233">
        <v>560</v>
      </c>
      <c r="F3233" t="s">
        <v>2410</v>
      </c>
      <c r="H3233" t="s">
        <v>4203</v>
      </c>
      <c r="I3233" t="s">
        <v>1467</v>
      </c>
      <c r="K3233" t="s">
        <v>5037</v>
      </c>
      <c r="L3233" t="s">
        <v>5039</v>
      </c>
    </row>
    <row r="3234" spans="1:12" x14ac:dyDescent="0.35">
      <c r="A3234" t="s">
        <v>116</v>
      </c>
      <c r="B3234" t="s">
        <v>327</v>
      </c>
      <c r="C3234" t="s">
        <v>709</v>
      </c>
      <c r="D3234">
        <v>710</v>
      </c>
      <c r="F3234" t="s">
        <v>2411</v>
      </c>
      <c r="H3234" t="s">
        <v>4219</v>
      </c>
      <c r="I3234" t="s">
        <v>1458</v>
      </c>
      <c r="K3234" t="s">
        <v>5037</v>
      </c>
      <c r="L3234" t="s">
        <v>5039</v>
      </c>
    </row>
    <row r="3235" spans="1:12" x14ac:dyDescent="0.35">
      <c r="A3235" t="s">
        <v>116</v>
      </c>
      <c r="B3235" t="s">
        <v>327</v>
      </c>
      <c r="C3235" t="s">
        <v>957</v>
      </c>
      <c r="D3235">
        <v>0.1</v>
      </c>
      <c r="F3235" t="s">
        <v>1309</v>
      </c>
      <c r="H3235" t="s">
        <v>4230</v>
      </c>
      <c r="I3235" t="s">
        <v>2253</v>
      </c>
      <c r="K3235" t="s">
        <v>5037</v>
      </c>
      <c r="L3235" t="s">
        <v>5039</v>
      </c>
    </row>
    <row r="3236" spans="1:12" x14ac:dyDescent="0.35">
      <c r="A3236" t="s">
        <v>116</v>
      </c>
      <c r="B3236" t="s">
        <v>327</v>
      </c>
      <c r="C3236" t="s">
        <v>961</v>
      </c>
      <c r="D3236">
        <v>1.5</v>
      </c>
      <c r="F3236" t="s">
        <v>1426</v>
      </c>
      <c r="H3236" t="s">
        <v>4231</v>
      </c>
      <c r="I3236" t="s">
        <v>1383</v>
      </c>
      <c r="K3236" t="s">
        <v>5037</v>
      </c>
      <c r="L3236" t="s">
        <v>5039</v>
      </c>
    </row>
    <row r="3237" spans="1:12" x14ac:dyDescent="0.35">
      <c r="A3237" t="s">
        <v>116</v>
      </c>
      <c r="B3237" t="s">
        <v>327</v>
      </c>
      <c r="C3237" t="s">
        <v>961</v>
      </c>
      <c r="D3237">
        <v>3.2</v>
      </c>
      <c r="F3237" t="s">
        <v>1465</v>
      </c>
      <c r="H3237" t="s">
        <v>4232</v>
      </c>
      <c r="I3237" t="s">
        <v>1383</v>
      </c>
      <c r="K3237" t="s">
        <v>5037</v>
      </c>
      <c r="L3237" t="s">
        <v>5039</v>
      </c>
    </row>
    <row r="3238" spans="1:12" x14ac:dyDescent="0.35">
      <c r="A3238" t="s">
        <v>116</v>
      </c>
      <c r="B3238" t="s">
        <v>327</v>
      </c>
      <c r="C3238" t="s">
        <v>709</v>
      </c>
      <c r="D3238">
        <v>0.18</v>
      </c>
      <c r="F3238" t="s">
        <v>1531</v>
      </c>
      <c r="H3238" t="s">
        <v>4233</v>
      </c>
      <c r="I3238" t="s">
        <v>1526</v>
      </c>
      <c r="K3238" t="s">
        <v>5037</v>
      </c>
      <c r="L3238" t="s">
        <v>5039</v>
      </c>
    </row>
    <row r="3239" spans="1:12" x14ac:dyDescent="0.35">
      <c r="A3239" t="s">
        <v>116</v>
      </c>
      <c r="B3239" t="s">
        <v>327</v>
      </c>
      <c r="C3239" t="s">
        <v>961</v>
      </c>
      <c r="D3239">
        <v>0.45</v>
      </c>
      <c r="F3239" t="s">
        <v>1316</v>
      </c>
      <c r="H3239" t="s">
        <v>4234</v>
      </c>
      <c r="I3239" t="s">
        <v>1889</v>
      </c>
      <c r="K3239" t="s">
        <v>5037</v>
      </c>
      <c r="L3239" t="s">
        <v>5039</v>
      </c>
    </row>
    <row r="3240" spans="1:12" x14ac:dyDescent="0.35">
      <c r="A3240" t="s">
        <v>116</v>
      </c>
      <c r="B3240" t="s">
        <v>327</v>
      </c>
      <c r="C3240" t="s">
        <v>708</v>
      </c>
      <c r="D3240">
        <v>0.105</v>
      </c>
      <c r="F3240" t="s">
        <v>1435</v>
      </c>
      <c r="H3240" t="s">
        <v>4235</v>
      </c>
      <c r="I3240" t="s">
        <v>1526</v>
      </c>
      <c r="K3240" t="s">
        <v>5037</v>
      </c>
      <c r="L3240" t="s">
        <v>5039</v>
      </c>
    </row>
    <row r="3241" spans="1:12" x14ac:dyDescent="0.35">
      <c r="A3241" t="s">
        <v>116</v>
      </c>
      <c r="B3241" t="s">
        <v>327</v>
      </c>
      <c r="C3241" t="s">
        <v>961</v>
      </c>
      <c r="D3241">
        <v>1.7</v>
      </c>
      <c r="F3241" t="s">
        <v>1416</v>
      </c>
      <c r="H3241" t="s">
        <v>4236</v>
      </c>
      <c r="I3241" t="s">
        <v>4873</v>
      </c>
      <c r="K3241" t="s">
        <v>5037</v>
      </c>
      <c r="L3241" t="s">
        <v>5039</v>
      </c>
    </row>
    <row r="3242" spans="1:12" x14ac:dyDescent="0.35">
      <c r="A3242" t="s">
        <v>116</v>
      </c>
      <c r="B3242" t="s">
        <v>327</v>
      </c>
      <c r="C3242" t="s">
        <v>709</v>
      </c>
      <c r="D3242">
        <v>6.3E-2</v>
      </c>
      <c r="F3242" t="s">
        <v>2017</v>
      </c>
      <c r="H3242" t="s">
        <v>4237</v>
      </c>
      <c r="I3242" t="s">
        <v>2360</v>
      </c>
      <c r="K3242" t="s">
        <v>5037</v>
      </c>
      <c r="L3242" t="s">
        <v>5039</v>
      </c>
    </row>
    <row r="3243" spans="1:12" x14ac:dyDescent="0.35">
      <c r="A3243" t="s">
        <v>116</v>
      </c>
      <c r="B3243" t="s">
        <v>327</v>
      </c>
      <c r="C3243" t="s">
        <v>961</v>
      </c>
      <c r="D3243">
        <v>2.1999999999999999E-2</v>
      </c>
      <c r="F3243" t="s">
        <v>1890</v>
      </c>
      <c r="H3243" t="s">
        <v>4238</v>
      </c>
      <c r="I3243" t="s">
        <v>2372</v>
      </c>
      <c r="K3243" t="s">
        <v>5037</v>
      </c>
      <c r="L3243" t="s">
        <v>5039</v>
      </c>
    </row>
    <row r="3244" spans="1:12" x14ac:dyDescent="0.35">
      <c r="A3244" t="s">
        <v>116</v>
      </c>
      <c r="B3244" t="s">
        <v>327</v>
      </c>
      <c r="C3244" t="s">
        <v>823</v>
      </c>
      <c r="D3244">
        <v>0.03</v>
      </c>
      <c r="F3244" t="s">
        <v>1266</v>
      </c>
      <c r="H3244" t="s">
        <v>4239</v>
      </c>
      <c r="I3244" t="s">
        <v>4983</v>
      </c>
      <c r="K3244" t="s">
        <v>5037</v>
      </c>
      <c r="L3244" t="s">
        <v>5039</v>
      </c>
    </row>
    <row r="3245" spans="1:12" x14ac:dyDescent="0.35">
      <c r="A3245" t="s">
        <v>116</v>
      </c>
      <c r="B3245" t="s">
        <v>327</v>
      </c>
      <c r="C3245" t="s">
        <v>961</v>
      </c>
      <c r="D3245">
        <v>28</v>
      </c>
      <c r="F3245" t="s">
        <v>1961</v>
      </c>
      <c r="H3245" t="s">
        <v>4102</v>
      </c>
      <c r="I3245" t="s">
        <v>4983</v>
      </c>
      <c r="K3245" t="s">
        <v>5037</v>
      </c>
      <c r="L3245" t="s">
        <v>5039</v>
      </c>
    </row>
    <row r="3246" spans="1:12" x14ac:dyDescent="0.35">
      <c r="A3246" t="s">
        <v>116</v>
      </c>
      <c r="B3246" t="s">
        <v>327</v>
      </c>
      <c r="C3246" t="s">
        <v>709</v>
      </c>
      <c r="D3246">
        <v>7.3999999999999996E-2</v>
      </c>
      <c r="F3246" t="s">
        <v>1562</v>
      </c>
      <c r="H3246" t="s">
        <v>4240</v>
      </c>
      <c r="I3246" t="s">
        <v>4930</v>
      </c>
      <c r="K3246" t="s">
        <v>5037</v>
      </c>
      <c r="L3246" t="s">
        <v>5039</v>
      </c>
    </row>
    <row r="3247" spans="1:12" x14ac:dyDescent="0.35">
      <c r="A3247" t="s">
        <v>116</v>
      </c>
      <c r="B3247" t="s">
        <v>579</v>
      </c>
      <c r="C3247" t="s">
        <v>961</v>
      </c>
      <c r="D3247">
        <v>24.2</v>
      </c>
      <c r="F3247" t="s">
        <v>1697</v>
      </c>
      <c r="H3247" t="s">
        <v>4241</v>
      </c>
      <c r="I3247" t="s">
        <v>2325</v>
      </c>
      <c r="K3247" t="s">
        <v>5037</v>
      </c>
      <c r="L3247" t="s">
        <v>5039</v>
      </c>
    </row>
    <row r="3248" spans="1:12" x14ac:dyDescent="0.35">
      <c r="A3248" t="s">
        <v>116</v>
      </c>
      <c r="B3248" t="s">
        <v>580</v>
      </c>
      <c r="C3248" t="s">
        <v>855</v>
      </c>
      <c r="D3248">
        <v>1.9</v>
      </c>
      <c r="F3248" t="s">
        <v>1503</v>
      </c>
      <c r="H3248" t="s">
        <v>4242</v>
      </c>
      <c r="I3248" t="s">
        <v>4884</v>
      </c>
      <c r="K3248" t="s">
        <v>5037</v>
      </c>
      <c r="L3248" t="s">
        <v>5039</v>
      </c>
    </row>
    <row r="3249" spans="1:12" x14ac:dyDescent="0.35">
      <c r="A3249" t="s">
        <v>116</v>
      </c>
      <c r="B3249" t="s">
        <v>580</v>
      </c>
      <c r="C3249" t="s">
        <v>709</v>
      </c>
      <c r="D3249">
        <v>1.1200000000000001</v>
      </c>
      <c r="F3249" t="s">
        <v>1788</v>
      </c>
      <c r="H3249" t="s">
        <v>4242</v>
      </c>
      <c r="I3249" t="s">
        <v>4884</v>
      </c>
      <c r="K3249" t="s">
        <v>5037</v>
      </c>
      <c r="L3249" t="s">
        <v>5039</v>
      </c>
    </row>
    <row r="3250" spans="1:12" x14ac:dyDescent="0.35">
      <c r="A3250" t="s">
        <v>116</v>
      </c>
      <c r="B3250" t="s">
        <v>581</v>
      </c>
      <c r="C3250" t="s">
        <v>961</v>
      </c>
      <c r="D3250">
        <v>0.14699999999999999</v>
      </c>
      <c r="F3250" t="s">
        <v>1920</v>
      </c>
      <c r="H3250" t="s">
        <v>4243</v>
      </c>
      <c r="I3250" t="s">
        <v>4890</v>
      </c>
      <c r="K3250" t="s">
        <v>5037</v>
      </c>
      <c r="L3250" t="s">
        <v>5039</v>
      </c>
    </row>
    <row r="3251" spans="1:12" x14ac:dyDescent="0.35">
      <c r="A3251" t="s">
        <v>116</v>
      </c>
      <c r="B3251" t="s">
        <v>581</v>
      </c>
      <c r="C3251" t="s">
        <v>961</v>
      </c>
      <c r="D3251">
        <v>0.19</v>
      </c>
      <c r="F3251" t="s">
        <v>1538</v>
      </c>
      <c r="H3251" t="s">
        <v>4244</v>
      </c>
      <c r="I3251" t="s">
        <v>4890</v>
      </c>
      <c r="K3251" t="s">
        <v>5037</v>
      </c>
      <c r="L3251" t="s">
        <v>5039</v>
      </c>
    </row>
    <row r="3252" spans="1:12" x14ac:dyDescent="0.35">
      <c r="A3252" t="s">
        <v>116</v>
      </c>
      <c r="B3252" t="s">
        <v>581</v>
      </c>
      <c r="C3252" t="s">
        <v>961</v>
      </c>
      <c r="D3252">
        <v>0.43</v>
      </c>
      <c r="F3252" t="s">
        <v>1441</v>
      </c>
      <c r="H3252" t="s">
        <v>4245</v>
      </c>
      <c r="I3252" t="s">
        <v>4890</v>
      </c>
      <c r="K3252" t="s">
        <v>5037</v>
      </c>
      <c r="L3252" t="s">
        <v>5039</v>
      </c>
    </row>
    <row r="3253" spans="1:12" x14ac:dyDescent="0.35">
      <c r="A3253" t="s">
        <v>116</v>
      </c>
      <c r="B3253" t="s">
        <v>581</v>
      </c>
      <c r="C3253" t="s">
        <v>961</v>
      </c>
      <c r="D3253">
        <v>0.16800000000000001</v>
      </c>
      <c r="F3253" t="s">
        <v>1547</v>
      </c>
      <c r="H3253" t="s">
        <v>4246</v>
      </c>
      <c r="I3253" t="s">
        <v>4890</v>
      </c>
      <c r="K3253" t="s">
        <v>5037</v>
      </c>
      <c r="L3253" t="s">
        <v>5039</v>
      </c>
    </row>
    <row r="3254" spans="1:12" x14ac:dyDescent="0.35">
      <c r="A3254" t="s">
        <v>116</v>
      </c>
      <c r="B3254" t="s">
        <v>581</v>
      </c>
      <c r="C3254" t="s">
        <v>961</v>
      </c>
      <c r="D3254">
        <v>0.248</v>
      </c>
      <c r="F3254" t="s">
        <v>2018</v>
      </c>
      <c r="H3254" t="s">
        <v>4247</v>
      </c>
      <c r="I3254" t="s">
        <v>4890</v>
      </c>
      <c r="K3254" t="s">
        <v>5037</v>
      </c>
      <c r="L3254" t="s">
        <v>5039</v>
      </c>
    </row>
    <row r="3255" spans="1:12" x14ac:dyDescent="0.35">
      <c r="A3255" t="s">
        <v>116</v>
      </c>
      <c r="B3255" t="s">
        <v>581</v>
      </c>
      <c r="C3255" t="s">
        <v>961</v>
      </c>
      <c r="D3255">
        <v>1.04</v>
      </c>
      <c r="F3255" t="s">
        <v>2412</v>
      </c>
      <c r="H3255" t="s">
        <v>4248</v>
      </c>
      <c r="I3255" t="s">
        <v>4890</v>
      </c>
      <c r="K3255" t="s">
        <v>5037</v>
      </c>
      <c r="L3255" t="s">
        <v>5039</v>
      </c>
    </row>
    <row r="3256" spans="1:12" x14ac:dyDescent="0.35">
      <c r="A3256" t="s">
        <v>116</v>
      </c>
      <c r="B3256" t="s">
        <v>582</v>
      </c>
      <c r="C3256" t="s">
        <v>708</v>
      </c>
      <c r="D3256">
        <v>4.8000000000000001E-2</v>
      </c>
      <c r="F3256" t="s">
        <v>1434</v>
      </c>
      <c r="H3256" t="s">
        <v>4249</v>
      </c>
      <c r="I3256" t="s">
        <v>1515</v>
      </c>
      <c r="K3256" t="s">
        <v>5037</v>
      </c>
      <c r="L3256" t="s">
        <v>5039</v>
      </c>
    </row>
    <row r="3257" spans="1:12" x14ac:dyDescent="0.35">
      <c r="A3257" t="s">
        <v>116</v>
      </c>
      <c r="B3257" t="s">
        <v>582</v>
      </c>
      <c r="C3257" t="s">
        <v>839</v>
      </c>
      <c r="D3257">
        <v>57.5</v>
      </c>
      <c r="F3257" t="s">
        <v>2413</v>
      </c>
      <c r="H3257" t="s">
        <v>4249</v>
      </c>
      <c r="I3257" t="s">
        <v>1515</v>
      </c>
      <c r="K3257" t="s">
        <v>5037</v>
      </c>
      <c r="L3257" t="s">
        <v>5039</v>
      </c>
    </row>
    <row r="3258" spans="1:12" x14ac:dyDescent="0.35">
      <c r="A3258" t="s">
        <v>116</v>
      </c>
      <c r="B3258" t="s">
        <v>582</v>
      </c>
      <c r="C3258" t="s">
        <v>1156</v>
      </c>
      <c r="D3258">
        <v>13.6</v>
      </c>
      <c r="F3258" t="s">
        <v>2351</v>
      </c>
      <c r="H3258" t="s">
        <v>4249</v>
      </c>
      <c r="I3258" t="s">
        <v>1515</v>
      </c>
      <c r="K3258" t="s">
        <v>5037</v>
      </c>
      <c r="L3258" t="s">
        <v>5039</v>
      </c>
    </row>
    <row r="3259" spans="1:12" x14ac:dyDescent="0.35">
      <c r="A3259" t="s">
        <v>116</v>
      </c>
      <c r="B3259" t="s">
        <v>341</v>
      </c>
      <c r="C3259" t="s">
        <v>971</v>
      </c>
      <c r="D3259">
        <v>0.19</v>
      </c>
      <c r="F3259" t="s">
        <v>1538</v>
      </c>
      <c r="H3259" t="s">
        <v>4250</v>
      </c>
      <c r="I3259" t="s">
        <v>4993</v>
      </c>
      <c r="K3259" t="s">
        <v>5037</v>
      </c>
      <c r="L3259" t="s">
        <v>5039</v>
      </c>
    </row>
    <row r="3260" spans="1:12" x14ac:dyDescent="0.35">
      <c r="A3260" t="s">
        <v>116</v>
      </c>
      <c r="B3260" t="s">
        <v>341</v>
      </c>
      <c r="C3260" t="s">
        <v>1010</v>
      </c>
      <c r="D3260">
        <v>2.4</v>
      </c>
      <c r="F3260" t="s">
        <v>1433</v>
      </c>
      <c r="H3260" t="s">
        <v>4250</v>
      </c>
      <c r="I3260" t="s">
        <v>4993</v>
      </c>
      <c r="K3260" t="s">
        <v>5037</v>
      </c>
      <c r="L3260" t="s">
        <v>5039</v>
      </c>
    </row>
    <row r="3261" spans="1:12" x14ac:dyDescent="0.35">
      <c r="A3261" t="s">
        <v>116</v>
      </c>
      <c r="B3261" t="s">
        <v>341</v>
      </c>
      <c r="C3261" t="s">
        <v>961</v>
      </c>
      <c r="D3261">
        <v>1.33</v>
      </c>
      <c r="F3261" t="s">
        <v>1443</v>
      </c>
      <c r="H3261" t="s">
        <v>4251</v>
      </c>
      <c r="I3261" t="s">
        <v>4993</v>
      </c>
      <c r="K3261" t="s">
        <v>5037</v>
      </c>
      <c r="L3261" t="s">
        <v>5039</v>
      </c>
    </row>
    <row r="3262" spans="1:12" x14ac:dyDescent="0.35">
      <c r="A3262" t="s">
        <v>116</v>
      </c>
      <c r="B3262" t="s">
        <v>341</v>
      </c>
      <c r="C3262" t="s">
        <v>1103</v>
      </c>
      <c r="D3262">
        <v>0.44</v>
      </c>
      <c r="F3262" t="s">
        <v>1723</v>
      </c>
      <c r="H3262" t="s">
        <v>4252</v>
      </c>
      <c r="I3262" t="s">
        <v>4993</v>
      </c>
      <c r="K3262" t="s">
        <v>5037</v>
      </c>
      <c r="L3262" t="s">
        <v>5039</v>
      </c>
    </row>
    <row r="3263" spans="1:12" x14ac:dyDescent="0.35">
      <c r="A3263" t="s">
        <v>116</v>
      </c>
      <c r="B3263" t="s">
        <v>583</v>
      </c>
      <c r="C3263" t="s">
        <v>1103</v>
      </c>
      <c r="D3263">
        <v>1.4500000000000001E-2</v>
      </c>
      <c r="F3263" t="s">
        <v>2113</v>
      </c>
      <c r="H3263" t="s">
        <v>4253</v>
      </c>
      <c r="I3263" t="s">
        <v>4947</v>
      </c>
      <c r="K3263" t="s">
        <v>5037</v>
      </c>
      <c r="L3263" t="s">
        <v>5039</v>
      </c>
    </row>
    <row r="3264" spans="1:12" x14ac:dyDescent="0.35">
      <c r="A3264" t="s">
        <v>116</v>
      </c>
      <c r="B3264" t="s">
        <v>583</v>
      </c>
      <c r="C3264" t="s">
        <v>961</v>
      </c>
      <c r="D3264">
        <v>1.72E-2</v>
      </c>
      <c r="F3264" t="s">
        <v>2414</v>
      </c>
      <c r="H3264" t="s">
        <v>4254</v>
      </c>
      <c r="I3264" t="s">
        <v>4947</v>
      </c>
      <c r="K3264" t="s">
        <v>5037</v>
      </c>
      <c r="L3264" t="s">
        <v>5039</v>
      </c>
    </row>
    <row r="3265" spans="1:12" x14ac:dyDescent="0.35">
      <c r="A3265" t="s">
        <v>117</v>
      </c>
      <c r="B3265" t="s">
        <v>380</v>
      </c>
      <c r="C3265" t="s">
        <v>880</v>
      </c>
      <c r="D3265">
        <v>0.1</v>
      </c>
      <c r="F3265" t="s">
        <v>1309</v>
      </c>
      <c r="I3265" t="s">
        <v>1533</v>
      </c>
      <c r="K3265" t="s">
        <v>5037</v>
      </c>
      <c r="L3265" t="s">
        <v>5039</v>
      </c>
    </row>
    <row r="3266" spans="1:12" x14ac:dyDescent="0.35">
      <c r="A3266" t="s">
        <v>117</v>
      </c>
      <c r="B3266" t="s">
        <v>380</v>
      </c>
      <c r="C3266" t="s">
        <v>169</v>
      </c>
      <c r="D3266">
        <v>0.21</v>
      </c>
      <c r="F3266" t="s">
        <v>1572</v>
      </c>
      <c r="I3266" t="s">
        <v>1533</v>
      </c>
      <c r="K3266" t="s">
        <v>5037</v>
      </c>
      <c r="L3266" t="s">
        <v>5039</v>
      </c>
    </row>
    <row r="3267" spans="1:12" x14ac:dyDescent="0.35">
      <c r="A3267" t="s">
        <v>117</v>
      </c>
      <c r="B3267" t="s">
        <v>502</v>
      </c>
      <c r="C3267" t="s">
        <v>1157</v>
      </c>
      <c r="D3267">
        <v>0.06</v>
      </c>
      <c r="F3267" t="s">
        <v>1370</v>
      </c>
      <c r="I3267" t="s">
        <v>1372</v>
      </c>
      <c r="K3267" t="s">
        <v>5037</v>
      </c>
      <c r="L3267" t="s">
        <v>5039</v>
      </c>
    </row>
    <row r="3268" spans="1:12" x14ac:dyDescent="0.35">
      <c r="A3268" t="s">
        <v>117</v>
      </c>
      <c r="B3268" t="s">
        <v>502</v>
      </c>
      <c r="C3268" t="s">
        <v>1158</v>
      </c>
      <c r="D3268">
        <v>0.41</v>
      </c>
      <c r="F3268" t="s">
        <v>1555</v>
      </c>
      <c r="H3268" t="s">
        <v>4255</v>
      </c>
      <c r="I3268" t="s">
        <v>1569</v>
      </c>
      <c r="K3268" t="s">
        <v>5037</v>
      </c>
      <c r="L3268" t="s">
        <v>5039</v>
      </c>
    </row>
    <row r="3269" spans="1:12" x14ac:dyDescent="0.35">
      <c r="A3269" t="s">
        <v>117</v>
      </c>
      <c r="B3269" t="s">
        <v>502</v>
      </c>
      <c r="C3269" t="s">
        <v>880</v>
      </c>
      <c r="D3269">
        <v>0.21</v>
      </c>
      <c r="F3269" t="s">
        <v>1572</v>
      </c>
      <c r="I3269" t="s">
        <v>1533</v>
      </c>
      <c r="K3269" t="s">
        <v>5037</v>
      </c>
      <c r="L3269" t="s">
        <v>5039</v>
      </c>
    </row>
    <row r="3270" spans="1:12" x14ac:dyDescent="0.35">
      <c r="A3270" t="s">
        <v>117</v>
      </c>
      <c r="B3270" t="s">
        <v>502</v>
      </c>
      <c r="C3270" t="s">
        <v>169</v>
      </c>
      <c r="D3270">
        <v>0.5</v>
      </c>
      <c r="F3270" t="s">
        <v>1440</v>
      </c>
      <c r="I3270" t="s">
        <v>4873</v>
      </c>
      <c r="K3270" t="s">
        <v>5037</v>
      </c>
      <c r="L3270" t="s">
        <v>5039</v>
      </c>
    </row>
    <row r="3271" spans="1:12" x14ac:dyDescent="0.35">
      <c r="A3271" t="s">
        <v>117</v>
      </c>
      <c r="B3271" t="s">
        <v>502</v>
      </c>
      <c r="C3271" t="s">
        <v>880</v>
      </c>
      <c r="D3271">
        <v>0.2</v>
      </c>
      <c r="F3271" t="s">
        <v>1371</v>
      </c>
      <c r="I3271" t="s">
        <v>1372</v>
      </c>
      <c r="K3271" t="s">
        <v>5037</v>
      </c>
      <c r="L3271" t="s">
        <v>5039</v>
      </c>
    </row>
    <row r="3272" spans="1:12" x14ac:dyDescent="0.35">
      <c r="A3272" t="s">
        <v>117</v>
      </c>
      <c r="B3272" t="s">
        <v>502</v>
      </c>
      <c r="C3272" t="s">
        <v>1159</v>
      </c>
      <c r="D3272">
        <v>0.19</v>
      </c>
      <c r="F3272" t="s">
        <v>1538</v>
      </c>
      <c r="I3272" t="s">
        <v>1372</v>
      </c>
      <c r="K3272" t="s">
        <v>5037</v>
      </c>
      <c r="L3272" t="s">
        <v>5039</v>
      </c>
    </row>
    <row r="3273" spans="1:12" x14ac:dyDescent="0.35">
      <c r="A3273" t="s">
        <v>117</v>
      </c>
      <c r="B3273" t="s">
        <v>502</v>
      </c>
      <c r="C3273" t="s">
        <v>169</v>
      </c>
      <c r="D3273">
        <v>0.32</v>
      </c>
      <c r="F3273" t="s">
        <v>1470</v>
      </c>
      <c r="I3273" t="s">
        <v>1372</v>
      </c>
      <c r="K3273" t="s">
        <v>5037</v>
      </c>
      <c r="L3273" t="s">
        <v>5039</v>
      </c>
    </row>
    <row r="3274" spans="1:12" x14ac:dyDescent="0.35">
      <c r="A3274" t="s">
        <v>117</v>
      </c>
      <c r="B3274" t="s">
        <v>502</v>
      </c>
      <c r="C3274" t="s">
        <v>167</v>
      </c>
      <c r="D3274">
        <v>0.35</v>
      </c>
      <c r="F3274" t="s">
        <v>1294</v>
      </c>
      <c r="I3274" t="s">
        <v>2212</v>
      </c>
      <c r="K3274" t="s">
        <v>5037</v>
      </c>
      <c r="L3274" t="s">
        <v>5039</v>
      </c>
    </row>
    <row r="3275" spans="1:12" x14ac:dyDescent="0.35">
      <c r="A3275" t="s">
        <v>117</v>
      </c>
      <c r="B3275" t="s">
        <v>502</v>
      </c>
      <c r="C3275" t="s">
        <v>169</v>
      </c>
      <c r="D3275">
        <v>0.35</v>
      </c>
      <c r="F3275" t="s">
        <v>1294</v>
      </c>
      <c r="I3275" t="s">
        <v>2212</v>
      </c>
      <c r="K3275" t="s">
        <v>5037</v>
      </c>
      <c r="L3275" t="s">
        <v>5039</v>
      </c>
    </row>
    <row r="3276" spans="1:12" x14ac:dyDescent="0.35">
      <c r="A3276" t="s">
        <v>117</v>
      </c>
      <c r="B3276" t="s">
        <v>502</v>
      </c>
      <c r="C3276" t="s">
        <v>169</v>
      </c>
      <c r="D3276">
        <v>0.53</v>
      </c>
      <c r="F3276" t="s">
        <v>1817</v>
      </c>
      <c r="I3276" t="s">
        <v>1533</v>
      </c>
      <c r="K3276" t="s">
        <v>5037</v>
      </c>
      <c r="L3276" t="s">
        <v>5039</v>
      </c>
    </row>
    <row r="3277" spans="1:12" x14ac:dyDescent="0.35">
      <c r="A3277" t="s">
        <v>117</v>
      </c>
      <c r="B3277" t="s">
        <v>502</v>
      </c>
      <c r="C3277" t="s">
        <v>169</v>
      </c>
      <c r="D3277">
        <v>1.03</v>
      </c>
      <c r="F3277" t="s">
        <v>1850</v>
      </c>
      <c r="H3277" t="s">
        <v>4256</v>
      </c>
      <c r="I3277" t="s">
        <v>4983</v>
      </c>
      <c r="K3277" t="s">
        <v>5037</v>
      </c>
      <c r="L3277" t="s">
        <v>5039</v>
      </c>
    </row>
    <row r="3278" spans="1:12" x14ac:dyDescent="0.35">
      <c r="A3278" t="s">
        <v>117</v>
      </c>
      <c r="B3278" t="s">
        <v>473</v>
      </c>
      <c r="C3278" t="s">
        <v>1158</v>
      </c>
      <c r="D3278">
        <v>0.28999999999999998</v>
      </c>
      <c r="F3278" t="s">
        <v>1396</v>
      </c>
      <c r="I3278" t="s">
        <v>2393</v>
      </c>
      <c r="K3278" t="s">
        <v>5037</v>
      </c>
      <c r="L3278" t="s">
        <v>5039</v>
      </c>
    </row>
    <row r="3279" spans="1:12" x14ac:dyDescent="0.35">
      <c r="A3279" t="s">
        <v>117</v>
      </c>
      <c r="B3279" t="s">
        <v>333</v>
      </c>
      <c r="C3279" t="s">
        <v>169</v>
      </c>
      <c r="D3279">
        <v>7.8E-2</v>
      </c>
      <c r="F3279" t="s">
        <v>1649</v>
      </c>
      <c r="I3279" t="s">
        <v>1389</v>
      </c>
      <c r="K3279" t="s">
        <v>5037</v>
      </c>
      <c r="L3279" t="s">
        <v>5039</v>
      </c>
    </row>
    <row r="3280" spans="1:12" x14ac:dyDescent="0.35">
      <c r="A3280" t="s">
        <v>117</v>
      </c>
      <c r="B3280" t="s">
        <v>333</v>
      </c>
      <c r="C3280" t="s">
        <v>880</v>
      </c>
      <c r="D3280">
        <v>0.113</v>
      </c>
      <c r="F3280" t="s">
        <v>1632</v>
      </c>
      <c r="I3280" t="s">
        <v>1389</v>
      </c>
      <c r="K3280" t="s">
        <v>5037</v>
      </c>
      <c r="L3280" t="s">
        <v>5039</v>
      </c>
    </row>
    <row r="3281" spans="1:12" x14ac:dyDescent="0.35">
      <c r="A3281" t="s">
        <v>117</v>
      </c>
      <c r="B3281" t="s">
        <v>584</v>
      </c>
      <c r="C3281" t="s">
        <v>1160</v>
      </c>
      <c r="D3281">
        <v>0.87</v>
      </c>
      <c r="F3281" t="s">
        <v>1897</v>
      </c>
      <c r="I3281" t="s">
        <v>1368</v>
      </c>
      <c r="K3281" t="s">
        <v>5037</v>
      </c>
      <c r="L3281" t="s">
        <v>5039</v>
      </c>
    </row>
    <row r="3282" spans="1:12" x14ac:dyDescent="0.35">
      <c r="A3282" t="s">
        <v>117</v>
      </c>
      <c r="B3282" t="s">
        <v>584</v>
      </c>
      <c r="C3282" t="s">
        <v>169</v>
      </c>
      <c r="D3282">
        <v>1.25</v>
      </c>
      <c r="F3282" t="s">
        <v>1522</v>
      </c>
      <c r="I3282" t="s">
        <v>1368</v>
      </c>
      <c r="K3282" t="s">
        <v>5037</v>
      </c>
      <c r="L3282" t="s">
        <v>5039</v>
      </c>
    </row>
    <row r="3283" spans="1:12" x14ac:dyDescent="0.35">
      <c r="A3283" t="s">
        <v>117</v>
      </c>
      <c r="B3283" t="s">
        <v>550</v>
      </c>
      <c r="C3283" t="s">
        <v>1161</v>
      </c>
      <c r="D3283">
        <v>0.46</v>
      </c>
      <c r="F3283" t="s">
        <v>1506</v>
      </c>
      <c r="I3283" t="s">
        <v>1626</v>
      </c>
      <c r="K3283" t="s">
        <v>5037</v>
      </c>
      <c r="L3283" t="s">
        <v>5039</v>
      </c>
    </row>
    <row r="3284" spans="1:12" x14ac:dyDescent="0.35">
      <c r="A3284" t="s">
        <v>117</v>
      </c>
      <c r="B3284" t="s">
        <v>585</v>
      </c>
      <c r="C3284" t="s">
        <v>169</v>
      </c>
      <c r="D3284">
        <v>3.2000000000000001E-2</v>
      </c>
      <c r="F3284" t="s">
        <v>1314</v>
      </c>
      <c r="H3284" t="s">
        <v>4257</v>
      </c>
      <c r="I3284" t="s">
        <v>4872</v>
      </c>
      <c r="K3284" t="s">
        <v>5037</v>
      </c>
      <c r="L3284" t="s">
        <v>5039</v>
      </c>
    </row>
    <row r="3285" spans="1:12" x14ac:dyDescent="0.35">
      <c r="A3285" t="s">
        <v>117</v>
      </c>
      <c r="B3285" t="s">
        <v>585</v>
      </c>
      <c r="C3285" t="s">
        <v>1162</v>
      </c>
      <c r="D3285">
        <v>3.2000000000000001E-2</v>
      </c>
      <c r="F3285" t="s">
        <v>1314</v>
      </c>
      <c r="H3285" t="s">
        <v>3426</v>
      </c>
      <c r="I3285" t="s">
        <v>4872</v>
      </c>
      <c r="K3285" t="s">
        <v>5037</v>
      </c>
      <c r="L3285" t="s">
        <v>5039</v>
      </c>
    </row>
    <row r="3286" spans="1:12" x14ac:dyDescent="0.35">
      <c r="A3286" t="s">
        <v>117</v>
      </c>
      <c r="B3286" t="s">
        <v>585</v>
      </c>
      <c r="C3286" t="s">
        <v>169</v>
      </c>
      <c r="D3286">
        <v>1.6E-2</v>
      </c>
      <c r="F3286" t="s">
        <v>1614</v>
      </c>
      <c r="H3286" t="s">
        <v>4258</v>
      </c>
      <c r="I3286" t="s">
        <v>4872</v>
      </c>
      <c r="K3286" t="s">
        <v>5037</v>
      </c>
      <c r="L3286" t="s">
        <v>5039</v>
      </c>
    </row>
    <row r="3287" spans="1:12" x14ac:dyDescent="0.35">
      <c r="A3287" t="s">
        <v>117</v>
      </c>
      <c r="B3287" t="s">
        <v>585</v>
      </c>
      <c r="C3287" t="s">
        <v>1162</v>
      </c>
      <c r="D3287">
        <v>1.6E-2</v>
      </c>
      <c r="F3287" t="s">
        <v>1614</v>
      </c>
      <c r="H3287" t="s">
        <v>3426</v>
      </c>
      <c r="I3287" t="s">
        <v>4872</v>
      </c>
      <c r="K3287" t="s">
        <v>5037</v>
      </c>
      <c r="L3287" t="s">
        <v>5039</v>
      </c>
    </row>
    <row r="3288" spans="1:12" x14ac:dyDescent="0.35">
      <c r="A3288" t="s">
        <v>117</v>
      </c>
      <c r="B3288" t="s">
        <v>586</v>
      </c>
      <c r="C3288" t="s">
        <v>1160</v>
      </c>
      <c r="D3288">
        <v>1.2</v>
      </c>
      <c r="F3288" t="s">
        <v>1421</v>
      </c>
      <c r="I3288" t="s">
        <v>1477</v>
      </c>
      <c r="K3288" t="s">
        <v>5037</v>
      </c>
      <c r="L3288" t="s">
        <v>5039</v>
      </c>
    </row>
    <row r="3289" spans="1:12" x14ac:dyDescent="0.35">
      <c r="A3289" t="s">
        <v>117</v>
      </c>
      <c r="B3289" t="s">
        <v>586</v>
      </c>
      <c r="C3289" t="s">
        <v>169</v>
      </c>
      <c r="D3289">
        <v>3.5</v>
      </c>
      <c r="F3289" t="s">
        <v>1451</v>
      </c>
      <c r="I3289" t="s">
        <v>1477</v>
      </c>
      <c r="K3289" t="s">
        <v>5037</v>
      </c>
      <c r="L3289" t="s">
        <v>5039</v>
      </c>
    </row>
    <row r="3290" spans="1:12" x14ac:dyDescent="0.35">
      <c r="A3290" t="s">
        <v>117</v>
      </c>
      <c r="B3290" t="s">
        <v>587</v>
      </c>
      <c r="C3290" t="s">
        <v>169</v>
      </c>
      <c r="D3290">
        <v>4.4999999999999998E-2</v>
      </c>
      <c r="F3290" t="s">
        <v>1290</v>
      </c>
      <c r="H3290" t="s">
        <v>4259</v>
      </c>
      <c r="I3290" t="s">
        <v>4872</v>
      </c>
      <c r="K3290" t="s">
        <v>5037</v>
      </c>
      <c r="L3290" t="s">
        <v>5039</v>
      </c>
    </row>
    <row r="3291" spans="1:12" x14ac:dyDescent="0.35">
      <c r="A3291" t="s">
        <v>117</v>
      </c>
      <c r="B3291" t="s">
        <v>587</v>
      </c>
      <c r="C3291" t="s">
        <v>1162</v>
      </c>
      <c r="D3291">
        <v>4.4999999999999998E-2</v>
      </c>
      <c r="F3291" t="s">
        <v>1290</v>
      </c>
      <c r="H3291" t="s">
        <v>3426</v>
      </c>
      <c r="I3291" t="s">
        <v>4872</v>
      </c>
      <c r="K3291" t="s">
        <v>5037</v>
      </c>
      <c r="L3291" t="s">
        <v>5039</v>
      </c>
    </row>
    <row r="3292" spans="1:12" x14ac:dyDescent="0.35">
      <c r="A3292" t="s">
        <v>117</v>
      </c>
      <c r="B3292" t="s">
        <v>587</v>
      </c>
      <c r="C3292" t="s">
        <v>169</v>
      </c>
      <c r="D3292">
        <v>2.8000000000000001E-2</v>
      </c>
      <c r="F3292" t="s">
        <v>2039</v>
      </c>
      <c r="H3292" t="s">
        <v>4260</v>
      </c>
      <c r="I3292" t="s">
        <v>4872</v>
      </c>
      <c r="K3292" t="s">
        <v>5037</v>
      </c>
      <c r="L3292" t="s">
        <v>5039</v>
      </c>
    </row>
    <row r="3293" spans="1:12" x14ac:dyDescent="0.35">
      <c r="A3293" t="s">
        <v>117</v>
      </c>
      <c r="B3293" t="s">
        <v>587</v>
      </c>
      <c r="C3293" t="s">
        <v>1162</v>
      </c>
      <c r="D3293">
        <v>2.8000000000000001E-2</v>
      </c>
      <c r="F3293" t="s">
        <v>2039</v>
      </c>
      <c r="H3293" t="s">
        <v>3426</v>
      </c>
      <c r="I3293" t="s">
        <v>2323</v>
      </c>
      <c r="K3293" t="s">
        <v>5037</v>
      </c>
      <c r="L3293" t="s">
        <v>5039</v>
      </c>
    </row>
    <row r="3294" spans="1:12" x14ac:dyDescent="0.35">
      <c r="A3294" t="s">
        <v>117</v>
      </c>
      <c r="B3294" t="s">
        <v>588</v>
      </c>
      <c r="C3294" t="s">
        <v>167</v>
      </c>
      <c r="D3294">
        <v>0.8</v>
      </c>
      <c r="F3294" t="s">
        <v>1319</v>
      </c>
      <c r="H3294" t="s">
        <v>4261</v>
      </c>
      <c r="I3294" t="s">
        <v>4899</v>
      </c>
      <c r="K3294" t="s">
        <v>5037</v>
      </c>
      <c r="L3294" t="s">
        <v>5039</v>
      </c>
    </row>
    <row r="3295" spans="1:12" x14ac:dyDescent="0.35">
      <c r="A3295" t="s">
        <v>117</v>
      </c>
      <c r="B3295" t="s">
        <v>588</v>
      </c>
      <c r="C3295" t="s">
        <v>169</v>
      </c>
      <c r="D3295">
        <v>1.6</v>
      </c>
      <c r="F3295" t="s">
        <v>1328</v>
      </c>
      <c r="H3295" t="s">
        <v>4261</v>
      </c>
      <c r="I3295" t="s">
        <v>4899</v>
      </c>
      <c r="K3295" t="s">
        <v>5037</v>
      </c>
      <c r="L3295" t="s">
        <v>5039</v>
      </c>
    </row>
    <row r="3296" spans="1:12" x14ac:dyDescent="0.35">
      <c r="A3296" t="s">
        <v>117</v>
      </c>
      <c r="B3296" t="s">
        <v>588</v>
      </c>
      <c r="C3296" t="s">
        <v>880</v>
      </c>
      <c r="D3296">
        <v>0.24</v>
      </c>
      <c r="F3296" t="s">
        <v>1488</v>
      </c>
      <c r="H3296" t="s">
        <v>4261</v>
      </c>
      <c r="I3296" t="s">
        <v>4899</v>
      </c>
      <c r="K3296" t="s">
        <v>5037</v>
      </c>
      <c r="L3296" t="s">
        <v>5039</v>
      </c>
    </row>
    <row r="3297" spans="1:12" x14ac:dyDescent="0.35">
      <c r="A3297" t="s">
        <v>117</v>
      </c>
      <c r="B3297" t="s">
        <v>313</v>
      </c>
      <c r="C3297" t="s">
        <v>1163</v>
      </c>
      <c r="D3297">
        <v>8.0000000000000002E-3</v>
      </c>
      <c r="F3297" t="s">
        <v>1801</v>
      </c>
      <c r="H3297" t="s">
        <v>4262</v>
      </c>
      <c r="I3297" t="s">
        <v>2334</v>
      </c>
      <c r="K3297" t="s">
        <v>5037</v>
      </c>
      <c r="L3297" t="s">
        <v>5039</v>
      </c>
    </row>
    <row r="3298" spans="1:12" x14ac:dyDescent="0.35">
      <c r="A3298" t="s">
        <v>117</v>
      </c>
      <c r="B3298" t="s">
        <v>313</v>
      </c>
      <c r="C3298" t="s">
        <v>1163</v>
      </c>
      <c r="D3298">
        <v>1.4E-2</v>
      </c>
      <c r="F3298" t="s">
        <v>1550</v>
      </c>
      <c r="H3298" t="s">
        <v>4263</v>
      </c>
      <c r="I3298" t="s">
        <v>2334</v>
      </c>
      <c r="K3298" t="s">
        <v>5037</v>
      </c>
      <c r="L3298" t="s">
        <v>5039</v>
      </c>
    </row>
    <row r="3299" spans="1:12" x14ac:dyDescent="0.35">
      <c r="A3299" t="s">
        <v>117</v>
      </c>
      <c r="B3299" t="s">
        <v>313</v>
      </c>
      <c r="C3299" t="s">
        <v>167</v>
      </c>
      <c r="D3299">
        <v>1.8</v>
      </c>
      <c r="F3299" t="s">
        <v>1375</v>
      </c>
      <c r="H3299" t="s">
        <v>4264</v>
      </c>
      <c r="I3299" t="s">
        <v>2334</v>
      </c>
      <c r="K3299" t="s">
        <v>5037</v>
      </c>
      <c r="L3299" t="s">
        <v>5039</v>
      </c>
    </row>
    <row r="3300" spans="1:12" x14ac:dyDescent="0.35">
      <c r="A3300" t="s">
        <v>117</v>
      </c>
      <c r="B3300" t="s">
        <v>313</v>
      </c>
      <c r="C3300" t="s">
        <v>945</v>
      </c>
      <c r="D3300">
        <v>0.109</v>
      </c>
      <c r="F3300" t="s">
        <v>2415</v>
      </c>
      <c r="H3300" t="s">
        <v>4262</v>
      </c>
      <c r="I3300" t="s">
        <v>2334</v>
      </c>
      <c r="K3300" t="s">
        <v>5037</v>
      </c>
      <c r="L3300" t="s">
        <v>5039</v>
      </c>
    </row>
    <row r="3301" spans="1:12" x14ac:dyDescent="0.35">
      <c r="A3301" t="s">
        <v>117</v>
      </c>
      <c r="B3301" t="s">
        <v>313</v>
      </c>
      <c r="C3301" t="s">
        <v>945</v>
      </c>
      <c r="D3301">
        <v>0.20699999999999999</v>
      </c>
      <c r="F3301" t="s">
        <v>2416</v>
      </c>
      <c r="H3301" t="s">
        <v>4263</v>
      </c>
      <c r="I3301" t="s">
        <v>2334</v>
      </c>
      <c r="K3301" t="s">
        <v>5037</v>
      </c>
      <c r="L3301" t="s">
        <v>5039</v>
      </c>
    </row>
    <row r="3302" spans="1:12" x14ac:dyDescent="0.35">
      <c r="A3302" t="s">
        <v>117</v>
      </c>
      <c r="B3302" t="s">
        <v>589</v>
      </c>
      <c r="C3302" t="s">
        <v>169</v>
      </c>
      <c r="D3302">
        <v>2.9000000000000001E-2</v>
      </c>
      <c r="F3302" t="s">
        <v>2038</v>
      </c>
      <c r="H3302" t="s">
        <v>4265</v>
      </c>
      <c r="I3302" t="s">
        <v>4872</v>
      </c>
      <c r="K3302" t="s">
        <v>5037</v>
      </c>
      <c r="L3302" t="s">
        <v>5039</v>
      </c>
    </row>
    <row r="3303" spans="1:12" x14ac:dyDescent="0.35">
      <c r="A3303" t="s">
        <v>117</v>
      </c>
      <c r="B3303" t="s">
        <v>589</v>
      </c>
      <c r="C3303" t="s">
        <v>1162</v>
      </c>
      <c r="D3303">
        <v>2.9000000000000001E-2</v>
      </c>
      <c r="F3303" t="s">
        <v>2038</v>
      </c>
      <c r="H3303" t="s">
        <v>3426</v>
      </c>
      <c r="I3303" t="s">
        <v>4872</v>
      </c>
      <c r="K3303" t="s">
        <v>5037</v>
      </c>
      <c r="L3303" t="s">
        <v>5039</v>
      </c>
    </row>
    <row r="3304" spans="1:12" x14ac:dyDescent="0.35">
      <c r="A3304" t="s">
        <v>117</v>
      </c>
      <c r="B3304" t="s">
        <v>589</v>
      </c>
      <c r="C3304" t="s">
        <v>169</v>
      </c>
      <c r="D3304">
        <v>5.6000000000000001E-2</v>
      </c>
      <c r="F3304" t="s">
        <v>1462</v>
      </c>
      <c r="H3304" t="s">
        <v>4266</v>
      </c>
      <c r="I3304" t="s">
        <v>4872</v>
      </c>
      <c r="K3304" t="s">
        <v>5037</v>
      </c>
      <c r="L3304" t="s">
        <v>5039</v>
      </c>
    </row>
    <row r="3305" spans="1:12" x14ac:dyDescent="0.35">
      <c r="A3305" t="s">
        <v>117</v>
      </c>
      <c r="B3305" t="s">
        <v>589</v>
      </c>
      <c r="C3305" t="s">
        <v>1162</v>
      </c>
      <c r="D3305">
        <v>5.6000000000000001E-2</v>
      </c>
      <c r="F3305" t="s">
        <v>1462</v>
      </c>
      <c r="H3305" t="s">
        <v>3426</v>
      </c>
      <c r="I3305" t="s">
        <v>4872</v>
      </c>
      <c r="K3305" t="s">
        <v>5037</v>
      </c>
      <c r="L3305" t="s">
        <v>5039</v>
      </c>
    </row>
    <row r="3306" spans="1:12" x14ac:dyDescent="0.35">
      <c r="A3306" t="s">
        <v>117</v>
      </c>
      <c r="B3306" t="s">
        <v>340</v>
      </c>
      <c r="C3306" t="s">
        <v>1162</v>
      </c>
      <c r="D3306">
        <v>6.0999999999999999E-2</v>
      </c>
      <c r="F3306" t="s">
        <v>1646</v>
      </c>
      <c r="H3306" t="s">
        <v>3426</v>
      </c>
      <c r="I3306" t="s">
        <v>4857</v>
      </c>
      <c r="K3306" t="s">
        <v>5037</v>
      </c>
      <c r="L3306" t="s">
        <v>5039</v>
      </c>
    </row>
    <row r="3307" spans="1:12" x14ac:dyDescent="0.35">
      <c r="A3307" t="s">
        <v>117</v>
      </c>
      <c r="B3307" t="s">
        <v>466</v>
      </c>
      <c r="C3307" t="s">
        <v>880</v>
      </c>
      <c r="D3307">
        <v>0.31</v>
      </c>
      <c r="F3307" t="s">
        <v>1714</v>
      </c>
      <c r="I3307" t="s">
        <v>1359</v>
      </c>
      <c r="K3307" t="s">
        <v>5037</v>
      </c>
      <c r="L3307" t="s">
        <v>5039</v>
      </c>
    </row>
    <row r="3308" spans="1:12" x14ac:dyDescent="0.35">
      <c r="A3308" t="s">
        <v>117</v>
      </c>
      <c r="B3308" t="s">
        <v>466</v>
      </c>
      <c r="C3308" t="s">
        <v>169</v>
      </c>
      <c r="D3308">
        <v>0.34</v>
      </c>
      <c r="F3308" t="s">
        <v>1327</v>
      </c>
      <c r="I3308" t="s">
        <v>1359</v>
      </c>
      <c r="K3308" t="s">
        <v>5037</v>
      </c>
      <c r="L3308" t="s">
        <v>5039</v>
      </c>
    </row>
    <row r="3309" spans="1:12" x14ac:dyDescent="0.35">
      <c r="A3309" t="s">
        <v>117</v>
      </c>
      <c r="B3309" t="s">
        <v>516</v>
      </c>
      <c r="C3309" t="s">
        <v>169</v>
      </c>
      <c r="D3309">
        <v>0.44</v>
      </c>
      <c r="F3309" t="s">
        <v>1723</v>
      </c>
      <c r="I3309" t="s">
        <v>1390</v>
      </c>
      <c r="K3309" t="s">
        <v>5037</v>
      </c>
      <c r="L3309" t="s">
        <v>5039</v>
      </c>
    </row>
    <row r="3310" spans="1:12" x14ac:dyDescent="0.35">
      <c r="A3310" t="s">
        <v>117</v>
      </c>
      <c r="B3310" t="s">
        <v>590</v>
      </c>
      <c r="C3310" t="s">
        <v>1162</v>
      </c>
      <c r="D3310">
        <v>0.12</v>
      </c>
      <c r="F3310" t="s">
        <v>1473</v>
      </c>
      <c r="H3310" t="s">
        <v>3426</v>
      </c>
      <c r="I3310" t="s">
        <v>4857</v>
      </c>
      <c r="K3310" t="s">
        <v>5037</v>
      </c>
      <c r="L3310" t="s">
        <v>5039</v>
      </c>
    </row>
    <row r="3311" spans="1:12" x14ac:dyDescent="0.35">
      <c r="A3311" t="s">
        <v>117</v>
      </c>
      <c r="B3311" t="s">
        <v>591</v>
      </c>
      <c r="C3311" t="s">
        <v>1158</v>
      </c>
      <c r="D3311">
        <v>0.8</v>
      </c>
      <c r="F3311" t="s">
        <v>1319</v>
      </c>
      <c r="I3311" t="s">
        <v>1317</v>
      </c>
      <c r="K3311" t="s">
        <v>5037</v>
      </c>
      <c r="L3311" t="s">
        <v>5039</v>
      </c>
    </row>
    <row r="3312" spans="1:12" x14ac:dyDescent="0.35">
      <c r="A3312" t="s">
        <v>117</v>
      </c>
      <c r="B3312" t="s">
        <v>479</v>
      </c>
      <c r="C3312" t="s">
        <v>169</v>
      </c>
      <c r="D3312">
        <v>1.4</v>
      </c>
      <c r="F3312" t="s">
        <v>1469</v>
      </c>
      <c r="H3312" t="s">
        <v>4267</v>
      </c>
      <c r="I3312" t="s">
        <v>4857</v>
      </c>
      <c r="K3312" t="s">
        <v>5037</v>
      </c>
      <c r="L3312" t="s">
        <v>5039</v>
      </c>
    </row>
    <row r="3313" spans="1:12" x14ac:dyDescent="0.35">
      <c r="A3313" t="s">
        <v>117</v>
      </c>
      <c r="B3313" t="s">
        <v>479</v>
      </c>
      <c r="C3313" t="s">
        <v>1158</v>
      </c>
      <c r="D3313">
        <v>1.4</v>
      </c>
      <c r="F3313" t="s">
        <v>1469</v>
      </c>
      <c r="I3313" t="s">
        <v>4863</v>
      </c>
      <c r="K3313" t="s">
        <v>5037</v>
      </c>
      <c r="L3313" t="s">
        <v>5039</v>
      </c>
    </row>
    <row r="3314" spans="1:12" x14ac:dyDescent="0.35">
      <c r="A3314" t="s">
        <v>117</v>
      </c>
      <c r="B3314" t="s">
        <v>592</v>
      </c>
      <c r="C3314" t="s">
        <v>169</v>
      </c>
      <c r="D3314">
        <v>0.91</v>
      </c>
      <c r="F3314" t="s">
        <v>1874</v>
      </c>
      <c r="I3314" t="s">
        <v>1878</v>
      </c>
      <c r="K3314" t="s">
        <v>5037</v>
      </c>
      <c r="L3314" t="s">
        <v>5039</v>
      </c>
    </row>
    <row r="3315" spans="1:12" x14ac:dyDescent="0.35">
      <c r="A3315" t="s">
        <v>117</v>
      </c>
      <c r="B3315" t="s">
        <v>478</v>
      </c>
      <c r="C3315" t="s">
        <v>1164</v>
      </c>
      <c r="D3315">
        <v>4.9000000000000002E-2</v>
      </c>
      <c r="F3315" t="s">
        <v>1452</v>
      </c>
      <c r="H3315" t="s">
        <v>4268</v>
      </c>
      <c r="I3315" t="s">
        <v>4868</v>
      </c>
      <c r="K3315" t="s">
        <v>5037</v>
      </c>
      <c r="L3315" t="s">
        <v>5039</v>
      </c>
    </row>
    <row r="3316" spans="1:12" x14ac:dyDescent="0.35">
      <c r="A3316" t="s">
        <v>117</v>
      </c>
      <c r="B3316" t="s">
        <v>478</v>
      </c>
      <c r="C3316" t="s">
        <v>1165</v>
      </c>
      <c r="D3316">
        <v>2.7E-2</v>
      </c>
      <c r="F3316" t="s">
        <v>1420</v>
      </c>
      <c r="H3316" t="s">
        <v>4268</v>
      </c>
      <c r="I3316" t="s">
        <v>4868</v>
      </c>
      <c r="K3316" t="s">
        <v>5037</v>
      </c>
      <c r="L3316" t="s">
        <v>5039</v>
      </c>
    </row>
    <row r="3317" spans="1:12" x14ac:dyDescent="0.35">
      <c r="A3317" t="s">
        <v>117</v>
      </c>
      <c r="B3317" t="s">
        <v>478</v>
      </c>
      <c r="C3317" t="s">
        <v>1166</v>
      </c>
      <c r="D3317">
        <v>2.5000000000000001E-2</v>
      </c>
      <c r="F3317" t="s">
        <v>1282</v>
      </c>
      <c r="H3317" t="s">
        <v>4268</v>
      </c>
      <c r="I3317" t="s">
        <v>4868</v>
      </c>
      <c r="K3317" t="s">
        <v>5037</v>
      </c>
      <c r="L3317" t="s">
        <v>5039</v>
      </c>
    </row>
    <row r="3318" spans="1:12" x14ac:dyDescent="0.35">
      <c r="A3318" t="s">
        <v>117</v>
      </c>
      <c r="B3318" t="s">
        <v>478</v>
      </c>
      <c r="C3318" t="s">
        <v>1167</v>
      </c>
      <c r="D3318">
        <v>0.2</v>
      </c>
      <c r="F3318" t="s">
        <v>1371</v>
      </c>
      <c r="H3318" t="s">
        <v>4269</v>
      </c>
      <c r="I3318" t="s">
        <v>4868</v>
      </c>
      <c r="K3318" t="s">
        <v>5037</v>
      </c>
      <c r="L3318" t="s">
        <v>5039</v>
      </c>
    </row>
    <row r="3319" spans="1:12" x14ac:dyDescent="0.35">
      <c r="A3319" t="s">
        <v>117</v>
      </c>
      <c r="B3319" t="s">
        <v>478</v>
      </c>
      <c r="C3319" t="s">
        <v>1168</v>
      </c>
      <c r="D3319">
        <v>6.6000000000000003E-2</v>
      </c>
      <c r="F3319" t="s">
        <v>1623</v>
      </c>
      <c r="H3319" t="s">
        <v>4268</v>
      </c>
      <c r="I3319" t="s">
        <v>4868</v>
      </c>
      <c r="K3319" t="s">
        <v>5037</v>
      </c>
      <c r="L3319" t="s">
        <v>5039</v>
      </c>
    </row>
    <row r="3320" spans="1:12" x14ac:dyDescent="0.35">
      <c r="A3320" t="s">
        <v>117</v>
      </c>
      <c r="B3320" t="s">
        <v>478</v>
      </c>
      <c r="C3320" t="s">
        <v>1169</v>
      </c>
      <c r="D3320">
        <v>0.24</v>
      </c>
      <c r="F3320" t="s">
        <v>1488</v>
      </c>
      <c r="H3320" t="s">
        <v>4269</v>
      </c>
      <c r="I3320" t="s">
        <v>4868</v>
      </c>
      <c r="K3320" t="s">
        <v>5037</v>
      </c>
      <c r="L3320" t="s">
        <v>5039</v>
      </c>
    </row>
    <row r="3321" spans="1:12" x14ac:dyDescent="0.35">
      <c r="A3321" t="s">
        <v>117</v>
      </c>
      <c r="B3321" t="s">
        <v>377</v>
      </c>
      <c r="C3321" t="s">
        <v>1170</v>
      </c>
      <c r="D3321">
        <v>0.57999999999999996</v>
      </c>
      <c r="F3321" t="s">
        <v>1444</v>
      </c>
      <c r="I3321" t="s">
        <v>1516</v>
      </c>
      <c r="K3321" t="s">
        <v>5037</v>
      </c>
      <c r="L3321" t="s">
        <v>5039</v>
      </c>
    </row>
    <row r="3322" spans="1:12" x14ac:dyDescent="0.35">
      <c r="A3322" t="s">
        <v>117</v>
      </c>
      <c r="B3322" t="s">
        <v>377</v>
      </c>
      <c r="C3322" t="s">
        <v>1158</v>
      </c>
      <c r="D3322">
        <v>7.6999999999999999E-2</v>
      </c>
      <c r="F3322" t="s">
        <v>1578</v>
      </c>
      <c r="I3322" t="s">
        <v>1516</v>
      </c>
      <c r="K3322" t="s">
        <v>5037</v>
      </c>
      <c r="L3322" t="s">
        <v>5039</v>
      </c>
    </row>
    <row r="3323" spans="1:12" x14ac:dyDescent="0.35">
      <c r="A3323" t="s">
        <v>117</v>
      </c>
      <c r="B3323" t="s">
        <v>353</v>
      </c>
      <c r="C3323" t="s">
        <v>1158</v>
      </c>
      <c r="D3323">
        <v>1.2E-2</v>
      </c>
      <c r="F3323" t="s">
        <v>1280</v>
      </c>
      <c r="H3323" t="s">
        <v>4270</v>
      </c>
      <c r="I3323" t="s">
        <v>2009</v>
      </c>
      <c r="K3323" t="s">
        <v>5037</v>
      </c>
      <c r="L3323" t="s">
        <v>5039</v>
      </c>
    </row>
    <row r="3324" spans="1:12" x14ac:dyDescent="0.35">
      <c r="A3324" t="s">
        <v>117</v>
      </c>
      <c r="B3324" t="s">
        <v>353</v>
      </c>
      <c r="C3324" t="s">
        <v>1158</v>
      </c>
      <c r="D3324">
        <v>2.7E-2</v>
      </c>
      <c r="F3324" t="s">
        <v>1420</v>
      </c>
      <c r="H3324" t="s">
        <v>4271</v>
      </c>
      <c r="I3324" t="s">
        <v>2009</v>
      </c>
      <c r="K3324" t="s">
        <v>5037</v>
      </c>
      <c r="L3324" t="s">
        <v>5039</v>
      </c>
    </row>
    <row r="3325" spans="1:12" x14ac:dyDescent="0.35">
      <c r="A3325" t="s">
        <v>117</v>
      </c>
      <c r="B3325" t="s">
        <v>353</v>
      </c>
      <c r="C3325" t="s">
        <v>1158</v>
      </c>
      <c r="D3325">
        <v>0.01</v>
      </c>
      <c r="F3325" t="s">
        <v>1376</v>
      </c>
      <c r="H3325" t="s">
        <v>4272</v>
      </c>
      <c r="I3325" t="s">
        <v>2009</v>
      </c>
      <c r="K3325" t="s">
        <v>5037</v>
      </c>
      <c r="L3325" t="s">
        <v>5039</v>
      </c>
    </row>
    <row r="3326" spans="1:12" x14ac:dyDescent="0.35">
      <c r="A3326" t="s">
        <v>117</v>
      </c>
      <c r="B3326" t="s">
        <v>353</v>
      </c>
      <c r="C3326" t="s">
        <v>1158</v>
      </c>
      <c r="D3326">
        <v>8.8999999999999999E-3</v>
      </c>
      <c r="F3326" t="s">
        <v>1779</v>
      </c>
      <c r="H3326" t="s">
        <v>4273</v>
      </c>
      <c r="I3326" t="s">
        <v>2009</v>
      </c>
      <c r="K3326" t="s">
        <v>5037</v>
      </c>
      <c r="L3326" t="s">
        <v>5039</v>
      </c>
    </row>
    <row r="3327" spans="1:12" x14ac:dyDescent="0.35">
      <c r="A3327" t="s">
        <v>117</v>
      </c>
      <c r="B3327" t="s">
        <v>416</v>
      </c>
      <c r="C3327" t="s">
        <v>1171</v>
      </c>
      <c r="D3327">
        <v>2.8400000000000002E-2</v>
      </c>
      <c r="F3327" t="s">
        <v>2417</v>
      </c>
      <c r="H3327" t="s">
        <v>4274</v>
      </c>
      <c r="I3327" t="s">
        <v>4871</v>
      </c>
      <c r="K3327" t="s">
        <v>5037</v>
      </c>
      <c r="L3327" t="s">
        <v>5039</v>
      </c>
    </row>
    <row r="3328" spans="1:12" x14ac:dyDescent="0.35">
      <c r="A3328" t="s">
        <v>117</v>
      </c>
      <c r="B3328" t="s">
        <v>446</v>
      </c>
      <c r="C3328" t="s">
        <v>1172</v>
      </c>
      <c r="D3328">
        <v>0.3</v>
      </c>
      <c r="F3328" t="s">
        <v>1401</v>
      </c>
      <c r="I3328" t="s">
        <v>2326</v>
      </c>
      <c r="K3328" t="s">
        <v>5037</v>
      </c>
      <c r="L3328" t="s">
        <v>5039</v>
      </c>
    </row>
    <row r="3329" spans="1:12" x14ac:dyDescent="0.35">
      <c r="A3329" t="s">
        <v>117</v>
      </c>
      <c r="B3329" t="s">
        <v>446</v>
      </c>
      <c r="C3329" t="s">
        <v>1173</v>
      </c>
      <c r="D3329">
        <v>3.2000000000000001E-2</v>
      </c>
      <c r="F3329" t="s">
        <v>1314</v>
      </c>
      <c r="H3329" t="s">
        <v>4275</v>
      </c>
      <c r="I3329" t="s">
        <v>2346</v>
      </c>
      <c r="K3329" t="s">
        <v>5037</v>
      </c>
      <c r="L3329" t="s">
        <v>5039</v>
      </c>
    </row>
    <row r="3330" spans="1:12" x14ac:dyDescent="0.35">
      <c r="A3330" t="s">
        <v>117</v>
      </c>
      <c r="B3330" t="s">
        <v>446</v>
      </c>
      <c r="C3330" t="s">
        <v>167</v>
      </c>
      <c r="D3330">
        <v>1.9</v>
      </c>
      <c r="F3330" t="s">
        <v>1503</v>
      </c>
      <c r="I3330" t="s">
        <v>2326</v>
      </c>
      <c r="K3330" t="s">
        <v>5037</v>
      </c>
      <c r="L3330" t="s">
        <v>5039</v>
      </c>
    </row>
    <row r="3331" spans="1:12" x14ac:dyDescent="0.35">
      <c r="A3331" t="s">
        <v>117</v>
      </c>
      <c r="B3331" t="s">
        <v>446</v>
      </c>
      <c r="C3331" t="s">
        <v>1174</v>
      </c>
      <c r="D3331">
        <v>0.7</v>
      </c>
      <c r="F3331" t="s">
        <v>1378</v>
      </c>
      <c r="I3331" t="s">
        <v>2326</v>
      </c>
      <c r="K3331" t="s">
        <v>5037</v>
      </c>
      <c r="L3331" t="s">
        <v>5039</v>
      </c>
    </row>
    <row r="3332" spans="1:12" x14ac:dyDescent="0.35">
      <c r="A3332" t="s">
        <v>117</v>
      </c>
      <c r="B3332" t="s">
        <v>446</v>
      </c>
      <c r="C3332" t="s">
        <v>945</v>
      </c>
      <c r="D3332">
        <v>7.0999999999999994E-2</v>
      </c>
      <c r="F3332" t="s">
        <v>1485</v>
      </c>
      <c r="I3332" t="s">
        <v>2326</v>
      </c>
      <c r="K3332" t="s">
        <v>5037</v>
      </c>
      <c r="L3332" t="s">
        <v>5039</v>
      </c>
    </row>
    <row r="3333" spans="1:12" x14ac:dyDescent="0.35">
      <c r="A3333" t="s">
        <v>117</v>
      </c>
      <c r="B3333" t="s">
        <v>446</v>
      </c>
      <c r="C3333" t="s">
        <v>1175</v>
      </c>
      <c r="D3333">
        <v>6.4000000000000001E-2</v>
      </c>
      <c r="F3333" t="s">
        <v>1827</v>
      </c>
      <c r="H3333" t="s">
        <v>4276</v>
      </c>
      <c r="I3333" t="s">
        <v>2326</v>
      </c>
      <c r="K3333" t="s">
        <v>5037</v>
      </c>
      <c r="L3333" t="s">
        <v>5039</v>
      </c>
    </row>
    <row r="3334" spans="1:12" x14ac:dyDescent="0.35">
      <c r="A3334" t="s">
        <v>117</v>
      </c>
      <c r="B3334" t="s">
        <v>446</v>
      </c>
      <c r="C3334" t="s">
        <v>1176</v>
      </c>
      <c r="D3334">
        <v>5.0999999999999997E-2</v>
      </c>
      <c r="F3334" t="s">
        <v>2059</v>
      </c>
      <c r="H3334" t="s">
        <v>4275</v>
      </c>
      <c r="I3334" t="s">
        <v>2346</v>
      </c>
      <c r="K3334" t="s">
        <v>5037</v>
      </c>
      <c r="L3334" t="s">
        <v>5039</v>
      </c>
    </row>
    <row r="3335" spans="1:12" x14ac:dyDescent="0.35">
      <c r="A3335" t="s">
        <v>117</v>
      </c>
      <c r="B3335" t="s">
        <v>175</v>
      </c>
      <c r="C3335" t="s">
        <v>167</v>
      </c>
      <c r="D3335">
        <v>4.9000000000000002E-2</v>
      </c>
      <c r="F3335" t="s">
        <v>1452</v>
      </c>
      <c r="I3335" t="s">
        <v>2326</v>
      </c>
      <c r="K3335" t="s">
        <v>5037</v>
      </c>
      <c r="L3335" t="s">
        <v>5039</v>
      </c>
    </row>
    <row r="3336" spans="1:12" x14ac:dyDescent="0.35">
      <c r="A3336" t="s">
        <v>117</v>
      </c>
      <c r="B3336" t="s">
        <v>175</v>
      </c>
      <c r="C3336" t="s">
        <v>1174</v>
      </c>
      <c r="D3336">
        <v>4.2000000000000003E-2</v>
      </c>
      <c r="F3336" t="s">
        <v>1338</v>
      </c>
      <c r="I3336" t="s">
        <v>2326</v>
      </c>
      <c r="K3336" t="s">
        <v>5037</v>
      </c>
      <c r="L3336" t="s">
        <v>5039</v>
      </c>
    </row>
    <row r="3337" spans="1:12" x14ac:dyDescent="0.35">
      <c r="A3337" t="s">
        <v>117</v>
      </c>
      <c r="B3337" t="s">
        <v>175</v>
      </c>
      <c r="C3337" t="s">
        <v>945</v>
      </c>
      <c r="D3337">
        <v>0.13</v>
      </c>
      <c r="F3337" t="s">
        <v>1466</v>
      </c>
      <c r="I3337" t="s">
        <v>2326</v>
      </c>
      <c r="K3337" t="s">
        <v>5037</v>
      </c>
      <c r="L3337" t="s">
        <v>5039</v>
      </c>
    </row>
    <row r="3338" spans="1:12" x14ac:dyDescent="0.35">
      <c r="A3338" t="s">
        <v>117</v>
      </c>
      <c r="B3338" t="s">
        <v>175</v>
      </c>
      <c r="C3338" t="s">
        <v>1172</v>
      </c>
      <c r="D3338">
        <v>5.2999999999999999E-2</v>
      </c>
      <c r="F3338" t="s">
        <v>1739</v>
      </c>
      <c r="I3338" t="s">
        <v>2326</v>
      </c>
      <c r="K3338" t="s">
        <v>5037</v>
      </c>
      <c r="L3338" t="s">
        <v>5039</v>
      </c>
    </row>
    <row r="3339" spans="1:12" x14ac:dyDescent="0.35">
      <c r="A3339" t="s">
        <v>117</v>
      </c>
      <c r="B3339" t="s">
        <v>175</v>
      </c>
      <c r="C3339" t="s">
        <v>1175</v>
      </c>
      <c r="D3339">
        <v>0.14799999999999999</v>
      </c>
      <c r="F3339" t="s">
        <v>2347</v>
      </c>
      <c r="H3339" t="s">
        <v>4276</v>
      </c>
      <c r="I3339" t="s">
        <v>2326</v>
      </c>
      <c r="K3339" t="s">
        <v>5037</v>
      </c>
      <c r="L3339" t="s">
        <v>5039</v>
      </c>
    </row>
    <row r="3340" spans="1:12" x14ac:dyDescent="0.35">
      <c r="A3340" t="s">
        <v>117</v>
      </c>
      <c r="B3340" t="s">
        <v>353</v>
      </c>
      <c r="C3340" t="s">
        <v>1158</v>
      </c>
      <c r="D3340">
        <v>2.7199999999999998E-2</v>
      </c>
      <c r="F3340" t="s">
        <v>2418</v>
      </c>
      <c r="I3340" t="s">
        <v>1943</v>
      </c>
      <c r="K3340" t="s">
        <v>5037</v>
      </c>
      <c r="L3340" t="s">
        <v>5039</v>
      </c>
    </row>
    <row r="3341" spans="1:12" x14ac:dyDescent="0.35">
      <c r="A3341" t="s">
        <v>117</v>
      </c>
      <c r="B3341" t="s">
        <v>327</v>
      </c>
      <c r="C3341" t="s">
        <v>1162</v>
      </c>
      <c r="D3341">
        <v>0.09</v>
      </c>
      <c r="F3341" t="s">
        <v>1310</v>
      </c>
      <c r="H3341" t="s">
        <v>3426</v>
      </c>
      <c r="I3341" t="s">
        <v>2323</v>
      </c>
      <c r="K3341" t="s">
        <v>5037</v>
      </c>
      <c r="L3341" t="s">
        <v>5039</v>
      </c>
    </row>
    <row r="3342" spans="1:12" x14ac:dyDescent="0.35">
      <c r="A3342" t="s">
        <v>117</v>
      </c>
      <c r="B3342" t="s">
        <v>327</v>
      </c>
      <c r="C3342" t="s">
        <v>169</v>
      </c>
      <c r="D3342">
        <v>0.182</v>
      </c>
      <c r="F3342" t="s">
        <v>1579</v>
      </c>
      <c r="H3342" t="s">
        <v>4277</v>
      </c>
      <c r="I3342" t="s">
        <v>4865</v>
      </c>
      <c r="K3342" t="s">
        <v>5037</v>
      </c>
      <c r="L3342" t="s">
        <v>5039</v>
      </c>
    </row>
    <row r="3343" spans="1:12" x14ac:dyDescent="0.35">
      <c r="A3343" t="s">
        <v>117</v>
      </c>
      <c r="B3343" t="s">
        <v>327</v>
      </c>
      <c r="C3343" t="s">
        <v>169</v>
      </c>
      <c r="D3343">
        <v>0.13</v>
      </c>
      <c r="F3343" t="s">
        <v>1466</v>
      </c>
      <c r="I3343" t="s">
        <v>4994</v>
      </c>
      <c r="K3343" t="s">
        <v>5037</v>
      </c>
      <c r="L3343" t="s">
        <v>5039</v>
      </c>
    </row>
    <row r="3344" spans="1:12" x14ac:dyDescent="0.35">
      <c r="A3344" t="s">
        <v>117</v>
      </c>
      <c r="B3344" t="s">
        <v>327</v>
      </c>
      <c r="C3344" t="s">
        <v>1158</v>
      </c>
      <c r="D3344">
        <v>0.192</v>
      </c>
      <c r="F3344" t="s">
        <v>2419</v>
      </c>
      <c r="I3344" t="s">
        <v>2258</v>
      </c>
      <c r="K3344" t="s">
        <v>5037</v>
      </c>
      <c r="L3344" t="s">
        <v>5039</v>
      </c>
    </row>
    <row r="3345" spans="1:12" x14ac:dyDescent="0.35">
      <c r="A3345" t="s">
        <v>117</v>
      </c>
      <c r="B3345" t="s">
        <v>327</v>
      </c>
      <c r="C3345" t="s">
        <v>880</v>
      </c>
      <c r="D3345">
        <v>0.04</v>
      </c>
      <c r="F3345" t="s">
        <v>1334</v>
      </c>
      <c r="H3345" t="s">
        <v>4278</v>
      </c>
      <c r="I3345" t="s">
        <v>1526</v>
      </c>
      <c r="K3345" t="s">
        <v>5037</v>
      </c>
      <c r="L3345" t="s">
        <v>5039</v>
      </c>
    </row>
    <row r="3346" spans="1:12" x14ac:dyDescent="0.35">
      <c r="A3346" t="s">
        <v>117</v>
      </c>
      <c r="B3346" t="s">
        <v>179</v>
      </c>
      <c r="C3346" t="s">
        <v>1177</v>
      </c>
      <c r="D3346">
        <v>0.03</v>
      </c>
      <c r="F3346" t="s">
        <v>1266</v>
      </c>
      <c r="H3346" t="s">
        <v>4279</v>
      </c>
      <c r="I3346" t="s">
        <v>1526</v>
      </c>
      <c r="K3346" t="s">
        <v>5037</v>
      </c>
      <c r="L3346" t="s">
        <v>5039</v>
      </c>
    </row>
    <row r="3347" spans="1:12" x14ac:dyDescent="0.35">
      <c r="A3347" t="s">
        <v>117</v>
      </c>
      <c r="B3347" t="s">
        <v>179</v>
      </c>
      <c r="C3347" t="s">
        <v>1178</v>
      </c>
      <c r="D3347">
        <v>0.03</v>
      </c>
      <c r="F3347" t="s">
        <v>1266</v>
      </c>
      <c r="H3347" t="s">
        <v>4279</v>
      </c>
      <c r="I3347" t="s">
        <v>1526</v>
      </c>
      <c r="K3347" t="s">
        <v>5037</v>
      </c>
      <c r="L3347" t="s">
        <v>5039</v>
      </c>
    </row>
    <row r="3348" spans="1:12" x14ac:dyDescent="0.35">
      <c r="A3348" t="s">
        <v>117</v>
      </c>
      <c r="B3348" t="s">
        <v>179</v>
      </c>
      <c r="C3348" t="s">
        <v>880</v>
      </c>
      <c r="D3348">
        <v>0.06</v>
      </c>
      <c r="F3348" t="s">
        <v>1370</v>
      </c>
      <c r="I3348" t="s">
        <v>4995</v>
      </c>
      <c r="K3348" t="s">
        <v>5037</v>
      </c>
      <c r="L3348" t="s">
        <v>5039</v>
      </c>
    </row>
    <row r="3349" spans="1:12" x14ac:dyDescent="0.35">
      <c r="A3349" t="s">
        <v>117</v>
      </c>
      <c r="B3349" t="s">
        <v>179</v>
      </c>
      <c r="C3349" t="s">
        <v>1179</v>
      </c>
      <c r="D3349">
        <v>0.02</v>
      </c>
      <c r="F3349" t="s">
        <v>1448</v>
      </c>
      <c r="H3349" t="s">
        <v>4279</v>
      </c>
      <c r="I3349" t="s">
        <v>1526</v>
      </c>
      <c r="K3349" t="s">
        <v>5037</v>
      </c>
      <c r="L3349" t="s">
        <v>5039</v>
      </c>
    </row>
    <row r="3350" spans="1:12" x14ac:dyDescent="0.35">
      <c r="A3350" t="s">
        <v>117</v>
      </c>
      <c r="B3350" t="s">
        <v>179</v>
      </c>
      <c r="C3350" t="s">
        <v>1180</v>
      </c>
      <c r="D3350">
        <v>0.02</v>
      </c>
      <c r="F3350" t="s">
        <v>1448</v>
      </c>
      <c r="H3350" t="s">
        <v>4279</v>
      </c>
      <c r="I3350" t="s">
        <v>1526</v>
      </c>
      <c r="K3350" t="s">
        <v>5037</v>
      </c>
      <c r="L3350" t="s">
        <v>5039</v>
      </c>
    </row>
    <row r="3351" spans="1:12" x14ac:dyDescent="0.35">
      <c r="A3351" t="s">
        <v>117</v>
      </c>
      <c r="B3351" t="s">
        <v>179</v>
      </c>
      <c r="C3351" t="s">
        <v>1181</v>
      </c>
      <c r="D3351">
        <v>0.02</v>
      </c>
      <c r="F3351" t="s">
        <v>1448</v>
      </c>
      <c r="H3351" t="s">
        <v>4278</v>
      </c>
      <c r="I3351" t="s">
        <v>1526</v>
      </c>
      <c r="K3351" t="s">
        <v>5037</v>
      </c>
      <c r="L3351" t="s">
        <v>5039</v>
      </c>
    </row>
    <row r="3352" spans="1:12" x14ac:dyDescent="0.35">
      <c r="A3352" t="s">
        <v>117</v>
      </c>
      <c r="B3352" t="s">
        <v>179</v>
      </c>
      <c r="C3352" t="s">
        <v>1182</v>
      </c>
      <c r="D3352">
        <v>0.02</v>
      </c>
      <c r="F3352" t="s">
        <v>1448</v>
      </c>
      <c r="H3352" t="s">
        <v>4279</v>
      </c>
      <c r="I3352" t="s">
        <v>1526</v>
      </c>
      <c r="K3352" t="s">
        <v>5037</v>
      </c>
      <c r="L3352" t="s">
        <v>5039</v>
      </c>
    </row>
    <row r="3353" spans="1:12" x14ac:dyDescent="0.35">
      <c r="A3353" t="s">
        <v>117</v>
      </c>
      <c r="B3353" t="s">
        <v>179</v>
      </c>
      <c r="C3353" t="s">
        <v>169</v>
      </c>
      <c r="D3353">
        <v>0.09</v>
      </c>
      <c r="F3353" t="s">
        <v>1310</v>
      </c>
      <c r="H3353" t="s">
        <v>4278</v>
      </c>
      <c r="I3353" t="s">
        <v>1526</v>
      </c>
      <c r="K3353" t="s">
        <v>5037</v>
      </c>
      <c r="L3353" t="s">
        <v>5039</v>
      </c>
    </row>
    <row r="3354" spans="1:12" x14ac:dyDescent="0.35">
      <c r="A3354" t="s">
        <v>117</v>
      </c>
      <c r="B3354" t="s">
        <v>179</v>
      </c>
      <c r="C3354" t="s">
        <v>1183</v>
      </c>
      <c r="D3354">
        <v>7.0000000000000007E-2</v>
      </c>
      <c r="F3354" t="s">
        <v>1456</v>
      </c>
      <c r="H3354" t="s">
        <v>4279</v>
      </c>
      <c r="I3354" t="s">
        <v>1526</v>
      </c>
      <c r="K3354" t="s">
        <v>5037</v>
      </c>
      <c r="L3354" t="s">
        <v>5039</v>
      </c>
    </row>
    <row r="3355" spans="1:12" x14ac:dyDescent="0.35">
      <c r="A3355" t="s">
        <v>117</v>
      </c>
      <c r="B3355" t="s">
        <v>179</v>
      </c>
      <c r="C3355" t="s">
        <v>1184</v>
      </c>
      <c r="D3355">
        <v>0.2</v>
      </c>
      <c r="F3355" t="s">
        <v>1371</v>
      </c>
      <c r="I3355" t="s">
        <v>1526</v>
      </c>
      <c r="K3355" t="s">
        <v>5037</v>
      </c>
      <c r="L3355" t="s">
        <v>5039</v>
      </c>
    </row>
    <row r="3356" spans="1:12" x14ac:dyDescent="0.35">
      <c r="A3356" t="s">
        <v>117</v>
      </c>
      <c r="B3356" t="s">
        <v>179</v>
      </c>
      <c r="C3356" t="s">
        <v>169</v>
      </c>
      <c r="D3356">
        <v>0.14000000000000001</v>
      </c>
      <c r="F3356" t="s">
        <v>1361</v>
      </c>
      <c r="I3356" t="s">
        <v>4995</v>
      </c>
      <c r="K3356" t="s">
        <v>5037</v>
      </c>
      <c r="L3356" t="s">
        <v>5039</v>
      </c>
    </row>
    <row r="3357" spans="1:12" x14ac:dyDescent="0.35">
      <c r="A3357" t="s">
        <v>117</v>
      </c>
      <c r="B3357" t="s">
        <v>179</v>
      </c>
      <c r="C3357" t="s">
        <v>1185</v>
      </c>
      <c r="D3357">
        <v>0.01</v>
      </c>
      <c r="F3357" t="s">
        <v>1376</v>
      </c>
      <c r="H3357" t="s">
        <v>4279</v>
      </c>
      <c r="I3357" t="s">
        <v>1526</v>
      </c>
      <c r="K3357" t="s">
        <v>5037</v>
      </c>
      <c r="L3357" t="s">
        <v>5039</v>
      </c>
    </row>
    <row r="3358" spans="1:12" x14ac:dyDescent="0.35">
      <c r="A3358" t="s">
        <v>117</v>
      </c>
      <c r="B3358" t="s">
        <v>593</v>
      </c>
      <c r="C3358" t="s">
        <v>1158</v>
      </c>
      <c r="D3358">
        <v>11</v>
      </c>
      <c r="F3358" t="s">
        <v>1841</v>
      </c>
      <c r="H3358" t="s">
        <v>4280</v>
      </c>
      <c r="I3358" t="s">
        <v>4880</v>
      </c>
      <c r="K3358" t="s">
        <v>5037</v>
      </c>
      <c r="L3358" t="s">
        <v>5039</v>
      </c>
    </row>
    <row r="3359" spans="1:12" x14ac:dyDescent="0.35">
      <c r="A3359" t="s">
        <v>117</v>
      </c>
      <c r="B3359" t="s">
        <v>593</v>
      </c>
      <c r="C3359" t="s">
        <v>1158</v>
      </c>
      <c r="D3359">
        <v>7.6</v>
      </c>
      <c r="F3359" t="s">
        <v>1816</v>
      </c>
      <c r="H3359" t="s">
        <v>4281</v>
      </c>
      <c r="I3359" t="s">
        <v>4880</v>
      </c>
      <c r="K3359" t="s">
        <v>5037</v>
      </c>
      <c r="L3359" t="s">
        <v>5039</v>
      </c>
    </row>
    <row r="3360" spans="1:12" x14ac:dyDescent="0.35">
      <c r="A3360" t="s">
        <v>117</v>
      </c>
      <c r="B3360" t="s">
        <v>593</v>
      </c>
      <c r="C3360" t="s">
        <v>1162</v>
      </c>
      <c r="D3360">
        <v>9.98E-2</v>
      </c>
      <c r="F3360" t="s">
        <v>2420</v>
      </c>
      <c r="H3360" t="s">
        <v>3426</v>
      </c>
      <c r="I3360" t="s">
        <v>1625</v>
      </c>
      <c r="K3360" t="s">
        <v>5037</v>
      </c>
      <c r="L3360" t="s">
        <v>5039</v>
      </c>
    </row>
    <row r="3361" spans="1:12" x14ac:dyDescent="0.35">
      <c r="A3361" t="s">
        <v>117</v>
      </c>
      <c r="B3361" t="s">
        <v>594</v>
      </c>
      <c r="C3361" t="s">
        <v>169</v>
      </c>
      <c r="D3361">
        <v>1.9</v>
      </c>
      <c r="F3361" t="s">
        <v>1503</v>
      </c>
      <c r="H3361" t="s">
        <v>4282</v>
      </c>
      <c r="I3361" t="s">
        <v>4866</v>
      </c>
      <c r="K3361" t="s">
        <v>5037</v>
      </c>
      <c r="L3361" t="s">
        <v>5039</v>
      </c>
    </row>
    <row r="3362" spans="1:12" x14ac:dyDescent="0.35">
      <c r="A3362" t="s">
        <v>117</v>
      </c>
      <c r="B3362" t="s">
        <v>594</v>
      </c>
      <c r="C3362" t="s">
        <v>169</v>
      </c>
      <c r="D3362">
        <v>0.40600000000000003</v>
      </c>
      <c r="F3362" t="s">
        <v>2421</v>
      </c>
      <c r="H3362" t="s">
        <v>4283</v>
      </c>
      <c r="I3362" t="s">
        <v>4866</v>
      </c>
      <c r="K3362" t="s">
        <v>5037</v>
      </c>
      <c r="L3362" t="s">
        <v>5039</v>
      </c>
    </row>
    <row r="3363" spans="1:12" x14ac:dyDescent="0.35">
      <c r="A3363" t="s">
        <v>117</v>
      </c>
      <c r="B3363" t="s">
        <v>594</v>
      </c>
      <c r="C3363" t="s">
        <v>169</v>
      </c>
      <c r="D3363">
        <v>0.58799999999999997</v>
      </c>
      <c r="F3363" t="s">
        <v>2422</v>
      </c>
      <c r="H3363" t="s">
        <v>4284</v>
      </c>
      <c r="I3363" t="s">
        <v>4866</v>
      </c>
      <c r="K3363" t="s">
        <v>5037</v>
      </c>
      <c r="L3363" t="s">
        <v>5039</v>
      </c>
    </row>
    <row r="3364" spans="1:12" x14ac:dyDescent="0.35">
      <c r="A3364" t="s">
        <v>117</v>
      </c>
      <c r="B3364" t="s">
        <v>594</v>
      </c>
      <c r="C3364" t="s">
        <v>169</v>
      </c>
      <c r="D3364">
        <v>0.36199999999999999</v>
      </c>
      <c r="F3364" t="s">
        <v>2423</v>
      </c>
      <c r="H3364" t="s">
        <v>4285</v>
      </c>
      <c r="I3364" t="s">
        <v>4866</v>
      </c>
      <c r="K3364" t="s">
        <v>5037</v>
      </c>
      <c r="L3364" t="s">
        <v>5039</v>
      </c>
    </row>
    <row r="3365" spans="1:12" x14ac:dyDescent="0.35">
      <c r="A3365" t="s">
        <v>118</v>
      </c>
      <c r="B3365" t="s">
        <v>329</v>
      </c>
      <c r="C3365" t="s">
        <v>1186</v>
      </c>
      <c r="D3365">
        <v>0.35</v>
      </c>
      <c r="F3365" t="s">
        <v>1294</v>
      </c>
      <c r="I3365" t="s">
        <v>1335</v>
      </c>
      <c r="K3365" t="s">
        <v>5037</v>
      </c>
      <c r="L3365" t="s">
        <v>5039</v>
      </c>
    </row>
    <row r="3366" spans="1:12" x14ac:dyDescent="0.35">
      <c r="A3366" t="s">
        <v>118</v>
      </c>
      <c r="B3366" t="s">
        <v>329</v>
      </c>
      <c r="C3366" t="s">
        <v>1187</v>
      </c>
      <c r="D3366">
        <v>0.71</v>
      </c>
      <c r="F3366" t="s">
        <v>1941</v>
      </c>
      <c r="H3366" t="s">
        <v>4286</v>
      </c>
      <c r="I3366" t="s">
        <v>4996</v>
      </c>
      <c r="K3366" t="s">
        <v>5037</v>
      </c>
      <c r="L3366" t="s">
        <v>5039</v>
      </c>
    </row>
    <row r="3367" spans="1:12" x14ac:dyDescent="0.35">
      <c r="A3367" t="s">
        <v>118</v>
      </c>
      <c r="B3367" t="s">
        <v>329</v>
      </c>
      <c r="C3367" t="s">
        <v>1188</v>
      </c>
      <c r="D3367">
        <v>1.92</v>
      </c>
      <c r="F3367" t="s">
        <v>2350</v>
      </c>
      <c r="H3367" t="s">
        <v>4287</v>
      </c>
      <c r="I3367" t="s">
        <v>4865</v>
      </c>
      <c r="K3367" t="s">
        <v>5037</v>
      </c>
      <c r="L3367" t="s">
        <v>5039</v>
      </c>
    </row>
    <row r="3368" spans="1:12" x14ac:dyDescent="0.35">
      <c r="A3368" t="s">
        <v>118</v>
      </c>
      <c r="B3368" t="s">
        <v>595</v>
      </c>
      <c r="C3368" t="s">
        <v>167</v>
      </c>
      <c r="D3368">
        <v>0.11</v>
      </c>
      <c r="F3368" t="s">
        <v>1295</v>
      </c>
      <c r="H3368" t="s">
        <v>4288</v>
      </c>
      <c r="I3368" t="s">
        <v>4997</v>
      </c>
      <c r="K3368" t="s">
        <v>5037</v>
      </c>
      <c r="L3368" t="s">
        <v>5039</v>
      </c>
    </row>
    <row r="3369" spans="1:12" x14ac:dyDescent="0.35">
      <c r="A3369" t="s">
        <v>118</v>
      </c>
      <c r="B3369" t="s">
        <v>595</v>
      </c>
      <c r="C3369" t="s">
        <v>167</v>
      </c>
      <c r="D3369">
        <v>0.37</v>
      </c>
      <c r="F3369" t="s">
        <v>1481</v>
      </c>
      <c r="H3369" t="s">
        <v>4289</v>
      </c>
      <c r="I3369" t="s">
        <v>4882</v>
      </c>
      <c r="K3369" t="s">
        <v>5037</v>
      </c>
      <c r="L3369" t="s">
        <v>5039</v>
      </c>
    </row>
    <row r="3370" spans="1:12" x14ac:dyDescent="0.35">
      <c r="A3370" t="s">
        <v>118</v>
      </c>
      <c r="B3370" t="s">
        <v>524</v>
      </c>
      <c r="C3370" t="s">
        <v>1188</v>
      </c>
      <c r="D3370">
        <v>0.86</v>
      </c>
      <c r="F3370" t="s">
        <v>1486</v>
      </c>
      <c r="H3370" t="s">
        <v>4290</v>
      </c>
      <c r="I3370" t="s">
        <v>4998</v>
      </c>
      <c r="K3370" t="s">
        <v>5037</v>
      </c>
      <c r="L3370" t="s">
        <v>5039</v>
      </c>
    </row>
    <row r="3371" spans="1:12" x14ac:dyDescent="0.35">
      <c r="A3371" t="s">
        <v>118</v>
      </c>
      <c r="B3371" t="s">
        <v>524</v>
      </c>
      <c r="C3371" t="s">
        <v>1188</v>
      </c>
      <c r="D3371">
        <v>1.03</v>
      </c>
      <c r="F3371" t="s">
        <v>1850</v>
      </c>
      <c r="H3371" t="s">
        <v>4291</v>
      </c>
      <c r="I3371" t="s">
        <v>4998</v>
      </c>
      <c r="K3371" t="s">
        <v>5037</v>
      </c>
      <c r="L3371" t="s">
        <v>5039</v>
      </c>
    </row>
    <row r="3372" spans="1:12" x14ac:dyDescent="0.35">
      <c r="A3372" t="s">
        <v>118</v>
      </c>
      <c r="B3372" t="s">
        <v>596</v>
      </c>
      <c r="C3372" t="s">
        <v>1189</v>
      </c>
      <c r="D3372">
        <v>0.75</v>
      </c>
      <c r="F3372" t="s">
        <v>1475</v>
      </c>
      <c r="H3372" t="s">
        <v>4292</v>
      </c>
      <c r="I3372" t="s">
        <v>4874</v>
      </c>
      <c r="K3372" t="s">
        <v>5037</v>
      </c>
      <c r="L3372" t="s">
        <v>5039</v>
      </c>
    </row>
    <row r="3373" spans="1:12" x14ac:dyDescent="0.35">
      <c r="A3373" t="s">
        <v>118</v>
      </c>
      <c r="B3373" t="s">
        <v>596</v>
      </c>
      <c r="C3373" t="s">
        <v>167</v>
      </c>
      <c r="D3373">
        <v>8.4000000000000005E-2</v>
      </c>
      <c r="F3373" t="s">
        <v>2129</v>
      </c>
      <c r="H3373" t="s">
        <v>4293</v>
      </c>
      <c r="I3373" t="s">
        <v>4874</v>
      </c>
      <c r="K3373" t="s">
        <v>5037</v>
      </c>
      <c r="L3373" t="s">
        <v>5039</v>
      </c>
    </row>
    <row r="3374" spans="1:12" x14ac:dyDescent="0.35">
      <c r="A3374" t="s">
        <v>118</v>
      </c>
      <c r="B3374" t="s">
        <v>597</v>
      </c>
      <c r="C3374" t="s">
        <v>1190</v>
      </c>
      <c r="D3374">
        <v>0.47</v>
      </c>
      <c r="F3374" t="s">
        <v>1795</v>
      </c>
      <c r="I3374" t="s">
        <v>2326</v>
      </c>
      <c r="K3374" t="s">
        <v>5037</v>
      </c>
      <c r="L3374" t="s">
        <v>5039</v>
      </c>
    </row>
    <row r="3375" spans="1:12" x14ac:dyDescent="0.35">
      <c r="A3375" t="s">
        <v>118</v>
      </c>
      <c r="B3375" t="s">
        <v>597</v>
      </c>
      <c r="C3375" t="s">
        <v>793</v>
      </c>
      <c r="D3375">
        <v>0.83</v>
      </c>
      <c r="F3375" t="s">
        <v>1734</v>
      </c>
      <c r="H3375" t="s">
        <v>4294</v>
      </c>
      <c r="I3375" t="s">
        <v>2326</v>
      </c>
      <c r="K3375" t="s">
        <v>5037</v>
      </c>
      <c r="L3375" t="s">
        <v>5039</v>
      </c>
    </row>
    <row r="3376" spans="1:12" x14ac:dyDescent="0.35">
      <c r="A3376" t="s">
        <v>118</v>
      </c>
      <c r="B3376" t="s">
        <v>598</v>
      </c>
      <c r="C3376" t="s">
        <v>1191</v>
      </c>
      <c r="D3376">
        <v>2.2000000000000002</v>
      </c>
      <c r="F3376" t="s">
        <v>1417</v>
      </c>
      <c r="I3376" t="s">
        <v>2323</v>
      </c>
      <c r="K3376" t="s">
        <v>5037</v>
      </c>
      <c r="L3376" t="s">
        <v>5039</v>
      </c>
    </row>
    <row r="3377" spans="1:12" x14ac:dyDescent="0.35">
      <c r="A3377" t="s">
        <v>118</v>
      </c>
      <c r="B3377" t="s">
        <v>598</v>
      </c>
      <c r="C3377" t="s">
        <v>1188</v>
      </c>
      <c r="D3377">
        <v>2.0299999999999998</v>
      </c>
      <c r="F3377" t="s">
        <v>2424</v>
      </c>
      <c r="I3377" t="s">
        <v>4999</v>
      </c>
      <c r="K3377" t="s">
        <v>5037</v>
      </c>
      <c r="L3377" t="s">
        <v>5039</v>
      </c>
    </row>
    <row r="3378" spans="1:12" x14ac:dyDescent="0.35">
      <c r="A3378" t="s">
        <v>118</v>
      </c>
      <c r="B3378" t="s">
        <v>598</v>
      </c>
      <c r="C3378" t="s">
        <v>793</v>
      </c>
      <c r="D3378">
        <v>1.31</v>
      </c>
      <c r="F3378" t="s">
        <v>1751</v>
      </c>
      <c r="I3378" t="s">
        <v>4929</v>
      </c>
      <c r="K3378" t="s">
        <v>5037</v>
      </c>
      <c r="L3378" t="s">
        <v>5039</v>
      </c>
    </row>
    <row r="3379" spans="1:12" x14ac:dyDescent="0.35">
      <c r="A3379" t="s">
        <v>118</v>
      </c>
      <c r="B3379" t="s">
        <v>327</v>
      </c>
      <c r="C3379" t="s">
        <v>1192</v>
      </c>
      <c r="D3379">
        <v>0.06</v>
      </c>
      <c r="F3379" t="s">
        <v>1370</v>
      </c>
      <c r="H3379" t="s">
        <v>4295</v>
      </c>
      <c r="I3379" t="s">
        <v>4948</v>
      </c>
      <c r="K3379" t="s">
        <v>5037</v>
      </c>
      <c r="L3379" t="s">
        <v>5039</v>
      </c>
    </row>
    <row r="3380" spans="1:12" x14ac:dyDescent="0.35">
      <c r="A3380" t="s">
        <v>118</v>
      </c>
      <c r="B3380" t="s">
        <v>327</v>
      </c>
      <c r="C3380" t="s">
        <v>1192</v>
      </c>
      <c r="D3380">
        <v>0.1</v>
      </c>
      <c r="F3380" t="s">
        <v>1309</v>
      </c>
      <c r="H3380" t="s">
        <v>4295</v>
      </c>
      <c r="I3380" t="s">
        <v>4948</v>
      </c>
      <c r="K3380" t="s">
        <v>5037</v>
      </c>
      <c r="L3380" t="s">
        <v>5039</v>
      </c>
    </row>
    <row r="3381" spans="1:12" x14ac:dyDescent="0.35">
      <c r="A3381" t="s">
        <v>118</v>
      </c>
      <c r="B3381" t="s">
        <v>327</v>
      </c>
      <c r="C3381" t="s">
        <v>793</v>
      </c>
      <c r="D3381">
        <v>0.16</v>
      </c>
      <c r="F3381" t="s">
        <v>1573</v>
      </c>
      <c r="H3381" t="s">
        <v>4296</v>
      </c>
      <c r="I3381" t="s">
        <v>4892</v>
      </c>
      <c r="K3381" t="s">
        <v>5037</v>
      </c>
      <c r="L3381" t="s">
        <v>5039</v>
      </c>
    </row>
    <row r="3382" spans="1:12" x14ac:dyDescent="0.35">
      <c r="A3382" t="s">
        <v>118</v>
      </c>
      <c r="B3382" t="s">
        <v>327</v>
      </c>
      <c r="C3382" t="s">
        <v>793</v>
      </c>
      <c r="D3382">
        <v>0.17</v>
      </c>
      <c r="F3382" t="s">
        <v>1409</v>
      </c>
      <c r="H3382" t="s">
        <v>4297</v>
      </c>
      <c r="I3382" t="s">
        <v>4892</v>
      </c>
      <c r="K3382" t="s">
        <v>5037</v>
      </c>
      <c r="L3382" t="s">
        <v>5039</v>
      </c>
    </row>
    <row r="3383" spans="1:12" x14ac:dyDescent="0.35">
      <c r="A3383" t="s">
        <v>118</v>
      </c>
      <c r="B3383" t="s">
        <v>327</v>
      </c>
      <c r="C3383" t="s">
        <v>1188</v>
      </c>
      <c r="D3383">
        <v>0.17</v>
      </c>
      <c r="F3383" t="s">
        <v>1409</v>
      </c>
      <c r="H3383" t="s">
        <v>4298</v>
      </c>
      <c r="I3383" t="s">
        <v>4974</v>
      </c>
      <c r="K3383" t="s">
        <v>5037</v>
      </c>
      <c r="L3383" t="s">
        <v>5039</v>
      </c>
    </row>
    <row r="3384" spans="1:12" x14ac:dyDescent="0.35">
      <c r="A3384" t="s">
        <v>118</v>
      </c>
      <c r="B3384" t="s">
        <v>327</v>
      </c>
      <c r="C3384" t="s">
        <v>791</v>
      </c>
      <c r="D3384">
        <v>0.3</v>
      </c>
      <c r="F3384" t="s">
        <v>1401</v>
      </c>
      <c r="H3384" t="s">
        <v>4299</v>
      </c>
      <c r="I3384" t="s">
        <v>4892</v>
      </c>
      <c r="K3384" t="s">
        <v>5037</v>
      </c>
      <c r="L3384" t="s">
        <v>5039</v>
      </c>
    </row>
    <row r="3385" spans="1:12" x14ac:dyDescent="0.35">
      <c r="A3385" t="s">
        <v>118</v>
      </c>
      <c r="B3385" t="s">
        <v>327</v>
      </c>
      <c r="C3385" t="s">
        <v>1193</v>
      </c>
      <c r="D3385">
        <v>1.3</v>
      </c>
      <c r="F3385" t="s">
        <v>1358</v>
      </c>
      <c r="H3385" t="s">
        <v>4300</v>
      </c>
      <c r="I3385" t="s">
        <v>4892</v>
      </c>
      <c r="K3385" t="s">
        <v>5037</v>
      </c>
      <c r="L3385" t="s">
        <v>5039</v>
      </c>
    </row>
    <row r="3386" spans="1:12" x14ac:dyDescent="0.35">
      <c r="A3386" t="s">
        <v>118</v>
      </c>
      <c r="B3386" t="s">
        <v>327</v>
      </c>
      <c r="C3386" t="s">
        <v>1194</v>
      </c>
      <c r="D3386">
        <v>1.3</v>
      </c>
      <c r="F3386" t="s">
        <v>1358</v>
      </c>
      <c r="H3386" t="s">
        <v>2842</v>
      </c>
      <c r="I3386" t="s">
        <v>4948</v>
      </c>
      <c r="K3386" t="s">
        <v>5037</v>
      </c>
      <c r="L3386" t="s">
        <v>5039</v>
      </c>
    </row>
    <row r="3387" spans="1:12" x14ac:dyDescent="0.35">
      <c r="A3387" t="s">
        <v>118</v>
      </c>
      <c r="B3387" t="s">
        <v>327</v>
      </c>
      <c r="C3387" t="s">
        <v>1195</v>
      </c>
      <c r="D3387">
        <v>5.0000000000000001E-3</v>
      </c>
      <c r="F3387" t="s">
        <v>1264</v>
      </c>
      <c r="H3387" t="s">
        <v>4301</v>
      </c>
      <c r="I3387" t="s">
        <v>4957</v>
      </c>
      <c r="K3387" t="s">
        <v>5037</v>
      </c>
      <c r="L3387" t="s">
        <v>5039</v>
      </c>
    </row>
    <row r="3388" spans="1:12" x14ac:dyDescent="0.35">
      <c r="A3388" t="s">
        <v>118</v>
      </c>
      <c r="B3388" t="s">
        <v>327</v>
      </c>
      <c r="C3388" t="s">
        <v>1196</v>
      </c>
      <c r="D3388">
        <v>2.7E-2</v>
      </c>
      <c r="F3388" t="s">
        <v>1420</v>
      </c>
      <c r="H3388" t="s">
        <v>4185</v>
      </c>
      <c r="I3388" t="s">
        <v>4860</v>
      </c>
      <c r="K3388" t="s">
        <v>5037</v>
      </c>
      <c r="L3388" t="s">
        <v>5039</v>
      </c>
    </row>
    <row r="3389" spans="1:12" x14ac:dyDescent="0.35">
      <c r="A3389" t="s">
        <v>118</v>
      </c>
      <c r="B3389" t="s">
        <v>327</v>
      </c>
      <c r="C3389" t="s">
        <v>167</v>
      </c>
      <c r="D3389">
        <v>0.09</v>
      </c>
      <c r="F3389" t="s">
        <v>1310</v>
      </c>
      <c r="H3389" t="s">
        <v>4302</v>
      </c>
      <c r="I3389" t="s">
        <v>1608</v>
      </c>
      <c r="K3389" t="s">
        <v>5037</v>
      </c>
      <c r="L3389" t="s">
        <v>5039</v>
      </c>
    </row>
    <row r="3390" spans="1:12" x14ac:dyDescent="0.35">
      <c r="A3390" t="s">
        <v>118</v>
      </c>
      <c r="B3390" t="s">
        <v>327</v>
      </c>
      <c r="C3390" t="s">
        <v>793</v>
      </c>
      <c r="D3390">
        <v>0.09</v>
      </c>
      <c r="F3390" t="s">
        <v>1310</v>
      </c>
      <c r="H3390" t="s">
        <v>4303</v>
      </c>
      <c r="I3390" t="s">
        <v>4892</v>
      </c>
      <c r="K3390" t="s">
        <v>5037</v>
      </c>
      <c r="L3390" t="s">
        <v>5039</v>
      </c>
    </row>
    <row r="3391" spans="1:12" x14ac:dyDescent="0.35">
      <c r="A3391" t="s">
        <v>118</v>
      </c>
      <c r="B3391" t="s">
        <v>327</v>
      </c>
      <c r="C3391" t="s">
        <v>793</v>
      </c>
      <c r="D3391">
        <v>2.5000000000000001E-2</v>
      </c>
      <c r="F3391" t="s">
        <v>1282</v>
      </c>
      <c r="H3391" t="s">
        <v>4304</v>
      </c>
      <c r="I3391" t="s">
        <v>4860</v>
      </c>
      <c r="K3391" t="s">
        <v>5037</v>
      </c>
      <c r="L3391" t="s">
        <v>5039</v>
      </c>
    </row>
    <row r="3392" spans="1:12" x14ac:dyDescent="0.35">
      <c r="A3392" t="s">
        <v>118</v>
      </c>
      <c r="B3392" t="s">
        <v>327</v>
      </c>
      <c r="C3392" t="s">
        <v>1197</v>
      </c>
      <c r="D3392">
        <v>0.11</v>
      </c>
      <c r="F3392" t="s">
        <v>1295</v>
      </c>
      <c r="H3392" t="s">
        <v>4305</v>
      </c>
      <c r="I3392" t="s">
        <v>4948</v>
      </c>
      <c r="K3392" t="s">
        <v>5037</v>
      </c>
      <c r="L3392" t="s">
        <v>5039</v>
      </c>
    </row>
    <row r="3393" spans="1:12" x14ac:dyDescent="0.35">
      <c r="A3393" t="s">
        <v>118</v>
      </c>
      <c r="B3393" t="s">
        <v>327</v>
      </c>
      <c r="C3393" t="s">
        <v>793</v>
      </c>
      <c r="D3393">
        <v>0.2</v>
      </c>
      <c r="F3393" t="s">
        <v>1371</v>
      </c>
      <c r="H3393" t="s">
        <v>4306</v>
      </c>
      <c r="I3393" t="s">
        <v>4892</v>
      </c>
      <c r="K3393" t="s">
        <v>5037</v>
      </c>
      <c r="L3393" t="s">
        <v>5039</v>
      </c>
    </row>
    <row r="3394" spans="1:12" x14ac:dyDescent="0.35">
      <c r="A3394" t="s">
        <v>118</v>
      </c>
      <c r="B3394" t="s">
        <v>327</v>
      </c>
      <c r="C3394" t="s">
        <v>793</v>
      </c>
      <c r="D3394">
        <v>0.4</v>
      </c>
      <c r="F3394" t="s">
        <v>1315</v>
      </c>
      <c r="H3394" t="s">
        <v>4307</v>
      </c>
      <c r="I3394" t="s">
        <v>4892</v>
      </c>
      <c r="K3394" t="s">
        <v>5037</v>
      </c>
      <c r="L3394" t="s">
        <v>5039</v>
      </c>
    </row>
    <row r="3395" spans="1:12" x14ac:dyDescent="0.35">
      <c r="A3395" t="s">
        <v>118</v>
      </c>
      <c r="B3395" t="s">
        <v>327</v>
      </c>
      <c r="C3395" t="s">
        <v>1198</v>
      </c>
      <c r="D3395">
        <v>0.45</v>
      </c>
      <c r="F3395" t="s">
        <v>1316</v>
      </c>
      <c r="H3395" t="s">
        <v>4308</v>
      </c>
      <c r="I3395" t="s">
        <v>4892</v>
      </c>
      <c r="K3395" t="s">
        <v>5037</v>
      </c>
      <c r="L3395" t="s">
        <v>5039</v>
      </c>
    </row>
    <row r="3396" spans="1:12" x14ac:dyDescent="0.35">
      <c r="A3396" t="s">
        <v>118</v>
      </c>
      <c r="B3396" t="s">
        <v>327</v>
      </c>
      <c r="C3396" t="s">
        <v>1187</v>
      </c>
      <c r="D3396">
        <v>1</v>
      </c>
      <c r="F3396" t="s">
        <v>1317</v>
      </c>
      <c r="H3396" t="s">
        <v>4286</v>
      </c>
      <c r="I3396" t="s">
        <v>2332</v>
      </c>
      <c r="K3396" t="s">
        <v>5037</v>
      </c>
      <c r="L3396" t="s">
        <v>5039</v>
      </c>
    </row>
    <row r="3397" spans="1:12" x14ac:dyDescent="0.35">
      <c r="A3397" t="s">
        <v>118</v>
      </c>
      <c r="B3397" t="s">
        <v>327</v>
      </c>
      <c r="C3397" t="s">
        <v>167</v>
      </c>
      <c r="D3397">
        <v>2</v>
      </c>
      <c r="F3397" t="s">
        <v>1372</v>
      </c>
      <c r="H3397" t="s">
        <v>4309</v>
      </c>
      <c r="I3397" t="s">
        <v>1354</v>
      </c>
      <c r="K3397" t="s">
        <v>5037</v>
      </c>
      <c r="L3397" t="s">
        <v>5039</v>
      </c>
    </row>
    <row r="3398" spans="1:12" x14ac:dyDescent="0.35">
      <c r="A3398" t="s">
        <v>118</v>
      </c>
      <c r="B3398" t="s">
        <v>327</v>
      </c>
      <c r="C3398" t="s">
        <v>1196</v>
      </c>
      <c r="D3398">
        <v>2.3E-2</v>
      </c>
      <c r="F3398" t="s">
        <v>1457</v>
      </c>
      <c r="H3398" t="s">
        <v>4185</v>
      </c>
      <c r="I3398" t="s">
        <v>4860</v>
      </c>
      <c r="K3398" t="s">
        <v>5037</v>
      </c>
      <c r="L3398" t="s">
        <v>5039</v>
      </c>
    </row>
    <row r="3399" spans="1:12" x14ac:dyDescent="0.35">
      <c r="A3399" t="s">
        <v>118</v>
      </c>
      <c r="B3399" t="s">
        <v>327</v>
      </c>
      <c r="C3399" t="s">
        <v>1196</v>
      </c>
      <c r="D3399">
        <v>2.9000000000000001E-2</v>
      </c>
      <c r="F3399" t="s">
        <v>2038</v>
      </c>
      <c r="H3399" t="s">
        <v>4185</v>
      </c>
      <c r="I3399" t="s">
        <v>4860</v>
      </c>
      <c r="K3399" t="s">
        <v>5037</v>
      </c>
      <c r="L3399" t="s">
        <v>5039</v>
      </c>
    </row>
    <row r="3400" spans="1:12" x14ac:dyDescent="0.35">
      <c r="A3400" t="s">
        <v>118</v>
      </c>
      <c r="B3400" t="s">
        <v>327</v>
      </c>
      <c r="C3400" t="s">
        <v>1197</v>
      </c>
      <c r="D3400">
        <v>0.12</v>
      </c>
      <c r="F3400" t="s">
        <v>1473</v>
      </c>
      <c r="H3400" t="s">
        <v>4305</v>
      </c>
      <c r="I3400" t="s">
        <v>4948</v>
      </c>
      <c r="K3400" t="s">
        <v>5037</v>
      </c>
      <c r="L3400" t="s">
        <v>5039</v>
      </c>
    </row>
    <row r="3401" spans="1:12" x14ac:dyDescent="0.35">
      <c r="A3401" t="s">
        <v>118</v>
      </c>
      <c r="B3401" t="s">
        <v>327</v>
      </c>
      <c r="C3401" t="s">
        <v>1193</v>
      </c>
      <c r="D3401">
        <v>0.25</v>
      </c>
      <c r="F3401" t="s">
        <v>1403</v>
      </c>
      <c r="H3401" t="s">
        <v>4300</v>
      </c>
      <c r="I3401" t="s">
        <v>4892</v>
      </c>
      <c r="K3401" t="s">
        <v>5037</v>
      </c>
      <c r="L3401" t="s">
        <v>5039</v>
      </c>
    </row>
    <row r="3402" spans="1:12" x14ac:dyDescent="0.35">
      <c r="A3402" t="s">
        <v>118</v>
      </c>
      <c r="B3402" t="s">
        <v>327</v>
      </c>
      <c r="C3402" t="s">
        <v>791</v>
      </c>
      <c r="D3402">
        <v>0.9</v>
      </c>
      <c r="F3402" t="s">
        <v>1556</v>
      </c>
      <c r="H3402" t="s">
        <v>4310</v>
      </c>
      <c r="I3402" t="s">
        <v>4892</v>
      </c>
      <c r="K3402" t="s">
        <v>5037</v>
      </c>
      <c r="L3402" t="s">
        <v>5039</v>
      </c>
    </row>
    <row r="3403" spans="1:12" x14ac:dyDescent="0.35">
      <c r="A3403" t="s">
        <v>118</v>
      </c>
      <c r="B3403" t="s">
        <v>327</v>
      </c>
      <c r="C3403" t="s">
        <v>1199</v>
      </c>
      <c r="D3403">
        <v>0.9</v>
      </c>
      <c r="F3403" t="s">
        <v>1556</v>
      </c>
      <c r="H3403" t="s">
        <v>4295</v>
      </c>
      <c r="I3403" t="s">
        <v>4948</v>
      </c>
      <c r="K3403" t="s">
        <v>5037</v>
      </c>
      <c r="L3403" t="s">
        <v>5039</v>
      </c>
    </row>
    <row r="3404" spans="1:12" x14ac:dyDescent="0.35">
      <c r="A3404" t="s">
        <v>118</v>
      </c>
      <c r="B3404" t="s">
        <v>327</v>
      </c>
      <c r="C3404" t="s">
        <v>1200</v>
      </c>
      <c r="D3404">
        <v>2.2000000000000002</v>
      </c>
      <c r="F3404" t="s">
        <v>1417</v>
      </c>
      <c r="H3404" t="s">
        <v>4305</v>
      </c>
      <c r="I3404" t="s">
        <v>4948</v>
      </c>
      <c r="K3404" t="s">
        <v>5037</v>
      </c>
      <c r="L3404" t="s">
        <v>5039</v>
      </c>
    </row>
    <row r="3405" spans="1:12" x14ac:dyDescent="0.35">
      <c r="A3405" t="s">
        <v>118</v>
      </c>
      <c r="B3405" t="s">
        <v>327</v>
      </c>
      <c r="C3405" t="s">
        <v>791</v>
      </c>
      <c r="D3405">
        <v>8</v>
      </c>
      <c r="F3405" t="s">
        <v>1373</v>
      </c>
      <c r="H3405" t="s">
        <v>4311</v>
      </c>
      <c r="I3405" t="s">
        <v>4892</v>
      </c>
      <c r="K3405" t="s">
        <v>5037</v>
      </c>
      <c r="L3405" t="s">
        <v>5039</v>
      </c>
    </row>
    <row r="3406" spans="1:12" x14ac:dyDescent="0.35">
      <c r="A3406" t="s">
        <v>118</v>
      </c>
      <c r="B3406" t="s">
        <v>327</v>
      </c>
      <c r="C3406" t="s">
        <v>167</v>
      </c>
      <c r="D3406">
        <v>0.22</v>
      </c>
      <c r="F3406" t="s">
        <v>1438</v>
      </c>
      <c r="H3406" t="s">
        <v>4312</v>
      </c>
      <c r="I3406" t="s">
        <v>1608</v>
      </c>
      <c r="K3406" t="s">
        <v>5037</v>
      </c>
      <c r="L3406" t="s">
        <v>5039</v>
      </c>
    </row>
    <row r="3407" spans="1:12" x14ac:dyDescent="0.35">
      <c r="A3407" t="s">
        <v>118</v>
      </c>
      <c r="B3407" t="s">
        <v>327</v>
      </c>
      <c r="C3407" t="s">
        <v>793</v>
      </c>
      <c r="D3407">
        <v>0.28999999999999998</v>
      </c>
      <c r="F3407" t="s">
        <v>1396</v>
      </c>
      <c r="H3407" t="s">
        <v>4313</v>
      </c>
      <c r="I3407" t="s">
        <v>4892</v>
      </c>
      <c r="K3407" t="s">
        <v>5037</v>
      </c>
      <c r="L3407" t="s">
        <v>5039</v>
      </c>
    </row>
    <row r="3408" spans="1:12" x14ac:dyDescent="0.35">
      <c r="A3408" t="s">
        <v>118</v>
      </c>
      <c r="B3408" t="s">
        <v>327</v>
      </c>
      <c r="C3408" t="s">
        <v>1199</v>
      </c>
      <c r="D3408">
        <v>0.8</v>
      </c>
      <c r="F3408" t="s">
        <v>1319</v>
      </c>
      <c r="H3408" t="s">
        <v>4295</v>
      </c>
      <c r="I3408" t="s">
        <v>4948</v>
      </c>
      <c r="K3408" t="s">
        <v>5037</v>
      </c>
      <c r="L3408" t="s">
        <v>5039</v>
      </c>
    </row>
    <row r="3409" spans="1:12" x14ac:dyDescent="0.35">
      <c r="A3409" t="s">
        <v>118</v>
      </c>
      <c r="B3409" t="s">
        <v>327</v>
      </c>
      <c r="C3409" t="s">
        <v>1199</v>
      </c>
      <c r="D3409">
        <v>2.4</v>
      </c>
      <c r="F3409" t="s">
        <v>1433</v>
      </c>
      <c r="H3409" t="s">
        <v>4295</v>
      </c>
      <c r="I3409" t="s">
        <v>4948</v>
      </c>
      <c r="K3409" t="s">
        <v>5037</v>
      </c>
      <c r="L3409" t="s">
        <v>5039</v>
      </c>
    </row>
    <row r="3410" spans="1:12" x14ac:dyDescent="0.35">
      <c r="A3410" t="s">
        <v>118</v>
      </c>
      <c r="B3410" t="s">
        <v>327</v>
      </c>
      <c r="C3410" t="s">
        <v>1200</v>
      </c>
      <c r="D3410">
        <v>2.4</v>
      </c>
      <c r="F3410" t="s">
        <v>1433</v>
      </c>
      <c r="H3410" t="s">
        <v>4305</v>
      </c>
      <c r="I3410" t="s">
        <v>4948</v>
      </c>
      <c r="K3410" t="s">
        <v>5037</v>
      </c>
      <c r="L3410" t="s">
        <v>5039</v>
      </c>
    </row>
    <row r="3411" spans="1:12" x14ac:dyDescent="0.35">
      <c r="A3411" t="s">
        <v>118</v>
      </c>
      <c r="B3411" t="s">
        <v>327</v>
      </c>
      <c r="C3411" t="s">
        <v>793</v>
      </c>
      <c r="D3411">
        <v>0.08</v>
      </c>
      <c r="F3411" t="s">
        <v>1402</v>
      </c>
      <c r="H3411" t="s">
        <v>4314</v>
      </c>
      <c r="I3411" t="s">
        <v>4892</v>
      </c>
      <c r="K3411" t="s">
        <v>5037</v>
      </c>
      <c r="L3411" t="s">
        <v>5039</v>
      </c>
    </row>
    <row r="3412" spans="1:12" x14ac:dyDescent="0.35">
      <c r="A3412" t="s">
        <v>118</v>
      </c>
      <c r="B3412" t="s">
        <v>327</v>
      </c>
      <c r="C3412" t="s">
        <v>1197</v>
      </c>
      <c r="D3412">
        <v>0.08</v>
      </c>
      <c r="F3412" t="s">
        <v>1402</v>
      </c>
      <c r="H3412" t="s">
        <v>4305</v>
      </c>
      <c r="I3412" t="s">
        <v>4948</v>
      </c>
      <c r="K3412" t="s">
        <v>5037</v>
      </c>
      <c r="L3412" t="s">
        <v>5039</v>
      </c>
    </row>
    <row r="3413" spans="1:12" x14ac:dyDescent="0.35">
      <c r="A3413" t="s">
        <v>118</v>
      </c>
      <c r="B3413" t="s">
        <v>327</v>
      </c>
      <c r="C3413" t="s">
        <v>1196</v>
      </c>
      <c r="D3413">
        <v>9.6000000000000002E-2</v>
      </c>
      <c r="F3413" t="s">
        <v>2055</v>
      </c>
      <c r="H3413" t="s">
        <v>4185</v>
      </c>
      <c r="I3413" t="s">
        <v>4860</v>
      </c>
      <c r="K3413" t="s">
        <v>5037</v>
      </c>
      <c r="L3413" t="s">
        <v>5039</v>
      </c>
    </row>
    <row r="3414" spans="1:12" x14ac:dyDescent="0.35">
      <c r="A3414" t="s">
        <v>118</v>
      </c>
      <c r="B3414" t="s">
        <v>327</v>
      </c>
      <c r="C3414" t="s">
        <v>1198</v>
      </c>
      <c r="D3414">
        <v>0.84</v>
      </c>
      <c r="F3414" t="s">
        <v>1673</v>
      </c>
      <c r="H3414" t="s">
        <v>4315</v>
      </c>
      <c r="I3414" t="s">
        <v>4892</v>
      </c>
      <c r="K3414" t="s">
        <v>5037</v>
      </c>
      <c r="L3414" t="s">
        <v>5039</v>
      </c>
    </row>
    <row r="3415" spans="1:12" x14ac:dyDescent="0.35">
      <c r="A3415" t="s">
        <v>118</v>
      </c>
      <c r="B3415" t="s">
        <v>327</v>
      </c>
      <c r="C3415" t="s">
        <v>1193</v>
      </c>
      <c r="D3415">
        <v>0.13</v>
      </c>
      <c r="F3415" t="s">
        <v>1466</v>
      </c>
      <c r="H3415" t="s">
        <v>4300</v>
      </c>
      <c r="I3415" t="s">
        <v>4892</v>
      </c>
      <c r="K3415" t="s">
        <v>5037</v>
      </c>
      <c r="L3415" t="s">
        <v>5039</v>
      </c>
    </row>
    <row r="3416" spans="1:12" x14ac:dyDescent="0.35">
      <c r="A3416" t="s">
        <v>118</v>
      </c>
      <c r="B3416" t="s">
        <v>327</v>
      </c>
      <c r="C3416" t="s">
        <v>1188</v>
      </c>
      <c r="D3416">
        <v>0.34</v>
      </c>
      <c r="F3416" t="s">
        <v>1327</v>
      </c>
      <c r="H3416" t="s">
        <v>4316</v>
      </c>
      <c r="I3416" t="s">
        <v>4974</v>
      </c>
      <c r="K3416" t="s">
        <v>5037</v>
      </c>
      <c r="L3416" t="s">
        <v>5039</v>
      </c>
    </row>
    <row r="3417" spans="1:12" x14ac:dyDescent="0.35">
      <c r="A3417" t="s">
        <v>118</v>
      </c>
      <c r="B3417" t="s">
        <v>327</v>
      </c>
      <c r="C3417" t="s">
        <v>1192</v>
      </c>
      <c r="D3417">
        <v>3.5000000000000003E-2</v>
      </c>
      <c r="F3417" t="s">
        <v>1341</v>
      </c>
      <c r="H3417" t="s">
        <v>4295</v>
      </c>
      <c r="I3417" t="s">
        <v>4948</v>
      </c>
      <c r="K3417" t="s">
        <v>5037</v>
      </c>
      <c r="L3417" t="s">
        <v>5039</v>
      </c>
    </row>
    <row r="3418" spans="1:12" x14ac:dyDescent="0.35">
      <c r="A3418" t="s">
        <v>118</v>
      </c>
      <c r="B3418" t="s">
        <v>327</v>
      </c>
      <c r="C3418" t="s">
        <v>1198</v>
      </c>
      <c r="D3418">
        <v>0.65</v>
      </c>
      <c r="F3418" t="s">
        <v>1819</v>
      </c>
      <c r="H3418" t="s">
        <v>4317</v>
      </c>
      <c r="I3418" t="s">
        <v>4892</v>
      </c>
      <c r="K3418" t="s">
        <v>5037</v>
      </c>
      <c r="L3418" t="s">
        <v>5039</v>
      </c>
    </row>
    <row r="3419" spans="1:12" x14ac:dyDescent="0.35">
      <c r="A3419" t="s">
        <v>118</v>
      </c>
      <c r="B3419" t="s">
        <v>327</v>
      </c>
      <c r="C3419" t="s">
        <v>167</v>
      </c>
      <c r="D3419">
        <v>0.86</v>
      </c>
      <c r="F3419" t="s">
        <v>1486</v>
      </c>
      <c r="H3419" t="s">
        <v>4318</v>
      </c>
      <c r="I3419" t="s">
        <v>4887</v>
      </c>
      <c r="K3419" t="s">
        <v>5037</v>
      </c>
      <c r="L3419" t="s">
        <v>5039</v>
      </c>
    </row>
    <row r="3420" spans="1:12" x14ac:dyDescent="0.35">
      <c r="A3420" t="s">
        <v>118</v>
      </c>
      <c r="B3420" t="s">
        <v>327</v>
      </c>
      <c r="C3420" t="s">
        <v>1201</v>
      </c>
      <c r="D3420">
        <v>4.7</v>
      </c>
      <c r="F3420" t="s">
        <v>1570</v>
      </c>
      <c r="H3420" t="s">
        <v>3426</v>
      </c>
      <c r="I3420" t="s">
        <v>4948</v>
      </c>
      <c r="K3420" t="s">
        <v>5037</v>
      </c>
      <c r="L3420" t="s">
        <v>5039</v>
      </c>
    </row>
    <row r="3421" spans="1:12" x14ac:dyDescent="0.35">
      <c r="A3421" t="s">
        <v>118</v>
      </c>
      <c r="B3421" t="s">
        <v>327</v>
      </c>
      <c r="C3421" t="s">
        <v>167</v>
      </c>
      <c r="D3421">
        <v>4.5</v>
      </c>
      <c r="F3421" t="s">
        <v>1828</v>
      </c>
      <c r="H3421" t="s">
        <v>4301</v>
      </c>
      <c r="I3421" t="s">
        <v>4957</v>
      </c>
      <c r="K3421" t="s">
        <v>5037</v>
      </c>
      <c r="L3421" t="s">
        <v>5039</v>
      </c>
    </row>
    <row r="3422" spans="1:12" x14ac:dyDescent="0.35">
      <c r="A3422" t="s">
        <v>118</v>
      </c>
      <c r="B3422" t="s">
        <v>327</v>
      </c>
      <c r="C3422" t="s">
        <v>1188</v>
      </c>
      <c r="D3422">
        <v>1.1000000000000001</v>
      </c>
      <c r="F3422" t="s">
        <v>1505</v>
      </c>
      <c r="H3422" t="s">
        <v>4319</v>
      </c>
      <c r="I3422" t="s">
        <v>4974</v>
      </c>
      <c r="K3422" t="s">
        <v>5037</v>
      </c>
      <c r="L3422" t="s">
        <v>5039</v>
      </c>
    </row>
    <row r="3423" spans="1:12" x14ac:dyDescent="0.35">
      <c r="A3423" t="s">
        <v>118</v>
      </c>
      <c r="B3423" t="s">
        <v>327</v>
      </c>
      <c r="C3423" t="s">
        <v>1198</v>
      </c>
      <c r="D3423">
        <v>0.27</v>
      </c>
      <c r="F3423" t="s">
        <v>1738</v>
      </c>
      <c r="H3423" t="s">
        <v>4320</v>
      </c>
      <c r="I3423" t="s">
        <v>4892</v>
      </c>
      <c r="K3423" t="s">
        <v>5037</v>
      </c>
      <c r="L3423" t="s">
        <v>5039</v>
      </c>
    </row>
    <row r="3424" spans="1:12" x14ac:dyDescent="0.35">
      <c r="A3424" t="s">
        <v>118</v>
      </c>
      <c r="B3424" t="s">
        <v>327</v>
      </c>
      <c r="C3424" t="s">
        <v>791</v>
      </c>
      <c r="D3424">
        <v>2.11</v>
      </c>
      <c r="F3424" t="s">
        <v>2425</v>
      </c>
      <c r="H3424" t="s">
        <v>4321</v>
      </c>
      <c r="I3424" t="s">
        <v>4892</v>
      </c>
      <c r="K3424" t="s">
        <v>5037</v>
      </c>
      <c r="L3424" t="s">
        <v>5039</v>
      </c>
    </row>
    <row r="3425" spans="1:12" x14ac:dyDescent="0.35">
      <c r="A3425" t="s">
        <v>118</v>
      </c>
      <c r="B3425" t="s">
        <v>327</v>
      </c>
      <c r="C3425" t="s">
        <v>1194</v>
      </c>
      <c r="D3425">
        <v>1.6</v>
      </c>
      <c r="F3425" t="s">
        <v>1328</v>
      </c>
      <c r="H3425" t="s">
        <v>2842</v>
      </c>
      <c r="I3425" t="s">
        <v>4948</v>
      </c>
      <c r="K3425" t="s">
        <v>5037</v>
      </c>
      <c r="L3425" t="s">
        <v>5039</v>
      </c>
    </row>
    <row r="3426" spans="1:12" x14ac:dyDescent="0.35">
      <c r="A3426" t="s">
        <v>118</v>
      </c>
      <c r="B3426" t="s">
        <v>327</v>
      </c>
      <c r="C3426" t="s">
        <v>1201</v>
      </c>
      <c r="D3426">
        <v>4.2</v>
      </c>
      <c r="F3426" t="s">
        <v>1868</v>
      </c>
      <c r="H3426" t="s">
        <v>3426</v>
      </c>
      <c r="I3426" t="s">
        <v>4948</v>
      </c>
      <c r="K3426" t="s">
        <v>5037</v>
      </c>
      <c r="L3426" t="s">
        <v>5039</v>
      </c>
    </row>
    <row r="3427" spans="1:12" x14ac:dyDescent="0.35">
      <c r="A3427" t="s">
        <v>118</v>
      </c>
      <c r="B3427" t="s">
        <v>327</v>
      </c>
      <c r="C3427" t="s">
        <v>1201</v>
      </c>
      <c r="D3427">
        <v>8.8000000000000007</v>
      </c>
      <c r="F3427" t="s">
        <v>1672</v>
      </c>
      <c r="H3427" t="s">
        <v>3426</v>
      </c>
      <c r="I3427" t="s">
        <v>4948</v>
      </c>
      <c r="K3427" t="s">
        <v>5037</v>
      </c>
      <c r="L3427" t="s">
        <v>5039</v>
      </c>
    </row>
    <row r="3428" spans="1:12" x14ac:dyDescent="0.35">
      <c r="A3428" t="s">
        <v>118</v>
      </c>
      <c r="B3428" t="s">
        <v>327</v>
      </c>
      <c r="C3428" t="s">
        <v>1188</v>
      </c>
      <c r="D3428">
        <v>1.38</v>
      </c>
      <c r="F3428" t="s">
        <v>1932</v>
      </c>
      <c r="H3428" t="s">
        <v>4322</v>
      </c>
      <c r="I3428" t="s">
        <v>4974</v>
      </c>
      <c r="K3428" t="s">
        <v>5037</v>
      </c>
      <c r="L3428" t="s">
        <v>5039</v>
      </c>
    </row>
    <row r="3429" spans="1:12" x14ac:dyDescent="0.35">
      <c r="A3429" t="s">
        <v>118</v>
      </c>
      <c r="B3429" t="s">
        <v>327</v>
      </c>
      <c r="C3429" t="s">
        <v>793</v>
      </c>
      <c r="D3429">
        <v>4.7E-2</v>
      </c>
      <c r="F3429" t="s">
        <v>1615</v>
      </c>
      <c r="H3429" t="s">
        <v>4323</v>
      </c>
      <c r="I3429" t="s">
        <v>4860</v>
      </c>
      <c r="K3429" t="s">
        <v>5037</v>
      </c>
      <c r="L3429" t="s">
        <v>5039</v>
      </c>
    </row>
    <row r="3430" spans="1:12" x14ac:dyDescent="0.35">
      <c r="A3430" t="s">
        <v>118</v>
      </c>
      <c r="B3430" t="s">
        <v>327</v>
      </c>
      <c r="C3430" t="s">
        <v>793</v>
      </c>
      <c r="D3430">
        <v>6.4000000000000001E-2</v>
      </c>
      <c r="F3430" t="s">
        <v>1827</v>
      </c>
      <c r="H3430" t="s">
        <v>4324</v>
      </c>
      <c r="I3430" t="s">
        <v>4860</v>
      </c>
      <c r="K3430" t="s">
        <v>5037</v>
      </c>
      <c r="L3430" t="s">
        <v>5039</v>
      </c>
    </row>
    <row r="3431" spans="1:12" x14ac:dyDescent="0.35">
      <c r="A3431" t="s">
        <v>118</v>
      </c>
      <c r="B3431" t="s">
        <v>327</v>
      </c>
      <c r="C3431" t="s">
        <v>1202</v>
      </c>
      <c r="D3431">
        <v>6.4000000000000001E-2</v>
      </c>
      <c r="F3431" t="s">
        <v>1827</v>
      </c>
      <c r="H3431" t="s">
        <v>4325</v>
      </c>
      <c r="I3431" t="s">
        <v>4860</v>
      </c>
      <c r="K3431" t="s">
        <v>5037</v>
      </c>
      <c r="L3431" t="s">
        <v>5039</v>
      </c>
    </row>
    <row r="3432" spans="1:12" x14ac:dyDescent="0.35">
      <c r="A3432" t="s">
        <v>118</v>
      </c>
      <c r="B3432" t="s">
        <v>327</v>
      </c>
      <c r="C3432" t="s">
        <v>1196</v>
      </c>
      <c r="D3432">
        <v>4.3999999999999997E-2</v>
      </c>
      <c r="F3432" t="s">
        <v>1429</v>
      </c>
      <c r="H3432" t="s">
        <v>4185</v>
      </c>
      <c r="I3432" t="s">
        <v>4860</v>
      </c>
      <c r="K3432" t="s">
        <v>5037</v>
      </c>
      <c r="L3432" t="s">
        <v>5039</v>
      </c>
    </row>
    <row r="3433" spans="1:12" x14ac:dyDescent="0.35">
      <c r="A3433" t="s">
        <v>118</v>
      </c>
      <c r="B3433" t="s">
        <v>327</v>
      </c>
      <c r="C3433" t="s">
        <v>1200</v>
      </c>
      <c r="D3433">
        <v>3.8</v>
      </c>
      <c r="F3433" t="s">
        <v>1388</v>
      </c>
      <c r="H3433" t="s">
        <v>4305</v>
      </c>
      <c r="I3433" t="s">
        <v>4948</v>
      </c>
      <c r="K3433" t="s">
        <v>5037</v>
      </c>
      <c r="L3433" t="s">
        <v>5039</v>
      </c>
    </row>
    <row r="3434" spans="1:12" x14ac:dyDescent="0.35">
      <c r="A3434" t="s">
        <v>118</v>
      </c>
      <c r="B3434" t="s">
        <v>327</v>
      </c>
      <c r="C3434" t="s">
        <v>793</v>
      </c>
      <c r="D3434">
        <v>0.46</v>
      </c>
      <c r="F3434" t="s">
        <v>1506</v>
      </c>
      <c r="H3434" t="s">
        <v>4326</v>
      </c>
      <c r="I3434" t="s">
        <v>4892</v>
      </c>
      <c r="K3434" t="s">
        <v>5037</v>
      </c>
      <c r="L3434" t="s">
        <v>5039</v>
      </c>
    </row>
    <row r="3435" spans="1:12" x14ac:dyDescent="0.35">
      <c r="A3435" t="s">
        <v>118</v>
      </c>
      <c r="B3435" t="s">
        <v>327</v>
      </c>
      <c r="C3435" t="s">
        <v>793</v>
      </c>
      <c r="D3435">
        <v>0.88</v>
      </c>
      <c r="F3435" t="s">
        <v>1915</v>
      </c>
      <c r="H3435" t="s">
        <v>4327</v>
      </c>
      <c r="I3435" t="s">
        <v>4892</v>
      </c>
      <c r="K3435" t="s">
        <v>5037</v>
      </c>
      <c r="L3435" t="s">
        <v>5039</v>
      </c>
    </row>
    <row r="3436" spans="1:12" x14ac:dyDescent="0.35">
      <c r="A3436" t="s">
        <v>118</v>
      </c>
      <c r="B3436" t="s">
        <v>327</v>
      </c>
      <c r="C3436" t="s">
        <v>167</v>
      </c>
      <c r="D3436">
        <v>1.68</v>
      </c>
      <c r="F3436" t="s">
        <v>1740</v>
      </c>
      <c r="H3436" t="s">
        <v>4328</v>
      </c>
      <c r="I3436" t="s">
        <v>4974</v>
      </c>
      <c r="K3436" t="s">
        <v>5037</v>
      </c>
      <c r="L3436" t="s">
        <v>5039</v>
      </c>
    </row>
    <row r="3437" spans="1:12" x14ac:dyDescent="0.35">
      <c r="A3437" t="s">
        <v>118</v>
      </c>
      <c r="B3437" t="s">
        <v>327</v>
      </c>
      <c r="C3437" t="s">
        <v>1196</v>
      </c>
      <c r="D3437">
        <v>0.128</v>
      </c>
      <c r="F3437" t="s">
        <v>2209</v>
      </c>
      <c r="H3437" t="s">
        <v>4185</v>
      </c>
      <c r="I3437" t="s">
        <v>4860</v>
      </c>
      <c r="K3437" t="s">
        <v>5037</v>
      </c>
      <c r="L3437" t="s">
        <v>5039</v>
      </c>
    </row>
    <row r="3438" spans="1:12" x14ac:dyDescent="0.35">
      <c r="A3438" t="s">
        <v>118</v>
      </c>
      <c r="B3438" t="s">
        <v>327</v>
      </c>
      <c r="C3438" t="s">
        <v>1202</v>
      </c>
      <c r="D3438">
        <v>6.8000000000000005E-2</v>
      </c>
      <c r="F3438" t="s">
        <v>2426</v>
      </c>
      <c r="H3438" t="s">
        <v>4329</v>
      </c>
      <c r="I3438" t="s">
        <v>4860</v>
      </c>
      <c r="K3438" t="s">
        <v>5037</v>
      </c>
      <c r="L3438" t="s">
        <v>5039</v>
      </c>
    </row>
    <row r="3439" spans="1:12" x14ac:dyDescent="0.35">
      <c r="A3439" t="s">
        <v>118</v>
      </c>
      <c r="B3439" t="s">
        <v>327</v>
      </c>
      <c r="C3439" t="s">
        <v>1188</v>
      </c>
      <c r="D3439">
        <v>6.6</v>
      </c>
      <c r="F3439" t="s">
        <v>1517</v>
      </c>
      <c r="H3439" t="s">
        <v>4302</v>
      </c>
      <c r="I3439" t="s">
        <v>1608</v>
      </c>
      <c r="K3439" t="s">
        <v>5037</v>
      </c>
      <c r="L3439" t="s">
        <v>5039</v>
      </c>
    </row>
    <row r="3440" spans="1:12" x14ac:dyDescent="0.35">
      <c r="A3440" t="s">
        <v>118</v>
      </c>
      <c r="B3440" t="s">
        <v>327</v>
      </c>
      <c r="C3440" t="s">
        <v>793</v>
      </c>
      <c r="D3440">
        <v>0.13400000000000001</v>
      </c>
      <c r="F3440" t="s">
        <v>2063</v>
      </c>
      <c r="H3440" t="s">
        <v>4330</v>
      </c>
      <c r="I3440" t="s">
        <v>4860</v>
      </c>
      <c r="K3440" t="s">
        <v>5037</v>
      </c>
      <c r="L3440" t="s">
        <v>5039</v>
      </c>
    </row>
    <row r="3441" spans="1:12" x14ac:dyDescent="0.35">
      <c r="A3441" t="s">
        <v>118</v>
      </c>
      <c r="B3441" t="s">
        <v>327</v>
      </c>
      <c r="C3441" t="s">
        <v>793</v>
      </c>
      <c r="D3441">
        <v>0.28699999999999998</v>
      </c>
      <c r="F3441" t="s">
        <v>2064</v>
      </c>
      <c r="H3441" t="s">
        <v>4331</v>
      </c>
      <c r="I3441" t="s">
        <v>4860</v>
      </c>
      <c r="K3441" t="s">
        <v>5037</v>
      </c>
      <c r="L3441" t="s">
        <v>5039</v>
      </c>
    </row>
    <row r="3442" spans="1:12" x14ac:dyDescent="0.35">
      <c r="A3442" t="s">
        <v>118</v>
      </c>
      <c r="B3442" t="s">
        <v>327</v>
      </c>
      <c r="C3442" t="s">
        <v>167</v>
      </c>
      <c r="D3442">
        <v>1.25</v>
      </c>
      <c r="F3442" t="s">
        <v>1522</v>
      </c>
      <c r="H3442" t="s">
        <v>4332</v>
      </c>
      <c r="I3442" t="s">
        <v>4974</v>
      </c>
      <c r="K3442" t="s">
        <v>5037</v>
      </c>
      <c r="L3442" t="s">
        <v>5039</v>
      </c>
    </row>
    <row r="3443" spans="1:12" x14ac:dyDescent="0.35">
      <c r="A3443" t="s">
        <v>118</v>
      </c>
      <c r="B3443" t="s">
        <v>327</v>
      </c>
      <c r="C3443" t="s">
        <v>1188</v>
      </c>
      <c r="D3443">
        <v>1.45</v>
      </c>
      <c r="F3443" t="s">
        <v>1742</v>
      </c>
      <c r="H3443" t="s">
        <v>4333</v>
      </c>
      <c r="I3443" t="s">
        <v>4974</v>
      </c>
      <c r="K3443" t="s">
        <v>5037</v>
      </c>
      <c r="L3443" t="s">
        <v>5039</v>
      </c>
    </row>
    <row r="3444" spans="1:12" x14ac:dyDescent="0.35">
      <c r="A3444" t="s">
        <v>118</v>
      </c>
      <c r="B3444" t="s">
        <v>327</v>
      </c>
      <c r="C3444" t="s">
        <v>1188</v>
      </c>
      <c r="D3444">
        <v>1.08</v>
      </c>
      <c r="F3444" t="s">
        <v>1831</v>
      </c>
      <c r="H3444" t="s">
        <v>4334</v>
      </c>
      <c r="I3444" t="s">
        <v>4974</v>
      </c>
      <c r="K3444" t="s">
        <v>5037</v>
      </c>
      <c r="L3444" t="s">
        <v>5039</v>
      </c>
    </row>
    <row r="3445" spans="1:12" x14ac:dyDescent="0.35">
      <c r="A3445" t="s">
        <v>118</v>
      </c>
      <c r="B3445" t="s">
        <v>327</v>
      </c>
      <c r="C3445" t="s">
        <v>1194</v>
      </c>
      <c r="D3445">
        <v>4.9000000000000004</v>
      </c>
      <c r="F3445" t="s">
        <v>1669</v>
      </c>
      <c r="H3445" t="s">
        <v>2842</v>
      </c>
      <c r="I3445" t="s">
        <v>4948</v>
      </c>
      <c r="K3445" t="s">
        <v>5037</v>
      </c>
      <c r="L3445" t="s">
        <v>5039</v>
      </c>
    </row>
    <row r="3446" spans="1:12" x14ac:dyDescent="0.35">
      <c r="A3446" t="s">
        <v>118</v>
      </c>
      <c r="B3446" t="s">
        <v>327</v>
      </c>
      <c r="C3446" t="s">
        <v>793</v>
      </c>
      <c r="D3446">
        <v>0.11700000000000001</v>
      </c>
      <c r="F3446" t="s">
        <v>1638</v>
      </c>
      <c r="H3446" t="s">
        <v>4335</v>
      </c>
      <c r="I3446" t="s">
        <v>4860</v>
      </c>
      <c r="K3446" t="s">
        <v>5037</v>
      </c>
      <c r="L3446" t="s">
        <v>5039</v>
      </c>
    </row>
    <row r="3447" spans="1:12" x14ac:dyDescent="0.35">
      <c r="A3447" t="s">
        <v>118</v>
      </c>
      <c r="B3447" t="s">
        <v>327</v>
      </c>
      <c r="C3447" t="s">
        <v>793</v>
      </c>
      <c r="D3447">
        <v>1.46E-2</v>
      </c>
      <c r="F3447" t="s">
        <v>2427</v>
      </c>
      <c r="H3447" t="s">
        <v>4336</v>
      </c>
      <c r="I3447" t="s">
        <v>4860</v>
      </c>
      <c r="K3447" t="s">
        <v>5037</v>
      </c>
      <c r="L3447" t="s">
        <v>5039</v>
      </c>
    </row>
    <row r="3448" spans="1:12" x14ac:dyDescent="0.35">
      <c r="A3448" t="s">
        <v>118</v>
      </c>
      <c r="B3448" t="s">
        <v>327</v>
      </c>
      <c r="C3448" t="s">
        <v>1193</v>
      </c>
      <c r="D3448">
        <v>1.84</v>
      </c>
      <c r="F3448" t="s">
        <v>2428</v>
      </c>
      <c r="H3448" t="s">
        <v>4300</v>
      </c>
      <c r="I3448" t="s">
        <v>4892</v>
      </c>
      <c r="K3448" t="s">
        <v>5037</v>
      </c>
      <c r="L3448" t="s">
        <v>5039</v>
      </c>
    </row>
    <row r="3449" spans="1:12" x14ac:dyDescent="0.35">
      <c r="A3449" t="s">
        <v>118</v>
      </c>
      <c r="B3449" t="s">
        <v>327</v>
      </c>
      <c r="C3449" t="s">
        <v>167</v>
      </c>
      <c r="D3449">
        <v>1.61</v>
      </c>
      <c r="F3449" t="s">
        <v>2087</v>
      </c>
      <c r="H3449" t="s">
        <v>4337</v>
      </c>
      <c r="I3449" t="s">
        <v>4974</v>
      </c>
      <c r="K3449" t="s">
        <v>5037</v>
      </c>
      <c r="L3449" t="s">
        <v>5039</v>
      </c>
    </row>
    <row r="3450" spans="1:12" x14ac:dyDescent="0.35">
      <c r="A3450" t="s">
        <v>118</v>
      </c>
      <c r="B3450" t="s">
        <v>327</v>
      </c>
      <c r="C3450" t="s">
        <v>793</v>
      </c>
      <c r="D3450">
        <v>0.29799999999999999</v>
      </c>
      <c r="F3450" t="s">
        <v>2429</v>
      </c>
      <c r="H3450" t="s">
        <v>4338</v>
      </c>
      <c r="I3450" t="s">
        <v>4860</v>
      </c>
      <c r="K3450" t="s">
        <v>5037</v>
      </c>
      <c r="L3450" t="s">
        <v>5039</v>
      </c>
    </row>
    <row r="3451" spans="1:12" x14ac:dyDescent="0.35">
      <c r="A3451" t="s">
        <v>118</v>
      </c>
      <c r="B3451" t="s">
        <v>327</v>
      </c>
      <c r="C3451" t="s">
        <v>1188</v>
      </c>
      <c r="D3451">
        <v>2.0099999999999998</v>
      </c>
      <c r="F3451" t="s">
        <v>1866</v>
      </c>
      <c r="H3451" t="s">
        <v>4339</v>
      </c>
      <c r="I3451" t="s">
        <v>4974</v>
      </c>
      <c r="K3451" t="s">
        <v>5037</v>
      </c>
      <c r="L3451" t="s">
        <v>5039</v>
      </c>
    </row>
    <row r="3452" spans="1:12" x14ac:dyDescent="0.35">
      <c r="A3452" t="s">
        <v>118</v>
      </c>
      <c r="B3452" t="s">
        <v>327</v>
      </c>
      <c r="C3452" t="s">
        <v>1196</v>
      </c>
      <c r="D3452">
        <v>0.31900000000000001</v>
      </c>
      <c r="F3452" t="s">
        <v>2040</v>
      </c>
      <c r="H3452" t="s">
        <v>4185</v>
      </c>
      <c r="I3452" t="s">
        <v>4860</v>
      </c>
      <c r="K3452" t="s">
        <v>5037</v>
      </c>
      <c r="L3452" t="s">
        <v>5039</v>
      </c>
    </row>
    <row r="3453" spans="1:12" x14ac:dyDescent="0.35">
      <c r="A3453" t="s">
        <v>118</v>
      </c>
      <c r="B3453" t="s">
        <v>327</v>
      </c>
      <c r="C3453" t="s">
        <v>167</v>
      </c>
      <c r="D3453">
        <v>105.4</v>
      </c>
      <c r="F3453" t="s">
        <v>2430</v>
      </c>
      <c r="H3453" t="s">
        <v>4340</v>
      </c>
      <c r="I3453" t="s">
        <v>4974</v>
      </c>
      <c r="K3453" t="s">
        <v>5037</v>
      </c>
      <c r="L3453" t="s">
        <v>5039</v>
      </c>
    </row>
    <row r="3454" spans="1:12" x14ac:dyDescent="0.35">
      <c r="A3454" t="s">
        <v>118</v>
      </c>
      <c r="B3454" t="s">
        <v>327</v>
      </c>
      <c r="C3454" t="s">
        <v>167</v>
      </c>
      <c r="D3454">
        <v>4.53</v>
      </c>
      <c r="F3454" t="s">
        <v>2431</v>
      </c>
      <c r="H3454" t="s">
        <v>4341</v>
      </c>
      <c r="I3454" t="s">
        <v>4974</v>
      </c>
      <c r="K3454" t="s">
        <v>5037</v>
      </c>
      <c r="L3454" t="s">
        <v>5039</v>
      </c>
    </row>
    <row r="3455" spans="1:12" x14ac:dyDescent="0.35">
      <c r="A3455" t="s">
        <v>118</v>
      </c>
      <c r="B3455" t="s">
        <v>327</v>
      </c>
      <c r="C3455" t="s">
        <v>793</v>
      </c>
      <c r="D3455">
        <v>1.78E-2</v>
      </c>
      <c r="F3455" t="s">
        <v>2432</v>
      </c>
      <c r="H3455" t="s">
        <v>4342</v>
      </c>
      <c r="I3455" t="s">
        <v>4860</v>
      </c>
      <c r="K3455" t="s">
        <v>5037</v>
      </c>
      <c r="L3455" t="s">
        <v>5039</v>
      </c>
    </row>
    <row r="3456" spans="1:12" x14ac:dyDescent="0.35">
      <c r="A3456" t="s">
        <v>118</v>
      </c>
      <c r="B3456" t="s">
        <v>327</v>
      </c>
      <c r="C3456" t="s">
        <v>1202</v>
      </c>
      <c r="D3456">
        <v>0.223</v>
      </c>
      <c r="F3456" t="s">
        <v>2433</v>
      </c>
      <c r="H3456" t="s">
        <v>4343</v>
      </c>
      <c r="I3456" t="s">
        <v>4860</v>
      </c>
      <c r="K3456" t="s">
        <v>5037</v>
      </c>
      <c r="L3456" t="s">
        <v>5039</v>
      </c>
    </row>
    <row r="3457" spans="1:12" x14ac:dyDescent="0.35">
      <c r="A3457" t="s">
        <v>118</v>
      </c>
      <c r="B3457" t="s">
        <v>327</v>
      </c>
      <c r="C3457" t="s">
        <v>1188</v>
      </c>
      <c r="D3457">
        <v>2.59</v>
      </c>
      <c r="F3457" t="s">
        <v>2434</v>
      </c>
      <c r="H3457" t="s">
        <v>4344</v>
      </c>
      <c r="I3457" t="s">
        <v>4974</v>
      </c>
      <c r="K3457" t="s">
        <v>5037</v>
      </c>
      <c r="L3457" t="s">
        <v>5039</v>
      </c>
    </row>
    <row r="3458" spans="1:12" x14ac:dyDescent="0.35">
      <c r="A3458" t="s">
        <v>118</v>
      </c>
      <c r="B3458" t="s">
        <v>327</v>
      </c>
      <c r="C3458" t="s">
        <v>793</v>
      </c>
      <c r="D3458">
        <v>1.76</v>
      </c>
      <c r="F3458" t="s">
        <v>1609</v>
      </c>
      <c r="H3458" t="s">
        <v>4345</v>
      </c>
      <c r="I3458" t="s">
        <v>4892</v>
      </c>
      <c r="K3458" t="s">
        <v>5037</v>
      </c>
      <c r="L3458" t="s">
        <v>5039</v>
      </c>
    </row>
    <row r="3459" spans="1:12" x14ac:dyDescent="0.35">
      <c r="A3459" t="s">
        <v>118</v>
      </c>
      <c r="B3459" t="s">
        <v>327</v>
      </c>
      <c r="C3459" t="s">
        <v>1188</v>
      </c>
      <c r="D3459">
        <v>4.4400000000000004</v>
      </c>
      <c r="F3459" t="s">
        <v>2435</v>
      </c>
      <c r="H3459" t="s">
        <v>4346</v>
      </c>
      <c r="I3459" t="s">
        <v>4974</v>
      </c>
      <c r="K3459" t="s">
        <v>5037</v>
      </c>
      <c r="L3459" t="s">
        <v>5039</v>
      </c>
    </row>
    <row r="3460" spans="1:12" x14ac:dyDescent="0.35">
      <c r="A3460" t="s">
        <v>118</v>
      </c>
      <c r="B3460" t="s">
        <v>327</v>
      </c>
      <c r="C3460" t="s">
        <v>793</v>
      </c>
      <c r="D3460">
        <v>1.3899999999999999E-2</v>
      </c>
      <c r="F3460" t="s">
        <v>2436</v>
      </c>
      <c r="H3460" t="s">
        <v>4347</v>
      </c>
      <c r="I3460" t="s">
        <v>4860</v>
      </c>
      <c r="K3460" t="s">
        <v>5037</v>
      </c>
      <c r="L3460" t="s">
        <v>5039</v>
      </c>
    </row>
    <row r="3461" spans="1:12" x14ac:dyDescent="0.35">
      <c r="A3461" t="s">
        <v>118</v>
      </c>
      <c r="B3461" t="s">
        <v>327</v>
      </c>
      <c r="C3461" t="s">
        <v>1202</v>
      </c>
      <c r="D3461">
        <v>0.34699999999999998</v>
      </c>
      <c r="F3461" t="s">
        <v>2437</v>
      </c>
      <c r="H3461" t="s">
        <v>4348</v>
      </c>
      <c r="I3461" t="s">
        <v>4860</v>
      </c>
      <c r="K3461" t="s">
        <v>5037</v>
      </c>
      <c r="L3461" t="s">
        <v>5039</v>
      </c>
    </row>
    <row r="3462" spans="1:12" x14ac:dyDescent="0.35">
      <c r="A3462" t="s">
        <v>118</v>
      </c>
      <c r="B3462" t="s">
        <v>327</v>
      </c>
      <c r="C3462" t="s">
        <v>167</v>
      </c>
      <c r="D3462">
        <v>4.74</v>
      </c>
      <c r="F3462" t="s">
        <v>2438</v>
      </c>
      <c r="H3462" t="s">
        <v>4349</v>
      </c>
      <c r="I3462" t="s">
        <v>4974</v>
      </c>
      <c r="K3462" t="s">
        <v>5037</v>
      </c>
      <c r="L3462" t="s">
        <v>5039</v>
      </c>
    </row>
    <row r="3463" spans="1:12" x14ac:dyDescent="0.35">
      <c r="A3463" t="s">
        <v>118</v>
      </c>
      <c r="B3463" t="s">
        <v>327</v>
      </c>
      <c r="C3463" t="s">
        <v>1203</v>
      </c>
      <c r="D3463">
        <v>3.2399999999999998E-3</v>
      </c>
      <c r="F3463" t="s">
        <v>2439</v>
      </c>
      <c r="H3463" t="s">
        <v>4350</v>
      </c>
      <c r="I3463" t="s">
        <v>5000</v>
      </c>
      <c r="K3463" t="s">
        <v>5037</v>
      </c>
      <c r="L3463" t="s">
        <v>5039</v>
      </c>
    </row>
    <row r="3464" spans="1:12" x14ac:dyDescent="0.35">
      <c r="A3464" t="s">
        <v>118</v>
      </c>
      <c r="B3464" t="s">
        <v>327</v>
      </c>
      <c r="C3464" t="s">
        <v>1196</v>
      </c>
      <c r="D3464">
        <v>0.41699999999999998</v>
      </c>
      <c r="F3464" t="s">
        <v>2440</v>
      </c>
      <c r="H3464" t="s">
        <v>4185</v>
      </c>
      <c r="I3464" t="s">
        <v>4860</v>
      </c>
      <c r="K3464" t="s">
        <v>5037</v>
      </c>
      <c r="L3464" t="s">
        <v>5039</v>
      </c>
    </row>
    <row r="3465" spans="1:12" x14ac:dyDescent="0.35">
      <c r="A3465" t="s">
        <v>118</v>
      </c>
      <c r="B3465" t="s">
        <v>327</v>
      </c>
      <c r="C3465" t="s">
        <v>1188</v>
      </c>
      <c r="D3465">
        <v>2.57</v>
      </c>
      <c r="F3465" t="s">
        <v>2441</v>
      </c>
      <c r="H3465" t="s">
        <v>4312</v>
      </c>
      <c r="I3465" t="s">
        <v>1608</v>
      </c>
      <c r="K3465" t="s">
        <v>5037</v>
      </c>
      <c r="L3465" t="s">
        <v>5039</v>
      </c>
    </row>
    <row r="3466" spans="1:12" x14ac:dyDescent="0.35">
      <c r="A3466" t="s">
        <v>118</v>
      </c>
      <c r="B3466" t="s">
        <v>327</v>
      </c>
      <c r="C3466" t="s">
        <v>1202</v>
      </c>
      <c r="D3466">
        <v>0.76800000000000002</v>
      </c>
      <c r="F3466" t="s">
        <v>2442</v>
      </c>
      <c r="H3466" t="s">
        <v>4351</v>
      </c>
      <c r="I3466" t="s">
        <v>4860</v>
      </c>
      <c r="K3466" t="s">
        <v>5037</v>
      </c>
      <c r="L3466" t="s">
        <v>5039</v>
      </c>
    </row>
    <row r="3467" spans="1:12" x14ac:dyDescent="0.35">
      <c r="A3467" t="s">
        <v>118</v>
      </c>
      <c r="B3467" t="s">
        <v>327</v>
      </c>
      <c r="C3467" t="s">
        <v>167</v>
      </c>
      <c r="D3467">
        <v>123.6</v>
      </c>
      <c r="F3467" t="s">
        <v>2443</v>
      </c>
      <c r="H3467" t="s">
        <v>4352</v>
      </c>
      <c r="I3467" t="s">
        <v>4974</v>
      </c>
      <c r="K3467" t="s">
        <v>5037</v>
      </c>
      <c r="L3467" t="s">
        <v>5039</v>
      </c>
    </row>
    <row r="3468" spans="1:12" x14ac:dyDescent="0.35">
      <c r="A3468" t="s">
        <v>118</v>
      </c>
      <c r="B3468" t="s">
        <v>327</v>
      </c>
      <c r="C3468" t="s">
        <v>167</v>
      </c>
      <c r="D3468">
        <v>17.34</v>
      </c>
      <c r="F3468" t="s">
        <v>2444</v>
      </c>
      <c r="H3468" t="s">
        <v>4353</v>
      </c>
      <c r="I3468" t="s">
        <v>4974</v>
      </c>
      <c r="K3468" t="s">
        <v>5037</v>
      </c>
      <c r="L3468" t="s">
        <v>5039</v>
      </c>
    </row>
    <row r="3469" spans="1:12" x14ac:dyDescent="0.35">
      <c r="A3469" t="s">
        <v>118</v>
      </c>
      <c r="B3469" t="s">
        <v>327</v>
      </c>
      <c r="C3469" t="s">
        <v>167</v>
      </c>
      <c r="D3469">
        <v>20.45</v>
      </c>
      <c r="F3469" t="s">
        <v>2445</v>
      </c>
      <c r="H3469" t="s">
        <v>4354</v>
      </c>
      <c r="I3469" t="s">
        <v>4974</v>
      </c>
      <c r="K3469" t="s">
        <v>5037</v>
      </c>
      <c r="L3469" t="s">
        <v>5039</v>
      </c>
    </row>
    <row r="3470" spans="1:12" x14ac:dyDescent="0.35">
      <c r="A3470" t="s">
        <v>118</v>
      </c>
      <c r="B3470" t="s">
        <v>327</v>
      </c>
      <c r="C3470" t="s">
        <v>167</v>
      </c>
      <c r="D3470">
        <v>25.26</v>
      </c>
      <c r="F3470" t="s">
        <v>2446</v>
      </c>
      <c r="H3470" t="s">
        <v>4355</v>
      </c>
      <c r="I3470" t="s">
        <v>4974</v>
      </c>
      <c r="K3470" t="s">
        <v>5037</v>
      </c>
      <c r="L3470" t="s">
        <v>5039</v>
      </c>
    </row>
    <row r="3471" spans="1:12" x14ac:dyDescent="0.35">
      <c r="A3471" t="s">
        <v>118</v>
      </c>
      <c r="B3471" t="s">
        <v>327</v>
      </c>
      <c r="C3471" t="s">
        <v>167</v>
      </c>
      <c r="D3471">
        <v>60.89</v>
      </c>
      <c r="F3471" t="s">
        <v>2447</v>
      </c>
      <c r="H3471" t="s">
        <v>4356</v>
      </c>
      <c r="I3471" t="s">
        <v>4974</v>
      </c>
      <c r="K3471" t="s">
        <v>5037</v>
      </c>
      <c r="L3471" t="s">
        <v>5039</v>
      </c>
    </row>
    <row r="3472" spans="1:12" x14ac:dyDescent="0.35">
      <c r="A3472" t="s">
        <v>118</v>
      </c>
      <c r="B3472" t="s">
        <v>327</v>
      </c>
      <c r="C3472" t="s">
        <v>167</v>
      </c>
      <c r="D3472">
        <v>9.81</v>
      </c>
      <c r="F3472" t="s">
        <v>2448</v>
      </c>
      <c r="H3472" t="s">
        <v>4357</v>
      </c>
      <c r="I3472" t="s">
        <v>4974</v>
      </c>
      <c r="K3472" t="s">
        <v>5037</v>
      </c>
      <c r="L3472" t="s">
        <v>5039</v>
      </c>
    </row>
    <row r="3473" spans="1:12" x14ac:dyDescent="0.35">
      <c r="A3473" t="s">
        <v>118</v>
      </c>
      <c r="B3473" t="s">
        <v>327</v>
      </c>
      <c r="C3473" t="s">
        <v>793</v>
      </c>
      <c r="D3473">
        <v>0.48</v>
      </c>
      <c r="F3473" t="s">
        <v>1508</v>
      </c>
      <c r="H3473" t="s">
        <v>4358</v>
      </c>
      <c r="I3473" t="s">
        <v>4928</v>
      </c>
      <c r="K3473" t="s">
        <v>5037</v>
      </c>
      <c r="L3473" t="s">
        <v>5039</v>
      </c>
    </row>
    <row r="3474" spans="1:12" x14ac:dyDescent="0.35">
      <c r="A3474" t="s">
        <v>118</v>
      </c>
      <c r="B3474" t="s">
        <v>327</v>
      </c>
      <c r="C3474" t="s">
        <v>1188</v>
      </c>
      <c r="D3474">
        <v>0.64</v>
      </c>
      <c r="F3474" t="s">
        <v>2041</v>
      </c>
      <c r="H3474" t="s">
        <v>4359</v>
      </c>
      <c r="I3474" t="s">
        <v>4907</v>
      </c>
      <c r="K3474" t="s">
        <v>5037</v>
      </c>
      <c r="L3474" t="s">
        <v>5039</v>
      </c>
    </row>
    <row r="3475" spans="1:12" x14ac:dyDescent="0.35">
      <c r="A3475" t="s">
        <v>118</v>
      </c>
      <c r="B3475" t="s">
        <v>327</v>
      </c>
      <c r="C3475" t="s">
        <v>167</v>
      </c>
      <c r="D3475">
        <v>0.19</v>
      </c>
      <c r="F3475" t="s">
        <v>1538</v>
      </c>
      <c r="H3475" t="s">
        <v>4360</v>
      </c>
      <c r="I3475" t="s">
        <v>4931</v>
      </c>
      <c r="K3475" t="s">
        <v>5037</v>
      </c>
      <c r="L3475" t="s">
        <v>5039</v>
      </c>
    </row>
    <row r="3476" spans="1:12" x14ac:dyDescent="0.35">
      <c r="A3476" t="s">
        <v>118</v>
      </c>
      <c r="B3476" t="s">
        <v>327</v>
      </c>
      <c r="C3476" t="s">
        <v>1188</v>
      </c>
      <c r="D3476">
        <v>0.63</v>
      </c>
      <c r="F3476" t="s">
        <v>1931</v>
      </c>
      <c r="H3476" t="s">
        <v>4361</v>
      </c>
      <c r="I3476" t="s">
        <v>4907</v>
      </c>
      <c r="K3476" t="s">
        <v>5037</v>
      </c>
      <c r="L3476" t="s">
        <v>5039</v>
      </c>
    </row>
    <row r="3477" spans="1:12" x14ac:dyDescent="0.35">
      <c r="A3477" t="s">
        <v>118</v>
      </c>
      <c r="B3477" t="s">
        <v>327</v>
      </c>
      <c r="C3477" t="s">
        <v>1188</v>
      </c>
      <c r="D3477">
        <v>1.3</v>
      </c>
      <c r="F3477" t="s">
        <v>1358</v>
      </c>
      <c r="H3477" t="s">
        <v>4362</v>
      </c>
      <c r="I3477" t="s">
        <v>4859</v>
      </c>
      <c r="K3477" t="s">
        <v>5037</v>
      </c>
      <c r="L3477" t="s">
        <v>5039</v>
      </c>
    </row>
    <row r="3478" spans="1:12" x14ac:dyDescent="0.35">
      <c r="A3478" t="s">
        <v>118</v>
      </c>
      <c r="B3478" t="s">
        <v>327</v>
      </c>
      <c r="C3478" t="s">
        <v>1188</v>
      </c>
      <c r="D3478">
        <v>0.6</v>
      </c>
      <c r="F3478" t="s">
        <v>1519</v>
      </c>
      <c r="H3478" t="s">
        <v>4363</v>
      </c>
      <c r="I3478" t="s">
        <v>1354</v>
      </c>
      <c r="K3478" t="s">
        <v>5037</v>
      </c>
      <c r="L3478" t="s">
        <v>5039</v>
      </c>
    </row>
    <row r="3479" spans="1:12" x14ac:dyDescent="0.35">
      <c r="A3479" t="s">
        <v>118</v>
      </c>
      <c r="B3479" t="s">
        <v>327</v>
      </c>
      <c r="C3479" t="s">
        <v>167</v>
      </c>
      <c r="D3479">
        <v>1.03</v>
      </c>
      <c r="F3479" t="s">
        <v>1850</v>
      </c>
      <c r="H3479" t="s">
        <v>4364</v>
      </c>
      <c r="I3479" t="s">
        <v>5001</v>
      </c>
      <c r="K3479" t="s">
        <v>5037</v>
      </c>
      <c r="L3479" t="s">
        <v>5039</v>
      </c>
    </row>
    <row r="3480" spans="1:12" x14ac:dyDescent="0.35">
      <c r="A3480" t="s">
        <v>118</v>
      </c>
      <c r="B3480" t="s">
        <v>327</v>
      </c>
      <c r="C3480" t="s">
        <v>1188</v>
      </c>
      <c r="D3480">
        <v>2.1</v>
      </c>
      <c r="F3480" t="s">
        <v>1399</v>
      </c>
      <c r="H3480" t="s">
        <v>4365</v>
      </c>
      <c r="I3480" t="s">
        <v>5002</v>
      </c>
      <c r="K3480" t="s">
        <v>5037</v>
      </c>
      <c r="L3480" t="s">
        <v>5039</v>
      </c>
    </row>
    <row r="3481" spans="1:12" x14ac:dyDescent="0.35">
      <c r="A3481" t="s">
        <v>118</v>
      </c>
      <c r="B3481" t="s">
        <v>327</v>
      </c>
      <c r="C3481" t="s">
        <v>1188</v>
      </c>
      <c r="D3481">
        <v>1.9</v>
      </c>
      <c r="F3481" t="s">
        <v>1503</v>
      </c>
      <c r="H3481" t="s">
        <v>4366</v>
      </c>
      <c r="I3481" t="s">
        <v>1354</v>
      </c>
      <c r="K3481" t="s">
        <v>5037</v>
      </c>
      <c r="L3481" t="s">
        <v>5039</v>
      </c>
    </row>
    <row r="3482" spans="1:12" x14ac:dyDescent="0.35">
      <c r="A3482" t="s">
        <v>118</v>
      </c>
      <c r="B3482" t="s">
        <v>327</v>
      </c>
      <c r="C3482" t="s">
        <v>167</v>
      </c>
      <c r="D3482">
        <v>0.5</v>
      </c>
      <c r="F3482" t="s">
        <v>1440</v>
      </c>
      <c r="H3482" t="s">
        <v>4367</v>
      </c>
      <c r="I3482" t="s">
        <v>1354</v>
      </c>
      <c r="K3482" t="s">
        <v>5037</v>
      </c>
      <c r="L3482" t="s">
        <v>5039</v>
      </c>
    </row>
    <row r="3483" spans="1:12" x14ac:dyDescent="0.35">
      <c r="A3483" t="s">
        <v>118</v>
      </c>
      <c r="B3483" t="s">
        <v>327</v>
      </c>
      <c r="C3483" t="s">
        <v>1188</v>
      </c>
      <c r="D3483">
        <v>0.74</v>
      </c>
      <c r="F3483" t="s">
        <v>1685</v>
      </c>
      <c r="H3483" t="s">
        <v>4368</v>
      </c>
      <c r="I3483" t="s">
        <v>4873</v>
      </c>
      <c r="K3483" t="s">
        <v>5037</v>
      </c>
      <c r="L3483" t="s">
        <v>5039</v>
      </c>
    </row>
    <row r="3484" spans="1:12" x14ac:dyDescent="0.35">
      <c r="A3484" t="s">
        <v>118</v>
      </c>
      <c r="B3484" t="s">
        <v>327</v>
      </c>
      <c r="C3484" t="s">
        <v>1188</v>
      </c>
      <c r="D3484">
        <v>0.62</v>
      </c>
      <c r="F3484" t="s">
        <v>1635</v>
      </c>
      <c r="H3484" t="s">
        <v>4369</v>
      </c>
      <c r="I3484" t="s">
        <v>4873</v>
      </c>
      <c r="K3484" t="s">
        <v>5037</v>
      </c>
      <c r="L3484" t="s">
        <v>5039</v>
      </c>
    </row>
    <row r="3485" spans="1:12" x14ac:dyDescent="0.35">
      <c r="A3485" t="s">
        <v>118</v>
      </c>
      <c r="B3485" t="s">
        <v>327</v>
      </c>
      <c r="C3485" t="s">
        <v>1188</v>
      </c>
      <c r="D3485">
        <v>0.91</v>
      </c>
      <c r="F3485" t="s">
        <v>1874</v>
      </c>
      <c r="H3485" t="s">
        <v>4370</v>
      </c>
      <c r="I3485" t="s">
        <v>1571</v>
      </c>
      <c r="K3485" t="s">
        <v>5037</v>
      </c>
      <c r="L3485" t="s">
        <v>5039</v>
      </c>
    </row>
    <row r="3486" spans="1:12" x14ac:dyDescent="0.35">
      <c r="A3486" t="s">
        <v>118</v>
      </c>
      <c r="B3486" t="s">
        <v>327</v>
      </c>
      <c r="C3486" t="s">
        <v>1188</v>
      </c>
      <c r="D3486">
        <v>0.72</v>
      </c>
      <c r="F3486" t="s">
        <v>2401</v>
      </c>
      <c r="H3486" t="s">
        <v>4371</v>
      </c>
      <c r="I3486" t="s">
        <v>1571</v>
      </c>
      <c r="K3486" t="s">
        <v>5037</v>
      </c>
      <c r="L3486" t="s">
        <v>5039</v>
      </c>
    </row>
    <row r="3487" spans="1:12" x14ac:dyDescent="0.35">
      <c r="A3487" t="s">
        <v>118</v>
      </c>
      <c r="B3487" t="s">
        <v>599</v>
      </c>
      <c r="C3487" t="s">
        <v>1204</v>
      </c>
      <c r="D3487">
        <v>9.7000000000000003E-2</v>
      </c>
      <c r="F3487" t="s">
        <v>2185</v>
      </c>
      <c r="I3487" t="s">
        <v>4883</v>
      </c>
      <c r="K3487" t="s">
        <v>5037</v>
      </c>
      <c r="L3487" t="s">
        <v>5039</v>
      </c>
    </row>
    <row r="3488" spans="1:12" x14ac:dyDescent="0.35">
      <c r="A3488" t="s">
        <v>118</v>
      </c>
      <c r="B3488" t="s">
        <v>599</v>
      </c>
      <c r="C3488" t="s">
        <v>793</v>
      </c>
      <c r="D3488">
        <v>0.38400000000000001</v>
      </c>
      <c r="F3488" t="s">
        <v>1782</v>
      </c>
      <c r="I3488" t="s">
        <v>4883</v>
      </c>
      <c r="K3488" t="s">
        <v>5037</v>
      </c>
      <c r="L3488" t="s">
        <v>5039</v>
      </c>
    </row>
    <row r="3489" spans="1:12" x14ac:dyDescent="0.35">
      <c r="A3489" t="s">
        <v>118</v>
      </c>
      <c r="B3489" t="s">
        <v>599</v>
      </c>
      <c r="C3489" t="s">
        <v>1188</v>
      </c>
      <c r="D3489">
        <v>0.29399999999999998</v>
      </c>
      <c r="F3489" t="s">
        <v>2449</v>
      </c>
      <c r="I3489" t="s">
        <v>4883</v>
      </c>
      <c r="K3489" t="s">
        <v>5037</v>
      </c>
      <c r="L3489" t="s">
        <v>5039</v>
      </c>
    </row>
    <row r="3490" spans="1:12" x14ac:dyDescent="0.35">
      <c r="A3490" t="s">
        <v>118</v>
      </c>
      <c r="B3490" t="s">
        <v>600</v>
      </c>
      <c r="C3490" t="s">
        <v>1204</v>
      </c>
      <c r="D3490">
        <v>0.34499999999999997</v>
      </c>
      <c r="F3490" t="s">
        <v>2117</v>
      </c>
      <c r="I3490" t="s">
        <v>4883</v>
      </c>
      <c r="K3490" t="s">
        <v>5037</v>
      </c>
      <c r="L3490" t="s">
        <v>5039</v>
      </c>
    </row>
    <row r="3491" spans="1:12" x14ac:dyDescent="0.35">
      <c r="A3491" t="s">
        <v>118</v>
      </c>
      <c r="B3491" t="s">
        <v>600</v>
      </c>
      <c r="C3491" t="s">
        <v>1188</v>
      </c>
      <c r="D3491">
        <v>0.40899999999999997</v>
      </c>
      <c r="F3491" t="s">
        <v>2450</v>
      </c>
      <c r="I3491" t="s">
        <v>4883</v>
      </c>
      <c r="K3491" t="s">
        <v>5037</v>
      </c>
      <c r="L3491" t="s">
        <v>5039</v>
      </c>
    </row>
    <row r="3492" spans="1:12" x14ac:dyDescent="0.35">
      <c r="A3492" t="s">
        <v>118</v>
      </c>
      <c r="B3492" t="s">
        <v>600</v>
      </c>
      <c r="C3492" t="s">
        <v>793</v>
      </c>
      <c r="D3492">
        <v>0.47399999999999998</v>
      </c>
      <c r="F3492" t="s">
        <v>2451</v>
      </c>
      <c r="I3492" t="s">
        <v>4883</v>
      </c>
      <c r="K3492" t="s">
        <v>5037</v>
      </c>
      <c r="L3492" t="s">
        <v>5039</v>
      </c>
    </row>
    <row r="3493" spans="1:12" x14ac:dyDescent="0.35">
      <c r="A3493" t="s">
        <v>118</v>
      </c>
      <c r="B3493" t="s">
        <v>601</v>
      </c>
      <c r="C3493" t="s">
        <v>793</v>
      </c>
      <c r="D3493">
        <v>2.7E-4</v>
      </c>
      <c r="F3493" t="s">
        <v>2452</v>
      </c>
      <c r="H3493" t="s">
        <v>4372</v>
      </c>
      <c r="I3493" t="s">
        <v>4854</v>
      </c>
      <c r="K3493" t="s">
        <v>5037</v>
      </c>
      <c r="L3493" t="s">
        <v>5039</v>
      </c>
    </row>
    <row r="3494" spans="1:12" x14ac:dyDescent="0.35">
      <c r="A3494" t="s">
        <v>118</v>
      </c>
      <c r="B3494" t="s">
        <v>601</v>
      </c>
      <c r="C3494" t="s">
        <v>793</v>
      </c>
      <c r="D3494">
        <v>1.1999999999999999E-3</v>
      </c>
      <c r="F3494" t="s">
        <v>1337</v>
      </c>
      <c r="H3494" t="s">
        <v>4372</v>
      </c>
      <c r="I3494" t="s">
        <v>4854</v>
      </c>
      <c r="K3494" t="s">
        <v>5037</v>
      </c>
      <c r="L3494" t="s">
        <v>5039</v>
      </c>
    </row>
    <row r="3495" spans="1:12" x14ac:dyDescent="0.35">
      <c r="A3495" t="s">
        <v>118</v>
      </c>
      <c r="B3495" t="s">
        <v>601</v>
      </c>
      <c r="C3495" t="s">
        <v>1188</v>
      </c>
      <c r="D3495">
        <v>8.8999999999999995E-4</v>
      </c>
      <c r="F3495" t="s">
        <v>2453</v>
      </c>
      <c r="H3495" t="s">
        <v>4372</v>
      </c>
      <c r="I3495" t="s">
        <v>4854</v>
      </c>
      <c r="K3495" t="s">
        <v>5037</v>
      </c>
      <c r="L3495" t="s">
        <v>5039</v>
      </c>
    </row>
    <row r="3496" spans="1:12" x14ac:dyDescent="0.35">
      <c r="A3496" t="s">
        <v>118</v>
      </c>
      <c r="B3496" t="s">
        <v>601</v>
      </c>
      <c r="C3496" t="s">
        <v>1188</v>
      </c>
      <c r="D3496">
        <v>2.5999999999999998E-4</v>
      </c>
      <c r="F3496" t="s">
        <v>2454</v>
      </c>
      <c r="H3496" t="s">
        <v>4373</v>
      </c>
      <c r="I3496" t="s">
        <v>4854</v>
      </c>
      <c r="K3496" t="s">
        <v>5037</v>
      </c>
      <c r="L3496" t="s">
        <v>5039</v>
      </c>
    </row>
    <row r="3497" spans="1:12" x14ac:dyDescent="0.35">
      <c r="A3497" t="s">
        <v>118</v>
      </c>
      <c r="B3497" t="s">
        <v>602</v>
      </c>
      <c r="C3497" t="s">
        <v>793</v>
      </c>
      <c r="D3497">
        <v>0.19</v>
      </c>
      <c r="F3497" t="s">
        <v>1538</v>
      </c>
      <c r="I3497" t="s">
        <v>2346</v>
      </c>
      <c r="K3497" t="s">
        <v>5037</v>
      </c>
      <c r="L3497" t="s">
        <v>5039</v>
      </c>
    </row>
    <row r="3498" spans="1:12" x14ac:dyDescent="0.35">
      <c r="A3498" t="s">
        <v>118</v>
      </c>
      <c r="B3498" t="s">
        <v>602</v>
      </c>
      <c r="C3498" t="s">
        <v>1190</v>
      </c>
      <c r="D3498">
        <v>0.43</v>
      </c>
      <c r="F3498" t="s">
        <v>1441</v>
      </c>
      <c r="I3498" t="s">
        <v>2346</v>
      </c>
      <c r="K3498" t="s">
        <v>5037</v>
      </c>
      <c r="L3498" t="s">
        <v>5039</v>
      </c>
    </row>
    <row r="3499" spans="1:12" x14ac:dyDescent="0.35">
      <c r="A3499" t="s">
        <v>118</v>
      </c>
      <c r="B3499" t="s">
        <v>603</v>
      </c>
      <c r="C3499" t="s">
        <v>793</v>
      </c>
      <c r="D3499">
        <v>0.6</v>
      </c>
      <c r="F3499" t="s">
        <v>1519</v>
      </c>
      <c r="H3499" t="s">
        <v>4374</v>
      </c>
      <c r="I3499" t="s">
        <v>2330</v>
      </c>
      <c r="K3499" t="s">
        <v>5037</v>
      </c>
      <c r="L3499" t="s">
        <v>5039</v>
      </c>
    </row>
    <row r="3500" spans="1:12" x14ac:dyDescent="0.35">
      <c r="A3500" t="s">
        <v>118</v>
      </c>
      <c r="B3500" t="s">
        <v>603</v>
      </c>
      <c r="C3500" t="s">
        <v>793</v>
      </c>
      <c r="D3500">
        <v>0.38</v>
      </c>
      <c r="F3500" t="s">
        <v>1624</v>
      </c>
      <c r="H3500" t="s">
        <v>4375</v>
      </c>
      <c r="I3500" t="s">
        <v>2330</v>
      </c>
      <c r="K3500" t="s">
        <v>5037</v>
      </c>
      <c r="L3500" t="s">
        <v>5039</v>
      </c>
    </row>
    <row r="3501" spans="1:12" x14ac:dyDescent="0.35">
      <c r="A3501" t="s">
        <v>118</v>
      </c>
      <c r="B3501" t="s">
        <v>597</v>
      </c>
      <c r="C3501" t="s">
        <v>793</v>
      </c>
      <c r="D3501">
        <v>0.89</v>
      </c>
      <c r="F3501" t="s">
        <v>1840</v>
      </c>
      <c r="H3501" t="s">
        <v>4376</v>
      </c>
      <c r="I3501" t="s">
        <v>4928</v>
      </c>
      <c r="K3501" t="s">
        <v>5037</v>
      </c>
      <c r="L3501" t="s">
        <v>5039</v>
      </c>
    </row>
    <row r="3502" spans="1:12" x14ac:dyDescent="0.35">
      <c r="A3502" t="s">
        <v>118</v>
      </c>
      <c r="B3502" t="s">
        <v>597</v>
      </c>
      <c r="C3502" t="s">
        <v>793</v>
      </c>
      <c r="D3502">
        <v>0.47</v>
      </c>
      <c r="F3502" t="s">
        <v>1795</v>
      </c>
      <c r="H3502" t="s">
        <v>4377</v>
      </c>
      <c r="I3502" t="s">
        <v>4928</v>
      </c>
      <c r="K3502" t="s">
        <v>5037</v>
      </c>
      <c r="L3502" t="s">
        <v>5039</v>
      </c>
    </row>
    <row r="3503" spans="1:12" x14ac:dyDescent="0.35">
      <c r="A3503" t="s">
        <v>118</v>
      </c>
      <c r="B3503" t="s">
        <v>597</v>
      </c>
      <c r="C3503" t="s">
        <v>1188</v>
      </c>
      <c r="D3503">
        <v>1.42</v>
      </c>
      <c r="F3503" t="s">
        <v>1865</v>
      </c>
      <c r="H3503" t="s">
        <v>4378</v>
      </c>
      <c r="I3503" t="s">
        <v>4928</v>
      </c>
      <c r="K3503" t="s">
        <v>5037</v>
      </c>
      <c r="L3503" t="s">
        <v>5039</v>
      </c>
    </row>
    <row r="3504" spans="1:12" x14ac:dyDescent="0.35">
      <c r="A3504" t="s">
        <v>118</v>
      </c>
      <c r="B3504" t="s">
        <v>597</v>
      </c>
      <c r="C3504" t="s">
        <v>1188</v>
      </c>
      <c r="D3504">
        <v>3.13</v>
      </c>
      <c r="F3504" t="s">
        <v>1736</v>
      </c>
      <c r="H3504" t="s">
        <v>4379</v>
      </c>
      <c r="I3504" t="s">
        <v>4928</v>
      </c>
      <c r="K3504" t="s">
        <v>5037</v>
      </c>
      <c r="L3504" t="s">
        <v>5039</v>
      </c>
    </row>
    <row r="3505" spans="1:12" x14ac:dyDescent="0.35">
      <c r="A3505" t="s">
        <v>118</v>
      </c>
      <c r="B3505" t="s">
        <v>597</v>
      </c>
      <c r="C3505" t="s">
        <v>793</v>
      </c>
      <c r="D3505">
        <v>1.89</v>
      </c>
      <c r="F3505" t="s">
        <v>2455</v>
      </c>
      <c r="H3505" t="s">
        <v>4380</v>
      </c>
      <c r="I3505" t="s">
        <v>4928</v>
      </c>
      <c r="K3505" t="s">
        <v>5037</v>
      </c>
      <c r="L3505" t="s">
        <v>5039</v>
      </c>
    </row>
    <row r="3506" spans="1:12" x14ac:dyDescent="0.35">
      <c r="A3506" t="s">
        <v>118</v>
      </c>
      <c r="B3506" t="s">
        <v>597</v>
      </c>
      <c r="C3506" t="s">
        <v>1188</v>
      </c>
      <c r="D3506">
        <v>4.2300000000000004</v>
      </c>
      <c r="F3506" t="s">
        <v>2456</v>
      </c>
      <c r="H3506" t="s">
        <v>4381</v>
      </c>
      <c r="I3506" t="s">
        <v>4928</v>
      </c>
      <c r="K3506" t="s">
        <v>5037</v>
      </c>
      <c r="L3506" t="s">
        <v>5039</v>
      </c>
    </row>
    <row r="3507" spans="1:12" x14ac:dyDescent="0.35">
      <c r="A3507" t="s">
        <v>118</v>
      </c>
      <c r="B3507" t="s">
        <v>597</v>
      </c>
      <c r="C3507" t="s">
        <v>1188</v>
      </c>
      <c r="D3507">
        <v>4.96</v>
      </c>
      <c r="F3507" t="s">
        <v>2457</v>
      </c>
      <c r="H3507" t="s">
        <v>4382</v>
      </c>
      <c r="I3507" t="s">
        <v>4928</v>
      </c>
      <c r="K3507" t="s">
        <v>5037</v>
      </c>
      <c r="L3507" t="s">
        <v>5039</v>
      </c>
    </row>
    <row r="3508" spans="1:12" x14ac:dyDescent="0.35">
      <c r="A3508" t="s">
        <v>118</v>
      </c>
      <c r="B3508" t="s">
        <v>604</v>
      </c>
      <c r="C3508" t="s">
        <v>1205</v>
      </c>
      <c r="D3508">
        <v>3.7999999999999999E-2</v>
      </c>
      <c r="F3508" t="s">
        <v>1803</v>
      </c>
      <c r="H3508" t="s">
        <v>4383</v>
      </c>
      <c r="I3508" t="s">
        <v>1551</v>
      </c>
      <c r="K3508" t="s">
        <v>5037</v>
      </c>
      <c r="L3508" t="s">
        <v>5039</v>
      </c>
    </row>
    <row r="3509" spans="1:12" x14ac:dyDescent="0.35">
      <c r="A3509" t="s">
        <v>118</v>
      </c>
      <c r="B3509" t="s">
        <v>604</v>
      </c>
      <c r="C3509" t="s">
        <v>1205</v>
      </c>
      <c r="D3509">
        <v>4.1000000000000002E-2</v>
      </c>
      <c r="F3509" t="s">
        <v>1814</v>
      </c>
      <c r="H3509" t="s">
        <v>4384</v>
      </c>
      <c r="I3509" t="s">
        <v>1551</v>
      </c>
      <c r="K3509" t="s">
        <v>5037</v>
      </c>
      <c r="L3509" t="s">
        <v>5039</v>
      </c>
    </row>
    <row r="3510" spans="1:12" x14ac:dyDescent="0.35">
      <c r="A3510" t="s">
        <v>118</v>
      </c>
      <c r="B3510" t="s">
        <v>604</v>
      </c>
      <c r="C3510" t="s">
        <v>1188</v>
      </c>
      <c r="D3510">
        <v>0.24</v>
      </c>
      <c r="F3510" t="s">
        <v>1488</v>
      </c>
      <c r="H3510" t="s">
        <v>4384</v>
      </c>
      <c r="I3510" t="s">
        <v>1551</v>
      </c>
      <c r="K3510" t="s">
        <v>5037</v>
      </c>
      <c r="L3510" t="s">
        <v>5039</v>
      </c>
    </row>
    <row r="3511" spans="1:12" x14ac:dyDescent="0.35">
      <c r="A3511" t="s">
        <v>118</v>
      </c>
      <c r="B3511" t="s">
        <v>604</v>
      </c>
      <c r="C3511" t="s">
        <v>1188</v>
      </c>
      <c r="D3511">
        <v>0.21199999999999999</v>
      </c>
      <c r="F3511" t="s">
        <v>2458</v>
      </c>
      <c r="H3511" t="s">
        <v>4383</v>
      </c>
      <c r="I3511" t="s">
        <v>1551</v>
      </c>
      <c r="K3511" t="s">
        <v>5037</v>
      </c>
      <c r="L3511" t="s">
        <v>5039</v>
      </c>
    </row>
    <row r="3512" spans="1:12" x14ac:dyDescent="0.35">
      <c r="A3512" t="s">
        <v>118</v>
      </c>
      <c r="B3512" t="s">
        <v>605</v>
      </c>
      <c r="C3512" t="s">
        <v>793</v>
      </c>
      <c r="D3512">
        <v>0.33</v>
      </c>
      <c r="F3512" t="s">
        <v>1397</v>
      </c>
      <c r="H3512" t="s">
        <v>4385</v>
      </c>
      <c r="I3512" t="s">
        <v>2212</v>
      </c>
      <c r="K3512" t="s">
        <v>5037</v>
      </c>
      <c r="L3512" t="s">
        <v>5039</v>
      </c>
    </row>
    <row r="3513" spans="1:12" x14ac:dyDescent="0.35">
      <c r="A3513" t="s">
        <v>118</v>
      </c>
      <c r="B3513" t="s">
        <v>605</v>
      </c>
      <c r="C3513" t="s">
        <v>1188</v>
      </c>
      <c r="D3513">
        <v>0.59</v>
      </c>
      <c r="F3513" t="s">
        <v>1483</v>
      </c>
      <c r="H3513" t="s">
        <v>4386</v>
      </c>
      <c r="I3513" t="s">
        <v>2212</v>
      </c>
      <c r="K3513" t="s">
        <v>5037</v>
      </c>
      <c r="L3513" t="s">
        <v>5039</v>
      </c>
    </row>
    <row r="3514" spans="1:12" x14ac:dyDescent="0.35">
      <c r="A3514" t="s">
        <v>118</v>
      </c>
      <c r="B3514" t="s">
        <v>328</v>
      </c>
      <c r="C3514" t="s">
        <v>1188</v>
      </c>
      <c r="D3514">
        <v>4.4999999999999998E-2</v>
      </c>
      <c r="F3514" t="s">
        <v>1290</v>
      </c>
      <c r="H3514" t="s">
        <v>4387</v>
      </c>
      <c r="I3514" t="s">
        <v>4853</v>
      </c>
      <c r="K3514" t="s">
        <v>5037</v>
      </c>
      <c r="L3514" t="s">
        <v>5039</v>
      </c>
    </row>
    <row r="3515" spans="1:12" x14ac:dyDescent="0.35">
      <c r="A3515" t="s">
        <v>118</v>
      </c>
      <c r="B3515" t="s">
        <v>328</v>
      </c>
      <c r="C3515" t="s">
        <v>1206</v>
      </c>
      <c r="D3515">
        <v>0.05</v>
      </c>
      <c r="F3515" t="s">
        <v>1559</v>
      </c>
      <c r="H3515" t="s">
        <v>4388</v>
      </c>
      <c r="I3515" t="s">
        <v>5003</v>
      </c>
      <c r="K3515" t="s">
        <v>5037</v>
      </c>
      <c r="L3515" t="s">
        <v>5039</v>
      </c>
    </row>
    <row r="3516" spans="1:12" x14ac:dyDescent="0.35">
      <c r="A3516" t="s">
        <v>118</v>
      </c>
      <c r="B3516" t="s">
        <v>328</v>
      </c>
      <c r="C3516" t="s">
        <v>167</v>
      </c>
      <c r="D3516">
        <v>8.8999999999999996E-2</v>
      </c>
      <c r="F3516" t="s">
        <v>1970</v>
      </c>
      <c r="H3516" t="s">
        <v>4389</v>
      </c>
      <c r="I3516" t="s">
        <v>4853</v>
      </c>
      <c r="K3516" t="s">
        <v>5037</v>
      </c>
      <c r="L3516" t="s">
        <v>5039</v>
      </c>
    </row>
    <row r="3517" spans="1:12" x14ac:dyDescent="0.35">
      <c r="A3517" t="s">
        <v>118</v>
      </c>
      <c r="B3517" t="s">
        <v>328</v>
      </c>
      <c r="C3517" t="s">
        <v>1188</v>
      </c>
      <c r="D3517">
        <v>0.02</v>
      </c>
      <c r="F3517" t="s">
        <v>1448</v>
      </c>
      <c r="H3517" t="s">
        <v>4390</v>
      </c>
      <c r="I3517" t="s">
        <v>4853</v>
      </c>
      <c r="K3517" t="s">
        <v>5037</v>
      </c>
      <c r="L3517" t="s">
        <v>5039</v>
      </c>
    </row>
    <row r="3518" spans="1:12" x14ac:dyDescent="0.35">
      <c r="A3518" t="s">
        <v>118</v>
      </c>
      <c r="B3518" t="s">
        <v>328</v>
      </c>
      <c r="C3518" t="s">
        <v>793</v>
      </c>
      <c r="D3518">
        <v>1</v>
      </c>
      <c r="F3518" t="s">
        <v>1317</v>
      </c>
      <c r="H3518" t="s">
        <v>4391</v>
      </c>
      <c r="I3518" t="s">
        <v>4907</v>
      </c>
      <c r="K3518" t="s">
        <v>5037</v>
      </c>
      <c r="L3518" t="s">
        <v>5039</v>
      </c>
    </row>
    <row r="3519" spans="1:12" x14ac:dyDescent="0.35">
      <c r="A3519" t="s">
        <v>118</v>
      </c>
      <c r="B3519" t="s">
        <v>328</v>
      </c>
      <c r="C3519" t="s">
        <v>167</v>
      </c>
      <c r="D3519">
        <v>5.9999999999999995E-4</v>
      </c>
      <c r="F3519" t="s">
        <v>2459</v>
      </c>
      <c r="H3519" t="s">
        <v>4392</v>
      </c>
      <c r="I3519" t="s">
        <v>1477</v>
      </c>
      <c r="K3519" t="s">
        <v>5037</v>
      </c>
      <c r="L3519" t="s">
        <v>5039</v>
      </c>
    </row>
    <row r="3520" spans="1:12" x14ac:dyDescent="0.35">
      <c r="A3520" t="s">
        <v>118</v>
      </c>
      <c r="B3520" t="s">
        <v>328</v>
      </c>
      <c r="C3520" t="s">
        <v>793</v>
      </c>
      <c r="D3520">
        <v>0.28000000000000003</v>
      </c>
      <c r="F3520" t="s">
        <v>1732</v>
      </c>
      <c r="H3520" t="s">
        <v>4393</v>
      </c>
      <c r="I3520" t="s">
        <v>4907</v>
      </c>
      <c r="K3520" t="s">
        <v>5037</v>
      </c>
      <c r="L3520" t="s">
        <v>5039</v>
      </c>
    </row>
    <row r="3521" spans="1:12" x14ac:dyDescent="0.35">
      <c r="A3521" t="s">
        <v>118</v>
      </c>
      <c r="B3521" t="s">
        <v>328</v>
      </c>
      <c r="C3521" t="s">
        <v>1188</v>
      </c>
      <c r="D3521">
        <v>0.8</v>
      </c>
      <c r="F3521" t="s">
        <v>1319</v>
      </c>
      <c r="H3521" t="s">
        <v>4394</v>
      </c>
      <c r="I3521" t="s">
        <v>4907</v>
      </c>
      <c r="K3521" t="s">
        <v>5037</v>
      </c>
      <c r="L3521" t="s">
        <v>5039</v>
      </c>
    </row>
    <row r="3522" spans="1:12" x14ac:dyDescent="0.35">
      <c r="A3522" t="s">
        <v>118</v>
      </c>
      <c r="B3522" t="s">
        <v>328</v>
      </c>
      <c r="C3522" t="s">
        <v>167</v>
      </c>
      <c r="D3522">
        <v>1E-3</v>
      </c>
      <c r="F3522" t="s">
        <v>1722</v>
      </c>
      <c r="H3522" t="s">
        <v>4395</v>
      </c>
      <c r="I3522" t="s">
        <v>1477</v>
      </c>
      <c r="K3522" t="s">
        <v>5037</v>
      </c>
      <c r="L3522" t="s">
        <v>5039</v>
      </c>
    </row>
    <row r="3523" spans="1:12" x14ac:dyDescent="0.35">
      <c r="A3523" t="s">
        <v>118</v>
      </c>
      <c r="B3523" t="s">
        <v>328</v>
      </c>
      <c r="C3523" t="s">
        <v>793</v>
      </c>
      <c r="D3523">
        <v>1.2</v>
      </c>
      <c r="F3523" t="s">
        <v>1421</v>
      </c>
      <c r="H3523" t="s">
        <v>4396</v>
      </c>
      <c r="I3523" t="s">
        <v>4907</v>
      </c>
      <c r="K3523" t="s">
        <v>5037</v>
      </c>
      <c r="L3523" t="s">
        <v>5039</v>
      </c>
    </row>
    <row r="3524" spans="1:12" x14ac:dyDescent="0.35">
      <c r="A3524" t="s">
        <v>118</v>
      </c>
      <c r="B3524" t="s">
        <v>328</v>
      </c>
      <c r="C3524" t="s">
        <v>167</v>
      </c>
      <c r="D3524">
        <v>9.6000000000000002E-2</v>
      </c>
      <c r="F3524" t="s">
        <v>2055</v>
      </c>
      <c r="H3524" t="s">
        <v>4397</v>
      </c>
      <c r="I3524" t="s">
        <v>4853</v>
      </c>
      <c r="K3524" t="s">
        <v>5037</v>
      </c>
      <c r="L3524" t="s">
        <v>5039</v>
      </c>
    </row>
    <row r="3525" spans="1:12" x14ac:dyDescent="0.35">
      <c r="A3525" t="s">
        <v>118</v>
      </c>
      <c r="B3525" t="s">
        <v>328</v>
      </c>
      <c r="C3525" t="s">
        <v>1188</v>
      </c>
      <c r="D3525">
        <v>0.7</v>
      </c>
      <c r="F3525" t="s">
        <v>1378</v>
      </c>
      <c r="H3525" t="s">
        <v>4398</v>
      </c>
      <c r="I3525" t="s">
        <v>4859</v>
      </c>
      <c r="K3525" t="s">
        <v>5037</v>
      </c>
      <c r="L3525" t="s">
        <v>5039</v>
      </c>
    </row>
    <row r="3526" spans="1:12" x14ac:dyDescent="0.35">
      <c r="A3526" t="s">
        <v>118</v>
      </c>
      <c r="B3526" t="s">
        <v>328</v>
      </c>
      <c r="C3526" t="s">
        <v>793</v>
      </c>
      <c r="D3526">
        <v>0.82</v>
      </c>
      <c r="F3526" t="s">
        <v>1930</v>
      </c>
      <c r="H3526" t="s">
        <v>4399</v>
      </c>
      <c r="I3526" t="s">
        <v>4907</v>
      </c>
      <c r="K3526" t="s">
        <v>5037</v>
      </c>
      <c r="L3526" t="s">
        <v>5039</v>
      </c>
    </row>
    <row r="3527" spans="1:12" x14ac:dyDescent="0.35">
      <c r="A3527" t="s">
        <v>118</v>
      </c>
      <c r="B3527" t="s">
        <v>328</v>
      </c>
      <c r="C3527" t="s">
        <v>167</v>
      </c>
      <c r="D3527">
        <v>0.56000000000000005</v>
      </c>
      <c r="F3527" t="s">
        <v>2170</v>
      </c>
      <c r="H3527" t="s">
        <v>4400</v>
      </c>
      <c r="I3527" t="s">
        <v>4853</v>
      </c>
      <c r="K3527" t="s">
        <v>5037</v>
      </c>
      <c r="L3527" t="s">
        <v>5039</v>
      </c>
    </row>
    <row r="3528" spans="1:12" x14ac:dyDescent="0.35">
      <c r="A3528" t="s">
        <v>118</v>
      </c>
      <c r="B3528" t="s">
        <v>328</v>
      </c>
      <c r="C3528" t="s">
        <v>1188</v>
      </c>
      <c r="D3528">
        <v>6.0000000000000001E-3</v>
      </c>
      <c r="F3528" t="s">
        <v>1273</v>
      </c>
      <c r="H3528" t="s">
        <v>4392</v>
      </c>
      <c r="I3528" t="s">
        <v>1477</v>
      </c>
      <c r="K3528" t="s">
        <v>5037</v>
      </c>
      <c r="L3528" t="s">
        <v>5039</v>
      </c>
    </row>
    <row r="3529" spans="1:12" x14ac:dyDescent="0.35">
      <c r="A3529" t="s">
        <v>118</v>
      </c>
      <c r="B3529" t="s">
        <v>328</v>
      </c>
      <c r="C3529" t="s">
        <v>793</v>
      </c>
      <c r="D3529">
        <v>2.1</v>
      </c>
      <c r="F3529" t="s">
        <v>1399</v>
      </c>
      <c r="H3529" t="s">
        <v>4394</v>
      </c>
      <c r="I3529" t="s">
        <v>4907</v>
      </c>
      <c r="K3529" t="s">
        <v>5037</v>
      </c>
      <c r="L3529" t="s">
        <v>5039</v>
      </c>
    </row>
    <row r="3530" spans="1:12" x14ac:dyDescent="0.35">
      <c r="A3530" t="s">
        <v>118</v>
      </c>
      <c r="B3530" t="s">
        <v>328</v>
      </c>
      <c r="C3530" t="s">
        <v>1188</v>
      </c>
      <c r="D3530">
        <v>0.36</v>
      </c>
      <c r="F3530" t="s">
        <v>1398</v>
      </c>
      <c r="H3530" t="s">
        <v>4401</v>
      </c>
      <c r="I3530" t="s">
        <v>4853</v>
      </c>
      <c r="K3530" t="s">
        <v>5037</v>
      </c>
      <c r="L3530" t="s">
        <v>5039</v>
      </c>
    </row>
    <row r="3531" spans="1:12" x14ac:dyDescent="0.35">
      <c r="A3531" t="s">
        <v>118</v>
      </c>
      <c r="B3531" t="s">
        <v>328</v>
      </c>
      <c r="C3531" t="s">
        <v>1207</v>
      </c>
      <c r="D3531">
        <v>0.36</v>
      </c>
      <c r="F3531" t="s">
        <v>1398</v>
      </c>
      <c r="H3531" t="s">
        <v>4388</v>
      </c>
      <c r="I3531" t="s">
        <v>5003</v>
      </c>
      <c r="K3531" t="s">
        <v>5037</v>
      </c>
      <c r="L3531" t="s">
        <v>5039</v>
      </c>
    </row>
    <row r="3532" spans="1:12" x14ac:dyDescent="0.35">
      <c r="A3532" t="s">
        <v>118</v>
      </c>
      <c r="B3532" t="s">
        <v>328</v>
      </c>
      <c r="C3532" t="s">
        <v>167</v>
      </c>
      <c r="D3532">
        <v>2.2999999999999998</v>
      </c>
      <c r="F3532" t="s">
        <v>1453</v>
      </c>
      <c r="H3532" t="s">
        <v>4402</v>
      </c>
      <c r="I3532" t="s">
        <v>4853</v>
      </c>
      <c r="K3532" t="s">
        <v>5037</v>
      </c>
      <c r="L3532" t="s">
        <v>5039</v>
      </c>
    </row>
    <row r="3533" spans="1:12" x14ac:dyDescent="0.35">
      <c r="A3533" t="s">
        <v>118</v>
      </c>
      <c r="B3533" t="s">
        <v>328</v>
      </c>
      <c r="C3533" t="s">
        <v>1188</v>
      </c>
      <c r="D3533">
        <v>1.9E-2</v>
      </c>
      <c r="F3533" t="s">
        <v>1628</v>
      </c>
      <c r="H3533" t="s">
        <v>4403</v>
      </c>
      <c r="I3533" t="s">
        <v>4853</v>
      </c>
      <c r="K3533" t="s">
        <v>5037</v>
      </c>
      <c r="L3533" t="s">
        <v>5039</v>
      </c>
    </row>
    <row r="3534" spans="1:12" x14ac:dyDescent="0.35">
      <c r="A3534" t="s">
        <v>118</v>
      </c>
      <c r="B3534" t="s">
        <v>328</v>
      </c>
      <c r="C3534" t="s">
        <v>167</v>
      </c>
      <c r="D3534">
        <v>5.6</v>
      </c>
      <c r="F3534" t="s">
        <v>1847</v>
      </c>
      <c r="H3534" t="s">
        <v>4404</v>
      </c>
      <c r="I3534" t="s">
        <v>4859</v>
      </c>
      <c r="K3534" t="s">
        <v>5037</v>
      </c>
      <c r="L3534" t="s">
        <v>5039</v>
      </c>
    </row>
    <row r="3535" spans="1:12" x14ac:dyDescent="0.35">
      <c r="A3535" t="s">
        <v>118</v>
      </c>
      <c r="B3535" t="s">
        <v>328</v>
      </c>
      <c r="C3535" t="s">
        <v>1188</v>
      </c>
      <c r="D3535">
        <v>0.94</v>
      </c>
      <c r="F3535" t="s">
        <v>1651</v>
      </c>
      <c r="I3535" t="s">
        <v>1626</v>
      </c>
      <c r="K3535" t="s">
        <v>5037</v>
      </c>
      <c r="L3535" t="s">
        <v>5039</v>
      </c>
    </row>
    <row r="3536" spans="1:12" x14ac:dyDescent="0.35">
      <c r="A3536" t="s">
        <v>118</v>
      </c>
      <c r="B3536" t="s">
        <v>328</v>
      </c>
      <c r="C3536" t="s">
        <v>1188</v>
      </c>
      <c r="D3536">
        <v>7.6999999999999999E-2</v>
      </c>
      <c r="F3536" t="s">
        <v>1578</v>
      </c>
      <c r="H3536" t="s">
        <v>4405</v>
      </c>
      <c r="I3536" t="s">
        <v>4853</v>
      </c>
      <c r="K3536" t="s">
        <v>5037</v>
      </c>
      <c r="L3536" t="s">
        <v>5039</v>
      </c>
    </row>
    <row r="3537" spans="1:12" x14ac:dyDescent="0.35">
      <c r="A3537" t="s">
        <v>118</v>
      </c>
      <c r="B3537" t="s">
        <v>328</v>
      </c>
      <c r="C3537" t="s">
        <v>1188</v>
      </c>
      <c r="D3537">
        <v>5.1999999999999998E-2</v>
      </c>
      <c r="F3537" t="s">
        <v>1529</v>
      </c>
      <c r="H3537" t="s">
        <v>4406</v>
      </c>
      <c r="I3537" t="s">
        <v>4853</v>
      </c>
      <c r="K3537" t="s">
        <v>5037</v>
      </c>
      <c r="L3537" t="s">
        <v>5039</v>
      </c>
    </row>
    <row r="3538" spans="1:12" x14ac:dyDescent="0.35">
      <c r="A3538" t="s">
        <v>118</v>
      </c>
      <c r="B3538" t="s">
        <v>328</v>
      </c>
      <c r="C3538" t="s">
        <v>167</v>
      </c>
      <c r="D3538">
        <v>6.6</v>
      </c>
      <c r="F3538" t="s">
        <v>1517</v>
      </c>
      <c r="H3538" t="s">
        <v>4407</v>
      </c>
      <c r="I3538" t="s">
        <v>4853</v>
      </c>
      <c r="K3538" t="s">
        <v>5037</v>
      </c>
      <c r="L3538" t="s">
        <v>5039</v>
      </c>
    </row>
    <row r="3539" spans="1:12" x14ac:dyDescent="0.35">
      <c r="A3539" t="s">
        <v>118</v>
      </c>
      <c r="B3539" t="s">
        <v>328</v>
      </c>
      <c r="C3539" t="s">
        <v>1188</v>
      </c>
      <c r="D3539">
        <v>0.79</v>
      </c>
      <c r="F3539" t="s">
        <v>2224</v>
      </c>
      <c r="H3539" t="s">
        <v>4393</v>
      </c>
      <c r="I3539" t="s">
        <v>4907</v>
      </c>
      <c r="K3539" t="s">
        <v>5037</v>
      </c>
      <c r="L3539" t="s">
        <v>5039</v>
      </c>
    </row>
    <row r="3540" spans="1:12" x14ac:dyDescent="0.35">
      <c r="A3540" t="s">
        <v>118</v>
      </c>
      <c r="B3540" t="s">
        <v>328</v>
      </c>
      <c r="C3540" t="s">
        <v>167</v>
      </c>
      <c r="D3540">
        <v>6.9000000000000006E-2</v>
      </c>
      <c r="F3540" t="s">
        <v>1619</v>
      </c>
      <c r="H3540" t="s">
        <v>4408</v>
      </c>
      <c r="I3540" t="s">
        <v>4853</v>
      </c>
      <c r="K3540" t="s">
        <v>5037</v>
      </c>
      <c r="L3540" t="s">
        <v>5039</v>
      </c>
    </row>
    <row r="3541" spans="1:12" x14ac:dyDescent="0.35">
      <c r="A3541" t="s">
        <v>118</v>
      </c>
      <c r="B3541" t="s">
        <v>328</v>
      </c>
      <c r="C3541" t="s">
        <v>1188</v>
      </c>
      <c r="D3541">
        <v>8.7999999999999995E-2</v>
      </c>
      <c r="F3541" t="s">
        <v>1400</v>
      </c>
      <c r="H3541" t="s">
        <v>4409</v>
      </c>
      <c r="I3541" t="s">
        <v>4853</v>
      </c>
      <c r="K3541" t="s">
        <v>5037</v>
      </c>
      <c r="L3541" t="s">
        <v>5039</v>
      </c>
    </row>
    <row r="3542" spans="1:12" x14ac:dyDescent="0.35">
      <c r="A3542" t="s">
        <v>118</v>
      </c>
      <c r="B3542" t="s">
        <v>328</v>
      </c>
      <c r="C3542" t="s">
        <v>1208</v>
      </c>
      <c r="D3542">
        <v>1.89</v>
      </c>
      <c r="F3542" t="s">
        <v>2455</v>
      </c>
      <c r="H3542" t="s">
        <v>4388</v>
      </c>
      <c r="I3542" t="s">
        <v>5003</v>
      </c>
      <c r="K3542" t="s">
        <v>5037</v>
      </c>
      <c r="L3542" t="s">
        <v>5039</v>
      </c>
    </row>
    <row r="3543" spans="1:12" x14ac:dyDescent="0.35">
      <c r="A3543" t="s">
        <v>118</v>
      </c>
      <c r="B3543" t="s">
        <v>328</v>
      </c>
      <c r="C3543" t="s">
        <v>167</v>
      </c>
      <c r="D3543">
        <v>0.39</v>
      </c>
      <c r="F3543" t="s">
        <v>1422</v>
      </c>
      <c r="H3543" t="s">
        <v>4410</v>
      </c>
      <c r="I3543" t="s">
        <v>4882</v>
      </c>
      <c r="K3543" t="s">
        <v>5037</v>
      </c>
      <c r="L3543" t="s">
        <v>5039</v>
      </c>
    </row>
    <row r="3544" spans="1:12" x14ac:dyDescent="0.35">
      <c r="A3544" t="s">
        <v>118</v>
      </c>
      <c r="B3544" t="s">
        <v>328</v>
      </c>
      <c r="C3544" t="s">
        <v>1188</v>
      </c>
      <c r="D3544">
        <v>0.11</v>
      </c>
      <c r="F3544" t="s">
        <v>1295</v>
      </c>
      <c r="H3544" t="s">
        <v>4411</v>
      </c>
      <c r="I3544" t="s">
        <v>4931</v>
      </c>
      <c r="K3544" t="s">
        <v>5037</v>
      </c>
      <c r="L3544" t="s">
        <v>5039</v>
      </c>
    </row>
    <row r="3545" spans="1:12" x14ac:dyDescent="0.35">
      <c r="A3545" t="s">
        <v>118</v>
      </c>
      <c r="B3545" t="s">
        <v>328</v>
      </c>
      <c r="C3545" t="s">
        <v>1188</v>
      </c>
      <c r="D3545">
        <v>0.44</v>
      </c>
      <c r="F3545" t="s">
        <v>1723</v>
      </c>
      <c r="H3545" t="s">
        <v>4412</v>
      </c>
      <c r="I3545" t="s">
        <v>4859</v>
      </c>
      <c r="K3545" t="s">
        <v>5037</v>
      </c>
      <c r="L3545" t="s">
        <v>5039</v>
      </c>
    </row>
    <row r="3546" spans="1:12" x14ac:dyDescent="0.35">
      <c r="A3546" t="s">
        <v>118</v>
      </c>
      <c r="B3546" t="s">
        <v>328</v>
      </c>
      <c r="C3546" t="s">
        <v>167</v>
      </c>
      <c r="D3546">
        <v>0.78</v>
      </c>
      <c r="F3546" t="s">
        <v>1442</v>
      </c>
      <c r="H3546" t="s">
        <v>4413</v>
      </c>
      <c r="I3546" t="s">
        <v>4853</v>
      </c>
      <c r="K3546" t="s">
        <v>5037</v>
      </c>
      <c r="L3546" t="s">
        <v>5039</v>
      </c>
    </row>
    <row r="3547" spans="1:12" x14ac:dyDescent="0.35">
      <c r="A3547" t="s">
        <v>118</v>
      </c>
      <c r="B3547" t="s">
        <v>328</v>
      </c>
      <c r="C3547" t="s">
        <v>1188</v>
      </c>
      <c r="D3547">
        <v>0.03</v>
      </c>
      <c r="F3547" t="s">
        <v>1266</v>
      </c>
      <c r="H3547" t="s">
        <v>4414</v>
      </c>
      <c r="I3547" t="s">
        <v>1477</v>
      </c>
      <c r="K3547" t="s">
        <v>5037</v>
      </c>
      <c r="L3547" t="s">
        <v>5039</v>
      </c>
    </row>
    <row r="3548" spans="1:12" x14ac:dyDescent="0.35">
      <c r="A3548" t="s">
        <v>118</v>
      </c>
      <c r="B3548" t="s">
        <v>328</v>
      </c>
      <c r="C3548" t="s">
        <v>167</v>
      </c>
      <c r="D3548">
        <v>0.3</v>
      </c>
      <c r="F3548" t="s">
        <v>1401</v>
      </c>
      <c r="H3548" t="s">
        <v>4415</v>
      </c>
      <c r="I3548" t="s">
        <v>4859</v>
      </c>
      <c r="K3548" t="s">
        <v>5037</v>
      </c>
      <c r="L3548" t="s">
        <v>5039</v>
      </c>
    </row>
    <row r="3549" spans="1:12" x14ac:dyDescent="0.35">
      <c r="A3549" t="s">
        <v>118</v>
      </c>
      <c r="B3549" t="s">
        <v>477</v>
      </c>
      <c r="C3549" t="s">
        <v>167</v>
      </c>
      <c r="D3549">
        <v>0.61</v>
      </c>
      <c r="F3549" t="s">
        <v>1891</v>
      </c>
      <c r="I3549" t="s">
        <v>1625</v>
      </c>
      <c r="K3549" t="s">
        <v>5037</v>
      </c>
      <c r="L3549" t="s">
        <v>5039</v>
      </c>
    </row>
    <row r="3550" spans="1:12" x14ac:dyDescent="0.35">
      <c r="A3550" t="s">
        <v>118</v>
      </c>
      <c r="B3550" t="s">
        <v>477</v>
      </c>
      <c r="C3550" t="s">
        <v>1188</v>
      </c>
      <c r="D3550">
        <v>2.2200000000000002</v>
      </c>
      <c r="F3550" t="s">
        <v>2460</v>
      </c>
      <c r="I3550" t="s">
        <v>1625</v>
      </c>
      <c r="K3550" t="s">
        <v>5037</v>
      </c>
      <c r="L3550" t="s">
        <v>5039</v>
      </c>
    </row>
    <row r="3551" spans="1:12" x14ac:dyDescent="0.35">
      <c r="A3551" t="s">
        <v>118</v>
      </c>
      <c r="B3551" t="s">
        <v>477</v>
      </c>
      <c r="C3551" t="s">
        <v>1188</v>
      </c>
      <c r="D3551">
        <v>2.5</v>
      </c>
      <c r="F3551" t="s">
        <v>1406</v>
      </c>
      <c r="H3551" t="s">
        <v>4416</v>
      </c>
      <c r="I3551" t="s">
        <v>4997</v>
      </c>
      <c r="K3551" t="s">
        <v>5037</v>
      </c>
      <c r="L3551" t="s">
        <v>5039</v>
      </c>
    </row>
    <row r="3552" spans="1:12" x14ac:dyDescent="0.35">
      <c r="A3552" t="s">
        <v>118</v>
      </c>
      <c r="B3552" t="s">
        <v>606</v>
      </c>
      <c r="C3552" t="s">
        <v>167</v>
      </c>
      <c r="D3552">
        <v>27.9</v>
      </c>
      <c r="F3552" t="s">
        <v>1855</v>
      </c>
      <c r="H3552" t="s">
        <v>4417</v>
      </c>
      <c r="I3552" t="s">
        <v>5004</v>
      </c>
      <c r="K3552" t="s">
        <v>5037</v>
      </c>
      <c r="L3552" t="s">
        <v>5039</v>
      </c>
    </row>
    <row r="3553" spans="1:12" x14ac:dyDescent="0.35">
      <c r="A3553" t="s">
        <v>118</v>
      </c>
      <c r="B3553" t="s">
        <v>606</v>
      </c>
      <c r="C3553" t="s">
        <v>1188</v>
      </c>
      <c r="D3553">
        <v>10.07</v>
      </c>
      <c r="F3553" t="s">
        <v>2461</v>
      </c>
      <c r="H3553" t="s">
        <v>4418</v>
      </c>
      <c r="I3553" t="s">
        <v>5004</v>
      </c>
      <c r="K3553" t="s">
        <v>5037</v>
      </c>
      <c r="L3553" t="s">
        <v>5039</v>
      </c>
    </row>
    <row r="3554" spans="1:12" x14ac:dyDescent="0.35">
      <c r="A3554" t="s">
        <v>118</v>
      </c>
      <c r="B3554" t="s">
        <v>607</v>
      </c>
      <c r="C3554" t="s">
        <v>1188</v>
      </c>
      <c r="D3554">
        <v>3.46</v>
      </c>
      <c r="F3554" t="s">
        <v>1695</v>
      </c>
      <c r="H3554" t="s">
        <v>4419</v>
      </c>
      <c r="I3554" t="s">
        <v>5004</v>
      </c>
      <c r="K3554" t="s">
        <v>5037</v>
      </c>
      <c r="L3554" t="s">
        <v>5039</v>
      </c>
    </row>
    <row r="3555" spans="1:12" x14ac:dyDescent="0.35">
      <c r="A3555" t="s">
        <v>118</v>
      </c>
      <c r="B3555" t="s">
        <v>607</v>
      </c>
      <c r="C3555" t="s">
        <v>167</v>
      </c>
      <c r="D3555">
        <v>78.760000000000005</v>
      </c>
      <c r="F3555" t="s">
        <v>2462</v>
      </c>
      <c r="H3555" t="s">
        <v>4420</v>
      </c>
      <c r="I3555" t="s">
        <v>5004</v>
      </c>
      <c r="K3555" t="s">
        <v>5037</v>
      </c>
      <c r="L3555" t="s">
        <v>5039</v>
      </c>
    </row>
    <row r="3556" spans="1:12" x14ac:dyDescent="0.35">
      <c r="A3556" t="s">
        <v>118</v>
      </c>
      <c r="B3556" t="s">
        <v>608</v>
      </c>
      <c r="C3556" t="s">
        <v>167</v>
      </c>
      <c r="D3556">
        <v>0.13</v>
      </c>
      <c r="F3556" t="s">
        <v>1466</v>
      </c>
      <c r="H3556" t="s">
        <v>4421</v>
      </c>
      <c r="I3556" t="s">
        <v>4950</v>
      </c>
      <c r="K3556" t="s">
        <v>5037</v>
      </c>
      <c r="L3556" t="s">
        <v>5039</v>
      </c>
    </row>
    <row r="3557" spans="1:12" x14ac:dyDescent="0.35">
      <c r="A3557" t="s">
        <v>118</v>
      </c>
      <c r="B3557" t="s">
        <v>609</v>
      </c>
      <c r="C3557" t="s">
        <v>1209</v>
      </c>
      <c r="D3557">
        <v>1.4239999999999999E-2</v>
      </c>
      <c r="F3557" t="s">
        <v>2463</v>
      </c>
      <c r="H3557" t="s">
        <v>4422</v>
      </c>
      <c r="I3557" t="s">
        <v>5005</v>
      </c>
      <c r="K3557" t="s">
        <v>5037</v>
      </c>
      <c r="L3557" t="s">
        <v>5039</v>
      </c>
    </row>
    <row r="3558" spans="1:12" x14ac:dyDescent="0.35">
      <c r="A3558" t="s">
        <v>118</v>
      </c>
      <c r="B3558" t="s">
        <v>609</v>
      </c>
      <c r="C3558" t="s">
        <v>1210</v>
      </c>
      <c r="D3558">
        <v>9.58E-3</v>
      </c>
      <c r="F3558" t="s">
        <v>2464</v>
      </c>
      <c r="H3558" t="s">
        <v>4423</v>
      </c>
      <c r="I3558" t="s">
        <v>5005</v>
      </c>
      <c r="K3558" t="s">
        <v>5037</v>
      </c>
      <c r="L3558" t="s">
        <v>5039</v>
      </c>
    </row>
    <row r="3559" spans="1:12" x14ac:dyDescent="0.35">
      <c r="A3559" t="s">
        <v>118</v>
      </c>
      <c r="B3559" t="s">
        <v>609</v>
      </c>
      <c r="C3559" t="s">
        <v>1188</v>
      </c>
      <c r="D3559">
        <v>0.23130000000000001</v>
      </c>
      <c r="F3559" t="s">
        <v>2465</v>
      </c>
      <c r="H3559" t="s">
        <v>4424</v>
      </c>
      <c r="I3559" t="s">
        <v>5005</v>
      </c>
      <c r="K3559" t="s">
        <v>5037</v>
      </c>
      <c r="L3559" t="s">
        <v>5039</v>
      </c>
    </row>
    <row r="3560" spans="1:12" x14ac:dyDescent="0.35">
      <c r="A3560" t="s">
        <v>118</v>
      </c>
      <c r="B3560" t="s">
        <v>609</v>
      </c>
      <c r="C3560" t="s">
        <v>1211</v>
      </c>
      <c r="D3560">
        <v>4.8349999999999997E-2</v>
      </c>
      <c r="F3560" t="s">
        <v>2466</v>
      </c>
      <c r="H3560" t="s">
        <v>4423</v>
      </c>
      <c r="I3560" t="s">
        <v>5005</v>
      </c>
      <c r="K3560" t="s">
        <v>5037</v>
      </c>
      <c r="L3560" t="s">
        <v>5039</v>
      </c>
    </row>
    <row r="3561" spans="1:12" x14ac:dyDescent="0.35">
      <c r="A3561" t="s">
        <v>118</v>
      </c>
      <c r="B3561" t="s">
        <v>609</v>
      </c>
      <c r="C3561" t="s">
        <v>1212</v>
      </c>
      <c r="D3561">
        <v>4.8349999999999997E-2</v>
      </c>
      <c r="F3561" t="s">
        <v>2466</v>
      </c>
      <c r="H3561" t="s">
        <v>4424</v>
      </c>
      <c r="I3561" t="s">
        <v>5005</v>
      </c>
      <c r="K3561" t="s">
        <v>5037</v>
      </c>
      <c r="L3561" t="s">
        <v>5039</v>
      </c>
    </row>
    <row r="3562" spans="1:12" x14ac:dyDescent="0.35">
      <c r="A3562" t="s">
        <v>118</v>
      </c>
      <c r="B3562" t="s">
        <v>380</v>
      </c>
      <c r="C3562" t="s">
        <v>1188</v>
      </c>
      <c r="D3562">
        <v>9.0999999999999998E-2</v>
      </c>
      <c r="F3562" t="s">
        <v>1958</v>
      </c>
      <c r="H3562" t="s">
        <v>4425</v>
      </c>
      <c r="I3562" t="s">
        <v>5006</v>
      </c>
      <c r="K3562" t="s">
        <v>5037</v>
      </c>
      <c r="L3562" t="s">
        <v>5039</v>
      </c>
    </row>
    <row r="3563" spans="1:12" x14ac:dyDescent="0.35">
      <c r="A3563" t="s">
        <v>118</v>
      </c>
      <c r="B3563" t="s">
        <v>380</v>
      </c>
      <c r="C3563" t="s">
        <v>167</v>
      </c>
      <c r="D3563">
        <v>0.79</v>
      </c>
      <c r="F3563" t="s">
        <v>2224</v>
      </c>
      <c r="H3563" t="s">
        <v>4426</v>
      </c>
      <c r="I3563" t="s">
        <v>5006</v>
      </c>
      <c r="K3563" t="s">
        <v>5037</v>
      </c>
      <c r="L3563" t="s">
        <v>5039</v>
      </c>
    </row>
    <row r="3564" spans="1:12" x14ac:dyDescent="0.35">
      <c r="A3564" t="s">
        <v>118</v>
      </c>
      <c r="B3564" t="s">
        <v>610</v>
      </c>
      <c r="C3564" t="s">
        <v>1213</v>
      </c>
      <c r="D3564">
        <v>0.53</v>
      </c>
      <c r="F3564" t="s">
        <v>1817</v>
      </c>
      <c r="H3564" t="s">
        <v>4427</v>
      </c>
      <c r="I3564" t="s">
        <v>1858</v>
      </c>
      <c r="K3564" t="s">
        <v>5037</v>
      </c>
      <c r="L3564" t="s">
        <v>5039</v>
      </c>
    </row>
    <row r="3565" spans="1:12" x14ac:dyDescent="0.35">
      <c r="A3565" t="s">
        <v>118</v>
      </c>
      <c r="B3565" t="s">
        <v>317</v>
      </c>
      <c r="C3565" t="s">
        <v>167</v>
      </c>
      <c r="D3565">
        <v>5.8</v>
      </c>
      <c r="F3565" t="s">
        <v>1733</v>
      </c>
      <c r="H3565" t="s">
        <v>4428</v>
      </c>
      <c r="I3565" t="s">
        <v>5007</v>
      </c>
      <c r="K3565" t="s">
        <v>5037</v>
      </c>
      <c r="L3565" t="s">
        <v>5039</v>
      </c>
    </row>
    <row r="3566" spans="1:12" x14ac:dyDescent="0.35">
      <c r="A3566" t="s">
        <v>118</v>
      </c>
      <c r="B3566" t="s">
        <v>317</v>
      </c>
      <c r="C3566" t="s">
        <v>1188</v>
      </c>
      <c r="D3566">
        <v>7.2</v>
      </c>
      <c r="F3566" t="s">
        <v>1853</v>
      </c>
      <c r="H3566" t="s">
        <v>4429</v>
      </c>
      <c r="I3566" t="s">
        <v>5007</v>
      </c>
      <c r="K3566" t="s">
        <v>5037</v>
      </c>
      <c r="L3566" t="s">
        <v>5039</v>
      </c>
    </row>
    <row r="3567" spans="1:12" x14ac:dyDescent="0.35">
      <c r="A3567" t="s">
        <v>118</v>
      </c>
      <c r="B3567" t="s">
        <v>317</v>
      </c>
      <c r="C3567" t="s">
        <v>1188</v>
      </c>
      <c r="D3567">
        <v>29.2</v>
      </c>
      <c r="F3567" t="s">
        <v>2467</v>
      </c>
      <c r="H3567" t="s">
        <v>4430</v>
      </c>
      <c r="I3567" t="s">
        <v>5007</v>
      </c>
      <c r="K3567" t="s">
        <v>5037</v>
      </c>
      <c r="L3567" t="s">
        <v>5039</v>
      </c>
    </row>
    <row r="3568" spans="1:12" x14ac:dyDescent="0.35">
      <c r="A3568" t="s">
        <v>118</v>
      </c>
      <c r="B3568" t="s">
        <v>317</v>
      </c>
      <c r="C3568" t="s">
        <v>167</v>
      </c>
      <c r="D3568">
        <v>0.7</v>
      </c>
      <c r="F3568" t="s">
        <v>1378</v>
      </c>
      <c r="H3568" t="s">
        <v>4431</v>
      </c>
      <c r="I3568" t="s">
        <v>5007</v>
      </c>
      <c r="K3568" t="s">
        <v>5037</v>
      </c>
      <c r="L3568" t="s">
        <v>5039</v>
      </c>
    </row>
    <row r="3569" spans="1:12" x14ac:dyDescent="0.35">
      <c r="A3569" t="s">
        <v>118</v>
      </c>
      <c r="B3569" t="s">
        <v>611</v>
      </c>
      <c r="C3569" t="s">
        <v>167</v>
      </c>
      <c r="D3569">
        <v>0.28499999999999998</v>
      </c>
      <c r="F3569" t="s">
        <v>2468</v>
      </c>
      <c r="H3569" t="s">
        <v>4432</v>
      </c>
      <c r="I3569" t="s">
        <v>4973</v>
      </c>
      <c r="K3569" t="s">
        <v>5037</v>
      </c>
      <c r="L3569" t="s">
        <v>5039</v>
      </c>
    </row>
    <row r="3570" spans="1:12" x14ac:dyDescent="0.35">
      <c r="A3570" t="s">
        <v>118</v>
      </c>
      <c r="B3570" t="s">
        <v>611</v>
      </c>
      <c r="C3570" t="s">
        <v>1188</v>
      </c>
      <c r="D3570">
        <v>0.29299999999999998</v>
      </c>
      <c r="F3570" t="s">
        <v>2469</v>
      </c>
      <c r="H3570" t="s">
        <v>4432</v>
      </c>
      <c r="I3570" t="s">
        <v>4973</v>
      </c>
      <c r="K3570" t="s">
        <v>5037</v>
      </c>
      <c r="L3570" t="s">
        <v>5039</v>
      </c>
    </row>
    <row r="3571" spans="1:12" x14ac:dyDescent="0.35">
      <c r="A3571" t="s">
        <v>118</v>
      </c>
      <c r="B3571" t="s">
        <v>612</v>
      </c>
      <c r="C3571" t="s">
        <v>167</v>
      </c>
      <c r="D3571">
        <v>1.2E-2</v>
      </c>
      <c r="F3571" t="s">
        <v>1280</v>
      </c>
      <c r="H3571" t="s">
        <v>4433</v>
      </c>
      <c r="I3571" t="s">
        <v>4897</v>
      </c>
      <c r="K3571" t="s">
        <v>5037</v>
      </c>
      <c r="L3571" t="s">
        <v>5039</v>
      </c>
    </row>
    <row r="3572" spans="1:12" x14ac:dyDescent="0.35">
      <c r="A3572" t="s">
        <v>118</v>
      </c>
      <c r="B3572" t="s">
        <v>612</v>
      </c>
      <c r="C3572" t="s">
        <v>167</v>
      </c>
      <c r="D3572">
        <v>9.1000000000000004E-3</v>
      </c>
      <c r="F3572" t="s">
        <v>2180</v>
      </c>
      <c r="H3572" t="s">
        <v>4434</v>
      </c>
      <c r="I3572" t="s">
        <v>4897</v>
      </c>
      <c r="K3572" t="s">
        <v>5037</v>
      </c>
      <c r="L3572" t="s">
        <v>5039</v>
      </c>
    </row>
    <row r="3573" spans="1:12" x14ac:dyDescent="0.35">
      <c r="A3573" t="s">
        <v>118</v>
      </c>
      <c r="B3573" t="s">
        <v>612</v>
      </c>
      <c r="C3573" t="s">
        <v>1188</v>
      </c>
      <c r="D3573">
        <v>1.4E-2</v>
      </c>
      <c r="F3573" t="s">
        <v>1550</v>
      </c>
      <c r="H3573" t="s">
        <v>4435</v>
      </c>
      <c r="I3573" t="s">
        <v>4897</v>
      </c>
      <c r="K3573" t="s">
        <v>5037</v>
      </c>
      <c r="L3573" t="s">
        <v>5039</v>
      </c>
    </row>
    <row r="3574" spans="1:12" x14ac:dyDescent="0.35">
      <c r="A3574" t="s">
        <v>118</v>
      </c>
      <c r="B3574" t="s">
        <v>612</v>
      </c>
      <c r="C3574" t="s">
        <v>1188</v>
      </c>
      <c r="D3574">
        <v>1.0999999999999999E-2</v>
      </c>
      <c r="F3574" t="s">
        <v>1612</v>
      </c>
      <c r="H3574" t="s">
        <v>4436</v>
      </c>
      <c r="I3574" t="s">
        <v>4897</v>
      </c>
      <c r="K3574" t="s">
        <v>5037</v>
      </c>
      <c r="L3574" t="s">
        <v>5039</v>
      </c>
    </row>
    <row r="3575" spans="1:12" x14ac:dyDescent="0.35">
      <c r="A3575" t="s">
        <v>118</v>
      </c>
      <c r="B3575" t="s">
        <v>612</v>
      </c>
      <c r="C3575" t="s">
        <v>1188</v>
      </c>
      <c r="D3575">
        <v>3.6999999999999998E-2</v>
      </c>
      <c r="F3575" t="s">
        <v>1534</v>
      </c>
      <c r="H3575" t="s">
        <v>4437</v>
      </c>
      <c r="I3575" t="s">
        <v>4897</v>
      </c>
      <c r="K3575" t="s">
        <v>5037</v>
      </c>
      <c r="L3575" t="s">
        <v>5039</v>
      </c>
    </row>
    <row r="3576" spans="1:12" x14ac:dyDescent="0.35">
      <c r="A3576" t="s">
        <v>118</v>
      </c>
      <c r="B3576" t="s">
        <v>612</v>
      </c>
      <c r="C3576" t="s">
        <v>1188</v>
      </c>
      <c r="D3576">
        <v>2.4E-2</v>
      </c>
      <c r="F3576" t="s">
        <v>1620</v>
      </c>
      <c r="H3576" t="s">
        <v>4438</v>
      </c>
      <c r="I3576" t="s">
        <v>4897</v>
      </c>
      <c r="K3576" t="s">
        <v>5037</v>
      </c>
      <c r="L3576" t="s">
        <v>5039</v>
      </c>
    </row>
    <row r="3577" spans="1:12" x14ac:dyDescent="0.35">
      <c r="A3577" t="s">
        <v>118</v>
      </c>
      <c r="B3577" t="s">
        <v>612</v>
      </c>
      <c r="C3577" t="s">
        <v>1188</v>
      </c>
      <c r="D3577">
        <v>2.5999999999999999E-2</v>
      </c>
      <c r="F3577" t="s">
        <v>1737</v>
      </c>
      <c r="H3577" t="s">
        <v>4439</v>
      </c>
      <c r="I3577" t="s">
        <v>4897</v>
      </c>
      <c r="K3577" t="s">
        <v>5037</v>
      </c>
      <c r="L3577" t="s">
        <v>5039</v>
      </c>
    </row>
    <row r="3578" spans="1:12" x14ac:dyDescent="0.35">
      <c r="A3578" t="s">
        <v>118</v>
      </c>
      <c r="B3578" t="s">
        <v>612</v>
      </c>
      <c r="C3578" t="s">
        <v>1188</v>
      </c>
      <c r="D3578">
        <v>6.0999999999999999E-2</v>
      </c>
      <c r="F3578" t="s">
        <v>1646</v>
      </c>
      <c r="H3578" t="s">
        <v>4440</v>
      </c>
      <c r="I3578" t="s">
        <v>4897</v>
      </c>
      <c r="K3578" t="s">
        <v>5037</v>
      </c>
      <c r="L3578" t="s">
        <v>5039</v>
      </c>
    </row>
    <row r="3579" spans="1:12" x14ac:dyDescent="0.35">
      <c r="A3579" t="s">
        <v>118</v>
      </c>
      <c r="B3579" t="s">
        <v>612</v>
      </c>
      <c r="C3579" t="s">
        <v>167</v>
      </c>
      <c r="D3579">
        <v>5.4000000000000003E-3</v>
      </c>
      <c r="F3579" t="s">
        <v>1386</v>
      </c>
      <c r="H3579" t="s">
        <v>4441</v>
      </c>
      <c r="I3579" t="s">
        <v>4897</v>
      </c>
      <c r="K3579" t="s">
        <v>5037</v>
      </c>
      <c r="L3579" t="s">
        <v>5039</v>
      </c>
    </row>
    <row r="3580" spans="1:12" x14ac:dyDescent="0.35">
      <c r="A3580" t="s">
        <v>118</v>
      </c>
      <c r="B3580" t="s">
        <v>612</v>
      </c>
      <c r="C3580" t="s">
        <v>167</v>
      </c>
      <c r="D3580">
        <v>6.4000000000000001E-2</v>
      </c>
      <c r="F3580" t="s">
        <v>1827</v>
      </c>
      <c r="H3580" t="s">
        <v>4442</v>
      </c>
      <c r="I3580" t="s">
        <v>4897</v>
      </c>
      <c r="K3580" t="s">
        <v>5037</v>
      </c>
      <c r="L3580" t="s">
        <v>5039</v>
      </c>
    </row>
    <row r="3581" spans="1:12" x14ac:dyDescent="0.35">
      <c r="A3581" t="s">
        <v>118</v>
      </c>
      <c r="B3581" t="s">
        <v>612</v>
      </c>
      <c r="C3581" t="s">
        <v>1188</v>
      </c>
      <c r="D3581">
        <v>5.8000000000000003E-2</v>
      </c>
      <c r="F3581" t="s">
        <v>1577</v>
      </c>
      <c r="H3581" t="s">
        <v>4443</v>
      </c>
      <c r="I3581" t="s">
        <v>4897</v>
      </c>
      <c r="K3581" t="s">
        <v>5037</v>
      </c>
      <c r="L3581" t="s">
        <v>5039</v>
      </c>
    </row>
    <row r="3582" spans="1:12" x14ac:dyDescent="0.35">
      <c r="A3582" t="s">
        <v>118</v>
      </c>
      <c r="B3582" t="s">
        <v>612</v>
      </c>
      <c r="C3582" t="s">
        <v>167</v>
      </c>
      <c r="D3582">
        <v>1.7500000000000002E-2</v>
      </c>
      <c r="F3582" t="s">
        <v>2470</v>
      </c>
      <c r="H3582" t="s">
        <v>4444</v>
      </c>
      <c r="I3582" t="s">
        <v>4897</v>
      </c>
      <c r="K3582" t="s">
        <v>5037</v>
      </c>
      <c r="L3582" t="s">
        <v>5039</v>
      </c>
    </row>
    <row r="3583" spans="1:12" x14ac:dyDescent="0.35">
      <c r="A3583" t="s">
        <v>118</v>
      </c>
      <c r="B3583" t="s">
        <v>612</v>
      </c>
      <c r="C3583" t="s">
        <v>167</v>
      </c>
      <c r="D3583">
        <v>0.15</v>
      </c>
      <c r="F3583" t="s">
        <v>1269</v>
      </c>
      <c r="H3583" t="s">
        <v>4445</v>
      </c>
      <c r="I3583" t="s">
        <v>4897</v>
      </c>
      <c r="K3583" t="s">
        <v>5037</v>
      </c>
      <c r="L3583" t="s">
        <v>5039</v>
      </c>
    </row>
    <row r="3584" spans="1:12" x14ac:dyDescent="0.35">
      <c r="A3584" t="s">
        <v>118</v>
      </c>
      <c r="B3584" t="s">
        <v>613</v>
      </c>
      <c r="C3584" t="s">
        <v>167</v>
      </c>
      <c r="D3584">
        <v>0.16300000000000001</v>
      </c>
      <c r="F3584" t="s">
        <v>2058</v>
      </c>
      <c r="H3584" t="s">
        <v>4446</v>
      </c>
      <c r="I3584" t="s">
        <v>4956</v>
      </c>
      <c r="K3584" t="s">
        <v>5037</v>
      </c>
      <c r="L3584" t="s">
        <v>5039</v>
      </c>
    </row>
    <row r="3585" spans="1:12" x14ac:dyDescent="0.35">
      <c r="A3585" t="s">
        <v>118</v>
      </c>
      <c r="B3585" t="s">
        <v>613</v>
      </c>
      <c r="C3585" t="s">
        <v>1188</v>
      </c>
      <c r="D3585">
        <v>0.54700000000000004</v>
      </c>
      <c r="F3585" t="s">
        <v>2471</v>
      </c>
      <c r="H3585" t="s">
        <v>4446</v>
      </c>
      <c r="I3585" t="s">
        <v>4956</v>
      </c>
      <c r="K3585" t="s">
        <v>5037</v>
      </c>
      <c r="L3585" t="s">
        <v>5039</v>
      </c>
    </row>
    <row r="3586" spans="1:12" x14ac:dyDescent="0.35">
      <c r="A3586" t="s">
        <v>118</v>
      </c>
      <c r="B3586" t="s">
        <v>614</v>
      </c>
      <c r="C3586" t="s">
        <v>167</v>
      </c>
      <c r="D3586">
        <v>0.87</v>
      </c>
      <c r="F3586" t="s">
        <v>1897</v>
      </c>
      <c r="H3586" t="s">
        <v>4447</v>
      </c>
      <c r="I3586" t="s">
        <v>5008</v>
      </c>
      <c r="K3586" t="s">
        <v>5037</v>
      </c>
      <c r="L3586" t="s">
        <v>5039</v>
      </c>
    </row>
    <row r="3587" spans="1:12" x14ac:dyDescent="0.35">
      <c r="A3587" t="s">
        <v>118</v>
      </c>
      <c r="B3587" t="s">
        <v>614</v>
      </c>
      <c r="C3587" t="s">
        <v>167</v>
      </c>
      <c r="D3587">
        <v>1.33</v>
      </c>
      <c r="F3587" t="s">
        <v>1443</v>
      </c>
      <c r="H3587" t="s">
        <v>4448</v>
      </c>
      <c r="I3587" t="s">
        <v>5008</v>
      </c>
      <c r="K3587" t="s">
        <v>5037</v>
      </c>
      <c r="L3587" t="s">
        <v>5039</v>
      </c>
    </row>
    <row r="3588" spans="1:12" x14ac:dyDescent="0.35">
      <c r="A3588" t="s">
        <v>118</v>
      </c>
      <c r="B3588" t="s">
        <v>614</v>
      </c>
      <c r="C3588" t="s">
        <v>1188</v>
      </c>
      <c r="D3588">
        <v>1.82</v>
      </c>
      <c r="F3588" t="s">
        <v>1661</v>
      </c>
      <c r="H3588" t="s">
        <v>4449</v>
      </c>
      <c r="I3588" t="s">
        <v>5008</v>
      </c>
      <c r="K3588" t="s">
        <v>5037</v>
      </c>
      <c r="L3588" t="s">
        <v>5039</v>
      </c>
    </row>
    <row r="3589" spans="1:12" x14ac:dyDescent="0.35">
      <c r="A3589" t="s">
        <v>118</v>
      </c>
      <c r="B3589" t="s">
        <v>614</v>
      </c>
      <c r="C3589" t="s">
        <v>1188</v>
      </c>
      <c r="D3589">
        <v>5.01</v>
      </c>
      <c r="F3589" t="s">
        <v>2304</v>
      </c>
      <c r="H3589" t="s">
        <v>4450</v>
      </c>
      <c r="I3589" t="s">
        <v>5008</v>
      </c>
      <c r="K3589" t="s">
        <v>5037</v>
      </c>
      <c r="L3589" t="s">
        <v>5039</v>
      </c>
    </row>
    <row r="3590" spans="1:12" x14ac:dyDescent="0.35">
      <c r="A3590" t="s">
        <v>118</v>
      </c>
      <c r="B3590" t="s">
        <v>473</v>
      </c>
      <c r="C3590" t="s">
        <v>167</v>
      </c>
      <c r="D3590">
        <v>0.1</v>
      </c>
      <c r="F3590" t="s">
        <v>1309</v>
      </c>
      <c r="H3590" t="s">
        <v>4451</v>
      </c>
      <c r="I3590" t="s">
        <v>1841</v>
      </c>
      <c r="K3590" t="s">
        <v>5037</v>
      </c>
      <c r="L3590" t="s">
        <v>5039</v>
      </c>
    </row>
    <row r="3591" spans="1:12" x14ac:dyDescent="0.35">
      <c r="A3591" t="s">
        <v>118</v>
      </c>
      <c r="B3591" t="s">
        <v>473</v>
      </c>
      <c r="C3591" t="s">
        <v>1188</v>
      </c>
      <c r="D3591">
        <v>0.55000000000000004</v>
      </c>
      <c r="F3591" t="s">
        <v>1432</v>
      </c>
      <c r="H3591" t="s">
        <v>4451</v>
      </c>
      <c r="I3591" t="s">
        <v>1841</v>
      </c>
      <c r="K3591" t="s">
        <v>5037</v>
      </c>
      <c r="L3591" t="s">
        <v>5039</v>
      </c>
    </row>
    <row r="3592" spans="1:12" x14ac:dyDescent="0.35">
      <c r="A3592" t="s">
        <v>118</v>
      </c>
      <c r="B3592" t="s">
        <v>473</v>
      </c>
      <c r="C3592" t="s">
        <v>1214</v>
      </c>
      <c r="D3592">
        <v>1.3</v>
      </c>
      <c r="F3592" t="s">
        <v>1358</v>
      </c>
      <c r="H3592" t="s">
        <v>4452</v>
      </c>
      <c r="I3592" t="s">
        <v>1841</v>
      </c>
      <c r="K3592" t="s">
        <v>5037</v>
      </c>
      <c r="L3592" t="s">
        <v>5039</v>
      </c>
    </row>
    <row r="3593" spans="1:12" x14ac:dyDescent="0.35">
      <c r="A3593" t="s">
        <v>118</v>
      </c>
      <c r="B3593" t="s">
        <v>473</v>
      </c>
      <c r="C3593" t="s">
        <v>1215</v>
      </c>
      <c r="D3593">
        <v>2</v>
      </c>
      <c r="F3593" t="s">
        <v>1372</v>
      </c>
      <c r="H3593" t="s">
        <v>4452</v>
      </c>
      <c r="I3593" t="s">
        <v>1841</v>
      </c>
      <c r="K3593" t="s">
        <v>5037</v>
      </c>
      <c r="L3593" t="s">
        <v>5039</v>
      </c>
    </row>
    <row r="3594" spans="1:12" x14ac:dyDescent="0.35">
      <c r="A3594" t="s">
        <v>118</v>
      </c>
      <c r="B3594" t="s">
        <v>473</v>
      </c>
      <c r="C3594" t="s">
        <v>1188</v>
      </c>
      <c r="D3594">
        <v>1.8</v>
      </c>
      <c r="F3594" t="s">
        <v>1375</v>
      </c>
      <c r="H3594" t="s">
        <v>4453</v>
      </c>
      <c r="I3594" t="s">
        <v>1450</v>
      </c>
      <c r="K3594" t="s">
        <v>5037</v>
      </c>
      <c r="L3594" t="s">
        <v>5039</v>
      </c>
    </row>
    <row r="3595" spans="1:12" x14ac:dyDescent="0.35">
      <c r="A3595" t="s">
        <v>118</v>
      </c>
      <c r="B3595" t="s">
        <v>473</v>
      </c>
      <c r="C3595" t="s">
        <v>1188</v>
      </c>
      <c r="D3595">
        <v>1.41</v>
      </c>
      <c r="F3595" t="s">
        <v>1906</v>
      </c>
      <c r="H3595" t="s">
        <v>4454</v>
      </c>
      <c r="I3595" t="s">
        <v>1450</v>
      </c>
      <c r="K3595" t="s">
        <v>5037</v>
      </c>
      <c r="L3595" t="s">
        <v>5039</v>
      </c>
    </row>
    <row r="3596" spans="1:12" x14ac:dyDescent="0.35">
      <c r="A3596" t="s">
        <v>118</v>
      </c>
      <c r="B3596" t="s">
        <v>473</v>
      </c>
      <c r="C3596" t="s">
        <v>1188</v>
      </c>
      <c r="D3596">
        <v>0.74470000000000003</v>
      </c>
      <c r="F3596" t="s">
        <v>2472</v>
      </c>
      <c r="I3596" t="s">
        <v>4955</v>
      </c>
      <c r="K3596" t="s">
        <v>5037</v>
      </c>
      <c r="L3596" t="s">
        <v>5039</v>
      </c>
    </row>
    <row r="3597" spans="1:12" x14ac:dyDescent="0.35">
      <c r="A3597" t="s">
        <v>118</v>
      </c>
      <c r="B3597" t="s">
        <v>473</v>
      </c>
      <c r="C3597" t="s">
        <v>167</v>
      </c>
      <c r="D3597">
        <v>0.32569999999999999</v>
      </c>
      <c r="F3597" t="s">
        <v>2473</v>
      </c>
      <c r="I3597" t="s">
        <v>4955</v>
      </c>
      <c r="K3597" t="s">
        <v>5037</v>
      </c>
      <c r="L3597" t="s">
        <v>5039</v>
      </c>
    </row>
    <row r="3598" spans="1:12" x14ac:dyDescent="0.35">
      <c r="A3598" t="s">
        <v>118</v>
      </c>
      <c r="B3598" t="s">
        <v>473</v>
      </c>
      <c r="C3598" t="s">
        <v>167</v>
      </c>
      <c r="D3598">
        <v>0.16</v>
      </c>
      <c r="F3598" t="s">
        <v>1573</v>
      </c>
      <c r="H3598" t="s">
        <v>4455</v>
      </c>
      <c r="I3598" t="s">
        <v>1841</v>
      </c>
      <c r="K3598" t="s">
        <v>5037</v>
      </c>
      <c r="L3598" t="s">
        <v>5039</v>
      </c>
    </row>
    <row r="3599" spans="1:12" x14ac:dyDescent="0.35">
      <c r="A3599" t="s">
        <v>118</v>
      </c>
      <c r="B3599" t="s">
        <v>615</v>
      </c>
      <c r="C3599" t="s">
        <v>1188</v>
      </c>
      <c r="D3599">
        <v>1.59</v>
      </c>
      <c r="F3599" t="s">
        <v>2474</v>
      </c>
      <c r="H3599" t="s">
        <v>4456</v>
      </c>
      <c r="I3599" t="s">
        <v>5009</v>
      </c>
      <c r="K3599" t="s">
        <v>5037</v>
      </c>
      <c r="L3599" t="s">
        <v>5039</v>
      </c>
    </row>
    <row r="3600" spans="1:12" x14ac:dyDescent="0.35">
      <c r="A3600" t="s">
        <v>118</v>
      </c>
      <c r="B3600" t="s">
        <v>615</v>
      </c>
      <c r="C3600" t="s">
        <v>167</v>
      </c>
      <c r="D3600">
        <v>0.53</v>
      </c>
      <c r="F3600" t="s">
        <v>1817</v>
      </c>
      <c r="H3600" t="s">
        <v>4457</v>
      </c>
      <c r="I3600" t="s">
        <v>5001</v>
      </c>
      <c r="K3600" t="s">
        <v>5037</v>
      </c>
      <c r="L3600" t="s">
        <v>5039</v>
      </c>
    </row>
    <row r="3601" spans="1:12" x14ac:dyDescent="0.35">
      <c r="A3601" t="s">
        <v>118</v>
      </c>
      <c r="B3601" t="s">
        <v>458</v>
      </c>
      <c r="C3601" t="s">
        <v>1188</v>
      </c>
      <c r="D3601">
        <v>2.67</v>
      </c>
      <c r="F3601" t="s">
        <v>2475</v>
      </c>
      <c r="I3601" t="s">
        <v>4867</v>
      </c>
      <c r="K3601" t="s">
        <v>5037</v>
      </c>
      <c r="L3601" t="s">
        <v>5039</v>
      </c>
    </row>
    <row r="3602" spans="1:12" x14ac:dyDescent="0.35">
      <c r="A3602" t="s">
        <v>118</v>
      </c>
      <c r="B3602" t="s">
        <v>616</v>
      </c>
      <c r="C3602" t="s">
        <v>167</v>
      </c>
      <c r="D3602">
        <v>0.43</v>
      </c>
      <c r="F3602" t="s">
        <v>1441</v>
      </c>
      <c r="I3602" t="s">
        <v>4867</v>
      </c>
      <c r="K3602" t="s">
        <v>5037</v>
      </c>
      <c r="L3602" t="s">
        <v>5039</v>
      </c>
    </row>
    <row r="3603" spans="1:12" x14ac:dyDescent="0.35">
      <c r="A3603" t="s">
        <v>118</v>
      </c>
      <c r="B3603" t="s">
        <v>616</v>
      </c>
      <c r="C3603" t="s">
        <v>1188</v>
      </c>
      <c r="D3603">
        <v>2.68</v>
      </c>
      <c r="F3603" t="s">
        <v>1769</v>
      </c>
      <c r="I3603" t="s">
        <v>4867</v>
      </c>
      <c r="K3603" t="s">
        <v>5037</v>
      </c>
      <c r="L3603" t="s">
        <v>5039</v>
      </c>
    </row>
    <row r="3604" spans="1:12" x14ac:dyDescent="0.35">
      <c r="A3604" t="s">
        <v>118</v>
      </c>
      <c r="B3604" t="s">
        <v>377</v>
      </c>
      <c r="C3604" t="s">
        <v>1188</v>
      </c>
      <c r="D3604">
        <v>2</v>
      </c>
      <c r="F3604" t="s">
        <v>1372</v>
      </c>
      <c r="H3604" t="s">
        <v>4458</v>
      </c>
      <c r="I3604" t="s">
        <v>4867</v>
      </c>
      <c r="K3604" t="s">
        <v>5037</v>
      </c>
      <c r="L3604" t="s">
        <v>5039</v>
      </c>
    </row>
    <row r="3605" spans="1:12" x14ac:dyDescent="0.35">
      <c r="A3605" t="s">
        <v>118</v>
      </c>
      <c r="B3605" t="s">
        <v>617</v>
      </c>
      <c r="C3605" t="s">
        <v>1188</v>
      </c>
      <c r="D3605">
        <v>0.21</v>
      </c>
      <c r="F3605" t="s">
        <v>1572</v>
      </c>
      <c r="H3605" t="s">
        <v>4459</v>
      </c>
      <c r="I3605" t="s">
        <v>2333</v>
      </c>
      <c r="K3605" t="s">
        <v>5037</v>
      </c>
      <c r="L3605" t="s">
        <v>5039</v>
      </c>
    </row>
    <row r="3606" spans="1:12" x14ac:dyDescent="0.35">
      <c r="A3606" t="s">
        <v>118</v>
      </c>
      <c r="B3606" t="s">
        <v>617</v>
      </c>
      <c r="C3606" t="s">
        <v>167</v>
      </c>
      <c r="D3606">
        <v>0.49</v>
      </c>
      <c r="F3606" t="s">
        <v>1724</v>
      </c>
      <c r="H3606" t="s">
        <v>4460</v>
      </c>
      <c r="I3606" t="s">
        <v>4889</v>
      </c>
      <c r="K3606" t="s">
        <v>5037</v>
      </c>
      <c r="L3606" t="s">
        <v>5039</v>
      </c>
    </row>
    <row r="3607" spans="1:12" x14ac:dyDescent="0.35">
      <c r="A3607" t="s">
        <v>118</v>
      </c>
      <c r="B3607" t="s">
        <v>617</v>
      </c>
      <c r="C3607" t="s">
        <v>167</v>
      </c>
      <c r="D3607">
        <v>2.7</v>
      </c>
      <c r="F3607" t="s">
        <v>1557</v>
      </c>
      <c r="H3607" t="s">
        <v>4461</v>
      </c>
      <c r="I3607" t="s">
        <v>2333</v>
      </c>
      <c r="K3607" t="s">
        <v>5037</v>
      </c>
      <c r="L3607" t="s">
        <v>5039</v>
      </c>
    </row>
    <row r="3608" spans="1:12" x14ac:dyDescent="0.35">
      <c r="A3608" t="s">
        <v>118</v>
      </c>
      <c r="B3608" t="s">
        <v>617</v>
      </c>
      <c r="C3608" t="s">
        <v>167</v>
      </c>
      <c r="D3608">
        <v>0.52</v>
      </c>
      <c r="F3608" t="s">
        <v>2037</v>
      </c>
      <c r="H3608" t="s">
        <v>4462</v>
      </c>
      <c r="I3608" t="s">
        <v>2333</v>
      </c>
      <c r="K3608" t="s">
        <v>5037</v>
      </c>
      <c r="L3608" t="s">
        <v>5039</v>
      </c>
    </row>
    <row r="3609" spans="1:12" x14ac:dyDescent="0.35">
      <c r="A3609" t="s">
        <v>118</v>
      </c>
      <c r="B3609" t="s">
        <v>617</v>
      </c>
      <c r="C3609" t="s">
        <v>1188</v>
      </c>
      <c r="D3609">
        <v>1.22</v>
      </c>
      <c r="F3609" t="s">
        <v>1959</v>
      </c>
      <c r="H3609" t="s">
        <v>4463</v>
      </c>
      <c r="I3609" t="s">
        <v>2333</v>
      </c>
      <c r="K3609" t="s">
        <v>5037</v>
      </c>
      <c r="L3609" t="s">
        <v>5039</v>
      </c>
    </row>
    <row r="3610" spans="1:12" x14ac:dyDescent="0.35">
      <c r="A3610" t="s">
        <v>118</v>
      </c>
      <c r="B3610" t="s">
        <v>617</v>
      </c>
      <c r="C3610" t="s">
        <v>1188</v>
      </c>
      <c r="D3610">
        <v>1.39</v>
      </c>
      <c r="F3610" t="s">
        <v>2294</v>
      </c>
      <c r="H3610" t="s">
        <v>4464</v>
      </c>
      <c r="I3610" t="s">
        <v>2333</v>
      </c>
      <c r="K3610" t="s">
        <v>5037</v>
      </c>
      <c r="L3610" t="s">
        <v>5039</v>
      </c>
    </row>
    <row r="3611" spans="1:12" x14ac:dyDescent="0.35">
      <c r="A3611" t="s">
        <v>118</v>
      </c>
      <c r="B3611" t="s">
        <v>617</v>
      </c>
      <c r="C3611" t="s">
        <v>1216</v>
      </c>
      <c r="D3611">
        <v>2.4300000000000002</v>
      </c>
      <c r="F3611" t="s">
        <v>2476</v>
      </c>
      <c r="I3611" t="s">
        <v>4891</v>
      </c>
      <c r="K3611" t="s">
        <v>5037</v>
      </c>
      <c r="L3611" t="s">
        <v>5039</v>
      </c>
    </row>
    <row r="3612" spans="1:12" x14ac:dyDescent="0.35">
      <c r="A3612" t="s">
        <v>118</v>
      </c>
      <c r="B3612" t="s">
        <v>617</v>
      </c>
      <c r="C3612" t="s">
        <v>1217</v>
      </c>
      <c r="D3612">
        <v>4.3499999999999996</v>
      </c>
      <c r="F3612" t="s">
        <v>2477</v>
      </c>
      <c r="I3612" t="s">
        <v>4891</v>
      </c>
      <c r="K3612" t="s">
        <v>5037</v>
      </c>
      <c r="L3612" t="s">
        <v>5039</v>
      </c>
    </row>
    <row r="3613" spans="1:12" x14ac:dyDescent="0.35">
      <c r="A3613" t="s">
        <v>118</v>
      </c>
      <c r="B3613" t="s">
        <v>617</v>
      </c>
      <c r="C3613" t="s">
        <v>167</v>
      </c>
      <c r="D3613">
        <v>2.33</v>
      </c>
      <c r="F3613" t="s">
        <v>2478</v>
      </c>
      <c r="H3613" t="s">
        <v>4465</v>
      </c>
      <c r="I3613" t="s">
        <v>2333</v>
      </c>
      <c r="K3613" t="s">
        <v>5037</v>
      </c>
      <c r="L3613" t="s">
        <v>5039</v>
      </c>
    </row>
    <row r="3614" spans="1:12" x14ac:dyDescent="0.35">
      <c r="A3614" t="s">
        <v>118</v>
      </c>
      <c r="B3614" t="s">
        <v>617</v>
      </c>
      <c r="C3614" t="s">
        <v>1188</v>
      </c>
      <c r="D3614">
        <v>0.49399999999999999</v>
      </c>
      <c r="F3614" t="s">
        <v>2479</v>
      </c>
      <c r="H3614" t="s">
        <v>4460</v>
      </c>
      <c r="I3614" t="s">
        <v>4889</v>
      </c>
      <c r="K3614" t="s">
        <v>5037</v>
      </c>
      <c r="L3614" t="s">
        <v>5039</v>
      </c>
    </row>
    <row r="3615" spans="1:12" x14ac:dyDescent="0.35">
      <c r="A3615" t="s">
        <v>118</v>
      </c>
      <c r="B3615" t="s">
        <v>617</v>
      </c>
      <c r="C3615" t="s">
        <v>167</v>
      </c>
      <c r="D3615">
        <v>0.68</v>
      </c>
      <c r="F3615" t="s">
        <v>1735</v>
      </c>
      <c r="H3615" t="s">
        <v>4466</v>
      </c>
      <c r="I3615" t="s">
        <v>5010</v>
      </c>
      <c r="K3615" t="s">
        <v>5037</v>
      </c>
      <c r="L3615" t="s">
        <v>5039</v>
      </c>
    </row>
    <row r="3616" spans="1:12" x14ac:dyDescent="0.35">
      <c r="A3616" t="s">
        <v>118</v>
      </c>
      <c r="B3616" t="s">
        <v>617</v>
      </c>
      <c r="C3616" t="s">
        <v>1213</v>
      </c>
      <c r="D3616">
        <v>0.14000000000000001</v>
      </c>
      <c r="F3616" t="s">
        <v>1361</v>
      </c>
      <c r="H3616" t="s">
        <v>4467</v>
      </c>
      <c r="I3616" t="s">
        <v>4968</v>
      </c>
      <c r="K3616" t="s">
        <v>5037</v>
      </c>
      <c r="L3616" t="s">
        <v>5039</v>
      </c>
    </row>
    <row r="3617" spans="1:12" x14ac:dyDescent="0.35">
      <c r="A3617" t="s">
        <v>118</v>
      </c>
      <c r="B3617" t="s">
        <v>617</v>
      </c>
      <c r="C3617" t="s">
        <v>1188</v>
      </c>
      <c r="D3617">
        <v>0.48</v>
      </c>
      <c r="F3617" t="s">
        <v>1508</v>
      </c>
      <c r="H3617" t="s">
        <v>4468</v>
      </c>
      <c r="I3617" t="s">
        <v>2333</v>
      </c>
      <c r="K3617" t="s">
        <v>5037</v>
      </c>
      <c r="L3617" t="s">
        <v>5039</v>
      </c>
    </row>
    <row r="3618" spans="1:12" x14ac:dyDescent="0.35">
      <c r="A3618" t="s">
        <v>118</v>
      </c>
      <c r="B3618" t="s">
        <v>617</v>
      </c>
      <c r="C3618" t="s">
        <v>167</v>
      </c>
      <c r="D3618">
        <v>1.19</v>
      </c>
      <c r="F3618" t="s">
        <v>2480</v>
      </c>
      <c r="H3618" t="s">
        <v>4469</v>
      </c>
      <c r="I3618" t="s">
        <v>2333</v>
      </c>
      <c r="K3618" t="s">
        <v>5037</v>
      </c>
      <c r="L3618" t="s">
        <v>5039</v>
      </c>
    </row>
    <row r="3619" spans="1:12" x14ac:dyDescent="0.35">
      <c r="A3619" t="s">
        <v>118</v>
      </c>
      <c r="B3619" t="s">
        <v>618</v>
      </c>
      <c r="C3619" t="s">
        <v>167</v>
      </c>
      <c r="D3619">
        <v>3.11</v>
      </c>
      <c r="F3619" t="s">
        <v>2481</v>
      </c>
      <c r="H3619" t="s">
        <v>4470</v>
      </c>
      <c r="I3619" t="s">
        <v>4952</v>
      </c>
      <c r="K3619" t="s">
        <v>5037</v>
      </c>
      <c r="L3619" t="s">
        <v>5039</v>
      </c>
    </row>
    <row r="3620" spans="1:12" x14ac:dyDescent="0.35">
      <c r="A3620" t="s">
        <v>118</v>
      </c>
      <c r="B3620" t="s">
        <v>619</v>
      </c>
      <c r="C3620" t="s">
        <v>167</v>
      </c>
      <c r="D3620">
        <v>0.9</v>
      </c>
      <c r="F3620" t="s">
        <v>1556</v>
      </c>
      <c r="I3620" t="s">
        <v>4867</v>
      </c>
      <c r="K3620" t="s">
        <v>5037</v>
      </c>
      <c r="L3620" t="s">
        <v>5039</v>
      </c>
    </row>
    <row r="3621" spans="1:12" x14ac:dyDescent="0.35">
      <c r="A3621" t="s">
        <v>118</v>
      </c>
      <c r="B3621" t="s">
        <v>619</v>
      </c>
      <c r="C3621" t="s">
        <v>1188</v>
      </c>
      <c r="D3621">
        <v>1.06</v>
      </c>
      <c r="F3621" t="s">
        <v>1758</v>
      </c>
      <c r="H3621" t="s">
        <v>4471</v>
      </c>
      <c r="I3621" t="s">
        <v>4916</v>
      </c>
      <c r="K3621" t="s">
        <v>5037</v>
      </c>
      <c r="L3621" t="s">
        <v>5039</v>
      </c>
    </row>
    <row r="3622" spans="1:12" x14ac:dyDescent="0.35">
      <c r="A3622" t="s">
        <v>118</v>
      </c>
      <c r="B3622" t="s">
        <v>620</v>
      </c>
      <c r="C3622" t="s">
        <v>1216</v>
      </c>
      <c r="D3622">
        <v>0.1</v>
      </c>
      <c r="F3622" t="s">
        <v>1309</v>
      </c>
      <c r="H3622" t="s">
        <v>4472</v>
      </c>
      <c r="I3622" t="s">
        <v>4865</v>
      </c>
      <c r="K3622" t="s">
        <v>5037</v>
      </c>
      <c r="L3622" t="s">
        <v>5039</v>
      </c>
    </row>
    <row r="3623" spans="1:12" x14ac:dyDescent="0.35">
      <c r="A3623" t="s">
        <v>118</v>
      </c>
      <c r="B3623" t="s">
        <v>620</v>
      </c>
      <c r="C3623" t="s">
        <v>167</v>
      </c>
      <c r="D3623">
        <v>0.6</v>
      </c>
      <c r="F3623" t="s">
        <v>1519</v>
      </c>
      <c r="H3623" t="s">
        <v>4473</v>
      </c>
      <c r="I3623" t="s">
        <v>4865</v>
      </c>
      <c r="K3623" t="s">
        <v>5037</v>
      </c>
      <c r="L3623" t="s">
        <v>5039</v>
      </c>
    </row>
    <row r="3624" spans="1:12" x14ac:dyDescent="0.35">
      <c r="A3624" t="s">
        <v>118</v>
      </c>
      <c r="B3624" t="s">
        <v>620</v>
      </c>
      <c r="C3624" t="s">
        <v>1216</v>
      </c>
      <c r="D3624">
        <v>3.2000000000000001E-2</v>
      </c>
      <c r="F3624" t="s">
        <v>1314</v>
      </c>
      <c r="H3624" t="s">
        <v>4474</v>
      </c>
      <c r="I3624" t="s">
        <v>4865</v>
      </c>
      <c r="K3624" t="s">
        <v>5037</v>
      </c>
      <c r="L3624" t="s">
        <v>5039</v>
      </c>
    </row>
    <row r="3625" spans="1:12" x14ac:dyDescent="0.35">
      <c r="A3625" t="s">
        <v>118</v>
      </c>
      <c r="B3625" t="s">
        <v>620</v>
      </c>
      <c r="C3625" t="s">
        <v>1216</v>
      </c>
      <c r="D3625">
        <v>6.5000000000000002E-2</v>
      </c>
      <c r="F3625" t="s">
        <v>1455</v>
      </c>
      <c r="H3625" t="s">
        <v>4475</v>
      </c>
      <c r="I3625" t="s">
        <v>4865</v>
      </c>
      <c r="K3625" t="s">
        <v>5037</v>
      </c>
      <c r="L3625" t="s">
        <v>5039</v>
      </c>
    </row>
    <row r="3626" spans="1:12" x14ac:dyDescent="0.35">
      <c r="A3626" t="s">
        <v>118</v>
      </c>
      <c r="B3626" t="s">
        <v>620</v>
      </c>
      <c r="C3626" t="s">
        <v>1188</v>
      </c>
      <c r="D3626">
        <v>0.45</v>
      </c>
      <c r="F3626" t="s">
        <v>1316</v>
      </c>
      <c r="H3626" t="s">
        <v>4476</v>
      </c>
      <c r="I3626" t="s">
        <v>4865</v>
      </c>
      <c r="K3626" t="s">
        <v>5037</v>
      </c>
      <c r="L3626" t="s">
        <v>5039</v>
      </c>
    </row>
    <row r="3627" spans="1:12" x14ac:dyDescent="0.35">
      <c r="A3627" t="s">
        <v>118</v>
      </c>
      <c r="B3627" t="s">
        <v>620</v>
      </c>
      <c r="C3627" t="s">
        <v>167</v>
      </c>
      <c r="D3627">
        <v>0.67</v>
      </c>
      <c r="F3627" t="s">
        <v>1478</v>
      </c>
      <c r="H3627" t="s">
        <v>4477</v>
      </c>
      <c r="I3627" t="s">
        <v>4865</v>
      </c>
      <c r="K3627" t="s">
        <v>5037</v>
      </c>
      <c r="L3627" t="s">
        <v>5039</v>
      </c>
    </row>
    <row r="3628" spans="1:12" x14ac:dyDescent="0.35">
      <c r="A3628" t="s">
        <v>118</v>
      </c>
      <c r="B3628" t="s">
        <v>620</v>
      </c>
      <c r="C3628" t="s">
        <v>1216</v>
      </c>
      <c r="D3628">
        <v>0.01</v>
      </c>
      <c r="F3628" t="s">
        <v>1376</v>
      </c>
      <c r="H3628" t="s">
        <v>4478</v>
      </c>
      <c r="I3628" t="s">
        <v>4865</v>
      </c>
      <c r="K3628" t="s">
        <v>5037</v>
      </c>
      <c r="L3628" t="s">
        <v>5039</v>
      </c>
    </row>
    <row r="3629" spans="1:12" x14ac:dyDescent="0.35">
      <c r="A3629" t="s">
        <v>118</v>
      </c>
      <c r="B3629" t="s">
        <v>620</v>
      </c>
      <c r="C3629" t="s">
        <v>167</v>
      </c>
      <c r="D3629">
        <v>0.62</v>
      </c>
      <c r="F3629" t="s">
        <v>1635</v>
      </c>
      <c r="H3629" t="s">
        <v>4479</v>
      </c>
      <c r="I3629" t="s">
        <v>4865</v>
      </c>
      <c r="K3629" t="s">
        <v>5037</v>
      </c>
      <c r="L3629" t="s">
        <v>5039</v>
      </c>
    </row>
    <row r="3630" spans="1:12" x14ac:dyDescent="0.35">
      <c r="A3630" t="s">
        <v>118</v>
      </c>
      <c r="B3630" t="s">
        <v>620</v>
      </c>
      <c r="C3630" t="s">
        <v>1216</v>
      </c>
      <c r="D3630">
        <v>3.6999999999999998E-2</v>
      </c>
      <c r="F3630" t="s">
        <v>1534</v>
      </c>
      <c r="H3630" t="s">
        <v>4480</v>
      </c>
      <c r="I3630" t="s">
        <v>4865</v>
      </c>
      <c r="K3630" t="s">
        <v>5037</v>
      </c>
      <c r="L3630" t="s">
        <v>5039</v>
      </c>
    </row>
    <row r="3631" spans="1:12" x14ac:dyDescent="0.35">
      <c r="A3631" t="s">
        <v>118</v>
      </c>
      <c r="B3631" t="s">
        <v>620</v>
      </c>
      <c r="C3631" t="s">
        <v>167</v>
      </c>
      <c r="D3631">
        <v>0.38</v>
      </c>
      <c r="F3631" t="s">
        <v>1624</v>
      </c>
      <c r="H3631" t="s">
        <v>4481</v>
      </c>
      <c r="I3631" t="s">
        <v>4865</v>
      </c>
      <c r="K3631" t="s">
        <v>5037</v>
      </c>
      <c r="L3631" t="s">
        <v>5039</v>
      </c>
    </row>
    <row r="3632" spans="1:12" x14ac:dyDescent="0.35">
      <c r="A3632" t="s">
        <v>118</v>
      </c>
      <c r="B3632" t="s">
        <v>620</v>
      </c>
      <c r="C3632" t="s">
        <v>167</v>
      </c>
      <c r="D3632">
        <v>0.85</v>
      </c>
      <c r="F3632" t="s">
        <v>1474</v>
      </c>
      <c r="H3632" t="s">
        <v>4482</v>
      </c>
      <c r="I3632" t="s">
        <v>4865</v>
      </c>
      <c r="K3632" t="s">
        <v>5037</v>
      </c>
      <c r="L3632" t="s">
        <v>5039</v>
      </c>
    </row>
    <row r="3633" spans="1:12" x14ac:dyDescent="0.35">
      <c r="A3633" t="s">
        <v>118</v>
      </c>
      <c r="B3633" t="s">
        <v>620</v>
      </c>
      <c r="C3633" t="s">
        <v>1188</v>
      </c>
      <c r="D3633">
        <v>1.01</v>
      </c>
      <c r="F3633" t="s">
        <v>1487</v>
      </c>
      <c r="H3633" t="s">
        <v>4483</v>
      </c>
      <c r="I3633" t="s">
        <v>4865</v>
      </c>
      <c r="K3633" t="s">
        <v>5037</v>
      </c>
      <c r="L3633" t="s">
        <v>5039</v>
      </c>
    </row>
    <row r="3634" spans="1:12" x14ac:dyDescent="0.35">
      <c r="A3634" t="s">
        <v>118</v>
      </c>
      <c r="B3634" t="s">
        <v>620</v>
      </c>
      <c r="C3634" t="s">
        <v>167</v>
      </c>
      <c r="D3634">
        <v>0.48</v>
      </c>
      <c r="F3634" t="s">
        <v>1508</v>
      </c>
      <c r="H3634" t="s">
        <v>4484</v>
      </c>
      <c r="I3634" t="s">
        <v>4865</v>
      </c>
      <c r="K3634" t="s">
        <v>5037</v>
      </c>
      <c r="L3634" t="s">
        <v>5039</v>
      </c>
    </row>
    <row r="3635" spans="1:12" x14ac:dyDescent="0.35">
      <c r="A3635" t="s">
        <v>118</v>
      </c>
      <c r="B3635" t="s">
        <v>620</v>
      </c>
      <c r="C3635" t="s">
        <v>1188</v>
      </c>
      <c r="D3635">
        <v>2.35</v>
      </c>
      <c r="F3635" t="s">
        <v>2482</v>
      </c>
      <c r="H3635" t="s">
        <v>4485</v>
      </c>
      <c r="I3635" t="s">
        <v>4865</v>
      </c>
      <c r="K3635" t="s">
        <v>5037</v>
      </c>
      <c r="L3635" t="s">
        <v>5039</v>
      </c>
    </row>
    <row r="3636" spans="1:12" x14ac:dyDescent="0.35">
      <c r="A3636" t="s">
        <v>118</v>
      </c>
      <c r="B3636" t="s">
        <v>620</v>
      </c>
      <c r="C3636" t="s">
        <v>1188</v>
      </c>
      <c r="D3636">
        <v>1.78</v>
      </c>
      <c r="F3636" t="s">
        <v>2483</v>
      </c>
      <c r="H3636" t="s">
        <v>4486</v>
      </c>
      <c r="I3636" t="s">
        <v>4865</v>
      </c>
      <c r="K3636" t="s">
        <v>5037</v>
      </c>
      <c r="L3636" t="s">
        <v>5039</v>
      </c>
    </row>
    <row r="3637" spans="1:12" x14ac:dyDescent="0.35">
      <c r="A3637" t="s">
        <v>118</v>
      </c>
      <c r="B3637" t="s">
        <v>620</v>
      </c>
      <c r="C3637" t="s">
        <v>167</v>
      </c>
      <c r="D3637">
        <v>0.99</v>
      </c>
      <c r="F3637" t="s">
        <v>1586</v>
      </c>
      <c r="H3637" t="s">
        <v>4487</v>
      </c>
      <c r="I3637" t="s">
        <v>4865</v>
      </c>
      <c r="K3637" t="s">
        <v>5037</v>
      </c>
      <c r="L3637" t="s">
        <v>5039</v>
      </c>
    </row>
    <row r="3638" spans="1:12" x14ac:dyDescent="0.35">
      <c r="A3638" t="s">
        <v>118</v>
      </c>
      <c r="B3638" t="s">
        <v>620</v>
      </c>
      <c r="C3638" t="s">
        <v>1188</v>
      </c>
      <c r="D3638">
        <v>1.77</v>
      </c>
      <c r="F3638" t="s">
        <v>1870</v>
      </c>
      <c r="H3638" t="s">
        <v>4488</v>
      </c>
      <c r="I3638" t="s">
        <v>4865</v>
      </c>
      <c r="K3638" t="s">
        <v>5037</v>
      </c>
      <c r="L3638" t="s">
        <v>5039</v>
      </c>
    </row>
    <row r="3639" spans="1:12" x14ac:dyDescent="0.35">
      <c r="A3639" t="s">
        <v>118</v>
      </c>
      <c r="B3639" t="s">
        <v>620</v>
      </c>
      <c r="C3639" t="s">
        <v>167</v>
      </c>
      <c r="D3639">
        <v>2.0299999999999998</v>
      </c>
      <c r="F3639" t="s">
        <v>2424</v>
      </c>
      <c r="H3639" t="s">
        <v>4472</v>
      </c>
      <c r="I3639" t="s">
        <v>4865</v>
      </c>
      <c r="K3639" t="s">
        <v>5037</v>
      </c>
      <c r="L3639" t="s">
        <v>5039</v>
      </c>
    </row>
    <row r="3640" spans="1:12" x14ac:dyDescent="0.35">
      <c r="A3640" t="s">
        <v>118</v>
      </c>
      <c r="B3640" t="s">
        <v>620</v>
      </c>
      <c r="C3640" t="s">
        <v>1188</v>
      </c>
      <c r="D3640">
        <v>2.37</v>
      </c>
      <c r="F3640" t="s">
        <v>1727</v>
      </c>
      <c r="H3640" t="s">
        <v>4489</v>
      </c>
      <c r="I3640" t="s">
        <v>4865</v>
      </c>
      <c r="K3640" t="s">
        <v>5037</v>
      </c>
      <c r="L3640" t="s">
        <v>5039</v>
      </c>
    </row>
    <row r="3641" spans="1:12" x14ac:dyDescent="0.35">
      <c r="A3641" t="s">
        <v>118</v>
      </c>
      <c r="B3641" t="s">
        <v>620</v>
      </c>
      <c r="C3641" t="s">
        <v>1188</v>
      </c>
      <c r="D3641">
        <v>3.06</v>
      </c>
      <c r="F3641" t="s">
        <v>1694</v>
      </c>
      <c r="H3641" t="s">
        <v>4490</v>
      </c>
      <c r="I3641" t="s">
        <v>4865</v>
      </c>
      <c r="K3641" t="s">
        <v>5037</v>
      </c>
      <c r="L3641" t="s">
        <v>5039</v>
      </c>
    </row>
    <row r="3642" spans="1:12" x14ac:dyDescent="0.35">
      <c r="A3642" t="s">
        <v>118</v>
      </c>
      <c r="B3642" t="s">
        <v>620</v>
      </c>
      <c r="C3642" t="s">
        <v>1188</v>
      </c>
      <c r="D3642">
        <v>0.88</v>
      </c>
      <c r="F3642" t="s">
        <v>1915</v>
      </c>
      <c r="H3642" t="s">
        <v>4491</v>
      </c>
      <c r="I3642" t="s">
        <v>4865</v>
      </c>
      <c r="K3642" t="s">
        <v>5037</v>
      </c>
      <c r="L3642" t="s">
        <v>5039</v>
      </c>
    </row>
    <row r="3643" spans="1:12" x14ac:dyDescent="0.35">
      <c r="A3643" t="s">
        <v>118</v>
      </c>
      <c r="B3643" t="s">
        <v>620</v>
      </c>
      <c r="C3643" t="s">
        <v>167</v>
      </c>
      <c r="D3643">
        <v>0.33</v>
      </c>
      <c r="F3643" t="s">
        <v>1397</v>
      </c>
      <c r="H3643" t="s">
        <v>4492</v>
      </c>
      <c r="I3643" t="s">
        <v>4865</v>
      </c>
      <c r="K3643" t="s">
        <v>5037</v>
      </c>
      <c r="L3643" t="s">
        <v>5039</v>
      </c>
    </row>
    <row r="3644" spans="1:12" x14ac:dyDescent="0.35">
      <c r="A3644" t="s">
        <v>118</v>
      </c>
      <c r="B3644" t="s">
        <v>620</v>
      </c>
      <c r="C3644" t="s">
        <v>1188</v>
      </c>
      <c r="D3644">
        <v>0.93</v>
      </c>
      <c r="F3644" t="s">
        <v>1558</v>
      </c>
      <c r="H3644" t="s">
        <v>4493</v>
      </c>
      <c r="I3644" t="s">
        <v>4865</v>
      </c>
      <c r="K3644" t="s">
        <v>5037</v>
      </c>
      <c r="L3644" t="s">
        <v>5039</v>
      </c>
    </row>
    <row r="3645" spans="1:12" x14ac:dyDescent="0.35">
      <c r="A3645" t="s">
        <v>118</v>
      </c>
      <c r="B3645" t="s">
        <v>621</v>
      </c>
      <c r="C3645" t="s">
        <v>1189</v>
      </c>
      <c r="D3645">
        <v>0.16</v>
      </c>
      <c r="F3645" t="s">
        <v>1573</v>
      </c>
      <c r="H3645" t="s">
        <v>4494</v>
      </c>
      <c r="I3645" t="s">
        <v>4874</v>
      </c>
      <c r="K3645" t="s">
        <v>5037</v>
      </c>
      <c r="L3645" t="s">
        <v>5039</v>
      </c>
    </row>
    <row r="3646" spans="1:12" x14ac:dyDescent="0.35">
      <c r="A3646" t="s">
        <v>118</v>
      </c>
      <c r="B3646" t="s">
        <v>621</v>
      </c>
      <c r="C3646" t="s">
        <v>167</v>
      </c>
      <c r="D3646">
        <v>4.7E-2</v>
      </c>
      <c r="F3646" t="s">
        <v>1615</v>
      </c>
      <c r="H3646" t="s">
        <v>4495</v>
      </c>
      <c r="I3646" t="s">
        <v>4874</v>
      </c>
      <c r="K3646" t="s">
        <v>5037</v>
      </c>
      <c r="L3646" t="s">
        <v>5039</v>
      </c>
    </row>
    <row r="3647" spans="1:12" x14ac:dyDescent="0.35">
      <c r="A3647" t="s">
        <v>118</v>
      </c>
      <c r="B3647" t="s">
        <v>358</v>
      </c>
      <c r="C3647" t="s">
        <v>1218</v>
      </c>
      <c r="D3647">
        <v>2.1999999999999999E-2</v>
      </c>
      <c r="F3647" t="s">
        <v>1890</v>
      </c>
      <c r="I3647" t="s">
        <v>4877</v>
      </c>
      <c r="K3647" t="s">
        <v>5037</v>
      </c>
      <c r="L3647" t="s">
        <v>5039</v>
      </c>
    </row>
    <row r="3648" spans="1:12" x14ac:dyDescent="0.35">
      <c r="A3648" t="s">
        <v>118</v>
      </c>
      <c r="B3648" t="s">
        <v>358</v>
      </c>
      <c r="C3648" t="s">
        <v>1188</v>
      </c>
      <c r="D3648">
        <v>0.65500000000000003</v>
      </c>
      <c r="F3648" t="s">
        <v>2484</v>
      </c>
      <c r="H3648" t="s">
        <v>4496</v>
      </c>
      <c r="I3648" t="s">
        <v>4924</v>
      </c>
      <c r="K3648" t="s">
        <v>5037</v>
      </c>
      <c r="L3648" t="s">
        <v>5039</v>
      </c>
    </row>
    <row r="3649" spans="1:12" x14ac:dyDescent="0.35">
      <c r="A3649" t="s">
        <v>118</v>
      </c>
      <c r="B3649" t="s">
        <v>358</v>
      </c>
      <c r="C3649" t="s">
        <v>1188</v>
      </c>
      <c r="D3649">
        <v>0.42399999999999999</v>
      </c>
      <c r="F3649" t="s">
        <v>2485</v>
      </c>
      <c r="I3649" t="s">
        <v>4877</v>
      </c>
      <c r="K3649" t="s">
        <v>5037</v>
      </c>
      <c r="L3649" t="s">
        <v>5039</v>
      </c>
    </row>
    <row r="3650" spans="1:12" x14ac:dyDescent="0.35">
      <c r="A3650" t="s">
        <v>118</v>
      </c>
      <c r="B3650" t="s">
        <v>358</v>
      </c>
      <c r="C3650" t="s">
        <v>167</v>
      </c>
      <c r="D3650">
        <v>0.22800000000000001</v>
      </c>
      <c r="F3650" t="s">
        <v>2486</v>
      </c>
      <c r="I3650" t="s">
        <v>4877</v>
      </c>
      <c r="K3650" t="s">
        <v>5037</v>
      </c>
      <c r="L3650" t="s">
        <v>5039</v>
      </c>
    </row>
    <row r="3651" spans="1:12" x14ac:dyDescent="0.35">
      <c r="A3651" t="s">
        <v>118</v>
      </c>
      <c r="B3651" t="s">
        <v>358</v>
      </c>
      <c r="C3651" t="s">
        <v>1188</v>
      </c>
      <c r="D3651">
        <v>0.55700000000000005</v>
      </c>
      <c r="F3651" t="s">
        <v>2487</v>
      </c>
      <c r="H3651" t="s">
        <v>4497</v>
      </c>
      <c r="I3651" t="s">
        <v>4924</v>
      </c>
      <c r="K3651" t="s">
        <v>5037</v>
      </c>
      <c r="L3651" t="s">
        <v>5039</v>
      </c>
    </row>
    <row r="3652" spans="1:12" x14ac:dyDescent="0.35">
      <c r="A3652" t="s">
        <v>118</v>
      </c>
      <c r="B3652" t="s">
        <v>358</v>
      </c>
      <c r="C3652" t="s">
        <v>1188</v>
      </c>
      <c r="D3652">
        <v>0.749</v>
      </c>
      <c r="F3652" t="s">
        <v>2488</v>
      </c>
      <c r="H3652" t="s">
        <v>4498</v>
      </c>
      <c r="I3652" t="s">
        <v>4924</v>
      </c>
      <c r="K3652" t="s">
        <v>5037</v>
      </c>
      <c r="L3652" t="s">
        <v>5039</v>
      </c>
    </row>
    <row r="3653" spans="1:12" x14ac:dyDescent="0.35">
      <c r="A3653" t="s">
        <v>118</v>
      </c>
      <c r="B3653" t="s">
        <v>358</v>
      </c>
      <c r="C3653" t="s">
        <v>1188</v>
      </c>
      <c r="D3653">
        <v>0.629</v>
      </c>
      <c r="F3653" t="s">
        <v>2489</v>
      </c>
      <c r="H3653" t="s">
        <v>4499</v>
      </c>
      <c r="I3653" t="s">
        <v>4924</v>
      </c>
      <c r="K3653" t="s">
        <v>5037</v>
      </c>
      <c r="L3653" t="s">
        <v>5039</v>
      </c>
    </row>
    <row r="3654" spans="1:12" x14ac:dyDescent="0.35">
      <c r="A3654" t="s">
        <v>118</v>
      </c>
      <c r="B3654" t="s">
        <v>358</v>
      </c>
      <c r="C3654" t="s">
        <v>1188</v>
      </c>
      <c r="D3654">
        <v>0.57699999999999996</v>
      </c>
      <c r="F3654" t="s">
        <v>2490</v>
      </c>
      <c r="H3654" t="s">
        <v>4500</v>
      </c>
      <c r="I3654" t="s">
        <v>4924</v>
      </c>
      <c r="K3654" t="s">
        <v>5037</v>
      </c>
      <c r="L3654" t="s">
        <v>5039</v>
      </c>
    </row>
    <row r="3655" spans="1:12" x14ac:dyDescent="0.35">
      <c r="A3655" t="s">
        <v>118</v>
      </c>
      <c r="B3655" t="s">
        <v>358</v>
      </c>
      <c r="C3655" t="s">
        <v>1188</v>
      </c>
      <c r="D3655">
        <v>0.57199999999999995</v>
      </c>
      <c r="F3655" t="s">
        <v>2491</v>
      </c>
      <c r="H3655" t="s">
        <v>4501</v>
      </c>
      <c r="I3655" t="s">
        <v>4924</v>
      </c>
      <c r="K3655" t="s">
        <v>5037</v>
      </c>
      <c r="L3655" t="s">
        <v>5039</v>
      </c>
    </row>
    <row r="3656" spans="1:12" x14ac:dyDescent="0.35">
      <c r="A3656" t="s">
        <v>118</v>
      </c>
      <c r="B3656" t="s">
        <v>358</v>
      </c>
      <c r="C3656" t="s">
        <v>1188</v>
      </c>
      <c r="D3656">
        <v>0.753</v>
      </c>
      <c r="F3656" t="s">
        <v>2492</v>
      </c>
      <c r="H3656" t="s">
        <v>4502</v>
      </c>
      <c r="I3656" t="s">
        <v>4924</v>
      </c>
      <c r="K3656" t="s">
        <v>5037</v>
      </c>
      <c r="L3656" t="s">
        <v>5039</v>
      </c>
    </row>
    <row r="3657" spans="1:12" x14ac:dyDescent="0.35">
      <c r="A3657" t="s">
        <v>118</v>
      </c>
      <c r="B3657" t="s">
        <v>358</v>
      </c>
      <c r="C3657" t="s">
        <v>167</v>
      </c>
      <c r="D3657">
        <v>0.36</v>
      </c>
      <c r="F3657" t="s">
        <v>1398</v>
      </c>
      <c r="H3657" t="s">
        <v>4503</v>
      </c>
      <c r="I3657" t="s">
        <v>5006</v>
      </c>
      <c r="K3657" t="s">
        <v>5037</v>
      </c>
      <c r="L3657" t="s">
        <v>5039</v>
      </c>
    </row>
    <row r="3658" spans="1:12" x14ac:dyDescent="0.35">
      <c r="A3658" t="s">
        <v>118</v>
      </c>
      <c r="B3658" t="s">
        <v>358</v>
      </c>
      <c r="C3658" t="s">
        <v>1188</v>
      </c>
      <c r="D3658">
        <v>0.2</v>
      </c>
      <c r="F3658" t="s">
        <v>1371</v>
      </c>
      <c r="H3658" t="s">
        <v>4504</v>
      </c>
      <c r="I3658" t="s">
        <v>5011</v>
      </c>
      <c r="K3658" t="s">
        <v>5037</v>
      </c>
      <c r="L3658" t="s">
        <v>5039</v>
      </c>
    </row>
    <row r="3659" spans="1:12" x14ac:dyDescent="0.35">
      <c r="A3659" t="s">
        <v>118</v>
      </c>
      <c r="B3659" t="s">
        <v>175</v>
      </c>
      <c r="C3659" t="s">
        <v>1216</v>
      </c>
      <c r="D3659">
        <v>0.06</v>
      </c>
      <c r="F3659" t="s">
        <v>1370</v>
      </c>
      <c r="H3659" t="s">
        <v>4505</v>
      </c>
      <c r="I3659" t="s">
        <v>4950</v>
      </c>
      <c r="K3659" t="s">
        <v>5037</v>
      </c>
      <c r="L3659" t="s">
        <v>5039</v>
      </c>
    </row>
    <row r="3660" spans="1:12" x14ac:dyDescent="0.35">
      <c r="A3660" t="s">
        <v>118</v>
      </c>
      <c r="B3660" t="s">
        <v>175</v>
      </c>
      <c r="C3660" t="s">
        <v>167</v>
      </c>
      <c r="D3660">
        <v>0.31</v>
      </c>
      <c r="F3660" t="s">
        <v>1714</v>
      </c>
      <c r="H3660" t="s">
        <v>4506</v>
      </c>
      <c r="I3660" t="s">
        <v>4954</v>
      </c>
      <c r="K3660" t="s">
        <v>5037</v>
      </c>
      <c r="L3660" t="s">
        <v>5039</v>
      </c>
    </row>
    <row r="3661" spans="1:12" x14ac:dyDescent="0.35">
      <c r="A3661" t="s">
        <v>118</v>
      </c>
      <c r="B3661" t="s">
        <v>175</v>
      </c>
      <c r="C3661" t="s">
        <v>167</v>
      </c>
      <c r="D3661">
        <v>3.0000000000000001E-3</v>
      </c>
      <c r="F3661" t="s">
        <v>1279</v>
      </c>
      <c r="H3661" t="s">
        <v>4507</v>
      </c>
      <c r="I3661" t="s">
        <v>4950</v>
      </c>
      <c r="K3661" t="s">
        <v>5037</v>
      </c>
      <c r="L3661" t="s">
        <v>5039</v>
      </c>
    </row>
    <row r="3662" spans="1:12" x14ac:dyDescent="0.35">
      <c r="A3662" t="s">
        <v>118</v>
      </c>
      <c r="B3662" t="s">
        <v>175</v>
      </c>
      <c r="C3662" t="s">
        <v>1219</v>
      </c>
      <c r="D3662">
        <v>4.0000000000000001E-3</v>
      </c>
      <c r="F3662" t="s">
        <v>1838</v>
      </c>
      <c r="H3662" t="s">
        <v>4508</v>
      </c>
      <c r="I3662" t="s">
        <v>4950</v>
      </c>
      <c r="K3662" t="s">
        <v>5037</v>
      </c>
      <c r="L3662" t="s">
        <v>5039</v>
      </c>
    </row>
    <row r="3663" spans="1:12" x14ac:dyDescent="0.35">
      <c r="A3663" t="s">
        <v>118</v>
      </c>
      <c r="B3663" t="s">
        <v>175</v>
      </c>
      <c r="C3663" t="s">
        <v>167</v>
      </c>
      <c r="D3663">
        <v>8.0000000000000002E-3</v>
      </c>
      <c r="F3663" t="s">
        <v>1801</v>
      </c>
      <c r="H3663" t="s">
        <v>4509</v>
      </c>
      <c r="I3663" t="s">
        <v>4950</v>
      </c>
      <c r="K3663" t="s">
        <v>5037</v>
      </c>
      <c r="L3663" t="s">
        <v>5039</v>
      </c>
    </row>
    <row r="3664" spans="1:12" x14ac:dyDescent="0.35">
      <c r="A3664" t="s">
        <v>118</v>
      </c>
      <c r="B3664" t="s">
        <v>175</v>
      </c>
      <c r="C3664" t="s">
        <v>1219</v>
      </c>
      <c r="D3664">
        <v>2E-3</v>
      </c>
      <c r="F3664" t="s">
        <v>1286</v>
      </c>
      <c r="H3664" t="s">
        <v>4510</v>
      </c>
      <c r="I3664" t="s">
        <v>4950</v>
      </c>
      <c r="K3664" t="s">
        <v>5037</v>
      </c>
      <c r="L3664" t="s">
        <v>5039</v>
      </c>
    </row>
    <row r="3665" spans="1:12" x14ac:dyDescent="0.35">
      <c r="A3665" t="s">
        <v>118</v>
      </c>
      <c r="B3665" t="s">
        <v>175</v>
      </c>
      <c r="C3665" t="s">
        <v>167</v>
      </c>
      <c r="D3665">
        <v>0.21</v>
      </c>
      <c r="F3665" t="s">
        <v>1572</v>
      </c>
      <c r="H3665" t="s">
        <v>4511</v>
      </c>
      <c r="I3665" t="s">
        <v>4950</v>
      </c>
      <c r="K3665" t="s">
        <v>5037</v>
      </c>
      <c r="L3665" t="s">
        <v>5039</v>
      </c>
    </row>
    <row r="3666" spans="1:12" x14ac:dyDescent="0.35">
      <c r="A3666" t="s">
        <v>118</v>
      </c>
      <c r="B3666" t="s">
        <v>175</v>
      </c>
      <c r="C3666" t="s">
        <v>1216</v>
      </c>
      <c r="D3666">
        <v>0.21</v>
      </c>
      <c r="F3666" t="s">
        <v>1572</v>
      </c>
      <c r="H3666" t="s">
        <v>4512</v>
      </c>
      <c r="I3666" t="s">
        <v>4950</v>
      </c>
      <c r="K3666" t="s">
        <v>5037</v>
      </c>
      <c r="L3666" t="s">
        <v>5039</v>
      </c>
    </row>
    <row r="3667" spans="1:12" x14ac:dyDescent="0.35">
      <c r="A3667" t="s">
        <v>118</v>
      </c>
      <c r="B3667" t="s">
        <v>175</v>
      </c>
      <c r="C3667" t="s">
        <v>1216</v>
      </c>
      <c r="D3667">
        <v>0.09</v>
      </c>
      <c r="F3667" t="s">
        <v>1310</v>
      </c>
      <c r="H3667" t="s">
        <v>4505</v>
      </c>
      <c r="I3667" t="s">
        <v>4950</v>
      </c>
      <c r="K3667" t="s">
        <v>5037</v>
      </c>
      <c r="L3667" t="s">
        <v>5039</v>
      </c>
    </row>
    <row r="3668" spans="1:12" x14ac:dyDescent="0.35">
      <c r="A3668" t="s">
        <v>118</v>
      </c>
      <c r="B3668" t="s">
        <v>175</v>
      </c>
      <c r="C3668" t="s">
        <v>1188</v>
      </c>
      <c r="D3668">
        <v>0.9</v>
      </c>
      <c r="F3668" t="s">
        <v>1556</v>
      </c>
      <c r="H3668" t="s">
        <v>4513</v>
      </c>
      <c r="I3668" t="s">
        <v>4954</v>
      </c>
      <c r="K3668" t="s">
        <v>5037</v>
      </c>
      <c r="L3668" t="s">
        <v>5039</v>
      </c>
    </row>
    <row r="3669" spans="1:12" x14ac:dyDescent="0.35">
      <c r="A3669" t="s">
        <v>118</v>
      </c>
      <c r="B3669" t="s">
        <v>175</v>
      </c>
      <c r="C3669" t="s">
        <v>167</v>
      </c>
      <c r="D3669">
        <v>1.4E-2</v>
      </c>
      <c r="F3669" t="s">
        <v>1550</v>
      </c>
      <c r="H3669" t="s">
        <v>4514</v>
      </c>
      <c r="I3669" t="s">
        <v>4950</v>
      </c>
      <c r="K3669" t="s">
        <v>5037</v>
      </c>
      <c r="L3669" t="s">
        <v>5039</v>
      </c>
    </row>
    <row r="3670" spans="1:12" x14ac:dyDescent="0.35">
      <c r="A3670" t="s">
        <v>118</v>
      </c>
      <c r="B3670" t="s">
        <v>175</v>
      </c>
      <c r="C3670" t="s">
        <v>1220</v>
      </c>
      <c r="D3670">
        <v>1.4E-2</v>
      </c>
      <c r="F3670" t="s">
        <v>1550</v>
      </c>
      <c r="H3670" t="s">
        <v>4515</v>
      </c>
      <c r="I3670" t="s">
        <v>4980</v>
      </c>
      <c r="K3670" t="s">
        <v>5037</v>
      </c>
      <c r="L3670" t="s">
        <v>5039</v>
      </c>
    </row>
    <row r="3671" spans="1:12" x14ac:dyDescent="0.35">
      <c r="A3671" t="s">
        <v>118</v>
      </c>
      <c r="B3671" t="s">
        <v>175</v>
      </c>
      <c r="C3671" t="s">
        <v>1188</v>
      </c>
      <c r="D3671">
        <v>1.4</v>
      </c>
      <c r="F3671" t="s">
        <v>1469</v>
      </c>
      <c r="H3671" t="s">
        <v>4516</v>
      </c>
      <c r="I3671" t="s">
        <v>4950</v>
      </c>
      <c r="K3671" t="s">
        <v>5037</v>
      </c>
      <c r="L3671" t="s">
        <v>5039</v>
      </c>
    </row>
    <row r="3672" spans="1:12" x14ac:dyDescent="0.35">
      <c r="A3672" t="s">
        <v>118</v>
      </c>
      <c r="B3672" t="s">
        <v>175</v>
      </c>
      <c r="C3672" t="s">
        <v>1188</v>
      </c>
      <c r="D3672">
        <v>2.4</v>
      </c>
      <c r="F3672" t="s">
        <v>1433</v>
      </c>
      <c r="H3672" t="s">
        <v>4517</v>
      </c>
      <c r="I3672" t="s">
        <v>5001</v>
      </c>
      <c r="K3672" t="s">
        <v>5037</v>
      </c>
      <c r="L3672" t="s">
        <v>5039</v>
      </c>
    </row>
    <row r="3673" spans="1:12" x14ac:dyDescent="0.35">
      <c r="A3673" t="s">
        <v>118</v>
      </c>
      <c r="B3673" t="s">
        <v>175</v>
      </c>
      <c r="C3673" t="s">
        <v>1219</v>
      </c>
      <c r="D3673">
        <v>1.0999999999999999E-2</v>
      </c>
      <c r="F3673" t="s">
        <v>1612</v>
      </c>
      <c r="H3673" t="s">
        <v>4518</v>
      </c>
      <c r="I3673" t="s">
        <v>4950</v>
      </c>
      <c r="K3673" t="s">
        <v>5037</v>
      </c>
      <c r="L3673" t="s">
        <v>5039</v>
      </c>
    </row>
    <row r="3674" spans="1:12" x14ac:dyDescent="0.35">
      <c r="A3674" t="s">
        <v>118</v>
      </c>
      <c r="B3674" t="s">
        <v>175</v>
      </c>
      <c r="C3674" t="s">
        <v>1188</v>
      </c>
      <c r="D3674">
        <v>1.2</v>
      </c>
      <c r="F3674" t="s">
        <v>1421</v>
      </c>
      <c r="H3674" t="s">
        <v>4519</v>
      </c>
      <c r="I3674" t="s">
        <v>4950</v>
      </c>
      <c r="K3674" t="s">
        <v>5037</v>
      </c>
      <c r="L3674" t="s">
        <v>5039</v>
      </c>
    </row>
    <row r="3675" spans="1:12" x14ac:dyDescent="0.35">
      <c r="A3675" t="s">
        <v>118</v>
      </c>
      <c r="B3675" t="s">
        <v>175</v>
      </c>
      <c r="C3675" t="s">
        <v>167</v>
      </c>
      <c r="D3675">
        <v>7.0000000000000001E-3</v>
      </c>
      <c r="F3675" t="s">
        <v>1261</v>
      </c>
      <c r="H3675" t="s">
        <v>4520</v>
      </c>
      <c r="I3675" t="s">
        <v>4950</v>
      </c>
      <c r="K3675" t="s">
        <v>5037</v>
      </c>
      <c r="L3675" t="s">
        <v>5039</v>
      </c>
    </row>
    <row r="3676" spans="1:12" x14ac:dyDescent="0.35">
      <c r="A3676" t="s">
        <v>118</v>
      </c>
      <c r="B3676" t="s">
        <v>175</v>
      </c>
      <c r="C3676" t="s">
        <v>1219</v>
      </c>
      <c r="D3676">
        <v>7.0000000000000001E-3</v>
      </c>
      <c r="F3676" t="s">
        <v>1261</v>
      </c>
      <c r="H3676" t="s">
        <v>4521</v>
      </c>
      <c r="I3676" t="s">
        <v>4950</v>
      </c>
      <c r="K3676" t="s">
        <v>5037</v>
      </c>
      <c r="L3676" t="s">
        <v>5039</v>
      </c>
    </row>
    <row r="3677" spans="1:12" x14ac:dyDescent="0.35">
      <c r="A3677" t="s">
        <v>118</v>
      </c>
      <c r="B3677" t="s">
        <v>175</v>
      </c>
      <c r="C3677" t="s">
        <v>1220</v>
      </c>
      <c r="D3677">
        <v>3.3000000000000002E-2</v>
      </c>
      <c r="F3677" t="s">
        <v>1340</v>
      </c>
      <c r="H3677" t="s">
        <v>4522</v>
      </c>
      <c r="I3677" t="s">
        <v>4980</v>
      </c>
      <c r="K3677" t="s">
        <v>5037</v>
      </c>
      <c r="L3677" t="s">
        <v>5039</v>
      </c>
    </row>
    <row r="3678" spans="1:12" x14ac:dyDescent="0.35">
      <c r="A3678" t="s">
        <v>118</v>
      </c>
      <c r="B3678" t="s">
        <v>175</v>
      </c>
      <c r="C3678" t="s">
        <v>167</v>
      </c>
      <c r="D3678">
        <v>0.08</v>
      </c>
      <c r="F3678" t="s">
        <v>1402</v>
      </c>
      <c r="H3678" t="s">
        <v>4523</v>
      </c>
      <c r="I3678" t="s">
        <v>4950</v>
      </c>
      <c r="K3678" t="s">
        <v>5037</v>
      </c>
      <c r="L3678" t="s">
        <v>5039</v>
      </c>
    </row>
    <row r="3679" spans="1:12" x14ac:dyDescent="0.35">
      <c r="A3679" t="s">
        <v>118</v>
      </c>
      <c r="B3679" t="s">
        <v>175</v>
      </c>
      <c r="C3679" t="s">
        <v>1216</v>
      </c>
      <c r="D3679">
        <v>0.08</v>
      </c>
      <c r="F3679" t="s">
        <v>1402</v>
      </c>
      <c r="H3679" t="s">
        <v>4505</v>
      </c>
      <c r="I3679" t="s">
        <v>4950</v>
      </c>
      <c r="K3679" t="s">
        <v>5037</v>
      </c>
      <c r="L3679" t="s">
        <v>5039</v>
      </c>
    </row>
    <row r="3680" spans="1:12" x14ac:dyDescent="0.35">
      <c r="A3680" t="s">
        <v>118</v>
      </c>
      <c r="B3680" t="s">
        <v>175</v>
      </c>
      <c r="C3680" t="s">
        <v>1188</v>
      </c>
      <c r="D3680">
        <v>2.2999999999999998</v>
      </c>
      <c r="F3680" t="s">
        <v>1453</v>
      </c>
      <c r="H3680" t="s">
        <v>4524</v>
      </c>
      <c r="I3680" t="s">
        <v>4950</v>
      </c>
      <c r="K3680" t="s">
        <v>5037</v>
      </c>
      <c r="L3680" t="s">
        <v>5039</v>
      </c>
    </row>
    <row r="3681" spans="1:12" x14ac:dyDescent="0.35">
      <c r="A3681" t="s">
        <v>118</v>
      </c>
      <c r="B3681" t="s">
        <v>175</v>
      </c>
      <c r="C3681" t="s">
        <v>1188</v>
      </c>
      <c r="D3681">
        <v>0.66</v>
      </c>
      <c r="F3681" t="s">
        <v>2006</v>
      </c>
      <c r="H3681" t="s">
        <v>4525</v>
      </c>
      <c r="I3681" t="s">
        <v>5001</v>
      </c>
      <c r="K3681" t="s">
        <v>5037</v>
      </c>
      <c r="L3681" t="s">
        <v>5039</v>
      </c>
    </row>
    <row r="3682" spans="1:12" x14ac:dyDescent="0.35">
      <c r="A3682" t="s">
        <v>118</v>
      </c>
      <c r="B3682" t="s">
        <v>175</v>
      </c>
      <c r="C3682" t="s">
        <v>1188</v>
      </c>
      <c r="D3682">
        <v>0.97</v>
      </c>
      <c r="F3682" t="s">
        <v>1719</v>
      </c>
      <c r="H3682" t="s">
        <v>4526</v>
      </c>
      <c r="I3682" t="s">
        <v>5001</v>
      </c>
      <c r="K3682" t="s">
        <v>5037</v>
      </c>
      <c r="L3682" t="s">
        <v>5039</v>
      </c>
    </row>
    <row r="3683" spans="1:12" x14ac:dyDescent="0.35">
      <c r="A3683" t="s">
        <v>118</v>
      </c>
      <c r="B3683" t="s">
        <v>175</v>
      </c>
      <c r="C3683" t="s">
        <v>167</v>
      </c>
      <c r="D3683">
        <v>7.3999999999999996E-2</v>
      </c>
      <c r="F3683" t="s">
        <v>1562</v>
      </c>
      <c r="H3683" t="s">
        <v>4527</v>
      </c>
      <c r="I3683" t="s">
        <v>4980</v>
      </c>
      <c r="K3683" t="s">
        <v>5037</v>
      </c>
      <c r="L3683" t="s">
        <v>5039</v>
      </c>
    </row>
    <row r="3684" spans="1:12" x14ac:dyDescent="0.35">
      <c r="A3684" t="s">
        <v>118</v>
      </c>
      <c r="B3684" t="s">
        <v>175</v>
      </c>
      <c r="C3684" t="s">
        <v>1188</v>
      </c>
      <c r="D3684">
        <v>2.9</v>
      </c>
      <c r="F3684" t="s">
        <v>1576</v>
      </c>
      <c r="H3684" t="s">
        <v>4528</v>
      </c>
      <c r="I3684" t="s">
        <v>4950</v>
      </c>
      <c r="K3684" t="s">
        <v>5037</v>
      </c>
      <c r="L3684" t="s">
        <v>5039</v>
      </c>
    </row>
    <row r="3685" spans="1:12" x14ac:dyDescent="0.35">
      <c r="A3685" t="s">
        <v>118</v>
      </c>
      <c r="B3685" t="s">
        <v>175</v>
      </c>
      <c r="C3685" t="s">
        <v>167</v>
      </c>
      <c r="D3685">
        <v>0.88</v>
      </c>
      <c r="F3685" t="s">
        <v>1915</v>
      </c>
      <c r="H3685" t="s">
        <v>4529</v>
      </c>
      <c r="I3685" t="s">
        <v>4954</v>
      </c>
      <c r="K3685" t="s">
        <v>5037</v>
      </c>
      <c r="L3685" t="s">
        <v>5039</v>
      </c>
    </row>
    <row r="3686" spans="1:12" x14ac:dyDescent="0.35">
      <c r="A3686" t="s">
        <v>118</v>
      </c>
      <c r="B3686" t="s">
        <v>175</v>
      </c>
      <c r="C3686" t="s">
        <v>1221</v>
      </c>
      <c r="D3686">
        <v>1.25</v>
      </c>
      <c r="F3686" t="s">
        <v>1522</v>
      </c>
      <c r="H3686" t="s">
        <v>4530</v>
      </c>
      <c r="I3686" t="s">
        <v>4980</v>
      </c>
      <c r="K3686" t="s">
        <v>5037</v>
      </c>
      <c r="L3686" t="s">
        <v>5039</v>
      </c>
    </row>
    <row r="3687" spans="1:12" x14ac:dyDescent="0.35">
      <c r="A3687" t="s">
        <v>118</v>
      </c>
      <c r="B3687" t="s">
        <v>175</v>
      </c>
      <c r="C3687" t="s">
        <v>1188</v>
      </c>
      <c r="D3687">
        <v>1.66</v>
      </c>
      <c r="F3687" t="s">
        <v>2493</v>
      </c>
      <c r="H3687" t="s">
        <v>4531</v>
      </c>
      <c r="I3687" t="s">
        <v>5001</v>
      </c>
      <c r="K3687" t="s">
        <v>5037</v>
      </c>
      <c r="L3687" t="s">
        <v>5039</v>
      </c>
    </row>
    <row r="3688" spans="1:12" x14ac:dyDescent="0.35">
      <c r="A3688" t="s">
        <v>118</v>
      </c>
      <c r="B3688" t="s">
        <v>175</v>
      </c>
      <c r="C3688" t="s">
        <v>167</v>
      </c>
      <c r="D3688">
        <v>1.56</v>
      </c>
      <c r="F3688" t="s">
        <v>2015</v>
      </c>
      <c r="H3688" t="s">
        <v>4532</v>
      </c>
      <c r="I3688" t="s">
        <v>5001</v>
      </c>
      <c r="K3688" t="s">
        <v>5037</v>
      </c>
      <c r="L3688" t="s">
        <v>5039</v>
      </c>
    </row>
    <row r="3689" spans="1:12" x14ac:dyDescent="0.35">
      <c r="A3689" t="s">
        <v>118</v>
      </c>
      <c r="B3689" t="s">
        <v>175</v>
      </c>
      <c r="C3689" t="s">
        <v>167</v>
      </c>
      <c r="D3689">
        <v>52</v>
      </c>
      <c r="F3689" t="s">
        <v>1393</v>
      </c>
      <c r="H3689" t="s">
        <v>4533</v>
      </c>
      <c r="I3689" t="s">
        <v>4954</v>
      </c>
      <c r="K3689" t="s">
        <v>5037</v>
      </c>
      <c r="L3689" t="s">
        <v>5039</v>
      </c>
    </row>
    <row r="3690" spans="1:12" x14ac:dyDescent="0.35">
      <c r="A3690" t="s">
        <v>118</v>
      </c>
      <c r="B3690" t="s">
        <v>175</v>
      </c>
      <c r="C3690" t="s">
        <v>1188</v>
      </c>
      <c r="D3690">
        <v>1.1100000000000001</v>
      </c>
      <c r="F3690" t="s">
        <v>2365</v>
      </c>
      <c r="H3690" t="s">
        <v>4534</v>
      </c>
      <c r="I3690" t="s">
        <v>4954</v>
      </c>
      <c r="K3690" t="s">
        <v>5037</v>
      </c>
      <c r="L3690" t="s">
        <v>5039</v>
      </c>
    </row>
    <row r="3691" spans="1:12" x14ac:dyDescent="0.35">
      <c r="A3691" t="s">
        <v>118</v>
      </c>
      <c r="B3691" t="s">
        <v>175</v>
      </c>
      <c r="C3691" t="s">
        <v>1188</v>
      </c>
      <c r="D3691">
        <v>1.62</v>
      </c>
      <c r="F3691" t="s">
        <v>2494</v>
      </c>
      <c r="H3691" t="s">
        <v>4535</v>
      </c>
      <c r="I3691" t="s">
        <v>4954</v>
      </c>
      <c r="K3691" t="s">
        <v>5037</v>
      </c>
      <c r="L3691" t="s">
        <v>5039</v>
      </c>
    </row>
    <row r="3692" spans="1:12" x14ac:dyDescent="0.35">
      <c r="A3692" t="s">
        <v>118</v>
      </c>
      <c r="B3692" t="s">
        <v>175</v>
      </c>
      <c r="C3692" t="s">
        <v>1188</v>
      </c>
      <c r="D3692">
        <v>1.26</v>
      </c>
      <c r="F3692" t="s">
        <v>2020</v>
      </c>
      <c r="H3692" t="s">
        <v>4536</v>
      </c>
      <c r="I3692" t="s">
        <v>4954</v>
      </c>
      <c r="K3692" t="s">
        <v>5037</v>
      </c>
      <c r="L3692" t="s">
        <v>5039</v>
      </c>
    </row>
    <row r="3693" spans="1:12" x14ac:dyDescent="0.35">
      <c r="A3693" t="s">
        <v>118</v>
      </c>
      <c r="B3693" t="s">
        <v>175</v>
      </c>
      <c r="C3693" t="s">
        <v>1222</v>
      </c>
      <c r="D3693">
        <v>1.48</v>
      </c>
      <c r="F3693" t="s">
        <v>1365</v>
      </c>
      <c r="H3693" t="s">
        <v>4537</v>
      </c>
      <c r="I3693" t="s">
        <v>4980</v>
      </c>
      <c r="K3693" t="s">
        <v>5037</v>
      </c>
      <c r="L3693" t="s">
        <v>5039</v>
      </c>
    </row>
    <row r="3694" spans="1:12" x14ac:dyDescent="0.35">
      <c r="A3694" t="s">
        <v>118</v>
      </c>
      <c r="B3694" t="s">
        <v>175</v>
      </c>
      <c r="C3694" t="s">
        <v>1223</v>
      </c>
      <c r="D3694">
        <v>3.22</v>
      </c>
      <c r="F3694" t="s">
        <v>2495</v>
      </c>
      <c r="H3694" t="s">
        <v>4530</v>
      </c>
      <c r="I3694" t="s">
        <v>4980</v>
      </c>
      <c r="K3694" t="s">
        <v>5037</v>
      </c>
      <c r="L3694" t="s">
        <v>5039</v>
      </c>
    </row>
    <row r="3695" spans="1:12" x14ac:dyDescent="0.35">
      <c r="A3695" t="s">
        <v>118</v>
      </c>
      <c r="B3695" t="s">
        <v>175</v>
      </c>
      <c r="C3695" t="s">
        <v>1224</v>
      </c>
      <c r="D3695">
        <v>2.2400000000000002</v>
      </c>
      <c r="F3695" t="s">
        <v>2496</v>
      </c>
      <c r="H3695" t="s">
        <v>4538</v>
      </c>
      <c r="I3695" t="s">
        <v>4980</v>
      </c>
      <c r="K3695" t="s">
        <v>5037</v>
      </c>
      <c r="L3695" t="s">
        <v>5039</v>
      </c>
    </row>
    <row r="3696" spans="1:12" x14ac:dyDescent="0.35">
      <c r="A3696" t="s">
        <v>118</v>
      </c>
      <c r="B3696" t="s">
        <v>175</v>
      </c>
      <c r="C3696" t="s">
        <v>1225</v>
      </c>
      <c r="D3696">
        <v>0.23200000000000001</v>
      </c>
      <c r="F3696" t="s">
        <v>2497</v>
      </c>
      <c r="H3696" t="s">
        <v>4539</v>
      </c>
      <c r="I3696" t="s">
        <v>5012</v>
      </c>
      <c r="K3696" t="s">
        <v>5037</v>
      </c>
      <c r="L3696" t="s">
        <v>5039</v>
      </c>
    </row>
    <row r="3697" spans="1:12" x14ac:dyDescent="0.35">
      <c r="A3697" t="s">
        <v>118</v>
      </c>
      <c r="B3697" t="s">
        <v>175</v>
      </c>
      <c r="C3697" t="s">
        <v>1220</v>
      </c>
      <c r="D3697">
        <v>3.18</v>
      </c>
      <c r="F3697" t="s">
        <v>2498</v>
      </c>
      <c r="H3697" t="s">
        <v>4540</v>
      </c>
      <c r="I3697" t="s">
        <v>4980</v>
      </c>
      <c r="K3697" t="s">
        <v>5037</v>
      </c>
      <c r="L3697" t="s">
        <v>5039</v>
      </c>
    </row>
    <row r="3698" spans="1:12" x14ac:dyDescent="0.35">
      <c r="A3698" t="s">
        <v>118</v>
      </c>
      <c r="B3698" t="s">
        <v>175</v>
      </c>
      <c r="C3698" t="s">
        <v>167</v>
      </c>
      <c r="D3698">
        <v>0.17</v>
      </c>
      <c r="F3698" t="s">
        <v>1409</v>
      </c>
      <c r="H3698" t="s">
        <v>4541</v>
      </c>
      <c r="I3698" t="s">
        <v>5002</v>
      </c>
      <c r="K3698" t="s">
        <v>5037</v>
      </c>
      <c r="L3698" t="s">
        <v>5039</v>
      </c>
    </row>
    <row r="3699" spans="1:12" x14ac:dyDescent="0.35">
      <c r="A3699" t="s">
        <v>118</v>
      </c>
      <c r="B3699" t="s">
        <v>175</v>
      </c>
      <c r="C3699" t="s">
        <v>1188</v>
      </c>
      <c r="D3699">
        <v>1</v>
      </c>
      <c r="F3699" t="s">
        <v>1317</v>
      </c>
      <c r="H3699" t="s">
        <v>4542</v>
      </c>
      <c r="I3699" t="s">
        <v>4954</v>
      </c>
      <c r="K3699" t="s">
        <v>5037</v>
      </c>
      <c r="L3699" t="s">
        <v>5039</v>
      </c>
    </row>
    <row r="3700" spans="1:12" x14ac:dyDescent="0.35">
      <c r="A3700" t="s">
        <v>118</v>
      </c>
      <c r="B3700" t="s">
        <v>622</v>
      </c>
      <c r="C3700" t="s">
        <v>167</v>
      </c>
      <c r="D3700">
        <v>2.1900000000000001E-3</v>
      </c>
      <c r="F3700" t="s">
        <v>2499</v>
      </c>
      <c r="I3700" t="s">
        <v>4949</v>
      </c>
      <c r="K3700" t="s">
        <v>5037</v>
      </c>
      <c r="L3700" t="s">
        <v>5039</v>
      </c>
    </row>
    <row r="3701" spans="1:12" x14ac:dyDescent="0.35">
      <c r="A3701" t="s">
        <v>118</v>
      </c>
      <c r="B3701" t="s">
        <v>623</v>
      </c>
      <c r="C3701" t="s">
        <v>1188</v>
      </c>
      <c r="D3701">
        <v>0.15</v>
      </c>
      <c r="F3701" t="s">
        <v>1269</v>
      </c>
      <c r="I3701" t="s">
        <v>4867</v>
      </c>
      <c r="K3701" t="s">
        <v>5037</v>
      </c>
      <c r="L3701" t="s">
        <v>5039</v>
      </c>
    </row>
    <row r="3702" spans="1:12" x14ac:dyDescent="0.35">
      <c r="A3702" t="s">
        <v>118</v>
      </c>
      <c r="B3702" t="s">
        <v>619</v>
      </c>
      <c r="C3702" t="s">
        <v>1188</v>
      </c>
      <c r="D3702">
        <v>1.4500000000000001E-2</v>
      </c>
      <c r="F3702" t="s">
        <v>2113</v>
      </c>
      <c r="H3702" t="s">
        <v>4543</v>
      </c>
      <c r="I3702" t="s">
        <v>5013</v>
      </c>
      <c r="K3702" t="s">
        <v>5037</v>
      </c>
      <c r="L3702" t="s">
        <v>5039</v>
      </c>
    </row>
    <row r="3703" spans="1:12" x14ac:dyDescent="0.35">
      <c r="A3703" t="s">
        <v>118</v>
      </c>
      <c r="B3703" t="s">
        <v>619</v>
      </c>
      <c r="C3703" t="s">
        <v>167</v>
      </c>
      <c r="D3703">
        <v>1.6100000000000001E-4</v>
      </c>
      <c r="F3703" t="s">
        <v>2500</v>
      </c>
      <c r="H3703" t="s">
        <v>4543</v>
      </c>
      <c r="I3703" t="s">
        <v>5013</v>
      </c>
      <c r="K3703" t="s">
        <v>5037</v>
      </c>
      <c r="L3703" t="s">
        <v>5039</v>
      </c>
    </row>
    <row r="3704" spans="1:12" x14ac:dyDescent="0.35">
      <c r="A3704" t="s">
        <v>118</v>
      </c>
      <c r="B3704" t="s">
        <v>508</v>
      </c>
      <c r="C3704" t="s">
        <v>1188</v>
      </c>
      <c r="D3704">
        <v>3.36</v>
      </c>
      <c r="F3704" t="s">
        <v>2501</v>
      </c>
      <c r="I3704" t="s">
        <v>4867</v>
      </c>
      <c r="K3704" t="s">
        <v>5037</v>
      </c>
      <c r="L3704" t="s">
        <v>5039</v>
      </c>
    </row>
    <row r="3705" spans="1:12" x14ac:dyDescent="0.35">
      <c r="A3705" t="s">
        <v>118</v>
      </c>
      <c r="B3705" t="s">
        <v>624</v>
      </c>
      <c r="C3705" t="s">
        <v>167</v>
      </c>
      <c r="D3705">
        <v>0.13200000000000001</v>
      </c>
      <c r="F3705" t="s">
        <v>2056</v>
      </c>
      <c r="H3705" t="s">
        <v>4544</v>
      </c>
      <c r="I3705" t="s">
        <v>1496</v>
      </c>
      <c r="K3705" t="s">
        <v>5037</v>
      </c>
      <c r="L3705" t="s">
        <v>5039</v>
      </c>
    </row>
    <row r="3706" spans="1:12" x14ac:dyDescent="0.35">
      <c r="A3706" t="s">
        <v>118</v>
      </c>
      <c r="B3706" t="s">
        <v>624</v>
      </c>
      <c r="C3706" t="s">
        <v>1188</v>
      </c>
      <c r="D3706">
        <v>3.0950000000000002</v>
      </c>
      <c r="F3706" t="s">
        <v>2502</v>
      </c>
      <c r="H3706" t="s">
        <v>4545</v>
      </c>
      <c r="I3706" t="s">
        <v>1496</v>
      </c>
      <c r="K3706" t="s">
        <v>5037</v>
      </c>
      <c r="L3706" t="s">
        <v>5039</v>
      </c>
    </row>
    <row r="3707" spans="1:12" x14ac:dyDescent="0.35">
      <c r="A3707" t="s">
        <v>118</v>
      </c>
      <c r="B3707" t="s">
        <v>624</v>
      </c>
      <c r="C3707" t="s">
        <v>1188</v>
      </c>
      <c r="D3707">
        <v>3.9329999999999998</v>
      </c>
      <c r="F3707" t="s">
        <v>2503</v>
      </c>
      <c r="H3707" t="s">
        <v>4546</v>
      </c>
      <c r="I3707" t="s">
        <v>1496</v>
      </c>
      <c r="K3707" t="s">
        <v>5037</v>
      </c>
      <c r="L3707" t="s">
        <v>5039</v>
      </c>
    </row>
    <row r="3708" spans="1:12" x14ac:dyDescent="0.35">
      <c r="A3708" t="s">
        <v>118</v>
      </c>
      <c r="B3708" t="s">
        <v>624</v>
      </c>
      <c r="C3708" t="s">
        <v>167</v>
      </c>
      <c r="D3708">
        <v>13.96</v>
      </c>
      <c r="F3708" t="s">
        <v>2504</v>
      </c>
      <c r="H3708" t="s">
        <v>4547</v>
      </c>
      <c r="I3708" t="s">
        <v>1496</v>
      </c>
      <c r="K3708" t="s">
        <v>5037</v>
      </c>
      <c r="L3708" t="s">
        <v>5039</v>
      </c>
    </row>
    <row r="3709" spans="1:12" x14ac:dyDescent="0.35">
      <c r="A3709" t="s">
        <v>118</v>
      </c>
      <c r="B3709" t="s">
        <v>624</v>
      </c>
      <c r="C3709" t="s">
        <v>167</v>
      </c>
      <c r="D3709">
        <v>13.93</v>
      </c>
      <c r="F3709" t="s">
        <v>2505</v>
      </c>
      <c r="H3709" t="s">
        <v>4548</v>
      </c>
      <c r="I3709" t="s">
        <v>1496</v>
      </c>
      <c r="K3709" t="s">
        <v>5037</v>
      </c>
      <c r="L3709" t="s">
        <v>5039</v>
      </c>
    </row>
    <row r="3710" spans="1:12" x14ac:dyDescent="0.35">
      <c r="A3710" t="s">
        <v>118</v>
      </c>
      <c r="B3710" t="s">
        <v>544</v>
      </c>
      <c r="C3710" t="s">
        <v>167</v>
      </c>
      <c r="D3710">
        <v>3.2000000000000001E-2</v>
      </c>
      <c r="F3710" t="s">
        <v>1314</v>
      </c>
      <c r="I3710" t="s">
        <v>4970</v>
      </c>
      <c r="K3710" t="s">
        <v>5037</v>
      </c>
      <c r="L3710" t="s">
        <v>5039</v>
      </c>
    </row>
    <row r="3711" spans="1:12" x14ac:dyDescent="0.35">
      <c r="A3711" t="s">
        <v>118</v>
      </c>
      <c r="B3711" t="s">
        <v>175</v>
      </c>
      <c r="C3711" t="s">
        <v>1207</v>
      </c>
      <c r="D3711">
        <v>8.3000000000000004E-2</v>
      </c>
      <c r="F3711" t="s">
        <v>1603</v>
      </c>
      <c r="H3711" t="s">
        <v>4549</v>
      </c>
      <c r="I3711" t="s">
        <v>5003</v>
      </c>
      <c r="K3711" t="s">
        <v>5037</v>
      </c>
      <c r="L3711" t="s">
        <v>5039</v>
      </c>
    </row>
    <row r="3712" spans="1:12" x14ac:dyDescent="0.35">
      <c r="A3712" t="s">
        <v>118</v>
      </c>
      <c r="B3712" t="s">
        <v>175</v>
      </c>
      <c r="C3712" t="s">
        <v>1208</v>
      </c>
      <c r="D3712">
        <v>8.5000000000000006E-2</v>
      </c>
      <c r="F3712" t="s">
        <v>1459</v>
      </c>
      <c r="H3712" t="s">
        <v>4549</v>
      </c>
      <c r="I3712" t="s">
        <v>5003</v>
      </c>
      <c r="K3712" t="s">
        <v>5037</v>
      </c>
      <c r="L3712" t="s">
        <v>5039</v>
      </c>
    </row>
    <row r="3713" spans="1:12" x14ac:dyDescent="0.35">
      <c r="A3713" t="s">
        <v>118</v>
      </c>
      <c r="B3713" t="s">
        <v>175</v>
      </c>
      <c r="C3713" t="s">
        <v>1206</v>
      </c>
      <c r="D3713">
        <v>5.8000000000000003E-2</v>
      </c>
      <c r="F3713" t="s">
        <v>1577</v>
      </c>
      <c r="H3713" t="s">
        <v>4549</v>
      </c>
      <c r="I3713" t="s">
        <v>5003</v>
      </c>
      <c r="K3713" t="s">
        <v>5037</v>
      </c>
      <c r="L3713" t="s">
        <v>5039</v>
      </c>
    </row>
    <row r="3714" spans="1:12" x14ac:dyDescent="0.35">
      <c r="A3714" t="s">
        <v>118</v>
      </c>
      <c r="B3714" t="s">
        <v>466</v>
      </c>
      <c r="C3714" t="s">
        <v>1188</v>
      </c>
      <c r="D3714">
        <v>2.71</v>
      </c>
      <c r="F3714" t="s">
        <v>2506</v>
      </c>
      <c r="I3714" t="s">
        <v>4867</v>
      </c>
      <c r="K3714" t="s">
        <v>5037</v>
      </c>
      <c r="L3714" t="s">
        <v>5039</v>
      </c>
    </row>
    <row r="3715" spans="1:12" x14ac:dyDescent="0.35">
      <c r="A3715" t="s">
        <v>118</v>
      </c>
      <c r="B3715" t="s">
        <v>625</v>
      </c>
      <c r="C3715" t="s">
        <v>1188</v>
      </c>
      <c r="D3715">
        <v>1.28</v>
      </c>
      <c r="F3715" t="s">
        <v>1686</v>
      </c>
      <c r="I3715" t="s">
        <v>4867</v>
      </c>
      <c r="K3715" t="s">
        <v>5037</v>
      </c>
      <c r="L3715" t="s">
        <v>5039</v>
      </c>
    </row>
    <row r="3716" spans="1:12" x14ac:dyDescent="0.35">
      <c r="A3716" t="s">
        <v>118</v>
      </c>
      <c r="B3716" t="s">
        <v>626</v>
      </c>
      <c r="C3716" t="s">
        <v>167</v>
      </c>
      <c r="D3716">
        <v>3.79</v>
      </c>
      <c r="F3716" t="s">
        <v>2507</v>
      </c>
      <c r="H3716" t="s">
        <v>4550</v>
      </c>
      <c r="I3716" t="s">
        <v>1610</v>
      </c>
      <c r="K3716" t="s">
        <v>5037</v>
      </c>
      <c r="L3716" t="s">
        <v>5039</v>
      </c>
    </row>
    <row r="3717" spans="1:12" x14ac:dyDescent="0.35">
      <c r="A3717" t="s">
        <v>118</v>
      </c>
      <c r="B3717" t="s">
        <v>626</v>
      </c>
      <c r="C3717" t="s">
        <v>167</v>
      </c>
      <c r="D3717">
        <v>2.34</v>
      </c>
      <c r="F3717" t="s">
        <v>1405</v>
      </c>
      <c r="H3717" t="s">
        <v>4551</v>
      </c>
      <c r="I3717" t="s">
        <v>1610</v>
      </c>
      <c r="K3717" t="s">
        <v>5037</v>
      </c>
      <c r="L3717" t="s">
        <v>5039</v>
      </c>
    </row>
    <row r="3718" spans="1:12" x14ac:dyDescent="0.35">
      <c r="A3718" t="s">
        <v>118</v>
      </c>
      <c r="B3718" t="s">
        <v>626</v>
      </c>
      <c r="C3718" t="s">
        <v>1188</v>
      </c>
      <c r="D3718">
        <v>0.26</v>
      </c>
      <c r="F3718" t="s">
        <v>1447</v>
      </c>
      <c r="H3718" t="s">
        <v>4552</v>
      </c>
      <c r="I3718" t="s">
        <v>5014</v>
      </c>
      <c r="K3718" t="s">
        <v>5037</v>
      </c>
      <c r="L3718" t="s">
        <v>5039</v>
      </c>
    </row>
    <row r="3719" spans="1:12" x14ac:dyDescent="0.35">
      <c r="A3719" t="s">
        <v>118</v>
      </c>
      <c r="B3719" t="s">
        <v>626</v>
      </c>
      <c r="C3719" t="s">
        <v>1188</v>
      </c>
      <c r="D3719">
        <v>0.84</v>
      </c>
      <c r="F3719" t="s">
        <v>1673</v>
      </c>
      <c r="H3719" t="s">
        <v>4553</v>
      </c>
      <c r="I3719" t="s">
        <v>5015</v>
      </c>
      <c r="K3719" t="s">
        <v>5037</v>
      </c>
      <c r="L3719" t="s">
        <v>5039</v>
      </c>
    </row>
    <row r="3720" spans="1:12" x14ac:dyDescent="0.35">
      <c r="A3720" t="s">
        <v>118</v>
      </c>
      <c r="B3720" t="s">
        <v>626</v>
      </c>
      <c r="C3720" t="s">
        <v>1188</v>
      </c>
      <c r="D3720">
        <v>1.69</v>
      </c>
      <c r="F3720" t="s">
        <v>1987</v>
      </c>
      <c r="H3720" t="s">
        <v>4554</v>
      </c>
      <c r="I3720" t="s">
        <v>1610</v>
      </c>
      <c r="K3720" t="s">
        <v>5037</v>
      </c>
      <c r="L3720" t="s">
        <v>5039</v>
      </c>
    </row>
    <row r="3721" spans="1:12" x14ac:dyDescent="0.35">
      <c r="A3721" t="s">
        <v>118</v>
      </c>
      <c r="B3721" t="s">
        <v>178</v>
      </c>
      <c r="C3721" t="s">
        <v>167</v>
      </c>
      <c r="D3721">
        <v>5.1200000000000002E-2</v>
      </c>
      <c r="F3721" t="s">
        <v>2508</v>
      </c>
      <c r="H3721" t="s">
        <v>4555</v>
      </c>
      <c r="I3721" t="s">
        <v>5016</v>
      </c>
      <c r="K3721" t="s">
        <v>5037</v>
      </c>
      <c r="L3721" t="s">
        <v>5039</v>
      </c>
    </row>
    <row r="3722" spans="1:12" x14ac:dyDescent="0.35">
      <c r="A3722" t="s">
        <v>118</v>
      </c>
      <c r="B3722" t="s">
        <v>178</v>
      </c>
      <c r="C3722" t="s">
        <v>1226</v>
      </c>
      <c r="D3722">
        <v>3.04E-2</v>
      </c>
      <c r="F3722" t="s">
        <v>2509</v>
      </c>
      <c r="H3722" t="s">
        <v>4555</v>
      </c>
      <c r="I3722" t="s">
        <v>5016</v>
      </c>
      <c r="K3722" t="s">
        <v>5037</v>
      </c>
      <c r="L3722" t="s">
        <v>5039</v>
      </c>
    </row>
    <row r="3723" spans="1:12" x14ac:dyDescent="0.35">
      <c r="A3723" t="s">
        <v>118</v>
      </c>
      <c r="B3723" t="s">
        <v>627</v>
      </c>
      <c r="C3723" t="s">
        <v>167</v>
      </c>
      <c r="D3723">
        <v>0.71</v>
      </c>
      <c r="F3723" t="s">
        <v>1941</v>
      </c>
      <c r="H3723" t="s">
        <v>4556</v>
      </c>
      <c r="I3723" t="s">
        <v>5010</v>
      </c>
      <c r="K3723" t="s">
        <v>5037</v>
      </c>
      <c r="L3723" t="s">
        <v>5039</v>
      </c>
    </row>
    <row r="3724" spans="1:12" x14ac:dyDescent="0.35">
      <c r="A3724" t="s">
        <v>118</v>
      </c>
      <c r="B3724" t="s">
        <v>627</v>
      </c>
      <c r="C3724" t="s">
        <v>1188</v>
      </c>
      <c r="D3724">
        <v>16</v>
      </c>
      <c r="F3724" t="s">
        <v>1526</v>
      </c>
      <c r="H3724" t="s">
        <v>4557</v>
      </c>
      <c r="I3724" t="s">
        <v>5010</v>
      </c>
      <c r="K3724" t="s">
        <v>5037</v>
      </c>
      <c r="L3724" t="s">
        <v>5039</v>
      </c>
    </row>
    <row r="3725" spans="1:12" x14ac:dyDescent="0.35">
      <c r="A3725" t="s">
        <v>118</v>
      </c>
      <c r="B3725" t="s">
        <v>627</v>
      </c>
      <c r="C3725" t="s">
        <v>1188</v>
      </c>
      <c r="D3725">
        <v>6.4</v>
      </c>
      <c r="F3725" t="s">
        <v>1771</v>
      </c>
      <c r="H3725" t="s">
        <v>4558</v>
      </c>
      <c r="I3725" t="s">
        <v>5010</v>
      </c>
      <c r="K3725" t="s">
        <v>5037</v>
      </c>
      <c r="L3725" t="s">
        <v>5039</v>
      </c>
    </row>
    <row r="3726" spans="1:12" x14ac:dyDescent="0.35">
      <c r="A3726" t="s">
        <v>118</v>
      </c>
      <c r="B3726" t="s">
        <v>627</v>
      </c>
      <c r="C3726" t="s">
        <v>1188</v>
      </c>
      <c r="D3726">
        <v>223.6</v>
      </c>
      <c r="F3726" t="s">
        <v>2510</v>
      </c>
      <c r="H3726" t="s">
        <v>4559</v>
      </c>
      <c r="I3726" t="s">
        <v>5010</v>
      </c>
      <c r="K3726" t="s">
        <v>5037</v>
      </c>
      <c r="L3726" t="s">
        <v>5039</v>
      </c>
    </row>
    <row r="3727" spans="1:12" x14ac:dyDescent="0.35">
      <c r="A3727" t="s">
        <v>118</v>
      </c>
      <c r="B3727" t="s">
        <v>628</v>
      </c>
      <c r="C3727" t="s">
        <v>167</v>
      </c>
      <c r="D3727">
        <v>0.22500000000000001</v>
      </c>
      <c r="F3727" t="s">
        <v>2370</v>
      </c>
      <c r="H3727" t="s">
        <v>4560</v>
      </c>
      <c r="I3727" t="s">
        <v>4956</v>
      </c>
      <c r="K3727" t="s">
        <v>5037</v>
      </c>
      <c r="L3727" t="s">
        <v>5039</v>
      </c>
    </row>
    <row r="3728" spans="1:12" x14ac:dyDescent="0.35">
      <c r="A3728" t="s">
        <v>118</v>
      </c>
      <c r="B3728" t="s">
        <v>628</v>
      </c>
      <c r="C3728" t="s">
        <v>1188</v>
      </c>
      <c r="D3728">
        <v>0.373</v>
      </c>
      <c r="F3728" t="s">
        <v>2511</v>
      </c>
      <c r="H3728" t="s">
        <v>4560</v>
      </c>
      <c r="I3728" t="s">
        <v>4956</v>
      </c>
      <c r="K3728" t="s">
        <v>5037</v>
      </c>
      <c r="L3728" t="s">
        <v>5039</v>
      </c>
    </row>
    <row r="3729" spans="1:12" x14ac:dyDescent="0.35">
      <c r="A3729" t="s">
        <v>118</v>
      </c>
      <c r="B3729" t="s">
        <v>629</v>
      </c>
      <c r="C3729" t="s">
        <v>167</v>
      </c>
      <c r="D3729">
        <v>0.122</v>
      </c>
      <c r="F3729" t="s">
        <v>2255</v>
      </c>
      <c r="H3729" t="s">
        <v>4561</v>
      </c>
      <c r="I3729" t="s">
        <v>4956</v>
      </c>
      <c r="K3729" t="s">
        <v>5037</v>
      </c>
      <c r="L3729" t="s">
        <v>5039</v>
      </c>
    </row>
    <row r="3730" spans="1:12" x14ac:dyDescent="0.35">
      <c r="A3730" t="s">
        <v>118</v>
      </c>
      <c r="B3730" t="s">
        <v>629</v>
      </c>
      <c r="C3730" t="s">
        <v>1188</v>
      </c>
      <c r="D3730">
        <v>0.45500000000000002</v>
      </c>
      <c r="F3730" t="s">
        <v>1693</v>
      </c>
      <c r="H3730" t="s">
        <v>4561</v>
      </c>
      <c r="I3730" t="s">
        <v>4956</v>
      </c>
      <c r="K3730" t="s">
        <v>5037</v>
      </c>
      <c r="L3730" t="s">
        <v>5039</v>
      </c>
    </row>
    <row r="3731" spans="1:12" x14ac:dyDescent="0.35">
      <c r="A3731" t="s">
        <v>118</v>
      </c>
      <c r="B3731" t="s">
        <v>617</v>
      </c>
      <c r="C3731" t="s">
        <v>1188</v>
      </c>
      <c r="D3731">
        <v>0.67</v>
      </c>
      <c r="F3731" t="s">
        <v>1478</v>
      </c>
      <c r="H3731" t="s">
        <v>4562</v>
      </c>
      <c r="I3731" t="s">
        <v>4968</v>
      </c>
      <c r="K3731" t="s">
        <v>5037</v>
      </c>
      <c r="L3731" t="s">
        <v>5039</v>
      </c>
    </row>
    <row r="3732" spans="1:12" x14ac:dyDescent="0.35">
      <c r="A3732" t="s">
        <v>118</v>
      </c>
      <c r="B3732" t="s">
        <v>617</v>
      </c>
      <c r="C3732" t="s">
        <v>1213</v>
      </c>
      <c r="D3732">
        <v>6.0000000000000001E-3</v>
      </c>
      <c r="F3732" t="s">
        <v>1273</v>
      </c>
      <c r="H3732" t="s">
        <v>4562</v>
      </c>
      <c r="I3732" t="s">
        <v>4968</v>
      </c>
      <c r="K3732" t="s">
        <v>5037</v>
      </c>
      <c r="L3732" t="s">
        <v>5039</v>
      </c>
    </row>
    <row r="3733" spans="1:12" x14ac:dyDescent="0.35">
      <c r="A3733" t="s">
        <v>118</v>
      </c>
      <c r="B3733" t="s">
        <v>617</v>
      </c>
      <c r="C3733" t="s">
        <v>1213</v>
      </c>
      <c r="D3733">
        <v>2.1</v>
      </c>
      <c r="F3733" t="s">
        <v>1399</v>
      </c>
      <c r="H3733" t="s">
        <v>4563</v>
      </c>
      <c r="I3733" t="s">
        <v>4968</v>
      </c>
      <c r="K3733" t="s">
        <v>5037</v>
      </c>
      <c r="L3733" t="s">
        <v>5039</v>
      </c>
    </row>
    <row r="3734" spans="1:12" x14ac:dyDescent="0.35">
      <c r="A3734" t="s">
        <v>118</v>
      </c>
      <c r="B3734" t="s">
        <v>617</v>
      </c>
      <c r="C3734" t="s">
        <v>1188</v>
      </c>
      <c r="D3734">
        <v>1.6</v>
      </c>
      <c r="F3734" t="s">
        <v>1328</v>
      </c>
      <c r="H3734" t="s">
        <v>4563</v>
      </c>
      <c r="I3734" t="s">
        <v>4968</v>
      </c>
      <c r="K3734" t="s">
        <v>5037</v>
      </c>
      <c r="L3734" t="s">
        <v>5039</v>
      </c>
    </row>
    <row r="3735" spans="1:12" x14ac:dyDescent="0.35">
      <c r="A3735" t="s">
        <v>118</v>
      </c>
      <c r="B3735" t="s">
        <v>340</v>
      </c>
      <c r="C3735" t="s">
        <v>167</v>
      </c>
      <c r="D3735">
        <v>0.16600000000000001</v>
      </c>
      <c r="F3735" t="s">
        <v>1921</v>
      </c>
      <c r="H3735" t="s">
        <v>4564</v>
      </c>
      <c r="I3735" t="s">
        <v>5017</v>
      </c>
      <c r="K3735" t="s">
        <v>5037</v>
      </c>
      <c r="L3735" t="s">
        <v>5039</v>
      </c>
    </row>
    <row r="3736" spans="1:12" x14ac:dyDescent="0.35">
      <c r="A3736" t="s">
        <v>118</v>
      </c>
      <c r="B3736" t="s">
        <v>340</v>
      </c>
      <c r="C3736" t="s">
        <v>167</v>
      </c>
      <c r="D3736">
        <v>5.8000000000000003E-2</v>
      </c>
      <c r="F3736" t="s">
        <v>1577</v>
      </c>
      <c r="H3736" t="s">
        <v>4565</v>
      </c>
      <c r="I3736" t="s">
        <v>5018</v>
      </c>
      <c r="K3736" t="s">
        <v>5037</v>
      </c>
      <c r="L3736" t="s">
        <v>5039</v>
      </c>
    </row>
    <row r="3737" spans="1:12" x14ac:dyDescent="0.35">
      <c r="A3737" t="s">
        <v>118</v>
      </c>
      <c r="B3737" t="s">
        <v>340</v>
      </c>
      <c r="C3737" t="s">
        <v>1191</v>
      </c>
      <c r="D3737">
        <v>0.32400000000000001</v>
      </c>
      <c r="F3737" t="s">
        <v>2512</v>
      </c>
      <c r="H3737" t="s">
        <v>4566</v>
      </c>
      <c r="I3737" t="s">
        <v>5018</v>
      </c>
      <c r="K3737" t="s">
        <v>5037</v>
      </c>
      <c r="L3737" t="s">
        <v>5039</v>
      </c>
    </row>
    <row r="3738" spans="1:12" x14ac:dyDescent="0.35">
      <c r="A3738" t="s">
        <v>118</v>
      </c>
      <c r="B3738" t="s">
        <v>340</v>
      </c>
      <c r="C3738" t="s">
        <v>1227</v>
      </c>
      <c r="D3738">
        <v>0.32400000000000001</v>
      </c>
      <c r="F3738" t="s">
        <v>2512</v>
      </c>
      <c r="H3738" t="s">
        <v>4567</v>
      </c>
      <c r="I3738" t="s">
        <v>5017</v>
      </c>
      <c r="K3738" t="s">
        <v>5037</v>
      </c>
      <c r="L3738" t="s">
        <v>5039</v>
      </c>
    </row>
    <row r="3739" spans="1:12" x14ac:dyDescent="0.35">
      <c r="A3739" t="s">
        <v>118</v>
      </c>
      <c r="B3739" t="s">
        <v>340</v>
      </c>
      <c r="C3739" t="s">
        <v>1227</v>
      </c>
      <c r="D3739">
        <v>0.47</v>
      </c>
      <c r="F3739" t="s">
        <v>1795</v>
      </c>
      <c r="H3739" t="s">
        <v>4568</v>
      </c>
      <c r="I3739" t="s">
        <v>5017</v>
      </c>
      <c r="K3739" t="s">
        <v>5037</v>
      </c>
      <c r="L3739" t="s">
        <v>5039</v>
      </c>
    </row>
    <row r="3740" spans="1:12" x14ac:dyDescent="0.35">
      <c r="A3740" t="s">
        <v>118</v>
      </c>
      <c r="B3740" t="s">
        <v>340</v>
      </c>
      <c r="C3740" t="s">
        <v>167</v>
      </c>
      <c r="D3740">
        <v>0.192</v>
      </c>
      <c r="F3740" t="s">
        <v>2419</v>
      </c>
      <c r="H3740" t="s">
        <v>4569</v>
      </c>
      <c r="I3740" t="s">
        <v>5017</v>
      </c>
      <c r="K3740" t="s">
        <v>5037</v>
      </c>
      <c r="L3740" t="s">
        <v>5039</v>
      </c>
    </row>
    <row r="3741" spans="1:12" x14ac:dyDescent="0.35">
      <c r="A3741" t="s">
        <v>118</v>
      </c>
      <c r="B3741" t="s">
        <v>340</v>
      </c>
      <c r="C3741" t="s">
        <v>167</v>
      </c>
      <c r="D3741">
        <v>0.307</v>
      </c>
      <c r="F3741" t="s">
        <v>2513</v>
      </c>
      <c r="H3741" t="s">
        <v>4570</v>
      </c>
      <c r="I3741" t="s">
        <v>5017</v>
      </c>
      <c r="K3741" t="s">
        <v>5037</v>
      </c>
      <c r="L3741" t="s">
        <v>5039</v>
      </c>
    </row>
    <row r="3742" spans="1:12" x14ac:dyDescent="0.35">
      <c r="A3742" t="s">
        <v>118</v>
      </c>
      <c r="B3742" t="s">
        <v>340</v>
      </c>
      <c r="C3742" t="s">
        <v>167</v>
      </c>
      <c r="D3742">
        <v>0.221</v>
      </c>
      <c r="F3742" t="s">
        <v>2514</v>
      </c>
      <c r="H3742" t="s">
        <v>4571</v>
      </c>
      <c r="I3742" t="s">
        <v>5017</v>
      </c>
      <c r="K3742" t="s">
        <v>5037</v>
      </c>
      <c r="L3742" t="s">
        <v>5039</v>
      </c>
    </row>
    <row r="3743" spans="1:12" x14ac:dyDescent="0.35">
      <c r="A3743" t="s">
        <v>118</v>
      </c>
      <c r="B3743" t="s">
        <v>340</v>
      </c>
      <c r="C3743" t="s">
        <v>1227</v>
      </c>
      <c r="D3743">
        <v>0.78100000000000003</v>
      </c>
      <c r="F3743" t="s">
        <v>2515</v>
      </c>
      <c r="H3743" t="s">
        <v>4572</v>
      </c>
      <c r="I3743" t="s">
        <v>5017</v>
      </c>
      <c r="K3743" t="s">
        <v>5037</v>
      </c>
      <c r="L3743" t="s">
        <v>5039</v>
      </c>
    </row>
    <row r="3744" spans="1:12" x14ac:dyDescent="0.35">
      <c r="A3744" t="s">
        <v>118</v>
      </c>
      <c r="B3744" t="s">
        <v>340</v>
      </c>
      <c r="C3744" t="s">
        <v>1227</v>
      </c>
      <c r="D3744">
        <v>0.88200000000000001</v>
      </c>
      <c r="F3744" t="s">
        <v>2516</v>
      </c>
      <c r="H3744" t="s">
        <v>4573</v>
      </c>
      <c r="I3744" t="s">
        <v>5017</v>
      </c>
      <c r="K3744" t="s">
        <v>5037</v>
      </c>
      <c r="L3744" t="s">
        <v>5039</v>
      </c>
    </row>
    <row r="3745" spans="1:12" x14ac:dyDescent="0.35">
      <c r="A3745" t="s">
        <v>118</v>
      </c>
      <c r="B3745" t="s">
        <v>340</v>
      </c>
      <c r="C3745" t="s">
        <v>167</v>
      </c>
      <c r="D3745">
        <v>0.74299999999999999</v>
      </c>
      <c r="F3745" t="s">
        <v>2517</v>
      </c>
      <c r="H3745" t="s">
        <v>4574</v>
      </c>
      <c r="I3745" t="s">
        <v>5017</v>
      </c>
      <c r="K3745" t="s">
        <v>5037</v>
      </c>
      <c r="L3745" t="s">
        <v>5039</v>
      </c>
    </row>
    <row r="3746" spans="1:12" x14ac:dyDescent="0.35">
      <c r="A3746" t="s">
        <v>118</v>
      </c>
      <c r="B3746" t="s">
        <v>340</v>
      </c>
      <c r="C3746" t="s">
        <v>1227</v>
      </c>
      <c r="D3746">
        <v>1.4870000000000001</v>
      </c>
      <c r="F3746" t="s">
        <v>2518</v>
      </c>
      <c r="H3746" t="s">
        <v>4575</v>
      </c>
      <c r="I3746" t="s">
        <v>5017</v>
      </c>
      <c r="K3746" t="s">
        <v>5037</v>
      </c>
      <c r="L3746" t="s">
        <v>5039</v>
      </c>
    </row>
    <row r="3747" spans="1:12" x14ac:dyDescent="0.35">
      <c r="A3747" t="s">
        <v>118</v>
      </c>
      <c r="B3747" t="s">
        <v>340</v>
      </c>
      <c r="C3747" t="s">
        <v>1227</v>
      </c>
      <c r="D3747">
        <v>1.117</v>
      </c>
      <c r="F3747" t="s">
        <v>2519</v>
      </c>
      <c r="H3747" t="s">
        <v>4576</v>
      </c>
      <c r="I3747" t="s">
        <v>5017</v>
      </c>
      <c r="K3747" t="s">
        <v>5037</v>
      </c>
      <c r="L3747" t="s">
        <v>5039</v>
      </c>
    </row>
    <row r="3748" spans="1:12" x14ac:dyDescent="0.35">
      <c r="A3748" t="s">
        <v>118</v>
      </c>
      <c r="B3748" t="s">
        <v>340</v>
      </c>
      <c r="C3748" t="s">
        <v>1227</v>
      </c>
      <c r="D3748">
        <v>3.661</v>
      </c>
      <c r="F3748" t="s">
        <v>2520</v>
      </c>
      <c r="H3748" t="s">
        <v>4577</v>
      </c>
      <c r="I3748" t="s">
        <v>5017</v>
      </c>
      <c r="K3748" t="s">
        <v>5037</v>
      </c>
      <c r="L3748" t="s">
        <v>5039</v>
      </c>
    </row>
    <row r="3749" spans="1:12" x14ac:dyDescent="0.35">
      <c r="A3749" t="s">
        <v>118</v>
      </c>
      <c r="B3749" t="s">
        <v>340</v>
      </c>
      <c r="C3749" t="s">
        <v>1227</v>
      </c>
      <c r="D3749">
        <v>3.8660000000000001</v>
      </c>
      <c r="F3749" t="s">
        <v>2521</v>
      </c>
      <c r="H3749" t="s">
        <v>4578</v>
      </c>
      <c r="I3749" t="s">
        <v>5017</v>
      </c>
      <c r="K3749" t="s">
        <v>5037</v>
      </c>
      <c r="L3749" t="s">
        <v>5039</v>
      </c>
    </row>
    <row r="3750" spans="1:12" x14ac:dyDescent="0.35">
      <c r="A3750" t="s">
        <v>118</v>
      </c>
      <c r="B3750" t="s">
        <v>474</v>
      </c>
      <c r="C3750" t="s">
        <v>1226</v>
      </c>
      <c r="D3750">
        <v>9.2999999999999999E-2</v>
      </c>
      <c r="F3750" t="s">
        <v>1412</v>
      </c>
      <c r="H3750" t="s">
        <v>4579</v>
      </c>
      <c r="I3750" t="s">
        <v>5016</v>
      </c>
      <c r="K3750" t="s">
        <v>5037</v>
      </c>
      <c r="L3750" t="s">
        <v>5039</v>
      </c>
    </row>
    <row r="3751" spans="1:12" x14ac:dyDescent="0.35">
      <c r="A3751" t="s">
        <v>118</v>
      </c>
      <c r="B3751" t="s">
        <v>474</v>
      </c>
      <c r="C3751" t="s">
        <v>1228</v>
      </c>
      <c r="D3751">
        <v>0.39500000000000002</v>
      </c>
      <c r="F3751" t="s">
        <v>2522</v>
      </c>
      <c r="H3751" t="s">
        <v>3849</v>
      </c>
      <c r="I3751" t="s">
        <v>5016</v>
      </c>
      <c r="K3751" t="s">
        <v>5037</v>
      </c>
      <c r="L3751" t="s">
        <v>5039</v>
      </c>
    </row>
    <row r="3752" spans="1:12" x14ac:dyDescent="0.35">
      <c r="A3752" t="s">
        <v>118</v>
      </c>
      <c r="B3752" t="s">
        <v>474</v>
      </c>
      <c r="C3752" t="s">
        <v>167</v>
      </c>
      <c r="D3752">
        <v>7.0900000000000005E-2</v>
      </c>
      <c r="F3752" t="s">
        <v>2523</v>
      </c>
      <c r="H3752" t="s">
        <v>4579</v>
      </c>
      <c r="I3752" t="s">
        <v>5016</v>
      </c>
      <c r="K3752" t="s">
        <v>5037</v>
      </c>
      <c r="L3752" t="s">
        <v>5039</v>
      </c>
    </row>
    <row r="3753" spans="1:12" x14ac:dyDescent="0.35">
      <c r="A3753" t="s">
        <v>118</v>
      </c>
      <c r="B3753" t="s">
        <v>505</v>
      </c>
      <c r="C3753" t="s">
        <v>1218</v>
      </c>
      <c r="D3753">
        <v>2.5000000000000001E-2</v>
      </c>
      <c r="F3753" t="s">
        <v>1282</v>
      </c>
      <c r="I3753" t="s">
        <v>1317</v>
      </c>
      <c r="K3753" t="s">
        <v>5037</v>
      </c>
      <c r="L3753" t="s">
        <v>5039</v>
      </c>
    </row>
    <row r="3754" spans="1:12" x14ac:dyDescent="0.35">
      <c r="A3754" t="s">
        <v>118</v>
      </c>
      <c r="B3754" t="s">
        <v>505</v>
      </c>
      <c r="C3754" t="s">
        <v>167</v>
      </c>
      <c r="D3754">
        <v>0.55000000000000004</v>
      </c>
      <c r="F3754" t="s">
        <v>1432</v>
      </c>
      <c r="H3754" t="s">
        <v>4580</v>
      </c>
      <c r="I3754" t="s">
        <v>4998</v>
      </c>
      <c r="K3754" t="s">
        <v>5037</v>
      </c>
      <c r="L3754" t="s">
        <v>5039</v>
      </c>
    </row>
    <row r="3755" spans="1:12" x14ac:dyDescent="0.35">
      <c r="A3755" t="s">
        <v>118</v>
      </c>
      <c r="B3755" t="s">
        <v>353</v>
      </c>
      <c r="C3755" t="s">
        <v>167</v>
      </c>
      <c r="D3755">
        <v>0.05</v>
      </c>
      <c r="F3755" t="s">
        <v>1559</v>
      </c>
      <c r="H3755" t="s">
        <v>4581</v>
      </c>
      <c r="I3755" t="s">
        <v>5019</v>
      </c>
      <c r="K3755" t="s">
        <v>5037</v>
      </c>
      <c r="L3755" t="s">
        <v>5039</v>
      </c>
    </row>
    <row r="3756" spans="1:12" x14ac:dyDescent="0.35">
      <c r="A3756" t="s">
        <v>118</v>
      </c>
      <c r="B3756" t="s">
        <v>353</v>
      </c>
      <c r="C3756" t="s">
        <v>167</v>
      </c>
      <c r="D3756">
        <v>1.4</v>
      </c>
      <c r="F3756" t="s">
        <v>1469</v>
      </c>
      <c r="H3756" t="s">
        <v>4582</v>
      </c>
      <c r="I3756" t="s">
        <v>5019</v>
      </c>
      <c r="K3756" t="s">
        <v>5037</v>
      </c>
      <c r="L3756" t="s">
        <v>5039</v>
      </c>
    </row>
    <row r="3757" spans="1:12" x14ac:dyDescent="0.35">
      <c r="A3757" t="s">
        <v>118</v>
      </c>
      <c r="B3757" t="s">
        <v>353</v>
      </c>
      <c r="C3757" t="s">
        <v>167</v>
      </c>
      <c r="D3757">
        <v>1.9</v>
      </c>
      <c r="F3757" t="s">
        <v>1503</v>
      </c>
      <c r="H3757" t="s">
        <v>4583</v>
      </c>
      <c r="I3757" t="s">
        <v>5019</v>
      </c>
      <c r="K3757" t="s">
        <v>5037</v>
      </c>
      <c r="L3757" t="s">
        <v>5039</v>
      </c>
    </row>
    <row r="3758" spans="1:12" x14ac:dyDescent="0.35">
      <c r="A3758" t="s">
        <v>118</v>
      </c>
      <c r="B3758" t="s">
        <v>353</v>
      </c>
      <c r="C3758" t="s">
        <v>167</v>
      </c>
      <c r="D3758">
        <v>2.5</v>
      </c>
      <c r="F3758" t="s">
        <v>1406</v>
      </c>
      <c r="H3758" t="s">
        <v>4584</v>
      </c>
      <c r="I3758" t="s">
        <v>5019</v>
      </c>
      <c r="K3758" t="s">
        <v>5037</v>
      </c>
      <c r="L3758" t="s">
        <v>5039</v>
      </c>
    </row>
    <row r="3759" spans="1:12" x14ac:dyDescent="0.35">
      <c r="A3759" t="s">
        <v>118</v>
      </c>
      <c r="B3759" t="s">
        <v>353</v>
      </c>
      <c r="C3759" t="s">
        <v>1188</v>
      </c>
      <c r="D3759">
        <v>4.3</v>
      </c>
      <c r="F3759" t="s">
        <v>1674</v>
      </c>
      <c r="H3759" t="s">
        <v>4585</v>
      </c>
      <c r="I3759" t="s">
        <v>5019</v>
      </c>
      <c r="K3759" t="s">
        <v>5037</v>
      </c>
      <c r="L3759" t="s">
        <v>5039</v>
      </c>
    </row>
    <row r="3760" spans="1:12" x14ac:dyDescent="0.35">
      <c r="A3760" t="s">
        <v>118</v>
      </c>
      <c r="B3760" t="s">
        <v>353</v>
      </c>
      <c r="C3760" t="s">
        <v>1188</v>
      </c>
      <c r="D3760">
        <v>4.4000000000000004</v>
      </c>
      <c r="F3760" t="s">
        <v>1492</v>
      </c>
      <c r="H3760" t="s">
        <v>4586</v>
      </c>
      <c r="I3760" t="s">
        <v>5019</v>
      </c>
      <c r="K3760" t="s">
        <v>5037</v>
      </c>
      <c r="L3760" t="s">
        <v>5039</v>
      </c>
    </row>
    <row r="3761" spans="1:12" x14ac:dyDescent="0.35">
      <c r="A3761" t="s">
        <v>118</v>
      </c>
      <c r="B3761" t="s">
        <v>324</v>
      </c>
      <c r="C3761" t="s">
        <v>793</v>
      </c>
      <c r="D3761">
        <v>1.2500000000000001E-2</v>
      </c>
      <c r="F3761" t="s">
        <v>1262</v>
      </c>
      <c r="H3761" t="s">
        <v>4587</v>
      </c>
      <c r="I3761" t="s">
        <v>4932</v>
      </c>
      <c r="K3761" t="s">
        <v>5037</v>
      </c>
      <c r="L3761" t="s">
        <v>5039</v>
      </c>
    </row>
    <row r="3762" spans="1:12" x14ac:dyDescent="0.35">
      <c r="A3762" t="s">
        <v>118</v>
      </c>
      <c r="B3762" t="s">
        <v>324</v>
      </c>
      <c r="C3762" t="s">
        <v>793</v>
      </c>
      <c r="D3762">
        <v>0.1</v>
      </c>
      <c r="F3762" t="s">
        <v>1309</v>
      </c>
      <c r="H3762" t="s">
        <v>4588</v>
      </c>
      <c r="I3762" t="s">
        <v>4932</v>
      </c>
      <c r="K3762" t="s">
        <v>5037</v>
      </c>
      <c r="L3762" t="s">
        <v>5039</v>
      </c>
    </row>
    <row r="3763" spans="1:12" x14ac:dyDescent="0.35">
      <c r="A3763" t="s">
        <v>118</v>
      </c>
      <c r="B3763" t="s">
        <v>324</v>
      </c>
      <c r="C3763" t="s">
        <v>1229</v>
      </c>
      <c r="D3763">
        <v>0.18</v>
      </c>
      <c r="F3763" t="s">
        <v>1531</v>
      </c>
      <c r="H3763" t="s">
        <v>4589</v>
      </c>
      <c r="I3763" t="s">
        <v>4908</v>
      </c>
      <c r="K3763" t="s">
        <v>5037</v>
      </c>
      <c r="L3763" t="s">
        <v>5039</v>
      </c>
    </row>
    <row r="3764" spans="1:12" x14ac:dyDescent="0.35">
      <c r="A3764" t="s">
        <v>118</v>
      </c>
      <c r="B3764" t="s">
        <v>324</v>
      </c>
      <c r="C3764" t="s">
        <v>1229</v>
      </c>
      <c r="D3764">
        <v>0.6</v>
      </c>
      <c r="F3764" t="s">
        <v>1519</v>
      </c>
      <c r="H3764" t="s">
        <v>4590</v>
      </c>
      <c r="I3764" t="s">
        <v>1889</v>
      </c>
      <c r="K3764" t="s">
        <v>5037</v>
      </c>
      <c r="L3764" t="s">
        <v>5039</v>
      </c>
    </row>
    <row r="3765" spans="1:12" x14ac:dyDescent="0.35">
      <c r="A3765" t="s">
        <v>118</v>
      </c>
      <c r="B3765" t="s">
        <v>324</v>
      </c>
      <c r="C3765" t="s">
        <v>1216</v>
      </c>
      <c r="D3765">
        <v>5.0000000000000001E-4</v>
      </c>
      <c r="F3765" t="s">
        <v>2229</v>
      </c>
      <c r="H3765" t="s">
        <v>4591</v>
      </c>
      <c r="I3765" t="s">
        <v>4932</v>
      </c>
      <c r="K3765" t="s">
        <v>5037</v>
      </c>
      <c r="L3765" t="s">
        <v>5039</v>
      </c>
    </row>
    <row r="3766" spans="1:12" x14ac:dyDescent="0.35">
      <c r="A3766" t="s">
        <v>118</v>
      </c>
      <c r="B3766" t="s">
        <v>324</v>
      </c>
      <c r="C3766" t="s">
        <v>1230</v>
      </c>
      <c r="D3766">
        <v>0.21</v>
      </c>
      <c r="F3766" t="s">
        <v>1572</v>
      </c>
      <c r="H3766" t="s">
        <v>4592</v>
      </c>
      <c r="I3766" t="s">
        <v>4932</v>
      </c>
      <c r="K3766" t="s">
        <v>5037</v>
      </c>
      <c r="L3766" t="s">
        <v>5039</v>
      </c>
    </row>
    <row r="3767" spans="1:12" x14ac:dyDescent="0.35">
      <c r="A3767" t="s">
        <v>118</v>
      </c>
      <c r="B3767" t="s">
        <v>324</v>
      </c>
      <c r="C3767" t="s">
        <v>793</v>
      </c>
      <c r="D3767">
        <v>0.9</v>
      </c>
      <c r="F3767" t="s">
        <v>1556</v>
      </c>
      <c r="H3767" t="s">
        <v>4593</v>
      </c>
      <c r="I3767" t="s">
        <v>4932</v>
      </c>
      <c r="K3767" t="s">
        <v>5037</v>
      </c>
      <c r="L3767" t="s">
        <v>5039</v>
      </c>
    </row>
    <row r="3768" spans="1:12" x14ac:dyDescent="0.35">
      <c r="A3768" t="s">
        <v>118</v>
      </c>
      <c r="B3768" t="s">
        <v>324</v>
      </c>
      <c r="C3768" t="s">
        <v>1229</v>
      </c>
      <c r="D3768">
        <v>4.2000000000000003E-2</v>
      </c>
      <c r="F3768" t="s">
        <v>1338</v>
      </c>
      <c r="H3768" t="s">
        <v>4594</v>
      </c>
      <c r="I3768" t="s">
        <v>4908</v>
      </c>
      <c r="K3768" t="s">
        <v>5037</v>
      </c>
      <c r="L3768" t="s">
        <v>5039</v>
      </c>
    </row>
    <row r="3769" spans="1:12" x14ac:dyDescent="0.35">
      <c r="A3769" t="s">
        <v>118</v>
      </c>
      <c r="B3769" t="s">
        <v>324</v>
      </c>
      <c r="C3769" t="s">
        <v>793</v>
      </c>
      <c r="D3769">
        <v>0.8</v>
      </c>
      <c r="F3769" t="s">
        <v>1319</v>
      </c>
      <c r="H3769" t="s">
        <v>4595</v>
      </c>
      <c r="I3769" t="s">
        <v>4932</v>
      </c>
      <c r="K3769" t="s">
        <v>5037</v>
      </c>
      <c r="L3769" t="s">
        <v>5039</v>
      </c>
    </row>
    <row r="3770" spans="1:12" x14ac:dyDescent="0.35">
      <c r="A3770" t="s">
        <v>118</v>
      </c>
      <c r="B3770" t="s">
        <v>324</v>
      </c>
      <c r="C3770" t="s">
        <v>1216</v>
      </c>
      <c r="D3770">
        <v>1.9E-3</v>
      </c>
      <c r="F3770" t="s">
        <v>1778</v>
      </c>
      <c r="H3770" t="s">
        <v>4596</v>
      </c>
      <c r="I3770" t="s">
        <v>4932</v>
      </c>
      <c r="K3770" t="s">
        <v>5037</v>
      </c>
      <c r="L3770" t="s">
        <v>5039</v>
      </c>
    </row>
    <row r="3771" spans="1:12" x14ac:dyDescent="0.35">
      <c r="A3771" t="s">
        <v>118</v>
      </c>
      <c r="B3771" t="s">
        <v>324</v>
      </c>
      <c r="C3771" t="s">
        <v>1188</v>
      </c>
      <c r="D3771">
        <v>3</v>
      </c>
      <c r="F3771" t="s">
        <v>1368</v>
      </c>
      <c r="H3771" t="s">
        <v>4597</v>
      </c>
      <c r="I3771" t="s">
        <v>1889</v>
      </c>
      <c r="K3771" t="s">
        <v>5037</v>
      </c>
      <c r="L3771" t="s">
        <v>5039</v>
      </c>
    </row>
    <row r="3772" spans="1:12" x14ac:dyDescent="0.35">
      <c r="A3772" t="s">
        <v>118</v>
      </c>
      <c r="B3772" t="s">
        <v>324</v>
      </c>
      <c r="C3772" t="s">
        <v>1216</v>
      </c>
      <c r="D3772">
        <v>8.0000000000000004E-4</v>
      </c>
      <c r="F3772" t="s">
        <v>1762</v>
      </c>
      <c r="H3772" t="s">
        <v>4598</v>
      </c>
      <c r="I3772" t="s">
        <v>4932</v>
      </c>
      <c r="K3772" t="s">
        <v>5037</v>
      </c>
      <c r="L3772" t="s">
        <v>5039</v>
      </c>
    </row>
    <row r="3773" spans="1:12" x14ac:dyDescent="0.35">
      <c r="A3773" t="s">
        <v>118</v>
      </c>
      <c r="B3773" t="s">
        <v>324</v>
      </c>
      <c r="C3773" t="s">
        <v>1229</v>
      </c>
      <c r="D3773">
        <v>0.82</v>
      </c>
      <c r="F3773" t="s">
        <v>1930</v>
      </c>
      <c r="H3773" t="s">
        <v>4599</v>
      </c>
      <c r="I3773" t="s">
        <v>4908</v>
      </c>
      <c r="K3773" t="s">
        <v>5037</v>
      </c>
      <c r="L3773" t="s">
        <v>5039</v>
      </c>
    </row>
    <row r="3774" spans="1:12" x14ac:dyDescent="0.35">
      <c r="A3774" t="s">
        <v>118</v>
      </c>
      <c r="B3774" t="s">
        <v>324</v>
      </c>
      <c r="C3774" t="s">
        <v>1216</v>
      </c>
      <c r="D3774">
        <v>6.0000000000000002E-5</v>
      </c>
      <c r="F3774" t="s">
        <v>2524</v>
      </c>
      <c r="H3774" t="s">
        <v>4600</v>
      </c>
      <c r="I3774" t="s">
        <v>4932</v>
      </c>
      <c r="K3774" t="s">
        <v>5037</v>
      </c>
      <c r="L3774" t="s">
        <v>5039</v>
      </c>
    </row>
    <row r="3775" spans="1:12" x14ac:dyDescent="0.35">
      <c r="A3775" t="s">
        <v>118</v>
      </c>
      <c r="B3775" t="s">
        <v>324</v>
      </c>
      <c r="C3775" t="s">
        <v>1188</v>
      </c>
      <c r="D3775">
        <v>2.8</v>
      </c>
      <c r="F3775" t="s">
        <v>1504</v>
      </c>
      <c r="H3775" t="s">
        <v>4601</v>
      </c>
      <c r="I3775" t="s">
        <v>1889</v>
      </c>
      <c r="K3775" t="s">
        <v>5037</v>
      </c>
      <c r="L3775" t="s">
        <v>5039</v>
      </c>
    </row>
    <row r="3776" spans="1:12" x14ac:dyDescent="0.35">
      <c r="A3776" t="s">
        <v>118</v>
      </c>
      <c r="B3776" t="s">
        <v>324</v>
      </c>
      <c r="C3776" t="s">
        <v>793</v>
      </c>
      <c r="D3776">
        <v>1.1000000000000001</v>
      </c>
      <c r="F3776" t="s">
        <v>1505</v>
      </c>
      <c r="H3776" t="s">
        <v>4602</v>
      </c>
      <c r="I3776" t="s">
        <v>4932</v>
      </c>
      <c r="K3776" t="s">
        <v>5037</v>
      </c>
      <c r="L3776" t="s">
        <v>5039</v>
      </c>
    </row>
    <row r="3777" spans="1:12" x14ac:dyDescent="0.35">
      <c r="A3777" t="s">
        <v>118</v>
      </c>
      <c r="B3777" t="s">
        <v>324</v>
      </c>
      <c r="C3777" t="s">
        <v>1230</v>
      </c>
      <c r="D3777">
        <v>1.6</v>
      </c>
      <c r="F3777" t="s">
        <v>1328</v>
      </c>
      <c r="H3777" t="s">
        <v>4603</v>
      </c>
      <c r="I3777" t="s">
        <v>4932</v>
      </c>
      <c r="K3777" t="s">
        <v>5037</v>
      </c>
      <c r="L3777" t="s">
        <v>5039</v>
      </c>
    </row>
    <row r="3778" spans="1:12" x14ac:dyDescent="0.35">
      <c r="A3778" t="s">
        <v>118</v>
      </c>
      <c r="B3778" t="s">
        <v>324</v>
      </c>
      <c r="C3778" t="s">
        <v>167</v>
      </c>
      <c r="D3778">
        <v>0.83</v>
      </c>
      <c r="F3778" t="s">
        <v>1734</v>
      </c>
      <c r="H3778" t="s">
        <v>4604</v>
      </c>
      <c r="I3778" t="s">
        <v>4908</v>
      </c>
      <c r="K3778" t="s">
        <v>5037</v>
      </c>
      <c r="L3778" t="s">
        <v>5039</v>
      </c>
    </row>
    <row r="3779" spans="1:12" x14ac:dyDescent="0.35">
      <c r="A3779" t="s">
        <v>118</v>
      </c>
      <c r="B3779" t="s">
        <v>324</v>
      </c>
      <c r="C3779" t="s">
        <v>1188</v>
      </c>
      <c r="D3779">
        <v>1.07</v>
      </c>
      <c r="F3779" t="s">
        <v>1713</v>
      </c>
      <c r="H3779" t="s">
        <v>4605</v>
      </c>
      <c r="I3779" t="s">
        <v>4924</v>
      </c>
      <c r="K3779" t="s">
        <v>5037</v>
      </c>
      <c r="L3779" t="s">
        <v>5039</v>
      </c>
    </row>
    <row r="3780" spans="1:12" x14ac:dyDescent="0.35">
      <c r="A3780" t="s">
        <v>118</v>
      </c>
      <c r="B3780" t="s">
        <v>324</v>
      </c>
      <c r="C3780" t="s">
        <v>793</v>
      </c>
      <c r="D3780">
        <v>3.5</v>
      </c>
      <c r="F3780" t="s">
        <v>1451</v>
      </c>
      <c r="H3780" t="s">
        <v>4606</v>
      </c>
      <c r="I3780" t="s">
        <v>4932</v>
      </c>
      <c r="K3780" t="s">
        <v>5037</v>
      </c>
      <c r="L3780" t="s">
        <v>5039</v>
      </c>
    </row>
    <row r="3781" spans="1:12" x14ac:dyDescent="0.35">
      <c r="A3781" t="s">
        <v>118</v>
      </c>
      <c r="B3781" t="s">
        <v>324</v>
      </c>
      <c r="C3781" t="s">
        <v>1230</v>
      </c>
      <c r="D3781">
        <v>3.5</v>
      </c>
      <c r="F3781" t="s">
        <v>1451</v>
      </c>
      <c r="H3781" t="s">
        <v>4607</v>
      </c>
      <c r="I3781" t="s">
        <v>4932</v>
      </c>
      <c r="K3781" t="s">
        <v>5037</v>
      </c>
      <c r="L3781" t="s">
        <v>5039</v>
      </c>
    </row>
    <row r="3782" spans="1:12" x14ac:dyDescent="0.35">
      <c r="A3782" t="s">
        <v>118</v>
      </c>
      <c r="B3782" t="s">
        <v>324</v>
      </c>
      <c r="C3782" t="s">
        <v>1188</v>
      </c>
      <c r="D3782">
        <v>1.79</v>
      </c>
      <c r="F3782" t="s">
        <v>1647</v>
      </c>
      <c r="H3782" t="s">
        <v>4608</v>
      </c>
      <c r="I3782" t="s">
        <v>4924</v>
      </c>
      <c r="K3782" t="s">
        <v>5037</v>
      </c>
      <c r="L3782" t="s">
        <v>5039</v>
      </c>
    </row>
    <row r="3783" spans="1:12" x14ac:dyDescent="0.35">
      <c r="A3783" t="s">
        <v>118</v>
      </c>
      <c r="B3783" t="s">
        <v>324</v>
      </c>
      <c r="C3783" t="s">
        <v>1230</v>
      </c>
      <c r="D3783">
        <v>6.9</v>
      </c>
      <c r="F3783" t="s">
        <v>1411</v>
      </c>
      <c r="H3783" t="s">
        <v>4609</v>
      </c>
      <c r="I3783" t="s">
        <v>4932</v>
      </c>
      <c r="K3783" t="s">
        <v>5037</v>
      </c>
      <c r="L3783" t="s">
        <v>5039</v>
      </c>
    </row>
    <row r="3784" spans="1:12" x14ac:dyDescent="0.35">
      <c r="A3784" t="s">
        <v>118</v>
      </c>
      <c r="B3784" t="s">
        <v>324</v>
      </c>
      <c r="C3784" t="s">
        <v>1230</v>
      </c>
      <c r="D3784">
        <v>20.7</v>
      </c>
      <c r="F3784" t="s">
        <v>2525</v>
      </c>
      <c r="H3784" t="s">
        <v>4610</v>
      </c>
      <c r="I3784" t="s">
        <v>4932</v>
      </c>
      <c r="K3784" t="s">
        <v>5037</v>
      </c>
      <c r="L3784" t="s">
        <v>5039</v>
      </c>
    </row>
    <row r="3785" spans="1:12" x14ac:dyDescent="0.35">
      <c r="A3785" t="s">
        <v>118</v>
      </c>
      <c r="B3785" t="s">
        <v>324</v>
      </c>
      <c r="C3785" t="s">
        <v>793</v>
      </c>
      <c r="D3785">
        <v>4.0599999999999997E-2</v>
      </c>
      <c r="F3785" t="s">
        <v>2526</v>
      </c>
      <c r="H3785" t="s">
        <v>4611</v>
      </c>
      <c r="I3785" t="s">
        <v>4932</v>
      </c>
      <c r="K3785" t="s">
        <v>5037</v>
      </c>
      <c r="L3785" t="s">
        <v>5039</v>
      </c>
    </row>
    <row r="3786" spans="1:12" x14ac:dyDescent="0.35">
      <c r="A3786" t="s">
        <v>118</v>
      </c>
      <c r="B3786" t="s">
        <v>324</v>
      </c>
      <c r="C3786" t="s">
        <v>1216</v>
      </c>
      <c r="D3786">
        <v>9.3999999999999997E-4</v>
      </c>
      <c r="F3786" t="s">
        <v>2527</v>
      </c>
      <c r="H3786" t="s">
        <v>4612</v>
      </c>
      <c r="I3786" t="s">
        <v>4932</v>
      </c>
      <c r="K3786" t="s">
        <v>5037</v>
      </c>
      <c r="L3786" t="s">
        <v>5039</v>
      </c>
    </row>
    <row r="3787" spans="1:12" x14ac:dyDescent="0.35">
      <c r="A3787" t="s">
        <v>118</v>
      </c>
      <c r="B3787" t="s">
        <v>324</v>
      </c>
      <c r="C3787" t="s">
        <v>1188</v>
      </c>
      <c r="D3787">
        <v>1.081</v>
      </c>
      <c r="F3787" t="s">
        <v>2528</v>
      </c>
      <c r="H3787" t="s">
        <v>4613</v>
      </c>
      <c r="I3787" t="s">
        <v>4924</v>
      </c>
      <c r="K3787" t="s">
        <v>5037</v>
      </c>
      <c r="L3787" t="s">
        <v>5039</v>
      </c>
    </row>
    <row r="3788" spans="1:12" x14ac:dyDescent="0.35">
      <c r="A3788" t="s">
        <v>118</v>
      </c>
      <c r="B3788" t="s">
        <v>324</v>
      </c>
      <c r="C3788" t="s">
        <v>793</v>
      </c>
      <c r="D3788">
        <v>6.08E-2</v>
      </c>
      <c r="F3788" t="s">
        <v>2529</v>
      </c>
      <c r="H3788" t="s">
        <v>4614</v>
      </c>
      <c r="I3788" t="s">
        <v>4932</v>
      </c>
      <c r="K3788" t="s">
        <v>5037</v>
      </c>
      <c r="L3788" t="s">
        <v>5039</v>
      </c>
    </row>
    <row r="3789" spans="1:12" x14ac:dyDescent="0.35">
      <c r="A3789" t="s">
        <v>118</v>
      </c>
      <c r="B3789" t="s">
        <v>324</v>
      </c>
      <c r="C3789" t="s">
        <v>1188</v>
      </c>
      <c r="D3789">
        <v>1.4419999999999999</v>
      </c>
      <c r="F3789" t="s">
        <v>2530</v>
      </c>
      <c r="H3789" t="s">
        <v>4615</v>
      </c>
      <c r="I3789" t="s">
        <v>4924</v>
      </c>
      <c r="K3789" t="s">
        <v>5037</v>
      </c>
      <c r="L3789" t="s">
        <v>5039</v>
      </c>
    </row>
    <row r="3790" spans="1:12" x14ac:dyDescent="0.35">
      <c r="A3790" t="s">
        <v>118</v>
      </c>
      <c r="B3790" t="s">
        <v>324</v>
      </c>
      <c r="C3790" t="s">
        <v>793</v>
      </c>
      <c r="D3790">
        <v>7.5499999999999998E-2</v>
      </c>
      <c r="F3790" t="s">
        <v>2531</v>
      </c>
      <c r="H3790" t="s">
        <v>4616</v>
      </c>
      <c r="I3790" t="s">
        <v>4932</v>
      </c>
      <c r="K3790" t="s">
        <v>5037</v>
      </c>
      <c r="L3790" t="s">
        <v>5039</v>
      </c>
    </row>
    <row r="3791" spans="1:12" x14ac:dyDescent="0.35">
      <c r="A3791" t="s">
        <v>118</v>
      </c>
      <c r="B3791" t="s">
        <v>324</v>
      </c>
      <c r="C3791" t="s">
        <v>793</v>
      </c>
      <c r="D3791">
        <v>7.2599999999999998E-2</v>
      </c>
      <c r="F3791" t="s">
        <v>2532</v>
      </c>
      <c r="H3791" t="s">
        <v>4617</v>
      </c>
      <c r="I3791" t="s">
        <v>4932</v>
      </c>
      <c r="K3791" t="s">
        <v>5037</v>
      </c>
      <c r="L3791" t="s">
        <v>5039</v>
      </c>
    </row>
    <row r="3792" spans="1:12" x14ac:dyDescent="0.35">
      <c r="A3792" t="s">
        <v>118</v>
      </c>
      <c r="B3792" t="s">
        <v>324</v>
      </c>
      <c r="C3792" t="s">
        <v>1188</v>
      </c>
      <c r="D3792">
        <v>1.3720000000000001</v>
      </c>
      <c r="F3792" t="s">
        <v>2533</v>
      </c>
      <c r="H3792" t="s">
        <v>4618</v>
      </c>
      <c r="I3792" t="s">
        <v>4924</v>
      </c>
      <c r="K3792" t="s">
        <v>5037</v>
      </c>
      <c r="L3792" t="s">
        <v>5039</v>
      </c>
    </row>
    <row r="3793" spans="1:12" x14ac:dyDescent="0.35">
      <c r="A3793" t="s">
        <v>118</v>
      </c>
      <c r="B3793" t="s">
        <v>324</v>
      </c>
      <c r="C3793" t="s">
        <v>1188</v>
      </c>
      <c r="D3793">
        <v>1.3420000000000001</v>
      </c>
      <c r="F3793" t="s">
        <v>2534</v>
      </c>
      <c r="H3793" t="s">
        <v>4619</v>
      </c>
      <c r="I3793" t="s">
        <v>4924</v>
      </c>
      <c r="K3793" t="s">
        <v>5037</v>
      </c>
      <c r="L3793" t="s">
        <v>5039</v>
      </c>
    </row>
    <row r="3794" spans="1:12" x14ac:dyDescent="0.35">
      <c r="A3794" t="s">
        <v>118</v>
      </c>
      <c r="B3794" t="s">
        <v>324</v>
      </c>
      <c r="C3794" t="s">
        <v>1188</v>
      </c>
      <c r="D3794">
        <v>1.6259999999999999</v>
      </c>
      <c r="F3794" t="s">
        <v>2535</v>
      </c>
      <c r="H3794" t="s">
        <v>4620</v>
      </c>
      <c r="I3794" t="s">
        <v>4924</v>
      </c>
      <c r="K3794" t="s">
        <v>5037</v>
      </c>
      <c r="L3794" t="s">
        <v>5039</v>
      </c>
    </row>
    <row r="3795" spans="1:12" x14ac:dyDescent="0.35">
      <c r="A3795" t="s">
        <v>118</v>
      </c>
      <c r="B3795" t="s">
        <v>324</v>
      </c>
      <c r="C3795" t="s">
        <v>1229</v>
      </c>
      <c r="D3795">
        <v>7.23</v>
      </c>
      <c r="F3795" t="s">
        <v>2536</v>
      </c>
      <c r="H3795" t="s">
        <v>4621</v>
      </c>
      <c r="I3795" t="s">
        <v>4908</v>
      </c>
      <c r="K3795" t="s">
        <v>5037</v>
      </c>
      <c r="L3795" t="s">
        <v>5039</v>
      </c>
    </row>
    <row r="3796" spans="1:12" x14ac:dyDescent="0.35">
      <c r="A3796" t="s">
        <v>118</v>
      </c>
      <c r="B3796" t="s">
        <v>324</v>
      </c>
      <c r="C3796" t="s">
        <v>167</v>
      </c>
      <c r="D3796">
        <v>3.92</v>
      </c>
      <c r="F3796" t="s">
        <v>2537</v>
      </c>
      <c r="H3796" t="s">
        <v>4621</v>
      </c>
      <c r="I3796" t="s">
        <v>4908</v>
      </c>
      <c r="K3796" t="s">
        <v>5037</v>
      </c>
      <c r="L3796" t="s">
        <v>5039</v>
      </c>
    </row>
    <row r="3797" spans="1:12" x14ac:dyDescent="0.35">
      <c r="A3797" t="s">
        <v>118</v>
      </c>
      <c r="B3797" t="s">
        <v>324</v>
      </c>
      <c r="C3797" t="s">
        <v>167</v>
      </c>
      <c r="D3797">
        <v>0.76</v>
      </c>
      <c r="F3797" t="s">
        <v>1750</v>
      </c>
      <c r="H3797" t="s">
        <v>4622</v>
      </c>
      <c r="I3797" t="s">
        <v>4908</v>
      </c>
      <c r="K3797" t="s">
        <v>5037</v>
      </c>
      <c r="L3797" t="s">
        <v>5039</v>
      </c>
    </row>
    <row r="3798" spans="1:12" x14ac:dyDescent="0.35">
      <c r="A3798" t="s">
        <v>118</v>
      </c>
      <c r="B3798" t="s">
        <v>324</v>
      </c>
      <c r="C3798" t="s">
        <v>167</v>
      </c>
      <c r="D3798">
        <v>0.73</v>
      </c>
      <c r="F3798" t="s">
        <v>2007</v>
      </c>
      <c r="H3798" t="s">
        <v>4623</v>
      </c>
      <c r="I3798" t="s">
        <v>4908</v>
      </c>
      <c r="K3798" t="s">
        <v>5037</v>
      </c>
      <c r="L3798" t="s">
        <v>5039</v>
      </c>
    </row>
    <row r="3799" spans="1:12" x14ac:dyDescent="0.35">
      <c r="A3799" t="s">
        <v>118</v>
      </c>
      <c r="B3799" t="s">
        <v>380</v>
      </c>
      <c r="C3799" t="s">
        <v>1210</v>
      </c>
      <c r="D3799">
        <v>0.16</v>
      </c>
      <c r="F3799" t="s">
        <v>1573</v>
      </c>
      <c r="H3799" t="s">
        <v>4624</v>
      </c>
      <c r="I3799" t="s">
        <v>5011</v>
      </c>
      <c r="K3799" t="s">
        <v>5037</v>
      </c>
      <c r="L3799" t="s">
        <v>5039</v>
      </c>
    </row>
    <row r="3800" spans="1:12" x14ac:dyDescent="0.35">
      <c r="A3800" t="s">
        <v>118</v>
      </c>
      <c r="B3800" t="s">
        <v>380</v>
      </c>
      <c r="C3800" t="s">
        <v>1231</v>
      </c>
      <c r="D3800">
        <v>0.7</v>
      </c>
      <c r="F3800" t="s">
        <v>1378</v>
      </c>
      <c r="H3800" t="s">
        <v>4624</v>
      </c>
      <c r="I3800" t="s">
        <v>5011</v>
      </c>
      <c r="K3800" t="s">
        <v>5037</v>
      </c>
      <c r="L3800" t="s">
        <v>5039</v>
      </c>
    </row>
    <row r="3801" spans="1:12" x14ac:dyDescent="0.35">
      <c r="A3801" t="s">
        <v>118</v>
      </c>
      <c r="B3801" t="s">
        <v>380</v>
      </c>
      <c r="C3801" t="s">
        <v>1232</v>
      </c>
      <c r="D3801">
        <v>0.121</v>
      </c>
      <c r="F3801" t="s">
        <v>2177</v>
      </c>
      <c r="H3801" t="s">
        <v>4624</v>
      </c>
      <c r="I3801" t="s">
        <v>5011</v>
      </c>
      <c r="K3801" t="s">
        <v>5037</v>
      </c>
      <c r="L3801" t="s">
        <v>5039</v>
      </c>
    </row>
    <row r="3802" spans="1:12" x14ac:dyDescent="0.35">
      <c r="A3802" t="s">
        <v>118</v>
      </c>
      <c r="B3802" t="s">
        <v>380</v>
      </c>
      <c r="C3802" t="s">
        <v>1233</v>
      </c>
      <c r="D3802">
        <v>0.23699999999999999</v>
      </c>
      <c r="F3802" t="s">
        <v>2538</v>
      </c>
      <c r="H3802" t="s">
        <v>4624</v>
      </c>
      <c r="I3802" t="s">
        <v>5011</v>
      </c>
      <c r="K3802" t="s">
        <v>5037</v>
      </c>
      <c r="L3802" t="s">
        <v>5039</v>
      </c>
    </row>
    <row r="3803" spans="1:12" x14ac:dyDescent="0.35">
      <c r="A3803" t="s">
        <v>118</v>
      </c>
      <c r="B3803" t="s">
        <v>630</v>
      </c>
      <c r="C3803" t="s">
        <v>1188</v>
      </c>
      <c r="D3803">
        <v>8.8000000000000005E-3</v>
      </c>
      <c r="F3803" t="s">
        <v>1312</v>
      </c>
      <c r="H3803" t="s">
        <v>4625</v>
      </c>
      <c r="I3803" t="s">
        <v>4987</v>
      </c>
      <c r="K3803" t="s">
        <v>5037</v>
      </c>
      <c r="L3803" t="s">
        <v>5039</v>
      </c>
    </row>
    <row r="3804" spans="1:12" x14ac:dyDescent="0.35">
      <c r="A3804" t="s">
        <v>118</v>
      </c>
      <c r="B3804" t="s">
        <v>630</v>
      </c>
      <c r="C3804" t="s">
        <v>1188</v>
      </c>
      <c r="D3804">
        <v>7.2800000000000004E-2</v>
      </c>
      <c r="F3804" t="s">
        <v>2539</v>
      </c>
      <c r="H3804" t="s">
        <v>4626</v>
      </c>
      <c r="I3804" t="s">
        <v>4987</v>
      </c>
      <c r="K3804" t="s">
        <v>5037</v>
      </c>
      <c r="L3804" t="s">
        <v>5039</v>
      </c>
    </row>
    <row r="3805" spans="1:12" x14ac:dyDescent="0.35">
      <c r="A3805" t="s">
        <v>118</v>
      </c>
      <c r="B3805" t="s">
        <v>630</v>
      </c>
      <c r="C3805" t="s">
        <v>1188</v>
      </c>
      <c r="D3805">
        <v>6.7000000000000002E-3</v>
      </c>
      <c r="F3805" t="s">
        <v>2540</v>
      </c>
      <c r="H3805" t="s">
        <v>4627</v>
      </c>
      <c r="I3805" t="s">
        <v>4987</v>
      </c>
      <c r="K3805" t="s">
        <v>5037</v>
      </c>
      <c r="L3805" t="s">
        <v>5039</v>
      </c>
    </row>
    <row r="3806" spans="1:12" x14ac:dyDescent="0.35">
      <c r="A3806" t="s">
        <v>118</v>
      </c>
      <c r="B3806" t="s">
        <v>630</v>
      </c>
      <c r="C3806" t="s">
        <v>1188</v>
      </c>
      <c r="D3806">
        <v>8.3999999999999995E-3</v>
      </c>
      <c r="F3806" t="s">
        <v>2541</v>
      </c>
      <c r="H3806" t="s">
        <v>4628</v>
      </c>
      <c r="I3806" t="s">
        <v>4987</v>
      </c>
      <c r="K3806" t="s">
        <v>5037</v>
      </c>
      <c r="L3806" t="s">
        <v>5039</v>
      </c>
    </row>
    <row r="3807" spans="1:12" x14ac:dyDescent="0.35">
      <c r="A3807" t="s">
        <v>118</v>
      </c>
      <c r="B3807" t="s">
        <v>631</v>
      </c>
      <c r="C3807" t="s">
        <v>1232</v>
      </c>
      <c r="D3807">
        <v>0.11899999999999999</v>
      </c>
      <c r="F3807" t="s">
        <v>2542</v>
      </c>
      <c r="H3807" t="s">
        <v>4629</v>
      </c>
      <c r="I3807" t="s">
        <v>4975</v>
      </c>
      <c r="K3807" t="s">
        <v>5037</v>
      </c>
      <c r="L3807" t="s">
        <v>5039</v>
      </c>
    </row>
    <row r="3808" spans="1:12" x14ac:dyDescent="0.35">
      <c r="A3808" t="s">
        <v>118</v>
      </c>
      <c r="B3808" t="s">
        <v>631</v>
      </c>
      <c r="C3808" t="s">
        <v>1234</v>
      </c>
      <c r="D3808">
        <v>0.191</v>
      </c>
      <c r="F3808" t="s">
        <v>2543</v>
      </c>
      <c r="H3808" t="s">
        <v>4630</v>
      </c>
      <c r="I3808" t="s">
        <v>4975</v>
      </c>
      <c r="K3808" t="s">
        <v>5037</v>
      </c>
      <c r="L3808" t="s">
        <v>5039</v>
      </c>
    </row>
    <row r="3809" spans="1:12" x14ac:dyDescent="0.35">
      <c r="A3809" t="s">
        <v>118</v>
      </c>
      <c r="B3809" t="s">
        <v>631</v>
      </c>
      <c r="C3809" t="s">
        <v>167</v>
      </c>
      <c r="D3809">
        <v>0.61499999999999999</v>
      </c>
      <c r="F3809" t="s">
        <v>2544</v>
      </c>
      <c r="H3809" t="s">
        <v>4631</v>
      </c>
      <c r="I3809" t="s">
        <v>4975</v>
      </c>
      <c r="K3809" t="s">
        <v>5037</v>
      </c>
      <c r="L3809" t="s">
        <v>5039</v>
      </c>
    </row>
    <row r="3810" spans="1:12" x14ac:dyDescent="0.35">
      <c r="A3810" t="s">
        <v>118</v>
      </c>
      <c r="B3810" t="s">
        <v>631</v>
      </c>
      <c r="C3810" t="s">
        <v>167</v>
      </c>
      <c r="D3810">
        <v>0.216</v>
      </c>
      <c r="F3810" t="s">
        <v>1857</v>
      </c>
      <c r="H3810" t="s">
        <v>4632</v>
      </c>
      <c r="I3810" t="s">
        <v>4975</v>
      </c>
      <c r="K3810" t="s">
        <v>5037</v>
      </c>
      <c r="L3810" t="s">
        <v>5039</v>
      </c>
    </row>
    <row r="3811" spans="1:12" x14ac:dyDescent="0.35">
      <c r="A3811" t="s">
        <v>118</v>
      </c>
      <c r="B3811" t="s">
        <v>631</v>
      </c>
      <c r="C3811" t="s">
        <v>1234</v>
      </c>
      <c r="D3811">
        <v>0.77400000000000002</v>
      </c>
      <c r="F3811" t="s">
        <v>2545</v>
      </c>
      <c r="H3811" t="s">
        <v>4633</v>
      </c>
      <c r="I3811" t="s">
        <v>4975</v>
      </c>
      <c r="K3811" t="s">
        <v>5037</v>
      </c>
      <c r="L3811" t="s">
        <v>5039</v>
      </c>
    </row>
    <row r="3812" spans="1:12" x14ac:dyDescent="0.35">
      <c r="A3812" t="s">
        <v>118</v>
      </c>
      <c r="B3812" t="s">
        <v>631</v>
      </c>
      <c r="C3812" t="s">
        <v>1188</v>
      </c>
      <c r="D3812">
        <v>0.65400000000000003</v>
      </c>
      <c r="F3812" t="s">
        <v>2546</v>
      </c>
      <c r="H3812" t="s">
        <v>4634</v>
      </c>
      <c r="I3812" t="s">
        <v>4975</v>
      </c>
      <c r="K3812" t="s">
        <v>5037</v>
      </c>
      <c r="L3812" t="s">
        <v>5039</v>
      </c>
    </row>
    <row r="3813" spans="1:12" x14ac:dyDescent="0.35">
      <c r="A3813" t="s">
        <v>118</v>
      </c>
      <c r="B3813" t="s">
        <v>478</v>
      </c>
      <c r="C3813" t="s">
        <v>167</v>
      </c>
      <c r="D3813">
        <v>0.28999999999999998</v>
      </c>
      <c r="F3813" t="s">
        <v>1396</v>
      </c>
      <c r="H3813" t="s">
        <v>4635</v>
      </c>
      <c r="I3813" t="s">
        <v>5014</v>
      </c>
      <c r="K3813" t="s">
        <v>5037</v>
      </c>
      <c r="L3813" t="s">
        <v>5039</v>
      </c>
    </row>
    <row r="3814" spans="1:12" x14ac:dyDescent="0.35">
      <c r="A3814" t="s">
        <v>118</v>
      </c>
      <c r="B3814" t="s">
        <v>478</v>
      </c>
      <c r="C3814" t="s">
        <v>1188</v>
      </c>
      <c r="D3814">
        <v>0.47</v>
      </c>
      <c r="F3814" t="s">
        <v>1795</v>
      </c>
      <c r="H3814" t="s">
        <v>4636</v>
      </c>
      <c r="I3814" t="s">
        <v>5014</v>
      </c>
      <c r="K3814" t="s">
        <v>5037</v>
      </c>
      <c r="L3814" t="s">
        <v>5039</v>
      </c>
    </row>
    <row r="3815" spans="1:12" x14ac:dyDescent="0.35">
      <c r="A3815" t="s">
        <v>118</v>
      </c>
      <c r="B3815" t="s">
        <v>478</v>
      </c>
      <c r="C3815" t="s">
        <v>1188</v>
      </c>
      <c r="D3815">
        <v>0.158</v>
      </c>
      <c r="F3815" t="s">
        <v>2194</v>
      </c>
      <c r="H3815" t="s">
        <v>4637</v>
      </c>
      <c r="I3815" t="s">
        <v>5014</v>
      </c>
      <c r="K3815" t="s">
        <v>5037</v>
      </c>
      <c r="L3815" t="s">
        <v>5039</v>
      </c>
    </row>
    <row r="3816" spans="1:12" x14ac:dyDescent="0.35">
      <c r="A3816" t="s">
        <v>118</v>
      </c>
      <c r="B3816" t="s">
        <v>478</v>
      </c>
      <c r="C3816" t="s">
        <v>167</v>
      </c>
      <c r="D3816">
        <v>0.159</v>
      </c>
      <c r="F3816" t="s">
        <v>2069</v>
      </c>
      <c r="H3816" t="s">
        <v>4638</v>
      </c>
      <c r="I3816" t="s">
        <v>5014</v>
      </c>
      <c r="K3816" t="s">
        <v>5037</v>
      </c>
      <c r="L3816" t="s">
        <v>5039</v>
      </c>
    </row>
    <row r="3817" spans="1:12" x14ac:dyDescent="0.35">
      <c r="A3817" t="s">
        <v>118</v>
      </c>
      <c r="B3817" t="s">
        <v>478</v>
      </c>
      <c r="C3817" t="s">
        <v>791</v>
      </c>
      <c r="D3817">
        <v>0.252</v>
      </c>
      <c r="F3817" t="s">
        <v>2547</v>
      </c>
      <c r="H3817" t="s">
        <v>4639</v>
      </c>
      <c r="I3817" t="s">
        <v>2363</v>
      </c>
      <c r="K3817" t="s">
        <v>5037</v>
      </c>
      <c r="L3817" t="s">
        <v>5039</v>
      </c>
    </row>
    <row r="3818" spans="1:12" x14ac:dyDescent="0.35">
      <c r="A3818" t="s">
        <v>118</v>
      </c>
      <c r="B3818" t="s">
        <v>478</v>
      </c>
      <c r="C3818" t="s">
        <v>167</v>
      </c>
      <c r="D3818">
        <v>2.86E-2</v>
      </c>
      <c r="F3818" t="s">
        <v>2184</v>
      </c>
      <c r="H3818" t="s">
        <v>4640</v>
      </c>
      <c r="I3818" t="s">
        <v>2363</v>
      </c>
      <c r="K3818" t="s">
        <v>5037</v>
      </c>
      <c r="L3818" t="s">
        <v>5039</v>
      </c>
    </row>
    <row r="3819" spans="1:12" x14ac:dyDescent="0.35">
      <c r="A3819" t="s">
        <v>118</v>
      </c>
      <c r="B3819" t="s">
        <v>478</v>
      </c>
      <c r="C3819" t="s">
        <v>167</v>
      </c>
      <c r="D3819">
        <v>8.6999999999999994E-2</v>
      </c>
      <c r="F3819" t="s">
        <v>1463</v>
      </c>
      <c r="H3819" t="s">
        <v>4641</v>
      </c>
      <c r="I3819" t="s">
        <v>2363</v>
      </c>
      <c r="K3819" t="s">
        <v>5037</v>
      </c>
      <c r="L3819" t="s">
        <v>5039</v>
      </c>
    </row>
    <row r="3820" spans="1:12" x14ac:dyDescent="0.35">
      <c r="A3820" t="s">
        <v>118</v>
      </c>
      <c r="B3820" t="s">
        <v>478</v>
      </c>
      <c r="C3820" t="s">
        <v>1218</v>
      </c>
      <c r="D3820">
        <v>6.6199999999999995E-2</v>
      </c>
      <c r="F3820" t="s">
        <v>2548</v>
      </c>
      <c r="H3820" t="s">
        <v>4639</v>
      </c>
      <c r="I3820" t="s">
        <v>2363</v>
      </c>
      <c r="K3820" t="s">
        <v>5037</v>
      </c>
      <c r="L3820" t="s">
        <v>5039</v>
      </c>
    </row>
    <row r="3821" spans="1:12" x14ac:dyDescent="0.35">
      <c r="A3821" t="s">
        <v>118</v>
      </c>
      <c r="B3821" t="s">
        <v>478</v>
      </c>
      <c r="C3821" t="s">
        <v>167</v>
      </c>
      <c r="D3821">
        <v>6.7900000000000002E-2</v>
      </c>
      <c r="F3821" t="s">
        <v>2549</v>
      </c>
      <c r="H3821" t="s">
        <v>4642</v>
      </c>
      <c r="I3821" t="s">
        <v>2363</v>
      </c>
      <c r="K3821" t="s">
        <v>5037</v>
      </c>
      <c r="L3821" t="s">
        <v>5039</v>
      </c>
    </row>
    <row r="3822" spans="1:12" x14ac:dyDescent="0.35">
      <c r="A3822" t="s">
        <v>118</v>
      </c>
      <c r="B3822" t="s">
        <v>478</v>
      </c>
      <c r="C3822" t="s">
        <v>1235</v>
      </c>
      <c r="D3822">
        <v>0.85299999999999998</v>
      </c>
      <c r="F3822" t="s">
        <v>2550</v>
      </c>
      <c r="H3822" t="s">
        <v>4639</v>
      </c>
      <c r="I3822" t="s">
        <v>2363</v>
      </c>
      <c r="K3822" t="s">
        <v>5037</v>
      </c>
      <c r="L3822" t="s">
        <v>5039</v>
      </c>
    </row>
    <row r="3823" spans="1:12" x14ac:dyDescent="0.35">
      <c r="A3823" t="s">
        <v>118</v>
      </c>
      <c r="B3823" t="s">
        <v>478</v>
      </c>
      <c r="C3823" t="s">
        <v>167</v>
      </c>
      <c r="D3823">
        <v>6.4799999999999996E-2</v>
      </c>
      <c r="F3823" t="s">
        <v>2551</v>
      </c>
      <c r="H3823" t="s">
        <v>4643</v>
      </c>
      <c r="I3823" t="s">
        <v>2363</v>
      </c>
      <c r="K3823" t="s">
        <v>5037</v>
      </c>
      <c r="L3823" t="s">
        <v>5039</v>
      </c>
    </row>
    <row r="3824" spans="1:12" x14ac:dyDescent="0.35">
      <c r="A3824" t="s">
        <v>118</v>
      </c>
      <c r="B3824" t="s">
        <v>454</v>
      </c>
      <c r="C3824" t="s">
        <v>1188</v>
      </c>
      <c r="D3824">
        <v>0.28999999999999998</v>
      </c>
      <c r="F3824" t="s">
        <v>1396</v>
      </c>
      <c r="H3824" t="s">
        <v>4644</v>
      </c>
      <c r="I3824" t="s">
        <v>5020</v>
      </c>
      <c r="K3824" t="s">
        <v>5037</v>
      </c>
      <c r="L3824" t="s">
        <v>5039</v>
      </c>
    </row>
    <row r="3825" spans="1:12" x14ac:dyDescent="0.35">
      <c r="A3825" t="s">
        <v>118</v>
      </c>
      <c r="B3825" t="s">
        <v>454</v>
      </c>
      <c r="C3825" t="s">
        <v>1232</v>
      </c>
      <c r="D3825">
        <v>3.5999999999999997E-2</v>
      </c>
      <c r="F3825" t="s">
        <v>1837</v>
      </c>
      <c r="H3825" t="s">
        <v>4644</v>
      </c>
      <c r="I3825" t="s">
        <v>5020</v>
      </c>
      <c r="K3825" t="s">
        <v>5037</v>
      </c>
      <c r="L3825" t="s">
        <v>5039</v>
      </c>
    </row>
    <row r="3826" spans="1:12" x14ac:dyDescent="0.35">
      <c r="A3826" t="s">
        <v>118</v>
      </c>
      <c r="B3826" t="s">
        <v>454</v>
      </c>
      <c r="C3826" t="s">
        <v>1236</v>
      </c>
      <c r="D3826">
        <v>0.32400000000000001</v>
      </c>
      <c r="F3826" t="s">
        <v>2512</v>
      </c>
      <c r="H3826" t="s">
        <v>4644</v>
      </c>
      <c r="I3826" t="s">
        <v>5020</v>
      </c>
      <c r="K3826" t="s">
        <v>5037</v>
      </c>
      <c r="L3826" t="s">
        <v>5039</v>
      </c>
    </row>
    <row r="3827" spans="1:12" x14ac:dyDescent="0.35">
      <c r="A3827" t="s">
        <v>118</v>
      </c>
      <c r="B3827" t="s">
        <v>454</v>
      </c>
      <c r="C3827" t="s">
        <v>1237</v>
      </c>
      <c r="D3827">
        <v>2.5600000000000001E-2</v>
      </c>
      <c r="F3827" t="s">
        <v>2552</v>
      </c>
      <c r="H3827" t="s">
        <v>4645</v>
      </c>
      <c r="I3827" t="s">
        <v>5020</v>
      </c>
      <c r="K3827" t="s">
        <v>5037</v>
      </c>
      <c r="L3827" t="s">
        <v>5039</v>
      </c>
    </row>
    <row r="3828" spans="1:12" x14ac:dyDescent="0.35">
      <c r="A3828" t="s">
        <v>118</v>
      </c>
      <c r="B3828" t="s">
        <v>454</v>
      </c>
      <c r="C3828" t="s">
        <v>791</v>
      </c>
      <c r="D3828">
        <v>4.8529999999999998</v>
      </c>
      <c r="F3828" t="s">
        <v>2553</v>
      </c>
      <c r="H3828" t="s">
        <v>4644</v>
      </c>
      <c r="I3828" t="s">
        <v>5020</v>
      </c>
      <c r="K3828" t="s">
        <v>5037</v>
      </c>
      <c r="L3828" t="s">
        <v>5039</v>
      </c>
    </row>
    <row r="3829" spans="1:12" x14ac:dyDescent="0.35">
      <c r="A3829" t="s">
        <v>118</v>
      </c>
      <c r="B3829" t="s">
        <v>314</v>
      </c>
      <c r="C3829" t="s">
        <v>1238</v>
      </c>
      <c r="D3829">
        <v>0.39</v>
      </c>
      <c r="F3829" t="s">
        <v>1422</v>
      </c>
      <c r="H3829" t="s">
        <v>4646</v>
      </c>
      <c r="I3829" t="s">
        <v>5021</v>
      </c>
      <c r="K3829" t="s">
        <v>5037</v>
      </c>
      <c r="L3829" t="s">
        <v>5039</v>
      </c>
    </row>
    <row r="3830" spans="1:12" x14ac:dyDescent="0.35">
      <c r="A3830" t="s">
        <v>118</v>
      </c>
      <c r="B3830" t="s">
        <v>314</v>
      </c>
      <c r="C3830" t="s">
        <v>167</v>
      </c>
      <c r="D3830">
        <v>4.33</v>
      </c>
      <c r="F3830" t="s">
        <v>1997</v>
      </c>
      <c r="H3830" t="s">
        <v>4647</v>
      </c>
      <c r="I3830" t="s">
        <v>5021</v>
      </c>
      <c r="K3830" t="s">
        <v>5037</v>
      </c>
      <c r="L3830" t="s">
        <v>5039</v>
      </c>
    </row>
    <row r="3831" spans="1:12" x14ac:dyDescent="0.35">
      <c r="A3831" t="s">
        <v>118</v>
      </c>
      <c r="B3831" t="s">
        <v>478</v>
      </c>
      <c r="C3831" t="s">
        <v>1239</v>
      </c>
      <c r="D3831">
        <v>0.11</v>
      </c>
      <c r="F3831" t="s">
        <v>1295</v>
      </c>
      <c r="I3831" t="s">
        <v>1369</v>
      </c>
      <c r="K3831" t="s">
        <v>5037</v>
      </c>
      <c r="L3831" t="s">
        <v>5039</v>
      </c>
    </row>
    <row r="3832" spans="1:12" x14ac:dyDescent="0.35">
      <c r="A3832" t="s">
        <v>118</v>
      </c>
      <c r="B3832" t="s">
        <v>478</v>
      </c>
      <c r="C3832" t="s">
        <v>1188</v>
      </c>
      <c r="D3832">
        <v>0.503</v>
      </c>
      <c r="F3832" t="s">
        <v>2554</v>
      </c>
      <c r="I3832" t="s">
        <v>1369</v>
      </c>
      <c r="K3832" t="s">
        <v>5037</v>
      </c>
      <c r="L3832" t="s">
        <v>5039</v>
      </c>
    </row>
    <row r="3833" spans="1:12" x14ac:dyDescent="0.35">
      <c r="A3833" t="s">
        <v>118</v>
      </c>
      <c r="B3833" t="s">
        <v>478</v>
      </c>
      <c r="C3833" t="s">
        <v>167</v>
      </c>
      <c r="D3833">
        <v>2.1399999999999999E-2</v>
      </c>
      <c r="F3833" t="s">
        <v>2555</v>
      </c>
      <c r="H3833" t="s">
        <v>4648</v>
      </c>
      <c r="I3833" t="s">
        <v>4977</v>
      </c>
      <c r="K3833" t="s">
        <v>5037</v>
      </c>
      <c r="L3833" t="s">
        <v>5039</v>
      </c>
    </row>
    <row r="3834" spans="1:12" x14ac:dyDescent="0.35">
      <c r="A3834" t="s">
        <v>118</v>
      </c>
      <c r="B3834" t="s">
        <v>478</v>
      </c>
      <c r="C3834" t="s">
        <v>1235</v>
      </c>
      <c r="D3834">
        <v>2.7300000000000001E-2</v>
      </c>
      <c r="F3834" t="s">
        <v>2556</v>
      </c>
      <c r="H3834" t="s">
        <v>4649</v>
      </c>
      <c r="I3834" t="s">
        <v>4977</v>
      </c>
      <c r="K3834" t="s">
        <v>5037</v>
      </c>
      <c r="L3834" t="s">
        <v>5039</v>
      </c>
    </row>
    <row r="3835" spans="1:12" x14ac:dyDescent="0.35">
      <c r="A3835" t="s">
        <v>118</v>
      </c>
      <c r="B3835" t="s">
        <v>478</v>
      </c>
      <c r="C3835" t="s">
        <v>167</v>
      </c>
      <c r="D3835">
        <v>0.23200000000000001</v>
      </c>
      <c r="F3835" t="s">
        <v>2497</v>
      </c>
      <c r="I3835" t="s">
        <v>1369</v>
      </c>
      <c r="K3835" t="s">
        <v>5037</v>
      </c>
      <c r="L3835" t="s">
        <v>5039</v>
      </c>
    </row>
    <row r="3836" spans="1:12" x14ac:dyDescent="0.35">
      <c r="A3836" t="s">
        <v>118</v>
      </c>
      <c r="B3836" t="s">
        <v>478</v>
      </c>
      <c r="C3836" t="s">
        <v>1218</v>
      </c>
      <c r="D3836">
        <v>7.8799999999999995E-2</v>
      </c>
      <c r="F3836" t="s">
        <v>2557</v>
      </c>
      <c r="H3836" t="s">
        <v>4650</v>
      </c>
      <c r="I3836" t="s">
        <v>4977</v>
      </c>
      <c r="K3836" t="s">
        <v>5037</v>
      </c>
      <c r="L3836" t="s">
        <v>5039</v>
      </c>
    </row>
    <row r="3837" spans="1:12" x14ac:dyDescent="0.35">
      <c r="A3837" t="s">
        <v>118</v>
      </c>
      <c r="B3837" t="s">
        <v>478</v>
      </c>
      <c r="C3837" t="s">
        <v>167</v>
      </c>
      <c r="D3837">
        <v>7.7100000000000002E-2</v>
      </c>
      <c r="F3837" t="s">
        <v>2558</v>
      </c>
      <c r="H3837" t="s">
        <v>4651</v>
      </c>
      <c r="I3837" t="s">
        <v>4977</v>
      </c>
      <c r="K3837" t="s">
        <v>5037</v>
      </c>
      <c r="L3837" t="s">
        <v>5039</v>
      </c>
    </row>
    <row r="3838" spans="1:12" x14ac:dyDescent="0.35">
      <c r="A3838" t="s">
        <v>118</v>
      </c>
      <c r="B3838" t="s">
        <v>478</v>
      </c>
      <c r="C3838" t="s">
        <v>167</v>
      </c>
      <c r="D3838">
        <v>6.1499999999999999E-2</v>
      </c>
      <c r="F3838" t="s">
        <v>2559</v>
      </c>
      <c r="H3838" t="s">
        <v>4652</v>
      </c>
      <c r="I3838" t="s">
        <v>4977</v>
      </c>
      <c r="K3838" t="s">
        <v>5037</v>
      </c>
      <c r="L3838" t="s">
        <v>5039</v>
      </c>
    </row>
    <row r="3839" spans="1:12" x14ac:dyDescent="0.35">
      <c r="A3839" t="s">
        <v>118</v>
      </c>
      <c r="B3839" t="s">
        <v>478</v>
      </c>
      <c r="C3839" t="s">
        <v>791</v>
      </c>
      <c r="D3839">
        <v>0.439</v>
      </c>
      <c r="F3839" t="s">
        <v>2560</v>
      </c>
      <c r="H3839" t="s">
        <v>4649</v>
      </c>
      <c r="I3839" t="s">
        <v>4977</v>
      </c>
      <c r="K3839" t="s">
        <v>5037</v>
      </c>
      <c r="L3839" t="s">
        <v>5039</v>
      </c>
    </row>
    <row r="3840" spans="1:12" x14ac:dyDescent="0.35">
      <c r="A3840" t="s">
        <v>118</v>
      </c>
      <c r="B3840" t="s">
        <v>478</v>
      </c>
      <c r="C3840" t="s">
        <v>167</v>
      </c>
      <c r="D3840">
        <v>5.2400000000000002E-2</v>
      </c>
      <c r="F3840" t="s">
        <v>2561</v>
      </c>
      <c r="H3840" t="s">
        <v>4653</v>
      </c>
      <c r="I3840" t="s">
        <v>4977</v>
      </c>
      <c r="K3840" t="s">
        <v>5037</v>
      </c>
      <c r="L3840" t="s">
        <v>5039</v>
      </c>
    </row>
    <row r="3841" spans="1:12" x14ac:dyDescent="0.35">
      <c r="A3841" t="s">
        <v>118</v>
      </c>
      <c r="B3841" t="s">
        <v>478</v>
      </c>
      <c r="C3841" t="s">
        <v>1188</v>
      </c>
      <c r="D3841">
        <v>0.1033</v>
      </c>
      <c r="F3841" t="s">
        <v>2562</v>
      </c>
      <c r="H3841" t="s">
        <v>4649</v>
      </c>
      <c r="I3841" t="s">
        <v>4977</v>
      </c>
      <c r="K3841" t="s">
        <v>5037</v>
      </c>
      <c r="L3841" t="s">
        <v>5039</v>
      </c>
    </row>
    <row r="3842" spans="1:12" x14ac:dyDescent="0.35">
      <c r="A3842" t="s">
        <v>118</v>
      </c>
      <c r="B3842" t="s">
        <v>314</v>
      </c>
      <c r="C3842" t="s">
        <v>1238</v>
      </c>
      <c r="D3842">
        <v>1.03</v>
      </c>
      <c r="F3842" t="s">
        <v>1850</v>
      </c>
      <c r="H3842" t="s">
        <v>4654</v>
      </c>
      <c r="I3842" t="s">
        <v>5021</v>
      </c>
      <c r="K3842" t="s">
        <v>5037</v>
      </c>
      <c r="L3842" t="s">
        <v>5039</v>
      </c>
    </row>
    <row r="3843" spans="1:12" x14ac:dyDescent="0.35">
      <c r="A3843" t="s">
        <v>118</v>
      </c>
      <c r="B3843" t="s">
        <v>314</v>
      </c>
      <c r="C3843" t="s">
        <v>167</v>
      </c>
      <c r="D3843">
        <v>4.2300000000000004</v>
      </c>
      <c r="F3843" t="s">
        <v>2456</v>
      </c>
      <c r="H3843" t="s">
        <v>4655</v>
      </c>
      <c r="I3843" t="s">
        <v>5021</v>
      </c>
      <c r="K3843" t="s">
        <v>5037</v>
      </c>
      <c r="L3843" t="s">
        <v>5039</v>
      </c>
    </row>
    <row r="3844" spans="1:12" x14ac:dyDescent="0.35">
      <c r="A3844" t="s">
        <v>118</v>
      </c>
      <c r="B3844" t="s">
        <v>632</v>
      </c>
      <c r="C3844" t="s">
        <v>167</v>
      </c>
      <c r="D3844">
        <v>0.18</v>
      </c>
      <c r="F3844" t="s">
        <v>1531</v>
      </c>
      <c r="H3844" t="s">
        <v>4656</v>
      </c>
      <c r="I3844" t="s">
        <v>5015</v>
      </c>
      <c r="K3844" t="s">
        <v>5037</v>
      </c>
      <c r="L3844" t="s">
        <v>5039</v>
      </c>
    </row>
    <row r="3845" spans="1:12" x14ac:dyDescent="0.35">
      <c r="A3845" t="s">
        <v>118</v>
      </c>
      <c r="B3845" t="s">
        <v>632</v>
      </c>
      <c r="C3845" t="s">
        <v>167</v>
      </c>
      <c r="D3845">
        <v>0.41</v>
      </c>
      <c r="F3845" t="s">
        <v>1555</v>
      </c>
      <c r="H3845" t="s">
        <v>4657</v>
      </c>
      <c r="I3845" t="s">
        <v>5015</v>
      </c>
      <c r="K3845" t="s">
        <v>5037</v>
      </c>
      <c r="L3845" t="s">
        <v>5039</v>
      </c>
    </row>
    <row r="3846" spans="1:12" x14ac:dyDescent="0.35">
      <c r="A3846" t="s">
        <v>118</v>
      </c>
      <c r="B3846" t="s">
        <v>632</v>
      </c>
      <c r="C3846" t="s">
        <v>1188</v>
      </c>
      <c r="D3846">
        <v>1.7</v>
      </c>
      <c r="F3846" t="s">
        <v>1416</v>
      </c>
      <c r="H3846" t="s">
        <v>4658</v>
      </c>
      <c r="I3846" t="s">
        <v>5015</v>
      </c>
      <c r="K3846" t="s">
        <v>5037</v>
      </c>
      <c r="L3846" t="s">
        <v>5039</v>
      </c>
    </row>
    <row r="3847" spans="1:12" x14ac:dyDescent="0.35">
      <c r="A3847" t="s">
        <v>118</v>
      </c>
      <c r="B3847" t="s">
        <v>632</v>
      </c>
      <c r="C3847" t="s">
        <v>167</v>
      </c>
      <c r="D3847">
        <v>0.74</v>
      </c>
      <c r="F3847" t="s">
        <v>1685</v>
      </c>
      <c r="H3847" t="s">
        <v>4659</v>
      </c>
      <c r="I3847" t="s">
        <v>5015</v>
      </c>
      <c r="K3847" t="s">
        <v>5037</v>
      </c>
      <c r="L3847" t="s">
        <v>5039</v>
      </c>
    </row>
    <row r="3848" spans="1:12" x14ac:dyDescent="0.35">
      <c r="A3848" t="s">
        <v>118</v>
      </c>
      <c r="B3848" t="s">
        <v>632</v>
      </c>
      <c r="C3848" t="s">
        <v>167</v>
      </c>
      <c r="D3848">
        <v>1.2</v>
      </c>
      <c r="F3848" t="s">
        <v>1421</v>
      </c>
      <c r="H3848" t="s">
        <v>4660</v>
      </c>
      <c r="I3848" t="s">
        <v>5015</v>
      </c>
      <c r="K3848" t="s">
        <v>5037</v>
      </c>
      <c r="L3848" t="s">
        <v>5039</v>
      </c>
    </row>
    <row r="3849" spans="1:12" x14ac:dyDescent="0.35">
      <c r="A3849" t="s">
        <v>118</v>
      </c>
      <c r="B3849" t="s">
        <v>632</v>
      </c>
      <c r="C3849" t="s">
        <v>167</v>
      </c>
      <c r="D3849">
        <v>3.4</v>
      </c>
      <c r="F3849" t="s">
        <v>1706</v>
      </c>
      <c r="H3849" t="s">
        <v>4661</v>
      </c>
      <c r="I3849" t="s">
        <v>5015</v>
      </c>
      <c r="K3849" t="s">
        <v>5037</v>
      </c>
      <c r="L3849" t="s">
        <v>5039</v>
      </c>
    </row>
    <row r="3850" spans="1:12" x14ac:dyDescent="0.35">
      <c r="A3850" t="s">
        <v>118</v>
      </c>
      <c r="B3850" t="s">
        <v>632</v>
      </c>
      <c r="C3850" t="s">
        <v>1188</v>
      </c>
      <c r="D3850">
        <v>0.42</v>
      </c>
      <c r="F3850" t="s">
        <v>1629</v>
      </c>
      <c r="H3850" t="s">
        <v>4662</v>
      </c>
      <c r="I3850" t="s">
        <v>5015</v>
      </c>
      <c r="K3850" t="s">
        <v>5037</v>
      </c>
      <c r="L3850" t="s">
        <v>5039</v>
      </c>
    </row>
    <row r="3851" spans="1:12" x14ac:dyDescent="0.35">
      <c r="A3851" t="s">
        <v>118</v>
      </c>
      <c r="B3851" t="s">
        <v>454</v>
      </c>
      <c r="C3851" t="s">
        <v>791</v>
      </c>
      <c r="D3851">
        <v>3.7999999999999999E-2</v>
      </c>
      <c r="F3851" t="s">
        <v>1803</v>
      </c>
      <c r="H3851" t="s">
        <v>4663</v>
      </c>
      <c r="I3851" t="s">
        <v>5020</v>
      </c>
      <c r="K3851" t="s">
        <v>5037</v>
      </c>
      <c r="L3851" t="s">
        <v>5039</v>
      </c>
    </row>
    <row r="3852" spans="1:12" x14ac:dyDescent="0.35">
      <c r="A3852" t="s">
        <v>118</v>
      </c>
      <c r="B3852" t="s">
        <v>454</v>
      </c>
      <c r="C3852" t="s">
        <v>1232</v>
      </c>
      <c r="D3852">
        <v>6.4999999999999997E-3</v>
      </c>
      <c r="F3852" t="s">
        <v>1813</v>
      </c>
      <c r="H3852" t="s">
        <v>4663</v>
      </c>
      <c r="I3852" t="s">
        <v>5020</v>
      </c>
      <c r="K3852" t="s">
        <v>5037</v>
      </c>
      <c r="L3852" t="s">
        <v>5039</v>
      </c>
    </row>
    <row r="3853" spans="1:12" x14ac:dyDescent="0.35">
      <c r="A3853" t="s">
        <v>118</v>
      </c>
      <c r="B3853" t="s">
        <v>454</v>
      </c>
      <c r="C3853" t="s">
        <v>1236</v>
      </c>
      <c r="D3853">
        <v>0.75900000000000001</v>
      </c>
      <c r="F3853" t="s">
        <v>2563</v>
      </c>
      <c r="H3853" t="s">
        <v>4663</v>
      </c>
      <c r="I3853" t="s">
        <v>5020</v>
      </c>
      <c r="K3853" t="s">
        <v>5037</v>
      </c>
      <c r="L3853" t="s">
        <v>5039</v>
      </c>
    </row>
    <row r="3854" spans="1:12" x14ac:dyDescent="0.35">
      <c r="A3854" t="s">
        <v>118</v>
      </c>
      <c r="B3854" t="s">
        <v>454</v>
      </c>
      <c r="C3854" t="s">
        <v>1237</v>
      </c>
      <c r="D3854">
        <v>6.1779999999999999</v>
      </c>
      <c r="F3854" t="s">
        <v>2564</v>
      </c>
      <c r="H3854" t="s">
        <v>4664</v>
      </c>
      <c r="I3854" t="s">
        <v>5020</v>
      </c>
      <c r="K3854" t="s">
        <v>5037</v>
      </c>
      <c r="L3854" t="s">
        <v>5039</v>
      </c>
    </row>
    <row r="3855" spans="1:12" x14ac:dyDescent="0.35">
      <c r="A3855" t="s">
        <v>118</v>
      </c>
      <c r="B3855" t="s">
        <v>631</v>
      </c>
      <c r="C3855" t="s">
        <v>1232</v>
      </c>
      <c r="D3855">
        <v>0.14000000000000001</v>
      </c>
      <c r="F3855" t="s">
        <v>1361</v>
      </c>
      <c r="H3855" t="s">
        <v>4665</v>
      </c>
      <c r="I3855" t="s">
        <v>5022</v>
      </c>
      <c r="K3855" t="s">
        <v>5037</v>
      </c>
      <c r="L3855" t="s">
        <v>5039</v>
      </c>
    </row>
    <row r="3856" spans="1:12" x14ac:dyDescent="0.35">
      <c r="A3856" t="s">
        <v>118</v>
      </c>
      <c r="B3856" t="s">
        <v>631</v>
      </c>
      <c r="C3856" t="s">
        <v>1188</v>
      </c>
      <c r="D3856">
        <v>1.222</v>
      </c>
      <c r="F3856" t="s">
        <v>2565</v>
      </c>
      <c r="H3856" t="s">
        <v>4666</v>
      </c>
      <c r="I3856" t="s">
        <v>5022</v>
      </c>
      <c r="K3856" t="s">
        <v>5037</v>
      </c>
      <c r="L3856" t="s">
        <v>5039</v>
      </c>
    </row>
    <row r="3857" spans="1:12" x14ac:dyDescent="0.35">
      <c r="A3857" t="s">
        <v>118</v>
      </c>
      <c r="B3857" t="s">
        <v>633</v>
      </c>
      <c r="C3857" t="s">
        <v>1188</v>
      </c>
      <c r="D3857">
        <v>0.27</v>
      </c>
      <c r="F3857" t="s">
        <v>1738</v>
      </c>
      <c r="H3857" t="s">
        <v>4667</v>
      </c>
      <c r="I3857" t="s">
        <v>5006</v>
      </c>
      <c r="K3857" t="s">
        <v>5037</v>
      </c>
      <c r="L3857" t="s">
        <v>5039</v>
      </c>
    </row>
    <row r="3858" spans="1:12" x14ac:dyDescent="0.35">
      <c r="A3858" t="s">
        <v>118</v>
      </c>
      <c r="B3858" t="s">
        <v>634</v>
      </c>
      <c r="C3858" t="s">
        <v>167</v>
      </c>
      <c r="D3858">
        <v>0.49099999999999999</v>
      </c>
      <c r="F3858" t="s">
        <v>2566</v>
      </c>
      <c r="H3858" t="s">
        <v>4668</v>
      </c>
      <c r="I3858" t="s">
        <v>4978</v>
      </c>
      <c r="K3858" t="s">
        <v>5037</v>
      </c>
      <c r="L3858" t="s">
        <v>5039</v>
      </c>
    </row>
    <row r="3859" spans="1:12" x14ac:dyDescent="0.35">
      <c r="A3859" t="s">
        <v>118</v>
      </c>
      <c r="B3859" t="s">
        <v>634</v>
      </c>
      <c r="C3859" t="s">
        <v>1188</v>
      </c>
      <c r="D3859">
        <v>4.2690000000000001</v>
      </c>
      <c r="F3859" t="s">
        <v>2567</v>
      </c>
      <c r="H3859" t="s">
        <v>4669</v>
      </c>
      <c r="I3859" t="s">
        <v>4978</v>
      </c>
      <c r="K3859" t="s">
        <v>5037</v>
      </c>
      <c r="L3859" t="s">
        <v>5039</v>
      </c>
    </row>
    <row r="3860" spans="1:12" x14ac:dyDescent="0.35">
      <c r="A3860" t="s">
        <v>118</v>
      </c>
      <c r="B3860" t="s">
        <v>634</v>
      </c>
      <c r="C3860" t="s">
        <v>167</v>
      </c>
      <c r="D3860">
        <v>0.47299999999999998</v>
      </c>
      <c r="F3860" t="s">
        <v>2568</v>
      </c>
      <c r="H3860" t="s">
        <v>4670</v>
      </c>
      <c r="I3860" t="s">
        <v>4978</v>
      </c>
      <c r="K3860" t="s">
        <v>5037</v>
      </c>
      <c r="L3860" t="s">
        <v>5039</v>
      </c>
    </row>
    <row r="3861" spans="1:12" x14ac:dyDescent="0.35">
      <c r="A3861" t="s">
        <v>118</v>
      </c>
      <c r="B3861" t="s">
        <v>634</v>
      </c>
      <c r="C3861" t="s">
        <v>1188</v>
      </c>
      <c r="D3861">
        <v>0.20100000000000001</v>
      </c>
      <c r="F3861" t="s">
        <v>2569</v>
      </c>
      <c r="H3861" t="s">
        <v>4671</v>
      </c>
      <c r="I3861" t="s">
        <v>4978</v>
      </c>
      <c r="K3861" t="s">
        <v>5037</v>
      </c>
      <c r="L3861" t="s">
        <v>5039</v>
      </c>
    </row>
    <row r="3862" spans="1:12" x14ac:dyDescent="0.35">
      <c r="A3862" t="s">
        <v>118</v>
      </c>
      <c r="B3862" t="s">
        <v>634</v>
      </c>
      <c r="C3862" t="s">
        <v>167</v>
      </c>
      <c r="D3862">
        <v>0.996</v>
      </c>
      <c r="F3862" t="s">
        <v>2570</v>
      </c>
      <c r="H3862" t="s">
        <v>4672</v>
      </c>
      <c r="I3862" t="s">
        <v>4978</v>
      </c>
      <c r="K3862" t="s">
        <v>5037</v>
      </c>
      <c r="L3862" t="s">
        <v>5039</v>
      </c>
    </row>
    <row r="3863" spans="1:12" x14ac:dyDescent="0.35">
      <c r="A3863" t="s">
        <v>118</v>
      </c>
      <c r="B3863" t="s">
        <v>634</v>
      </c>
      <c r="C3863" t="s">
        <v>1188</v>
      </c>
      <c r="D3863">
        <v>4.819</v>
      </c>
      <c r="F3863" t="s">
        <v>2571</v>
      </c>
      <c r="H3863" t="s">
        <v>4673</v>
      </c>
      <c r="I3863" t="s">
        <v>4978</v>
      </c>
      <c r="K3863" t="s">
        <v>5037</v>
      </c>
      <c r="L3863" t="s">
        <v>5039</v>
      </c>
    </row>
    <row r="3864" spans="1:12" x14ac:dyDescent="0.35">
      <c r="A3864" t="s">
        <v>118</v>
      </c>
      <c r="B3864" t="s">
        <v>634</v>
      </c>
      <c r="C3864" t="s">
        <v>1188</v>
      </c>
      <c r="D3864">
        <v>1.0029999999999999</v>
      </c>
      <c r="F3864" t="s">
        <v>2572</v>
      </c>
      <c r="H3864" t="s">
        <v>4674</v>
      </c>
      <c r="I3864" t="s">
        <v>4978</v>
      </c>
      <c r="K3864" t="s">
        <v>5037</v>
      </c>
      <c r="L3864" t="s">
        <v>5039</v>
      </c>
    </row>
    <row r="3865" spans="1:12" x14ac:dyDescent="0.35">
      <c r="A3865" t="s">
        <v>118</v>
      </c>
      <c r="B3865" t="s">
        <v>634</v>
      </c>
      <c r="C3865" t="s">
        <v>167</v>
      </c>
      <c r="D3865">
        <v>0.14599999999999999</v>
      </c>
      <c r="F3865" t="s">
        <v>1971</v>
      </c>
      <c r="H3865" t="s">
        <v>4675</v>
      </c>
      <c r="I3865" t="s">
        <v>4978</v>
      </c>
      <c r="K3865" t="s">
        <v>5037</v>
      </c>
      <c r="L3865" t="s">
        <v>5039</v>
      </c>
    </row>
    <row r="3866" spans="1:12" x14ac:dyDescent="0.35">
      <c r="A3866" t="s">
        <v>118</v>
      </c>
      <c r="B3866" t="s">
        <v>634</v>
      </c>
      <c r="C3866" t="s">
        <v>1188</v>
      </c>
      <c r="D3866">
        <v>5.1210000000000004</v>
      </c>
      <c r="F3866" t="s">
        <v>2573</v>
      </c>
      <c r="H3866" t="s">
        <v>4676</v>
      </c>
      <c r="I3866" t="s">
        <v>4978</v>
      </c>
      <c r="K3866" t="s">
        <v>5037</v>
      </c>
      <c r="L3866" t="s">
        <v>5039</v>
      </c>
    </row>
    <row r="3867" spans="1:12" x14ac:dyDescent="0.35">
      <c r="A3867" t="s">
        <v>118</v>
      </c>
      <c r="B3867" t="s">
        <v>586</v>
      </c>
      <c r="C3867" t="s">
        <v>1186</v>
      </c>
      <c r="D3867">
        <v>1.7000000000000001E-2</v>
      </c>
      <c r="F3867" t="s">
        <v>1363</v>
      </c>
      <c r="H3867" t="s">
        <v>4677</v>
      </c>
      <c r="I3867" t="s">
        <v>5023</v>
      </c>
      <c r="K3867" t="s">
        <v>5037</v>
      </c>
      <c r="L3867" t="s">
        <v>5039</v>
      </c>
    </row>
    <row r="3868" spans="1:12" x14ac:dyDescent="0.35">
      <c r="A3868" t="s">
        <v>118</v>
      </c>
      <c r="B3868" t="s">
        <v>586</v>
      </c>
      <c r="C3868" t="s">
        <v>1240</v>
      </c>
      <c r="D3868">
        <v>0.13800000000000001</v>
      </c>
      <c r="F3868" t="s">
        <v>1922</v>
      </c>
      <c r="H3868" t="s">
        <v>4678</v>
      </c>
      <c r="I3868" t="s">
        <v>5023</v>
      </c>
      <c r="K3868" t="s">
        <v>5037</v>
      </c>
      <c r="L3868" t="s">
        <v>5039</v>
      </c>
    </row>
    <row r="3869" spans="1:12" x14ac:dyDescent="0.35">
      <c r="A3869" t="s">
        <v>118</v>
      </c>
      <c r="B3869" t="s">
        <v>586</v>
      </c>
      <c r="C3869" t="s">
        <v>1241</v>
      </c>
      <c r="D3869">
        <v>8.4000000000000005E-2</v>
      </c>
      <c r="F3869" t="s">
        <v>2129</v>
      </c>
      <c r="H3869" t="s">
        <v>4679</v>
      </c>
      <c r="I3869" t="s">
        <v>5023</v>
      </c>
      <c r="K3869" t="s">
        <v>5037</v>
      </c>
      <c r="L3869" t="s">
        <v>5039</v>
      </c>
    </row>
    <row r="3870" spans="1:12" x14ac:dyDescent="0.35">
      <c r="A3870" t="s">
        <v>118</v>
      </c>
      <c r="B3870" t="s">
        <v>634</v>
      </c>
      <c r="C3870" t="s">
        <v>167</v>
      </c>
      <c r="D3870">
        <v>0.24</v>
      </c>
      <c r="F3870" t="s">
        <v>1488</v>
      </c>
      <c r="H3870" t="s">
        <v>4680</v>
      </c>
      <c r="I3870" t="s">
        <v>4978</v>
      </c>
      <c r="K3870" t="s">
        <v>5037</v>
      </c>
      <c r="L3870" t="s">
        <v>5039</v>
      </c>
    </row>
    <row r="3871" spans="1:12" x14ac:dyDescent="0.35">
      <c r="A3871" t="s">
        <v>118</v>
      </c>
      <c r="B3871" t="s">
        <v>634</v>
      </c>
      <c r="C3871" t="s">
        <v>1188</v>
      </c>
      <c r="D3871">
        <v>2.3639999999999999</v>
      </c>
      <c r="F3871" t="s">
        <v>2574</v>
      </c>
      <c r="H3871" t="s">
        <v>4681</v>
      </c>
      <c r="I3871" t="s">
        <v>4978</v>
      </c>
      <c r="K3871" t="s">
        <v>5037</v>
      </c>
      <c r="L3871" t="s">
        <v>5039</v>
      </c>
    </row>
    <row r="3872" spans="1:12" x14ac:dyDescent="0.35">
      <c r="A3872" t="s">
        <v>118</v>
      </c>
      <c r="B3872" t="s">
        <v>634</v>
      </c>
      <c r="C3872" t="s">
        <v>167</v>
      </c>
      <c r="D3872">
        <v>0.14099999999999999</v>
      </c>
      <c r="F3872" t="s">
        <v>2575</v>
      </c>
      <c r="H3872" t="s">
        <v>4682</v>
      </c>
      <c r="I3872" t="s">
        <v>4978</v>
      </c>
      <c r="K3872" t="s">
        <v>5037</v>
      </c>
      <c r="L3872" t="s">
        <v>5039</v>
      </c>
    </row>
    <row r="3873" spans="1:12" x14ac:dyDescent="0.35">
      <c r="A3873" t="s">
        <v>118</v>
      </c>
      <c r="B3873" t="s">
        <v>634</v>
      </c>
      <c r="C3873" t="s">
        <v>1188</v>
      </c>
      <c r="D3873">
        <v>2.266</v>
      </c>
      <c r="F3873" t="s">
        <v>2576</v>
      </c>
      <c r="H3873" t="s">
        <v>4683</v>
      </c>
      <c r="I3873" t="s">
        <v>4978</v>
      </c>
      <c r="K3873" t="s">
        <v>5037</v>
      </c>
      <c r="L3873" t="s">
        <v>5039</v>
      </c>
    </row>
    <row r="3874" spans="1:12" x14ac:dyDescent="0.35">
      <c r="A3874" t="s">
        <v>118</v>
      </c>
      <c r="B3874" t="s">
        <v>634</v>
      </c>
      <c r="C3874" t="s">
        <v>167</v>
      </c>
      <c r="D3874">
        <v>1.1830000000000001</v>
      </c>
      <c r="F3874" t="s">
        <v>2577</v>
      </c>
      <c r="H3874" t="s">
        <v>4684</v>
      </c>
      <c r="I3874" t="s">
        <v>4978</v>
      </c>
      <c r="K3874" t="s">
        <v>5037</v>
      </c>
      <c r="L3874" t="s">
        <v>5039</v>
      </c>
    </row>
    <row r="3875" spans="1:12" x14ac:dyDescent="0.35">
      <c r="A3875" t="s">
        <v>118</v>
      </c>
      <c r="B3875" t="s">
        <v>634</v>
      </c>
      <c r="C3875" t="s">
        <v>1188</v>
      </c>
      <c r="D3875">
        <v>2.0739999999999998</v>
      </c>
      <c r="F3875" t="s">
        <v>2578</v>
      </c>
      <c r="H3875" t="s">
        <v>4685</v>
      </c>
      <c r="I3875" t="s">
        <v>4978</v>
      </c>
      <c r="K3875" t="s">
        <v>5037</v>
      </c>
      <c r="L3875" t="s">
        <v>5039</v>
      </c>
    </row>
    <row r="3876" spans="1:12" x14ac:dyDescent="0.35">
      <c r="A3876" t="s">
        <v>118</v>
      </c>
      <c r="B3876" t="s">
        <v>634</v>
      </c>
      <c r="C3876" t="s">
        <v>167</v>
      </c>
      <c r="D3876">
        <v>0.89300000000000002</v>
      </c>
      <c r="F3876" t="s">
        <v>2579</v>
      </c>
      <c r="H3876" t="s">
        <v>4686</v>
      </c>
      <c r="I3876" t="s">
        <v>4978</v>
      </c>
      <c r="K3876" t="s">
        <v>5037</v>
      </c>
      <c r="L3876" t="s">
        <v>5039</v>
      </c>
    </row>
    <row r="3877" spans="1:12" x14ac:dyDescent="0.35">
      <c r="A3877" t="s">
        <v>118</v>
      </c>
      <c r="B3877" t="s">
        <v>634</v>
      </c>
      <c r="C3877" t="s">
        <v>1188</v>
      </c>
      <c r="D3877">
        <v>2.6280000000000001</v>
      </c>
      <c r="F3877" t="s">
        <v>2580</v>
      </c>
      <c r="H3877" t="s">
        <v>4687</v>
      </c>
      <c r="I3877" t="s">
        <v>4978</v>
      </c>
      <c r="K3877" t="s">
        <v>5037</v>
      </c>
      <c r="L3877" t="s">
        <v>5039</v>
      </c>
    </row>
    <row r="3878" spans="1:12" x14ac:dyDescent="0.35">
      <c r="A3878" t="s">
        <v>118</v>
      </c>
      <c r="B3878" t="s">
        <v>634</v>
      </c>
      <c r="C3878" t="s">
        <v>167</v>
      </c>
      <c r="D3878">
        <v>0.20799999999999999</v>
      </c>
      <c r="F3878" t="s">
        <v>2035</v>
      </c>
      <c r="H3878" t="s">
        <v>4688</v>
      </c>
      <c r="I3878" t="s">
        <v>4978</v>
      </c>
      <c r="K3878" t="s">
        <v>5037</v>
      </c>
      <c r="L3878" t="s">
        <v>5039</v>
      </c>
    </row>
    <row r="3879" spans="1:12" x14ac:dyDescent="0.35">
      <c r="A3879" t="s">
        <v>118</v>
      </c>
      <c r="B3879" t="s">
        <v>634</v>
      </c>
      <c r="C3879" t="s">
        <v>1188</v>
      </c>
      <c r="D3879">
        <v>2.7850000000000001</v>
      </c>
      <c r="F3879" t="s">
        <v>2581</v>
      </c>
      <c r="H3879" t="s">
        <v>4689</v>
      </c>
      <c r="I3879" t="s">
        <v>4978</v>
      </c>
      <c r="K3879" t="s">
        <v>5037</v>
      </c>
      <c r="L3879" t="s">
        <v>5039</v>
      </c>
    </row>
    <row r="3880" spans="1:12" x14ac:dyDescent="0.35">
      <c r="A3880" t="s">
        <v>118</v>
      </c>
      <c r="B3880" t="s">
        <v>634</v>
      </c>
      <c r="C3880" t="s">
        <v>167</v>
      </c>
      <c r="D3880">
        <v>0.28399999999999997</v>
      </c>
      <c r="F3880" t="s">
        <v>2582</v>
      </c>
      <c r="H3880" t="s">
        <v>4690</v>
      </c>
      <c r="I3880" t="s">
        <v>4978</v>
      </c>
      <c r="K3880" t="s">
        <v>5037</v>
      </c>
      <c r="L3880" t="s">
        <v>5039</v>
      </c>
    </row>
    <row r="3881" spans="1:12" x14ac:dyDescent="0.35">
      <c r="A3881" t="s">
        <v>118</v>
      </c>
      <c r="B3881" t="s">
        <v>634</v>
      </c>
      <c r="C3881" t="s">
        <v>1188</v>
      </c>
      <c r="D3881">
        <v>0.156</v>
      </c>
      <c r="F3881" t="s">
        <v>1925</v>
      </c>
      <c r="H3881" t="s">
        <v>4691</v>
      </c>
      <c r="I3881" t="s">
        <v>4978</v>
      </c>
      <c r="K3881" t="s">
        <v>5037</v>
      </c>
      <c r="L3881" t="s">
        <v>5039</v>
      </c>
    </row>
    <row r="3882" spans="1:12" x14ac:dyDescent="0.35">
      <c r="A3882" t="s">
        <v>118</v>
      </c>
      <c r="B3882" t="s">
        <v>634</v>
      </c>
      <c r="C3882" t="s">
        <v>167</v>
      </c>
      <c r="D3882">
        <v>0.73199999999999998</v>
      </c>
      <c r="F3882" t="s">
        <v>2583</v>
      </c>
      <c r="H3882" t="s">
        <v>4692</v>
      </c>
      <c r="I3882" t="s">
        <v>4978</v>
      </c>
      <c r="K3882" t="s">
        <v>5037</v>
      </c>
      <c r="L3882" t="s">
        <v>5039</v>
      </c>
    </row>
    <row r="3883" spans="1:12" x14ac:dyDescent="0.35">
      <c r="A3883" t="s">
        <v>118</v>
      </c>
      <c r="B3883" t="s">
        <v>634</v>
      </c>
      <c r="C3883" t="s">
        <v>1188</v>
      </c>
      <c r="D3883">
        <v>3.3719999999999999</v>
      </c>
      <c r="F3883" t="s">
        <v>2584</v>
      </c>
      <c r="H3883" t="s">
        <v>4693</v>
      </c>
      <c r="I3883" t="s">
        <v>4978</v>
      </c>
      <c r="K3883" t="s">
        <v>5037</v>
      </c>
      <c r="L3883" t="s">
        <v>5039</v>
      </c>
    </row>
    <row r="3884" spans="1:12" x14ac:dyDescent="0.35">
      <c r="A3884" t="s">
        <v>118</v>
      </c>
      <c r="B3884" t="s">
        <v>634</v>
      </c>
      <c r="C3884" t="s">
        <v>167</v>
      </c>
      <c r="D3884">
        <v>0.33300000000000002</v>
      </c>
      <c r="F3884" t="s">
        <v>2292</v>
      </c>
      <c r="H3884" t="s">
        <v>4694</v>
      </c>
      <c r="I3884" t="s">
        <v>4978</v>
      </c>
      <c r="K3884" t="s">
        <v>5037</v>
      </c>
      <c r="L3884" t="s">
        <v>5039</v>
      </c>
    </row>
    <row r="3885" spans="1:12" x14ac:dyDescent="0.35">
      <c r="A3885" t="s">
        <v>118</v>
      </c>
      <c r="B3885" t="s">
        <v>634</v>
      </c>
      <c r="C3885" t="s">
        <v>1188</v>
      </c>
      <c r="D3885">
        <v>2.1440000000000001</v>
      </c>
      <c r="F3885" t="s">
        <v>2585</v>
      </c>
      <c r="H3885" t="s">
        <v>4695</v>
      </c>
      <c r="I3885" t="s">
        <v>4978</v>
      </c>
      <c r="K3885" t="s">
        <v>5037</v>
      </c>
      <c r="L3885" t="s">
        <v>5039</v>
      </c>
    </row>
    <row r="3886" spans="1:12" x14ac:dyDescent="0.35">
      <c r="A3886" t="s">
        <v>118</v>
      </c>
      <c r="B3886" t="s">
        <v>634</v>
      </c>
      <c r="C3886" t="s">
        <v>167</v>
      </c>
      <c r="D3886">
        <v>0.26200000000000001</v>
      </c>
      <c r="F3886" t="s">
        <v>2586</v>
      </c>
      <c r="H3886" t="s">
        <v>4696</v>
      </c>
      <c r="I3886" t="s">
        <v>4978</v>
      </c>
      <c r="K3886" t="s">
        <v>5037</v>
      </c>
      <c r="L3886" t="s">
        <v>5039</v>
      </c>
    </row>
    <row r="3887" spans="1:12" x14ac:dyDescent="0.35">
      <c r="A3887" t="s">
        <v>118</v>
      </c>
      <c r="B3887" t="s">
        <v>634</v>
      </c>
      <c r="C3887" t="s">
        <v>1188</v>
      </c>
      <c r="D3887">
        <v>1.2729999999999999</v>
      </c>
      <c r="F3887" t="s">
        <v>2587</v>
      </c>
      <c r="H3887" t="s">
        <v>4697</v>
      </c>
      <c r="I3887" t="s">
        <v>4978</v>
      </c>
      <c r="K3887" t="s">
        <v>5037</v>
      </c>
      <c r="L3887" t="s">
        <v>5039</v>
      </c>
    </row>
    <row r="3888" spans="1:12" x14ac:dyDescent="0.35">
      <c r="A3888" t="s">
        <v>118</v>
      </c>
      <c r="B3888" t="s">
        <v>609</v>
      </c>
      <c r="C3888" t="s">
        <v>1188</v>
      </c>
      <c r="D3888">
        <v>0.40200000000000002</v>
      </c>
      <c r="F3888" t="s">
        <v>2588</v>
      </c>
      <c r="H3888" t="s">
        <v>4698</v>
      </c>
      <c r="I3888" t="s">
        <v>5024</v>
      </c>
      <c r="K3888" t="s">
        <v>5037</v>
      </c>
      <c r="L3888" t="s">
        <v>5039</v>
      </c>
    </row>
    <row r="3889" spans="1:12" x14ac:dyDescent="0.35">
      <c r="A3889" t="s">
        <v>118</v>
      </c>
      <c r="B3889" t="s">
        <v>609</v>
      </c>
      <c r="C3889" t="s">
        <v>1188</v>
      </c>
      <c r="D3889">
        <v>0.30499999999999999</v>
      </c>
      <c r="F3889" t="s">
        <v>2589</v>
      </c>
      <c r="H3889" t="s">
        <v>4699</v>
      </c>
      <c r="I3889" t="s">
        <v>5024</v>
      </c>
      <c r="K3889" t="s">
        <v>5037</v>
      </c>
      <c r="L3889" t="s">
        <v>5039</v>
      </c>
    </row>
    <row r="3890" spans="1:12" x14ac:dyDescent="0.35">
      <c r="A3890" t="s">
        <v>118</v>
      </c>
      <c r="B3890" t="s">
        <v>635</v>
      </c>
      <c r="C3890" t="s">
        <v>791</v>
      </c>
      <c r="D3890">
        <v>0.11</v>
      </c>
      <c r="F3890" t="s">
        <v>1295</v>
      </c>
      <c r="H3890" t="s">
        <v>4700</v>
      </c>
      <c r="I3890" t="s">
        <v>5025</v>
      </c>
      <c r="K3890" t="s">
        <v>5037</v>
      </c>
      <c r="L3890" t="s">
        <v>5039</v>
      </c>
    </row>
    <row r="3891" spans="1:12" x14ac:dyDescent="0.35">
      <c r="A3891" t="s">
        <v>118</v>
      </c>
      <c r="B3891" t="s">
        <v>635</v>
      </c>
      <c r="C3891" t="s">
        <v>1242</v>
      </c>
      <c r="D3891">
        <v>3.3E-4</v>
      </c>
      <c r="F3891" t="s">
        <v>2590</v>
      </c>
      <c r="H3891" t="s">
        <v>4701</v>
      </c>
      <c r="I3891" t="s">
        <v>5025</v>
      </c>
      <c r="K3891" t="s">
        <v>5037</v>
      </c>
      <c r="L3891" t="s">
        <v>5039</v>
      </c>
    </row>
    <row r="3892" spans="1:12" x14ac:dyDescent="0.35">
      <c r="A3892" t="s">
        <v>118</v>
      </c>
      <c r="B3892" t="s">
        <v>635</v>
      </c>
      <c r="C3892" t="s">
        <v>1188</v>
      </c>
      <c r="D3892">
        <v>0.60199999999999998</v>
      </c>
      <c r="F3892" t="s">
        <v>2591</v>
      </c>
      <c r="H3892" t="s">
        <v>4702</v>
      </c>
      <c r="I3892" t="s">
        <v>5025</v>
      </c>
      <c r="K3892" t="s">
        <v>5037</v>
      </c>
      <c r="L3892" t="s">
        <v>5039</v>
      </c>
    </row>
    <row r="3893" spans="1:12" x14ac:dyDescent="0.35">
      <c r="A3893" t="s">
        <v>118</v>
      </c>
      <c r="B3893" t="s">
        <v>635</v>
      </c>
      <c r="C3893" t="s">
        <v>1242</v>
      </c>
      <c r="D3893">
        <v>2.2000000000000001E-4</v>
      </c>
      <c r="F3893" t="s">
        <v>2592</v>
      </c>
      <c r="H3893" t="s">
        <v>4703</v>
      </c>
      <c r="I3893" t="s">
        <v>5025</v>
      </c>
      <c r="K3893" t="s">
        <v>5037</v>
      </c>
      <c r="L3893" t="s">
        <v>5039</v>
      </c>
    </row>
    <row r="3894" spans="1:12" x14ac:dyDescent="0.35">
      <c r="A3894" t="s">
        <v>118</v>
      </c>
      <c r="B3894" t="s">
        <v>635</v>
      </c>
      <c r="C3894" t="s">
        <v>1243</v>
      </c>
      <c r="D3894">
        <v>3.0000000000000001E-5</v>
      </c>
      <c r="F3894" t="s">
        <v>2593</v>
      </c>
      <c r="H3894" t="s">
        <v>4704</v>
      </c>
      <c r="I3894" t="s">
        <v>5025</v>
      </c>
      <c r="K3894" t="s">
        <v>5037</v>
      </c>
      <c r="L3894" t="s">
        <v>5039</v>
      </c>
    </row>
    <row r="3895" spans="1:12" x14ac:dyDescent="0.35">
      <c r="A3895" t="s">
        <v>118</v>
      </c>
      <c r="B3895" t="s">
        <v>635</v>
      </c>
      <c r="C3895" t="s">
        <v>1242</v>
      </c>
      <c r="D3895">
        <v>4.8999999999999998E-4</v>
      </c>
      <c r="F3895" t="s">
        <v>2594</v>
      </c>
      <c r="H3895" t="s">
        <v>4705</v>
      </c>
      <c r="I3895" t="s">
        <v>5025</v>
      </c>
      <c r="K3895" t="s">
        <v>5037</v>
      </c>
      <c r="L3895" t="s">
        <v>5039</v>
      </c>
    </row>
    <row r="3896" spans="1:12" x14ac:dyDescent="0.35">
      <c r="A3896" t="s">
        <v>118</v>
      </c>
      <c r="B3896" t="s">
        <v>635</v>
      </c>
      <c r="C3896" t="s">
        <v>1243</v>
      </c>
      <c r="D3896">
        <v>9.3999999999999997E-4</v>
      </c>
      <c r="F3896" t="s">
        <v>2527</v>
      </c>
      <c r="H3896" t="s">
        <v>4706</v>
      </c>
      <c r="I3896" t="s">
        <v>5025</v>
      </c>
      <c r="K3896" t="s">
        <v>5037</v>
      </c>
      <c r="L3896" t="s">
        <v>5039</v>
      </c>
    </row>
    <row r="3897" spans="1:12" x14ac:dyDescent="0.35">
      <c r="A3897" t="s">
        <v>118</v>
      </c>
      <c r="B3897" t="s">
        <v>635</v>
      </c>
      <c r="C3897" t="s">
        <v>1188</v>
      </c>
      <c r="D3897">
        <v>0.41199999999999998</v>
      </c>
      <c r="F3897" t="s">
        <v>2595</v>
      </c>
      <c r="H3897" t="s">
        <v>4707</v>
      </c>
      <c r="I3897" t="s">
        <v>5025</v>
      </c>
      <c r="K3897" t="s">
        <v>5037</v>
      </c>
      <c r="L3897" t="s">
        <v>5039</v>
      </c>
    </row>
    <row r="3898" spans="1:12" x14ac:dyDescent="0.35">
      <c r="A3898" t="s">
        <v>118</v>
      </c>
      <c r="B3898" t="s">
        <v>635</v>
      </c>
      <c r="C3898" t="s">
        <v>791</v>
      </c>
      <c r="D3898">
        <v>5.3</v>
      </c>
      <c r="F3898" t="s">
        <v>1671</v>
      </c>
      <c r="H3898" t="s">
        <v>4708</v>
      </c>
      <c r="I3898" t="s">
        <v>5025</v>
      </c>
      <c r="K3898" t="s">
        <v>5037</v>
      </c>
      <c r="L3898" t="s">
        <v>5039</v>
      </c>
    </row>
    <row r="3899" spans="1:12" x14ac:dyDescent="0.35">
      <c r="A3899" t="s">
        <v>118</v>
      </c>
      <c r="B3899" t="s">
        <v>635</v>
      </c>
      <c r="C3899" t="s">
        <v>1244</v>
      </c>
      <c r="D3899">
        <v>1.461E-2</v>
      </c>
      <c r="F3899" t="s">
        <v>2596</v>
      </c>
      <c r="H3899" t="s">
        <v>4709</v>
      </c>
      <c r="I3899" t="s">
        <v>5025</v>
      </c>
      <c r="K3899" t="s">
        <v>5037</v>
      </c>
      <c r="L3899" t="s">
        <v>5039</v>
      </c>
    </row>
    <row r="3900" spans="1:12" x14ac:dyDescent="0.35">
      <c r="A3900" t="s">
        <v>118</v>
      </c>
      <c r="B3900" t="s">
        <v>635</v>
      </c>
      <c r="C3900" t="s">
        <v>1242</v>
      </c>
      <c r="D3900">
        <v>1.162E-2</v>
      </c>
      <c r="F3900" t="s">
        <v>2597</v>
      </c>
      <c r="H3900" t="s">
        <v>4710</v>
      </c>
      <c r="I3900" t="s">
        <v>5025</v>
      </c>
      <c r="K3900" t="s">
        <v>5037</v>
      </c>
      <c r="L3900" t="s">
        <v>5039</v>
      </c>
    </row>
    <row r="3901" spans="1:12" x14ac:dyDescent="0.35">
      <c r="A3901" t="s">
        <v>118</v>
      </c>
      <c r="B3901" t="s">
        <v>636</v>
      </c>
      <c r="C3901" t="s">
        <v>167</v>
      </c>
      <c r="D3901">
        <v>3.81</v>
      </c>
      <c r="F3901" t="s">
        <v>2598</v>
      </c>
      <c r="H3901" t="s">
        <v>4711</v>
      </c>
      <c r="I3901" t="s">
        <v>4963</v>
      </c>
      <c r="K3901" t="s">
        <v>5037</v>
      </c>
      <c r="L3901" t="s">
        <v>5039</v>
      </c>
    </row>
    <row r="3902" spans="1:12" x14ac:dyDescent="0.35">
      <c r="A3902" t="s">
        <v>118</v>
      </c>
      <c r="B3902" t="s">
        <v>636</v>
      </c>
      <c r="C3902" t="s">
        <v>1188</v>
      </c>
      <c r="D3902">
        <v>6.76</v>
      </c>
      <c r="F3902" t="s">
        <v>2599</v>
      </c>
      <c r="H3902" t="s">
        <v>4712</v>
      </c>
      <c r="I3902" t="s">
        <v>4963</v>
      </c>
      <c r="K3902" t="s">
        <v>5037</v>
      </c>
      <c r="L3902" t="s">
        <v>5039</v>
      </c>
    </row>
    <row r="3903" spans="1:12" x14ac:dyDescent="0.35">
      <c r="A3903" t="s">
        <v>118</v>
      </c>
      <c r="B3903" t="s">
        <v>637</v>
      </c>
      <c r="C3903" t="s">
        <v>1245</v>
      </c>
      <c r="D3903">
        <v>0.1</v>
      </c>
      <c r="F3903" t="s">
        <v>1309</v>
      </c>
      <c r="H3903" t="s">
        <v>4713</v>
      </c>
      <c r="I3903" t="s">
        <v>5026</v>
      </c>
      <c r="K3903" t="s">
        <v>5037</v>
      </c>
      <c r="L3903" t="s">
        <v>5039</v>
      </c>
    </row>
    <row r="3904" spans="1:12" x14ac:dyDescent="0.35">
      <c r="A3904" t="s">
        <v>118</v>
      </c>
      <c r="B3904" t="s">
        <v>637</v>
      </c>
      <c r="C3904" t="s">
        <v>1245</v>
      </c>
      <c r="D3904">
        <v>0.02</v>
      </c>
      <c r="F3904" t="s">
        <v>1448</v>
      </c>
      <c r="H3904" t="s">
        <v>4713</v>
      </c>
      <c r="I3904" t="s">
        <v>5026</v>
      </c>
      <c r="K3904" t="s">
        <v>5037</v>
      </c>
      <c r="L3904" t="s">
        <v>5039</v>
      </c>
    </row>
    <row r="3905" spans="1:12" x14ac:dyDescent="0.35">
      <c r="A3905" t="s">
        <v>118</v>
      </c>
      <c r="B3905" t="s">
        <v>637</v>
      </c>
      <c r="C3905" t="s">
        <v>1245</v>
      </c>
      <c r="D3905">
        <v>2.1999999999999999E-2</v>
      </c>
      <c r="F3905" t="s">
        <v>1890</v>
      </c>
      <c r="H3905" t="s">
        <v>4713</v>
      </c>
      <c r="I3905" t="s">
        <v>5026</v>
      </c>
      <c r="K3905" t="s">
        <v>5037</v>
      </c>
      <c r="L3905" t="s">
        <v>5039</v>
      </c>
    </row>
    <row r="3906" spans="1:12" x14ac:dyDescent="0.35">
      <c r="A3906" t="s">
        <v>118</v>
      </c>
      <c r="B3906" t="s">
        <v>637</v>
      </c>
      <c r="C3906" t="s">
        <v>1245</v>
      </c>
      <c r="D3906">
        <v>0.12</v>
      </c>
      <c r="F3906" t="s">
        <v>1473</v>
      </c>
      <c r="H3906" t="s">
        <v>4713</v>
      </c>
      <c r="I3906" t="s">
        <v>5026</v>
      </c>
      <c r="K3906" t="s">
        <v>5037</v>
      </c>
      <c r="L3906" t="s">
        <v>5039</v>
      </c>
    </row>
    <row r="3907" spans="1:12" x14ac:dyDescent="0.35">
      <c r="A3907" t="s">
        <v>118</v>
      </c>
      <c r="B3907" t="s">
        <v>637</v>
      </c>
      <c r="C3907" t="s">
        <v>1245</v>
      </c>
      <c r="D3907">
        <v>0.25</v>
      </c>
      <c r="F3907" t="s">
        <v>1403</v>
      </c>
      <c r="H3907" t="s">
        <v>4713</v>
      </c>
      <c r="I3907" t="s">
        <v>5026</v>
      </c>
      <c r="K3907" t="s">
        <v>5037</v>
      </c>
      <c r="L3907" t="s">
        <v>5039</v>
      </c>
    </row>
    <row r="3908" spans="1:12" x14ac:dyDescent="0.35">
      <c r="A3908" t="s">
        <v>118</v>
      </c>
      <c r="B3908" t="s">
        <v>638</v>
      </c>
      <c r="C3908" t="s">
        <v>167</v>
      </c>
      <c r="D3908">
        <v>4.21</v>
      </c>
      <c r="F3908" t="s">
        <v>2600</v>
      </c>
      <c r="H3908" t="s">
        <v>4714</v>
      </c>
      <c r="I3908" t="s">
        <v>4967</v>
      </c>
      <c r="K3908" t="s">
        <v>5037</v>
      </c>
      <c r="L3908" t="s">
        <v>5039</v>
      </c>
    </row>
    <row r="3909" spans="1:12" x14ac:dyDescent="0.35">
      <c r="A3909" t="s">
        <v>118</v>
      </c>
      <c r="B3909" t="s">
        <v>639</v>
      </c>
      <c r="C3909" t="s">
        <v>1246</v>
      </c>
      <c r="D3909">
        <v>1727</v>
      </c>
      <c r="F3909" t="s">
        <v>2601</v>
      </c>
      <c r="H3909" t="s">
        <v>4715</v>
      </c>
      <c r="I3909" t="s">
        <v>5027</v>
      </c>
      <c r="K3909" t="s">
        <v>5037</v>
      </c>
      <c r="L3909" t="s">
        <v>5039</v>
      </c>
    </row>
    <row r="3910" spans="1:12" x14ac:dyDescent="0.35">
      <c r="A3910" t="s">
        <v>118</v>
      </c>
      <c r="B3910" t="s">
        <v>639</v>
      </c>
      <c r="C3910" t="s">
        <v>1246</v>
      </c>
      <c r="D3910">
        <v>773.44</v>
      </c>
      <c r="F3910" t="s">
        <v>2602</v>
      </c>
      <c r="H3910" t="s">
        <v>4716</v>
      </c>
      <c r="I3910" t="s">
        <v>5027</v>
      </c>
      <c r="K3910" t="s">
        <v>5037</v>
      </c>
      <c r="L3910" t="s">
        <v>5039</v>
      </c>
    </row>
    <row r="3911" spans="1:12" x14ac:dyDescent="0.35">
      <c r="A3911" t="s">
        <v>118</v>
      </c>
      <c r="B3911" t="s">
        <v>639</v>
      </c>
      <c r="C3911" t="s">
        <v>167</v>
      </c>
      <c r="D3911">
        <v>532.42999999999995</v>
      </c>
      <c r="F3911" t="s">
        <v>2603</v>
      </c>
      <c r="H3911" t="s">
        <v>4717</v>
      </c>
      <c r="I3911" t="s">
        <v>5027</v>
      </c>
      <c r="K3911" t="s">
        <v>5037</v>
      </c>
      <c r="L3911" t="s">
        <v>5039</v>
      </c>
    </row>
    <row r="3912" spans="1:12" x14ac:dyDescent="0.35">
      <c r="A3912" t="s">
        <v>118</v>
      </c>
      <c r="B3912" t="s">
        <v>639</v>
      </c>
      <c r="C3912" t="s">
        <v>167</v>
      </c>
      <c r="D3912">
        <v>466.1</v>
      </c>
      <c r="F3912" t="s">
        <v>2604</v>
      </c>
      <c r="H3912" t="s">
        <v>4718</v>
      </c>
      <c r="I3912" t="s">
        <v>5027</v>
      </c>
      <c r="K3912" t="s">
        <v>5037</v>
      </c>
      <c r="L3912" t="s">
        <v>5039</v>
      </c>
    </row>
    <row r="3913" spans="1:12" x14ac:dyDescent="0.35">
      <c r="A3913" t="s">
        <v>118</v>
      </c>
      <c r="B3913" t="s">
        <v>640</v>
      </c>
      <c r="C3913" t="s">
        <v>1216</v>
      </c>
      <c r="D3913">
        <v>0.3</v>
      </c>
      <c r="F3913" t="s">
        <v>1401</v>
      </c>
      <c r="H3913" t="s">
        <v>4719</v>
      </c>
      <c r="I3913" t="s">
        <v>5028</v>
      </c>
      <c r="K3913" t="s">
        <v>5037</v>
      </c>
      <c r="L3913" t="s">
        <v>5039</v>
      </c>
    </row>
    <row r="3914" spans="1:12" x14ac:dyDescent="0.35">
      <c r="A3914" t="s">
        <v>118</v>
      </c>
      <c r="B3914" t="s">
        <v>640</v>
      </c>
      <c r="C3914" t="s">
        <v>1188</v>
      </c>
      <c r="D3914">
        <v>3.66</v>
      </c>
      <c r="F3914" t="s">
        <v>2605</v>
      </c>
      <c r="H3914" t="s">
        <v>4720</v>
      </c>
      <c r="I3914" t="s">
        <v>5028</v>
      </c>
      <c r="K3914" t="s">
        <v>5037</v>
      </c>
      <c r="L3914" t="s">
        <v>5039</v>
      </c>
    </row>
    <row r="3915" spans="1:12" x14ac:dyDescent="0.35">
      <c r="A3915" t="s">
        <v>118</v>
      </c>
      <c r="B3915" t="s">
        <v>457</v>
      </c>
      <c r="C3915" t="s">
        <v>167</v>
      </c>
      <c r="D3915">
        <v>0.69</v>
      </c>
      <c r="F3915" t="s">
        <v>1754</v>
      </c>
      <c r="H3915" t="s">
        <v>4721</v>
      </c>
      <c r="I3915" t="s">
        <v>5029</v>
      </c>
      <c r="K3915" t="s">
        <v>5037</v>
      </c>
      <c r="L3915" t="s">
        <v>5039</v>
      </c>
    </row>
    <row r="3916" spans="1:12" x14ac:dyDescent="0.35">
      <c r="A3916" t="s">
        <v>118</v>
      </c>
      <c r="B3916" t="s">
        <v>457</v>
      </c>
      <c r="C3916" t="s">
        <v>167</v>
      </c>
      <c r="D3916">
        <v>0.65300000000000002</v>
      </c>
      <c r="F3916" t="s">
        <v>2606</v>
      </c>
      <c r="H3916" t="s">
        <v>4722</v>
      </c>
      <c r="I3916" t="s">
        <v>5029</v>
      </c>
      <c r="K3916" t="s">
        <v>5037</v>
      </c>
      <c r="L3916" t="s">
        <v>5039</v>
      </c>
    </row>
    <row r="3917" spans="1:12" x14ac:dyDescent="0.35">
      <c r="A3917" t="s">
        <v>118</v>
      </c>
      <c r="B3917" t="s">
        <v>457</v>
      </c>
      <c r="C3917" t="s">
        <v>1247</v>
      </c>
      <c r="D3917">
        <v>0.76</v>
      </c>
      <c r="F3917" t="s">
        <v>1750</v>
      </c>
      <c r="H3917" t="s">
        <v>4723</v>
      </c>
      <c r="I3917" t="s">
        <v>5029</v>
      </c>
      <c r="K3917" t="s">
        <v>5037</v>
      </c>
      <c r="L3917" t="s">
        <v>5039</v>
      </c>
    </row>
    <row r="3918" spans="1:12" x14ac:dyDescent="0.35">
      <c r="A3918" t="s">
        <v>118</v>
      </c>
      <c r="B3918" t="s">
        <v>457</v>
      </c>
      <c r="C3918" t="s">
        <v>167</v>
      </c>
      <c r="D3918">
        <v>1.95</v>
      </c>
      <c r="F3918" t="s">
        <v>1525</v>
      </c>
      <c r="H3918" t="s">
        <v>4724</v>
      </c>
      <c r="I3918" t="s">
        <v>5029</v>
      </c>
      <c r="K3918" t="s">
        <v>5037</v>
      </c>
      <c r="L3918" t="s">
        <v>5039</v>
      </c>
    </row>
    <row r="3919" spans="1:12" x14ac:dyDescent="0.35">
      <c r="A3919" t="s">
        <v>118</v>
      </c>
      <c r="B3919" t="s">
        <v>457</v>
      </c>
      <c r="C3919" t="s">
        <v>1247</v>
      </c>
      <c r="D3919">
        <v>0.59899999999999998</v>
      </c>
      <c r="F3919" t="s">
        <v>2607</v>
      </c>
      <c r="H3919" t="s">
        <v>4725</v>
      </c>
      <c r="I3919" t="s">
        <v>5029</v>
      </c>
      <c r="K3919" t="s">
        <v>5037</v>
      </c>
      <c r="L3919" t="s">
        <v>5039</v>
      </c>
    </row>
    <row r="3920" spans="1:12" x14ac:dyDescent="0.35">
      <c r="A3920" t="s">
        <v>118</v>
      </c>
      <c r="B3920" t="s">
        <v>457</v>
      </c>
      <c r="C3920" t="s">
        <v>167</v>
      </c>
      <c r="D3920">
        <v>0.55700000000000005</v>
      </c>
      <c r="F3920" t="s">
        <v>2487</v>
      </c>
      <c r="H3920" t="s">
        <v>4721</v>
      </c>
      <c r="I3920" t="s">
        <v>5029</v>
      </c>
      <c r="K3920" t="s">
        <v>5037</v>
      </c>
      <c r="L3920" t="s">
        <v>5039</v>
      </c>
    </row>
    <row r="3921" spans="1:12" x14ac:dyDescent="0.35">
      <c r="A3921" t="s">
        <v>118</v>
      </c>
      <c r="B3921" t="s">
        <v>457</v>
      </c>
      <c r="C3921" t="s">
        <v>167</v>
      </c>
      <c r="D3921">
        <v>0.69599999999999995</v>
      </c>
      <c r="F3921" t="s">
        <v>2608</v>
      </c>
      <c r="H3921" t="s">
        <v>4722</v>
      </c>
      <c r="I3921" t="s">
        <v>5029</v>
      </c>
      <c r="K3921" t="s">
        <v>5037</v>
      </c>
      <c r="L3921" t="s">
        <v>5039</v>
      </c>
    </row>
    <row r="3922" spans="1:12" x14ac:dyDescent="0.35">
      <c r="A3922" t="s">
        <v>118</v>
      </c>
      <c r="B3922" t="s">
        <v>457</v>
      </c>
      <c r="C3922" t="s">
        <v>167</v>
      </c>
      <c r="D3922">
        <v>1.502</v>
      </c>
      <c r="F3922" t="s">
        <v>2609</v>
      </c>
      <c r="H3922" t="s">
        <v>4726</v>
      </c>
      <c r="I3922" t="s">
        <v>5029</v>
      </c>
      <c r="K3922" t="s">
        <v>5037</v>
      </c>
      <c r="L3922" t="s">
        <v>5039</v>
      </c>
    </row>
    <row r="3923" spans="1:12" x14ac:dyDescent="0.35">
      <c r="A3923" t="s">
        <v>118</v>
      </c>
      <c r="B3923" t="s">
        <v>457</v>
      </c>
      <c r="C3923" t="s">
        <v>1188</v>
      </c>
      <c r="D3923">
        <v>0.73199999999999998</v>
      </c>
      <c r="F3923" t="s">
        <v>2583</v>
      </c>
      <c r="H3923" t="s">
        <v>4727</v>
      </c>
      <c r="I3923" t="s">
        <v>5029</v>
      </c>
      <c r="K3923" t="s">
        <v>5037</v>
      </c>
      <c r="L3923" t="s">
        <v>5039</v>
      </c>
    </row>
    <row r="3924" spans="1:12" x14ac:dyDescent="0.35">
      <c r="A3924" t="s">
        <v>118</v>
      </c>
      <c r="B3924" t="s">
        <v>457</v>
      </c>
      <c r="C3924" t="s">
        <v>1247</v>
      </c>
      <c r="D3924">
        <v>0.45300000000000001</v>
      </c>
      <c r="F3924" t="s">
        <v>2610</v>
      </c>
      <c r="H3924" t="s">
        <v>4727</v>
      </c>
      <c r="I3924" t="s">
        <v>5029</v>
      </c>
      <c r="K3924" t="s">
        <v>5037</v>
      </c>
      <c r="L3924" t="s">
        <v>5039</v>
      </c>
    </row>
    <row r="3925" spans="1:12" x14ac:dyDescent="0.35">
      <c r="A3925" t="s">
        <v>118</v>
      </c>
      <c r="B3925" t="s">
        <v>457</v>
      </c>
      <c r="C3925" t="s">
        <v>1247</v>
      </c>
      <c r="D3925">
        <v>0.57699999999999996</v>
      </c>
      <c r="F3925" t="s">
        <v>2490</v>
      </c>
      <c r="H3925" t="s">
        <v>4728</v>
      </c>
      <c r="I3925" t="s">
        <v>5029</v>
      </c>
      <c r="K3925" t="s">
        <v>5037</v>
      </c>
      <c r="L3925" t="s">
        <v>5039</v>
      </c>
    </row>
    <row r="3926" spans="1:12" x14ac:dyDescent="0.35">
      <c r="A3926" t="s">
        <v>118</v>
      </c>
      <c r="B3926" t="s">
        <v>457</v>
      </c>
      <c r="C3926" t="s">
        <v>167</v>
      </c>
      <c r="D3926">
        <v>0.65100000000000002</v>
      </c>
      <c r="F3926" t="s">
        <v>2611</v>
      </c>
      <c r="H3926" t="s">
        <v>4726</v>
      </c>
      <c r="I3926" t="s">
        <v>5029</v>
      </c>
      <c r="K3926" t="s">
        <v>5037</v>
      </c>
      <c r="L3926" t="s">
        <v>5039</v>
      </c>
    </row>
    <row r="3927" spans="1:12" x14ac:dyDescent="0.35">
      <c r="A3927" t="s">
        <v>118</v>
      </c>
      <c r="B3927" t="s">
        <v>457</v>
      </c>
      <c r="C3927" t="s">
        <v>1188</v>
      </c>
      <c r="D3927">
        <v>1.863</v>
      </c>
      <c r="F3927" t="s">
        <v>2612</v>
      </c>
      <c r="H3927" t="s">
        <v>4723</v>
      </c>
      <c r="I3927" t="s">
        <v>5029</v>
      </c>
      <c r="K3927" t="s">
        <v>5037</v>
      </c>
      <c r="L3927" t="s">
        <v>5039</v>
      </c>
    </row>
    <row r="3928" spans="1:12" x14ac:dyDescent="0.35">
      <c r="A3928" t="s">
        <v>118</v>
      </c>
      <c r="B3928" t="s">
        <v>457</v>
      </c>
      <c r="C3928" t="s">
        <v>167</v>
      </c>
      <c r="D3928">
        <v>1.393</v>
      </c>
      <c r="F3928" t="s">
        <v>2613</v>
      </c>
      <c r="H3928" t="s">
        <v>4729</v>
      </c>
      <c r="I3928" t="s">
        <v>5029</v>
      </c>
      <c r="K3928" t="s">
        <v>5037</v>
      </c>
      <c r="L3928" t="s">
        <v>5039</v>
      </c>
    </row>
    <row r="3929" spans="1:12" x14ac:dyDescent="0.35">
      <c r="A3929" t="s">
        <v>118</v>
      </c>
      <c r="B3929" t="s">
        <v>457</v>
      </c>
      <c r="C3929" t="s">
        <v>167</v>
      </c>
      <c r="D3929">
        <v>5.5090000000000003</v>
      </c>
      <c r="F3929" t="s">
        <v>2614</v>
      </c>
      <c r="H3929" t="s">
        <v>4729</v>
      </c>
      <c r="I3929" t="s">
        <v>5029</v>
      </c>
      <c r="K3929" t="s">
        <v>5037</v>
      </c>
      <c r="L3929" t="s">
        <v>5039</v>
      </c>
    </row>
    <row r="3930" spans="1:12" x14ac:dyDescent="0.35">
      <c r="A3930" t="s">
        <v>118</v>
      </c>
      <c r="B3930" t="s">
        <v>457</v>
      </c>
      <c r="C3930" t="s">
        <v>167</v>
      </c>
      <c r="D3930">
        <v>2.1549999999999998</v>
      </c>
      <c r="F3930" t="s">
        <v>2615</v>
      </c>
      <c r="H3930" t="s">
        <v>4724</v>
      </c>
      <c r="I3930" t="s">
        <v>5029</v>
      </c>
      <c r="K3930" t="s">
        <v>5037</v>
      </c>
      <c r="L3930" t="s">
        <v>5039</v>
      </c>
    </row>
    <row r="3931" spans="1:12" x14ac:dyDescent="0.35">
      <c r="A3931" t="s">
        <v>118</v>
      </c>
      <c r="B3931" t="s">
        <v>457</v>
      </c>
      <c r="C3931" t="s">
        <v>1188</v>
      </c>
      <c r="D3931">
        <v>2.4319999999999999</v>
      </c>
      <c r="F3931" t="s">
        <v>2616</v>
      </c>
      <c r="H3931" t="s">
        <v>4730</v>
      </c>
      <c r="I3931" t="s">
        <v>5029</v>
      </c>
      <c r="K3931" t="s">
        <v>5037</v>
      </c>
      <c r="L3931" t="s">
        <v>5039</v>
      </c>
    </row>
    <row r="3932" spans="1:12" x14ac:dyDescent="0.35">
      <c r="A3932" t="s">
        <v>118</v>
      </c>
      <c r="B3932" t="s">
        <v>457</v>
      </c>
      <c r="C3932" t="s">
        <v>1247</v>
      </c>
      <c r="D3932">
        <v>1.298</v>
      </c>
      <c r="F3932" t="s">
        <v>2617</v>
      </c>
      <c r="H3932" t="s">
        <v>4730</v>
      </c>
      <c r="I3932" t="s">
        <v>5029</v>
      </c>
      <c r="K3932" t="s">
        <v>5037</v>
      </c>
      <c r="L3932" t="s">
        <v>5039</v>
      </c>
    </row>
    <row r="3933" spans="1:12" x14ac:dyDescent="0.35">
      <c r="A3933" t="s">
        <v>118</v>
      </c>
      <c r="B3933" t="s">
        <v>457</v>
      </c>
      <c r="C3933" t="s">
        <v>1188</v>
      </c>
      <c r="D3933">
        <v>1.262</v>
      </c>
      <c r="F3933" t="s">
        <v>2618</v>
      </c>
      <c r="H3933" t="s">
        <v>4728</v>
      </c>
      <c r="I3933" t="s">
        <v>5029</v>
      </c>
      <c r="K3933" t="s">
        <v>5037</v>
      </c>
      <c r="L3933" t="s">
        <v>5039</v>
      </c>
    </row>
    <row r="3934" spans="1:12" x14ac:dyDescent="0.35">
      <c r="A3934" t="s">
        <v>118</v>
      </c>
      <c r="B3934" t="s">
        <v>457</v>
      </c>
      <c r="C3934" t="s">
        <v>1188</v>
      </c>
      <c r="D3934">
        <v>3.6070000000000002</v>
      </c>
      <c r="F3934" t="s">
        <v>2619</v>
      </c>
      <c r="H3934" t="s">
        <v>4725</v>
      </c>
      <c r="I3934" t="s">
        <v>5029</v>
      </c>
      <c r="K3934" t="s">
        <v>5037</v>
      </c>
      <c r="L3934" t="s">
        <v>5039</v>
      </c>
    </row>
    <row r="3935" spans="1:12" x14ac:dyDescent="0.35">
      <c r="A3935" t="s">
        <v>118</v>
      </c>
      <c r="B3935" t="s">
        <v>641</v>
      </c>
      <c r="C3935" t="s">
        <v>167</v>
      </c>
      <c r="D3935">
        <v>0.35399999999999998</v>
      </c>
      <c r="F3935" t="s">
        <v>2097</v>
      </c>
      <c r="H3935" t="s">
        <v>4731</v>
      </c>
      <c r="I3935" t="s">
        <v>2408</v>
      </c>
      <c r="K3935" t="s">
        <v>5037</v>
      </c>
      <c r="L3935" t="s">
        <v>5039</v>
      </c>
    </row>
    <row r="3936" spans="1:12" x14ac:dyDescent="0.35">
      <c r="A3936" t="s">
        <v>118</v>
      </c>
      <c r="B3936" t="s">
        <v>642</v>
      </c>
      <c r="C3936" t="s">
        <v>1188</v>
      </c>
      <c r="D3936">
        <v>0.05</v>
      </c>
      <c r="F3936" t="s">
        <v>1559</v>
      </c>
      <c r="H3936" t="s">
        <v>4732</v>
      </c>
      <c r="I3936" t="s">
        <v>2211</v>
      </c>
      <c r="K3936" t="s">
        <v>5037</v>
      </c>
      <c r="L3936" t="s">
        <v>5039</v>
      </c>
    </row>
    <row r="3937" spans="1:12" x14ac:dyDescent="0.35">
      <c r="A3937" t="s">
        <v>118</v>
      </c>
      <c r="B3937" t="s">
        <v>642</v>
      </c>
      <c r="C3937" t="s">
        <v>167</v>
      </c>
      <c r="D3937">
        <v>7</v>
      </c>
      <c r="F3937" t="s">
        <v>1335</v>
      </c>
      <c r="H3937" t="s">
        <v>4733</v>
      </c>
      <c r="I3937" t="s">
        <v>2211</v>
      </c>
      <c r="K3937" t="s">
        <v>5037</v>
      </c>
      <c r="L3937" t="s">
        <v>5039</v>
      </c>
    </row>
    <row r="3938" spans="1:12" x14ac:dyDescent="0.35">
      <c r="A3938" t="s">
        <v>118</v>
      </c>
      <c r="B3938" t="s">
        <v>642</v>
      </c>
      <c r="C3938" t="s">
        <v>167</v>
      </c>
      <c r="D3938">
        <v>2.2000000000000002</v>
      </c>
      <c r="F3938" t="s">
        <v>1417</v>
      </c>
      <c r="H3938" t="s">
        <v>4734</v>
      </c>
      <c r="I3938" t="s">
        <v>2211</v>
      </c>
      <c r="K3938" t="s">
        <v>5037</v>
      </c>
      <c r="L3938" t="s">
        <v>5039</v>
      </c>
    </row>
    <row r="3939" spans="1:12" x14ac:dyDescent="0.35">
      <c r="A3939" t="s">
        <v>118</v>
      </c>
      <c r="B3939" t="s">
        <v>642</v>
      </c>
      <c r="C3939" t="s">
        <v>167</v>
      </c>
      <c r="D3939">
        <v>3</v>
      </c>
      <c r="F3939" t="s">
        <v>1368</v>
      </c>
      <c r="H3939" t="s">
        <v>4735</v>
      </c>
      <c r="I3939" t="s">
        <v>2211</v>
      </c>
      <c r="K3939" t="s">
        <v>5037</v>
      </c>
      <c r="L3939" t="s">
        <v>5039</v>
      </c>
    </row>
    <row r="3940" spans="1:12" x14ac:dyDescent="0.35">
      <c r="A3940" t="s">
        <v>118</v>
      </c>
      <c r="B3940" t="s">
        <v>642</v>
      </c>
      <c r="C3940" t="s">
        <v>167</v>
      </c>
      <c r="D3940">
        <v>3.8</v>
      </c>
      <c r="F3940" t="s">
        <v>1388</v>
      </c>
      <c r="H3940" t="s">
        <v>4736</v>
      </c>
      <c r="I3940" t="s">
        <v>2211</v>
      </c>
      <c r="K3940" t="s">
        <v>5037</v>
      </c>
      <c r="L3940" t="s">
        <v>5039</v>
      </c>
    </row>
    <row r="3941" spans="1:12" x14ac:dyDescent="0.35">
      <c r="A3941" t="s">
        <v>118</v>
      </c>
      <c r="B3941" t="s">
        <v>642</v>
      </c>
      <c r="C3941" t="s">
        <v>167</v>
      </c>
      <c r="D3941">
        <v>13.2</v>
      </c>
      <c r="F3941" t="s">
        <v>1436</v>
      </c>
      <c r="H3941" t="s">
        <v>4737</v>
      </c>
      <c r="I3941" t="s">
        <v>2211</v>
      </c>
      <c r="K3941" t="s">
        <v>5037</v>
      </c>
      <c r="L3941" t="s">
        <v>5039</v>
      </c>
    </row>
    <row r="3942" spans="1:12" x14ac:dyDescent="0.35">
      <c r="A3942" t="s">
        <v>118</v>
      </c>
      <c r="B3942" t="s">
        <v>642</v>
      </c>
      <c r="C3942" t="s">
        <v>167</v>
      </c>
      <c r="D3942">
        <v>13.6</v>
      </c>
      <c r="F3942" t="s">
        <v>2351</v>
      </c>
      <c r="H3942" t="s">
        <v>4738</v>
      </c>
      <c r="I3942" t="s">
        <v>2211</v>
      </c>
      <c r="K3942" t="s">
        <v>5037</v>
      </c>
      <c r="L3942" t="s">
        <v>5039</v>
      </c>
    </row>
    <row r="3943" spans="1:12" x14ac:dyDescent="0.35">
      <c r="A3943" t="s">
        <v>118</v>
      </c>
      <c r="B3943" t="s">
        <v>642</v>
      </c>
      <c r="C3943" t="s">
        <v>1188</v>
      </c>
      <c r="D3943">
        <v>113</v>
      </c>
      <c r="F3943" t="s">
        <v>2620</v>
      </c>
      <c r="H3943" t="s">
        <v>4739</v>
      </c>
      <c r="I3943" t="s">
        <v>2211</v>
      </c>
      <c r="K3943" t="s">
        <v>5037</v>
      </c>
      <c r="L3943" t="s">
        <v>5039</v>
      </c>
    </row>
    <row r="3944" spans="1:12" x14ac:dyDescent="0.35">
      <c r="A3944" t="s">
        <v>118</v>
      </c>
      <c r="B3944" t="s">
        <v>642</v>
      </c>
      <c r="C3944" t="s">
        <v>167</v>
      </c>
      <c r="D3944">
        <v>26.1</v>
      </c>
      <c r="F3944" t="s">
        <v>2621</v>
      </c>
      <c r="H3944" t="s">
        <v>4740</v>
      </c>
      <c r="I3944" t="s">
        <v>2211</v>
      </c>
      <c r="K3944" t="s">
        <v>5037</v>
      </c>
      <c r="L3944" t="s">
        <v>5039</v>
      </c>
    </row>
    <row r="3945" spans="1:12" x14ac:dyDescent="0.35">
      <c r="A3945" t="s">
        <v>118</v>
      </c>
      <c r="B3945" t="s">
        <v>642</v>
      </c>
      <c r="C3945" t="s">
        <v>1188</v>
      </c>
      <c r="D3945">
        <v>0.46</v>
      </c>
      <c r="F3945" t="s">
        <v>1506</v>
      </c>
      <c r="H3945" t="s">
        <v>4741</v>
      </c>
      <c r="I3945" t="s">
        <v>1496</v>
      </c>
      <c r="K3945" t="s">
        <v>5037</v>
      </c>
      <c r="L3945" t="s">
        <v>5039</v>
      </c>
    </row>
    <row r="3946" spans="1:12" x14ac:dyDescent="0.35">
      <c r="A3946" t="s">
        <v>118</v>
      </c>
      <c r="B3946" t="s">
        <v>642</v>
      </c>
      <c r="C3946" t="s">
        <v>1188</v>
      </c>
      <c r="D3946">
        <v>0.41</v>
      </c>
      <c r="F3946" t="s">
        <v>1555</v>
      </c>
      <c r="H3946" t="s">
        <v>4742</v>
      </c>
      <c r="I3946" t="s">
        <v>1858</v>
      </c>
      <c r="K3946" t="s">
        <v>5037</v>
      </c>
      <c r="L3946" t="s">
        <v>5039</v>
      </c>
    </row>
    <row r="3947" spans="1:12" x14ac:dyDescent="0.35">
      <c r="A3947" t="s">
        <v>118</v>
      </c>
      <c r="B3947" t="s">
        <v>642</v>
      </c>
      <c r="C3947" t="s">
        <v>1188</v>
      </c>
      <c r="D3947">
        <v>0.35</v>
      </c>
      <c r="F3947" t="s">
        <v>1294</v>
      </c>
      <c r="H3947" t="s">
        <v>4743</v>
      </c>
      <c r="I3947" t="s">
        <v>4865</v>
      </c>
      <c r="K3947" t="s">
        <v>5037</v>
      </c>
      <c r="L3947" t="s">
        <v>5039</v>
      </c>
    </row>
    <row r="3948" spans="1:12" x14ac:dyDescent="0.35">
      <c r="A3948" t="s">
        <v>118</v>
      </c>
      <c r="B3948" t="s">
        <v>642</v>
      </c>
      <c r="C3948" t="s">
        <v>167</v>
      </c>
      <c r="D3948">
        <v>4.0999999999999996</v>
      </c>
      <c r="F3948" t="s">
        <v>1385</v>
      </c>
      <c r="H3948" t="s">
        <v>4744</v>
      </c>
      <c r="I3948" t="s">
        <v>4954</v>
      </c>
      <c r="K3948" t="s">
        <v>5037</v>
      </c>
      <c r="L3948" t="s">
        <v>5039</v>
      </c>
    </row>
    <row r="3949" spans="1:12" x14ac:dyDescent="0.35">
      <c r="A3949" t="s">
        <v>118</v>
      </c>
      <c r="B3949" t="s">
        <v>642</v>
      </c>
      <c r="C3949" t="s">
        <v>1188</v>
      </c>
      <c r="D3949">
        <v>0.19</v>
      </c>
      <c r="F3949" t="s">
        <v>1538</v>
      </c>
      <c r="H3949" t="s">
        <v>4745</v>
      </c>
      <c r="I3949" t="s">
        <v>4898</v>
      </c>
      <c r="K3949" t="s">
        <v>5037</v>
      </c>
      <c r="L3949" t="s">
        <v>5039</v>
      </c>
    </row>
    <row r="3950" spans="1:12" x14ac:dyDescent="0.35">
      <c r="A3950" t="s">
        <v>118</v>
      </c>
      <c r="B3950" t="s">
        <v>642</v>
      </c>
      <c r="C3950" t="s">
        <v>1188</v>
      </c>
      <c r="D3950">
        <v>0.08</v>
      </c>
      <c r="F3950" t="s">
        <v>1402</v>
      </c>
      <c r="H3950" t="s">
        <v>4746</v>
      </c>
      <c r="I3950" t="s">
        <v>4898</v>
      </c>
      <c r="K3950" t="s">
        <v>5037</v>
      </c>
      <c r="L3950" t="s">
        <v>5039</v>
      </c>
    </row>
    <row r="3951" spans="1:12" x14ac:dyDescent="0.35">
      <c r="A3951" t="s">
        <v>118</v>
      </c>
      <c r="B3951" t="s">
        <v>508</v>
      </c>
      <c r="C3951" t="s">
        <v>1248</v>
      </c>
      <c r="D3951">
        <v>0.23</v>
      </c>
      <c r="F3951" t="s">
        <v>1362</v>
      </c>
      <c r="I3951" t="s">
        <v>4919</v>
      </c>
      <c r="K3951" t="s">
        <v>5037</v>
      </c>
      <c r="L3951" t="s">
        <v>5039</v>
      </c>
    </row>
    <row r="3952" spans="1:12" x14ac:dyDescent="0.35">
      <c r="A3952" t="s">
        <v>118</v>
      </c>
      <c r="B3952" t="s">
        <v>508</v>
      </c>
      <c r="C3952" t="s">
        <v>167</v>
      </c>
      <c r="D3952">
        <v>0.32</v>
      </c>
      <c r="F3952" t="s">
        <v>1470</v>
      </c>
      <c r="H3952" t="s">
        <v>4747</v>
      </c>
      <c r="I3952" t="s">
        <v>5001</v>
      </c>
      <c r="K3952" t="s">
        <v>5037</v>
      </c>
      <c r="L3952" t="s">
        <v>5039</v>
      </c>
    </row>
    <row r="3953" spans="1:12" x14ac:dyDescent="0.35">
      <c r="A3953" t="s">
        <v>118</v>
      </c>
      <c r="B3953" t="s">
        <v>616</v>
      </c>
      <c r="C3953" t="s">
        <v>793</v>
      </c>
      <c r="D3953">
        <v>6.3E-2</v>
      </c>
      <c r="F3953" t="s">
        <v>2017</v>
      </c>
      <c r="H3953" t="s">
        <v>4748</v>
      </c>
      <c r="I3953" t="s">
        <v>2334</v>
      </c>
      <c r="K3953" t="s">
        <v>5037</v>
      </c>
      <c r="L3953" t="s">
        <v>5039</v>
      </c>
    </row>
    <row r="3954" spans="1:12" x14ac:dyDescent="0.35">
      <c r="A3954" t="s">
        <v>118</v>
      </c>
      <c r="B3954" t="s">
        <v>616</v>
      </c>
      <c r="C3954" t="s">
        <v>793</v>
      </c>
      <c r="D3954">
        <v>0.56999999999999995</v>
      </c>
      <c r="F3954" t="s">
        <v>1711</v>
      </c>
      <c r="H3954" t="s">
        <v>4749</v>
      </c>
      <c r="I3954" t="s">
        <v>4928</v>
      </c>
      <c r="K3954" t="s">
        <v>5037</v>
      </c>
      <c r="L3954" t="s">
        <v>5039</v>
      </c>
    </row>
    <row r="3955" spans="1:12" x14ac:dyDescent="0.35">
      <c r="A3955" t="s">
        <v>118</v>
      </c>
      <c r="B3955" t="s">
        <v>643</v>
      </c>
      <c r="C3955" t="s">
        <v>1198</v>
      </c>
      <c r="D3955">
        <v>1.4</v>
      </c>
      <c r="F3955" t="s">
        <v>1469</v>
      </c>
      <c r="I3955" t="s">
        <v>2253</v>
      </c>
      <c r="K3955" t="s">
        <v>5037</v>
      </c>
      <c r="L3955" t="s">
        <v>5039</v>
      </c>
    </row>
    <row r="3956" spans="1:12" x14ac:dyDescent="0.35">
      <c r="A3956" t="s">
        <v>118</v>
      </c>
      <c r="B3956" t="s">
        <v>643</v>
      </c>
      <c r="C3956" t="s">
        <v>167</v>
      </c>
      <c r="D3956">
        <v>0.25</v>
      </c>
      <c r="F3956" t="s">
        <v>1403</v>
      </c>
      <c r="H3956" t="s">
        <v>4750</v>
      </c>
      <c r="I3956" t="s">
        <v>4954</v>
      </c>
      <c r="K3956" t="s">
        <v>5037</v>
      </c>
      <c r="L3956" t="s">
        <v>5039</v>
      </c>
    </row>
    <row r="3957" spans="1:12" x14ac:dyDescent="0.35">
      <c r="A3957" t="s">
        <v>118</v>
      </c>
      <c r="B3957" t="s">
        <v>314</v>
      </c>
      <c r="C3957" t="s">
        <v>167</v>
      </c>
      <c r="D3957">
        <v>0.23</v>
      </c>
      <c r="F3957" t="s">
        <v>1362</v>
      </c>
      <c r="H3957" t="s">
        <v>4751</v>
      </c>
      <c r="I3957" t="s">
        <v>4853</v>
      </c>
      <c r="K3957" t="s">
        <v>5037</v>
      </c>
      <c r="L3957" t="s">
        <v>5039</v>
      </c>
    </row>
    <row r="3958" spans="1:12" x14ac:dyDescent="0.35">
      <c r="A3958" t="s">
        <v>118</v>
      </c>
      <c r="B3958" t="s">
        <v>462</v>
      </c>
      <c r="C3958" t="s">
        <v>167</v>
      </c>
      <c r="D3958">
        <v>1.7</v>
      </c>
      <c r="F3958" t="s">
        <v>1416</v>
      </c>
      <c r="H3958" t="s">
        <v>4752</v>
      </c>
      <c r="I3958" t="s">
        <v>5030</v>
      </c>
      <c r="K3958" t="s">
        <v>5037</v>
      </c>
      <c r="L3958" t="s">
        <v>5039</v>
      </c>
    </row>
    <row r="3959" spans="1:12" x14ac:dyDescent="0.35">
      <c r="A3959" t="s">
        <v>118</v>
      </c>
      <c r="B3959" t="s">
        <v>462</v>
      </c>
      <c r="C3959" t="s">
        <v>1188</v>
      </c>
      <c r="D3959">
        <v>7.1</v>
      </c>
      <c r="F3959" t="s">
        <v>1532</v>
      </c>
      <c r="H3959" t="s">
        <v>4753</v>
      </c>
      <c r="I3959" t="s">
        <v>5030</v>
      </c>
      <c r="K3959" t="s">
        <v>5037</v>
      </c>
      <c r="L3959" t="s">
        <v>5039</v>
      </c>
    </row>
    <row r="3960" spans="1:12" x14ac:dyDescent="0.35">
      <c r="A3960" t="s">
        <v>118</v>
      </c>
      <c r="B3960" t="s">
        <v>462</v>
      </c>
      <c r="C3960" t="s">
        <v>1188</v>
      </c>
      <c r="D3960">
        <v>1.5</v>
      </c>
      <c r="F3960" t="s">
        <v>1426</v>
      </c>
      <c r="H3960" t="s">
        <v>4754</v>
      </c>
      <c r="I3960" t="s">
        <v>5030</v>
      </c>
      <c r="K3960" t="s">
        <v>5037</v>
      </c>
      <c r="L3960" t="s">
        <v>5039</v>
      </c>
    </row>
    <row r="3961" spans="1:12" x14ac:dyDescent="0.35">
      <c r="A3961" t="s">
        <v>118</v>
      </c>
      <c r="B3961" t="s">
        <v>462</v>
      </c>
      <c r="C3961" t="s">
        <v>167</v>
      </c>
      <c r="D3961">
        <v>8.5000000000000006E-2</v>
      </c>
      <c r="F3961" t="s">
        <v>1459</v>
      </c>
      <c r="H3961" t="s">
        <v>4755</v>
      </c>
      <c r="I3961" t="s">
        <v>5030</v>
      </c>
      <c r="K3961" t="s">
        <v>5037</v>
      </c>
      <c r="L3961" t="s">
        <v>5039</v>
      </c>
    </row>
    <row r="3962" spans="1:12" x14ac:dyDescent="0.35">
      <c r="A3962" t="s">
        <v>118</v>
      </c>
      <c r="B3962" t="s">
        <v>462</v>
      </c>
      <c r="C3962" t="s">
        <v>167</v>
      </c>
      <c r="D3962">
        <v>0.34</v>
      </c>
      <c r="F3962" t="s">
        <v>1327</v>
      </c>
      <c r="H3962" t="s">
        <v>4756</v>
      </c>
      <c r="I3962" t="s">
        <v>5030</v>
      </c>
      <c r="K3962" t="s">
        <v>5037</v>
      </c>
      <c r="L3962" t="s">
        <v>5039</v>
      </c>
    </row>
    <row r="3963" spans="1:12" x14ac:dyDescent="0.35">
      <c r="A3963" t="s">
        <v>118</v>
      </c>
      <c r="B3963" t="s">
        <v>462</v>
      </c>
      <c r="C3963" t="s">
        <v>1249</v>
      </c>
      <c r="D3963">
        <v>4.0999999999999996</v>
      </c>
      <c r="F3963" t="s">
        <v>1385</v>
      </c>
      <c r="H3963" t="s">
        <v>4754</v>
      </c>
      <c r="I3963" t="s">
        <v>5030</v>
      </c>
      <c r="K3963" t="s">
        <v>5037</v>
      </c>
      <c r="L3963" t="s">
        <v>5039</v>
      </c>
    </row>
    <row r="3964" spans="1:12" x14ac:dyDescent="0.35">
      <c r="A3964" t="s">
        <v>118</v>
      </c>
      <c r="B3964" t="s">
        <v>462</v>
      </c>
      <c r="C3964" t="s">
        <v>1188</v>
      </c>
      <c r="D3964">
        <v>3.2</v>
      </c>
      <c r="F3964" t="s">
        <v>1465</v>
      </c>
      <c r="H3964" t="s">
        <v>4757</v>
      </c>
      <c r="I3964" t="s">
        <v>5030</v>
      </c>
      <c r="K3964" t="s">
        <v>5037</v>
      </c>
      <c r="L3964" t="s">
        <v>5039</v>
      </c>
    </row>
    <row r="3965" spans="1:12" x14ac:dyDescent="0.35">
      <c r="A3965" t="s">
        <v>118</v>
      </c>
      <c r="B3965" t="s">
        <v>462</v>
      </c>
      <c r="C3965" t="s">
        <v>167</v>
      </c>
      <c r="D3965">
        <v>0.14000000000000001</v>
      </c>
      <c r="F3965" t="s">
        <v>1361</v>
      </c>
      <c r="H3965" t="s">
        <v>4758</v>
      </c>
      <c r="I3965" t="s">
        <v>5030</v>
      </c>
      <c r="K3965" t="s">
        <v>5037</v>
      </c>
      <c r="L3965" t="s">
        <v>5039</v>
      </c>
    </row>
    <row r="3966" spans="1:12" x14ac:dyDescent="0.35">
      <c r="A3966" t="s">
        <v>118</v>
      </c>
      <c r="B3966" t="s">
        <v>644</v>
      </c>
      <c r="C3966" t="s">
        <v>1188</v>
      </c>
      <c r="D3966">
        <v>0.15</v>
      </c>
      <c r="F3966" t="s">
        <v>1269</v>
      </c>
      <c r="I3966" t="s">
        <v>1533</v>
      </c>
      <c r="K3966" t="s">
        <v>5037</v>
      </c>
      <c r="L3966" t="s">
        <v>5039</v>
      </c>
    </row>
    <row r="3967" spans="1:12" x14ac:dyDescent="0.35">
      <c r="A3967" t="s">
        <v>118</v>
      </c>
      <c r="B3967" t="s">
        <v>644</v>
      </c>
      <c r="C3967" t="s">
        <v>167</v>
      </c>
      <c r="D3967">
        <v>3.3000000000000002E-2</v>
      </c>
      <c r="F3967" t="s">
        <v>1340</v>
      </c>
      <c r="I3967" t="s">
        <v>1533</v>
      </c>
      <c r="K3967" t="s">
        <v>5037</v>
      </c>
      <c r="L3967" t="s">
        <v>5039</v>
      </c>
    </row>
    <row r="3968" spans="1:12" x14ac:dyDescent="0.35">
      <c r="A3968" t="s">
        <v>118</v>
      </c>
      <c r="B3968" t="s">
        <v>645</v>
      </c>
      <c r="C3968" t="s">
        <v>1188</v>
      </c>
      <c r="D3968">
        <v>0.4</v>
      </c>
      <c r="F3968" t="s">
        <v>1315</v>
      </c>
      <c r="H3968" t="s">
        <v>4759</v>
      </c>
      <c r="I3968" t="s">
        <v>2325</v>
      </c>
      <c r="K3968" t="s">
        <v>5037</v>
      </c>
      <c r="L3968" t="s">
        <v>5039</v>
      </c>
    </row>
    <row r="3969" spans="1:12" x14ac:dyDescent="0.35">
      <c r="A3969" t="s">
        <v>118</v>
      </c>
      <c r="B3969" t="s">
        <v>645</v>
      </c>
      <c r="C3969" t="s">
        <v>167</v>
      </c>
      <c r="D3969">
        <v>0.35</v>
      </c>
      <c r="F3969" t="s">
        <v>1294</v>
      </c>
      <c r="H3969" t="s">
        <v>4760</v>
      </c>
      <c r="I3969" t="s">
        <v>5031</v>
      </c>
      <c r="K3969" t="s">
        <v>5037</v>
      </c>
      <c r="L3969" t="s">
        <v>5039</v>
      </c>
    </row>
    <row r="3970" spans="1:12" x14ac:dyDescent="0.35">
      <c r="A3970" t="s">
        <v>118</v>
      </c>
      <c r="B3970" t="s">
        <v>469</v>
      </c>
      <c r="C3970" t="s">
        <v>1250</v>
      </c>
      <c r="D3970">
        <v>0.14000000000000001</v>
      </c>
      <c r="F3970" t="s">
        <v>1361</v>
      </c>
      <c r="H3970" t="s">
        <v>4761</v>
      </c>
      <c r="I3970" t="s">
        <v>5032</v>
      </c>
      <c r="K3970" t="s">
        <v>5037</v>
      </c>
      <c r="L3970" t="s">
        <v>5039</v>
      </c>
    </row>
    <row r="3971" spans="1:12" x14ac:dyDescent="0.35">
      <c r="A3971" t="s">
        <v>118</v>
      </c>
      <c r="B3971" t="s">
        <v>469</v>
      </c>
      <c r="C3971" t="s">
        <v>167</v>
      </c>
      <c r="D3971">
        <v>1.5</v>
      </c>
      <c r="F3971" t="s">
        <v>1426</v>
      </c>
      <c r="H3971" t="s">
        <v>4761</v>
      </c>
      <c r="I3971" t="s">
        <v>5032</v>
      </c>
      <c r="K3971" t="s">
        <v>5037</v>
      </c>
      <c r="L3971" t="s">
        <v>5039</v>
      </c>
    </row>
    <row r="3972" spans="1:12" x14ac:dyDescent="0.35">
      <c r="A3972" t="s">
        <v>118</v>
      </c>
      <c r="B3972" t="s">
        <v>513</v>
      </c>
      <c r="C3972" t="s">
        <v>1188</v>
      </c>
      <c r="D3972">
        <v>4.5</v>
      </c>
      <c r="F3972" t="s">
        <v>1828</v>
      </c>
      <c r="H3972" t="s">
        <v>4762</v>
      </c>
      <c r="I3972" t="s">
        <v>4960</v>
      </c>
      <c r="K3972" t="s">
        <v>5037</v>
      </c>
      <c r="L3972" t="s">
        <v>5039</v>
      </c>
    </row>
    <row r="3973" spans="1:12" x14ac:dyDescent="0.35">
      <c r="A3973" t="s">
        <v>118</v>
      </c>
      <c r="B3973" t="s">
        <v>513</v>
      </c>
      <c r="C3973" t="s">
        <v>1232</v>
      </c>
      <c r="D3973">
        <v>4.7E-2</v>
      </c>
      <c r="F3973" t="s">
        <v>1615</v>
      </c>
      <c r="H3973" t="s">
        <v>4763</v>
      </c>
      <c r="I3973" t="s">
        <v>4960</v>
      </c>
      <c r="K3973" t="s">
        <v>5037</v>
      </c>
      <c r="L3973" t="s">
        <v>5039</v>
      </c>
    </row>
    <row r="3974" spans="1:12" x14ac:dyDescent="0.35">
      <c r="A3974" t="s">
        <v>118</v>
      </c>
      <c r="B3974" t="s">
        <v>513</v>
      </c>
      <c r="C3974" t="s">
        <v>791</v>
      </c>
      <c r="D3974">
        <v>14.3</v>
      </c>
      <c r="F3974" t="s">
        <v>2622</v>
      </c>
      <c r="H3974" t="s">
        <v>4763</v>
      </c>
      <c r="I3974" t="s">
        <v>4960</v>
      </c>
      <c r="K3974" t="s">
        <v>5037</v>
      </c>
      <c r="L3974" t="s">
        <v>5039</v>
      </c>
    </row>
    <row r="3975" spans="1:12" x14ac:dyDescent="0.35">
      <c r="A3975" t="s">
        <v>118</v>
      </c>
      <c r="B3975" t="s">
        <v>513</v>
      </c>
      <c r="C3975" t="s">
        <v>167</v>
      </c>
      <c r="D3975">
        <v>0.45</v>
      </c>
      <c r="F3975" t="s">
        <v>1316</v>
      </c>
      <c r="H3975" t="s">
        <v>4764</v>
      </c>
      <c r="I3975" t="s">
        <v>5008</v>
      </c>
      <c r="K3975" t="s">
        <v>5037</v>
      </c>
      <c r="L3975" t="s">
        <v>5039</v>
      </c>
    </row>
    <row r="3976" spans="1:12" x14ac:dyDescent="0.35">
      <c r="A3976" t="s">
        <v>118</v>
      </c>
      <c r="B3976" t="s">
        <v>513</v>
      </c>
      <c r="C3976" t="s">
        <v>167</v>
      </c>
      <c r="D3976">
        <v>0.12</v>
      </c>
      <c r="F3976" t="s">
        <v>1473</v>
      </c>
      <c r="H3976" t="s">
        <v>4765</v>
      </c>
      <c r="I3976" t="s">
        <v>5017</v>
      </c>
      <c r="K3976" t="s">
        <v>5037</v>
      </c>
      <c r="L3976" t="s">
        <v>5039</v>
      </c>
    </row>
    <row r="3977" spans="1:12" x14ac:dyDescent="0.35">
      <c r="A3977" t="s">
        <v>118</v>
      </c>
      <c r="B3977" t="s">
        <v>631</v>
      </c>
      <c r="C3977" t="s">
        <v>1238</v>
      </c>
      <c r="D3977">
        <v>1.66</v>
      </c>
      <c r="F3977" t="s">
        <v>2493</v>
      </c>
      <c r="H3977" t="s">
        <v>4766</v>
      </c>
      <c r="I3977" t="s">
        <v>5022</v>
      </c>
      <c r="K3977" t="s">
        <v>5037</v>
      </c>
      <c r="L3977" t="s">
        <v>5039</v>
      </c>
    </row>
    <row r="3978" spans="1:12" x14ac:dyDescent="0.35">
      <c r="A3978" t="s">
        <v>118</v>
      </c>
      <c r="B3978" t="s">
        <v>631</v>
      </c>
      <c r="C3978" t="s">
        <v>1251</v>
      </c>
      <c r="D3978">
        <v>0.20699999999999999</v>
      </c>
      <c r="F3978" t="s">
        <v>2416</v>
      </c>
      <c r="H3978" t="s">
        <v>4767</v>
      </c>
      <c r="I3978" t="s">
        <v>5022</v>
      </c>
      <c r="K3978" t="s">
        <v>5037</v>
      </c>
      <c r="L3978" t="s">
        <v>5039</v>
      </c>
    </row>
    <row r="3979" spans="1:12" x14ac:dyDescent="0.35">
      <c r="A3979" t="s">
        <v>118</v>
      </c>
      <c r="B3979" t="s">
        <v>646</v>
      </c>
      <c r="C3979" t="s">
        <v>1216</v>
      </c>
      <c r="D3979">
        <v>2.1</v>
      </c>
      <c r="F3979" t="s">
        <v>1399</v>
      </c>
      <c r="H3979" t="s">
        <v>4768</v>
      </c>
      <c r="I3979" t="s">
        <v>5033</v>
      </c>
      <c r="K3979" t="s">
        <v>5037</v>
      </c>
      <c r="L3979" t="s">
        <v>5039</v>
      </c>
    </row>
    <row r="3980" spans="1:12" x14ac:dyDescent="0.35">
      <c r="A3980" t="s">
        <v>118</v>
      </c>
      <c r="B3980" t="s">
        <v>646</v>
      </c>
      <c r="C3980" t="s">
        <v>1188</v>
      </c>
      <c r="D3980">
        <v>1.57</v>
      </c>
      <c r="F3980" t="s">
        <v>1919</v>
      </c>
      <c r="H3980" t="s">
        <v>4769</v>
      </c>
      <c r="I3980" t="s">
        <v>5033</v>
      </c>
      <c r="K3980" t="s">
        <v>5037</v>
      </c>
      <c r="L3980" t="s">
        <v>5039</v>
      </c>
    </row>
    <row r="3981" spans="1:12" x14ac:dyDescent="0.35">
      <c r="A3981" t="s">
        <v>118</v>
      </c>
      <c r="B3981" t="s">
        <v>647</v>
      </c>
      <c r="C3981" t="s">
        <v>167</v>
      </c>
      <c r="D3981">
        <v>0.33500000000000002</v>
      </c>
      <c r="F3981" t="s">
        <v>2061</v>
      </c>
      <c r="H3981" t="s">
        <v>4770</v>
      </c>
      <c r="I3981" t="s">
        <v>1893</v>
      </c>
      <c r="K3981" t="s">
        <v>5037</v>
      </c>
      <c r="L3981" t="s">
        <v>5039</v>
      </c>
    </row>
    <row r="3982" spans="1:12" x14ac:dyDescent="0.35">
      <c r="A3982" t="s">
        <v>118</v>
      </c>
      <c r="B3982" t="s">
        <v>647</v>
      </c>
      <c r="C3982" t="s">
        <v>1188</v>
      </c>
      <c r="D3982">
        <v>0.39</v>
      </c>
      <c r="F3982" t="s">
        <v>1422</v>
      </c>
      <c r="H3982" t="s">
        <v>4771</v>
      </c>
      <c r="I3982" t="s">
        <v>1893</v>
      </c>
      <c r="K3982" t="s">
        <v>5037</v>
      </c>
      <c r="L3982" t="s">
        <v>5039</v>
      </c>
    </row>
    <row r="3983" spans="1:12" x14ac:dyDescent="0.35">
      <c r="A3983" t="s">
        <v>118</v>
      </c>
      <c r="B3983" t="s">
        <v>648</v>
      </c>
      <c r="C3983" t="s">
        <v>1188</v>
      </c>
      <c r="D3983">
        <v>0.45700000000000002</v>
      </c>
      <c r="F3983" t="s">
        <v>2623</v>
      </c>
      <c r="H3983" t="s">
        <v>4772</v>
      </c>
      <c r="I3983" t="s">
        <v>5034</v>
      </c>
      <c r="K3983" t="s">
        <v>5037</v>
      </c>
      <c r="L3983" t="s">
        <v>5039</v>
      </c>
    </row>
    <row r="3984" spans="1:12" x14ac:dyDescent="0.35">
      <c r="A3984" t="s">
        <v>118</v>
      </c>
      <c r="B3984" t="s">
        <v>648</v>
      </c>
      <c r="C3984" t="s">
        <v>167</v>
      </c>
      <c r="D3984">
        <v>0.123</v>
      </c>
      <c r="F3984" t="s">
        <v>1583</v>
      </c>
      <c r="H3984" t="s">
        <v>4773</v>
      </c>
      <c r="I3984" t="s">
        <v>5034</v>
      </c>
      <c r="K3984" t="s">
        <v>5037</v>
      </c>
      <c r="L3984" t="s">
        <v>5039</v>
      </c>
    </row>
    <row r="3985" spans="1:12" x14ac:dyDescent="0.35">
      <c r="A3985" t="s">
        <v>118</v>
      </c>
      <c r="B3985" t="s">
        <v>636</v>
      </c>
      <c r="C3985" t="s">
        <v>1205</v>
      </c>
      <c r="D3985">
        <v>0.05</v>
      </c>
      <c r="F3985" t="s">
        <v>1559</v>
      </c>
      <c r="H3985" t="s">
        <v>4774</v>
      </c>
      <c r="I3985" t="s">
        <v>2328</v>
      </c>
      <c r="K3985" t="s">
        <v>5037</v>
      </c>
      <c r="L3985" t="s">
        <v>5039</v>
      </c>
    </row>
    <row r="3986" spans="1:12" x14ac:dyDescent="0.35">
      <c r="A3986" t="s">
        <v>118</v>
      </c>
      <c r="B3986" t="s">
        <v>636</v>
      </c>
      <c r="C3986" t="s">
        <v>1205</v>
      </c>
      <c r="D3986">
        <v>0.18</v>
      </c>
      <c r="F3986" t="s">
        <v>1531</v>
      </c>
      <c r="H3986" t="s">
        <v>4775</v>
      </c>
      <c r="I3986" t="s">
        <v>2328</v>
      </c>
      <c r="K3986" t="s">
        <v>5037</v>
      </c>
      <c r="L3986" t="s">
        <v>5039</v>
      </c>
    </row>
    <row r="3987" spans="1:12" x14ac:dyDescent="0.35">
      <c r="A3987" t="s">
        <v>118</v>
      </c>
      <c r="B3987" t="s">
        <v>636</v>
      </c>
      <c r="C3987" t="s">
        <v>1205</v>
      </c>
      <c r="D3987">
        <v>4.0000000000000001E-3</v>
      </c>
      <c r="F3987" t="s">
        <v>1838</v>
      </c>
      <c r="H3987" t="s">
        <v>4776</v>
      </c>
      <c r="I3987" t="s">
        <v>2328</v>
      </c>
      <c r="K3987" t="s">
        <v>5037</v>
      </c>
      <c r="L3987" t="s">
        <v>5039</v>
      </c>
    </row>
    <row r="3988" spans="1:12" x14ac:dyDescent="0.35">
      <c r="A3988" t="s">
        <v>118</v>
      </c>
      <c r="B3988" t="s">
        <v>636</v>
      </c>
      <c r="C3988" t="s">
        <v>1205</v>
      </c>
      <c r="D3988">
        <v>0.11</v>
      </c>
      <c r="F3988" t="s">
        <v>1295</v>
      </c>
      <c r="H3988" t="s">
        <v>4777</v>
      </c>
      <c r="I3988" t="s">
        <v>2328</v>
      </c>
      <c r="K3988" t="s">
        <v>5037</v>
      </c>
      <c r="L3988" t="s">
        <v>5039</v>
      </c>
    </row>
    <row r="3989" spans="1:12" x14ac:dyDescent="0.35">
      <c r="A3989" t="s">
        <v>118</v>
      </c>
      <c r="B3989" t="s">
        <v>636</v>
      </c>
      <c r="C3989" t="s">
        <v>1216</v>
      </c>
      <c r="D3989">
        <v>0.2</v>
      </c>
      <c r="F3989" t="s">
        <v>1371</v>
      </c>
      <c r="H3989" t="s">
        <v>4778</v>
      </c>
      <c r="I3989" t="s">
        <v>2328</v>
      </c>
      <c r="K3989" t="s">
        <v>5037</v>
      </c>
      <c r="L3989" t="s">
        <v>5039</v>
      </c>
    </row>
    <row r="3990" spans="1:12" x14ac:dyDescent="0.35">
      <c r="A3990" t="s">
        <v>118</v>
      </c>
      <c r="B3990" t="s">
        <v>636</v>
      </c>
      <c r="C3990" t="s">
        <v>1205</v>
      </c>
      <c r="D3990">
        <v>0.25</v>
      </c>
      <c r="F3990" t="s">
        <v>1403</v>
      </c>
      <c r="H3990" t="s">
        <v>4778</v>
      </c>
      <c r="I3990" t="s">
        <v>2328</v>
      </c>
      <c r="K3990" t="s">
        <v>5037</v>
      </c>
      <c r="L3990" t="s">
        <v>5039</v>
      </c>
    </row>
    <row r="3991" spans="1:12" x14ac:dyDescent="0.35">
      <c r="A3991" t="s">
        <v>118</v>
      </c>
      <c r="B3991" t="s">
        <v>636</v>
      </c>
      <c r="C3991" t="s">
        <v>1205</v>
      </c>
      <c r="D3991">
        <v>0.22</v>
      </c>
      <c r="F3991" t="s">
        <v>1438</v>
      </c>
      <c r="H3991" t="s">
        <v>4779</v>
      </c>
      <c r="I3991" t="s">
        <v>2328</v>
      </c>
      <c r="K3991" t="s">
        <v>5037</v>
      </c>
      <c r="L3991" t="s">
        <v>5039</v>
      </c>
    </row>
    <row r="3992" spans="1:12" x14ac:dyDescent="0.35">
      <c r="A3992" t="s">
        <v>118</v>
      </c>
      <c r="B3992" t="s">
        <v>636</v>
      </c>
      <c r="C3992" t="s">
        <v>167</v>
      </c>
      <c r="D3992">
        <v>0.82</v>
      </c>
      <c r="F3992" t="s">
        <v>1930</v>
      </c>
      <c r="H3992" t="s">
        <v>4780</v>
      </c>
      <c r="I3992" t="s">
        <v>2328</v>
      </c>
      <c r="K3992" t="s">
        <v>5037</v>
      </c>
      <c r="L3992" t="s">
        <v>5039</v>
      </c>
    </row>
    <row r="3993" spans="1:12" x14ac:dyDescent="0.35">
      <c r="A3993" t="s">
        <v>118</v>
      </c>
      <c r="B3993" t="s">
        <v>636</v>
      </c>
      <c r="C3993" t="s">
        <v>167</v>
      </c>
      <c r="D3993">
        <v>0.57999999999999996</v>
      </c>
      <c r="F3993" t="s">
        <v>1444</v>
      </c>
      <c r="H3993" t="s">
        <v>4781</v>
      </c>
      <c r="I3993" t="s">
        <v>2328</v>
      </c>
      <c r="K3993" t="s">
        <v>5037</v>
      </c>
      <c r="L3993" t="s">
        <v>5039</v>
      </c>
    </row>
    <row r="3994" spans="1:12" x14ac:dyDescent="0.35">
      <c r="A3994" t="s">
        <v>118</v>
      </c>
      <c r="B3994" t="s">
        <v>636</v>
      </c>
      <c r="C3994" t="s">
        <v>167</v>
      </c>
      <c r="D3994">
        <v>0.27</v>
      </c>
      <c r="F3994" t="s">
        <v>1738</v>
      </c>
      <c r="H3994" t="s">
        <v>4782</v>
      </c>
      <c r="I3994" t="s">
        <v>2328</v>
      </c>
      <c r="K3994" t="s">
        <v>5037</v>
      </c>
      <c r="L3994" t="s">
        <v>5039</v>
      </c>
    </row>
    <row r="3995" spans="1:12" x14ac:dyDescent="0.35">
      <c r="A3995" t="s">
        <v>118</v>
      </c>
      <c r="B3995" t="s">
        <v>636</v>
      </c>
      <c r="C3995" t="s">
        <v>1252</v>
      </c>
      <c r="D3995">
        <v>0.27</v>
      </c>
      <c r="F3995" t="s">
        <v>1738</v>
      </c>
      <c r="H3995" t="s">
        <v>4783</v>
      </c>
      <c r="I3995" t="s">
        <v>2328</v>
      </c>
      <c r="K3995" t="s">
        <v>5037</v>
      </c>
      <c r="L3995" t="s">
        <v>5039</v>
      </c>
    </row>
    <row r="3996" spans="1:12" x14ac:dyDescent="0.35">
      <c r="A3996" t="s">
        <v>118</v>
      </c>
      <c r="B3996" t="s">
        <v>636</v>
      </c>
      <c r="C3996" t="s">
        <v>167</v>
      </c>
      <c r="D3996">
        <v>0.75</v>
      </c>
      <c r="F3996" t="s">
        <v>1475</v>
      </c>
      <c r="H3996" t="s">
        <v>4784</v>
      </c>
      <c r="I3996" t="s">
        <v>2328</v>
      </c>
      <c r="K3996" t="s">
        <v>5037</v>
      </c>
      <c r="L3996" t="s">
        <v>5039</v>
      </c>
    </row>
    <row r="3997" spans="1:12" x14ac:dyDescent="0.35">
      <c r="A3997" t="s">
        <v>118</v>
      </c>
      <c r="B3997" t="s">
        <v>636</v>
      </c>
      <c r="C3997" t="s">
        <v>1216</v>
      </c>
      <c r="D3997">
        <v>0.24</v>
      </c>
      <c r="F3997" t="s">
        <v>1488</v>
      </c>
      <c r="H3997" t="s">
        <v>4775</v>
      </c>
      <c r="I3997" t="s">
        <v>2328</v>
      </c>
      <c r="K3997" t="s">
        <v>5037</v>
      </c>
      <c r="L3997" t="s">
        <v>5039</v>
      </c>
    </row>
    <row r="3998" spans="1:12" x14ac:dyDescent="0.35">
      <c r="A3998" t="s">
        <v>118</v>
      </c>
      <c r="B3998" t="s">
        <v>636</v>
      </c>
      <c r="C3998" t="s">
        <v>1188</v>
      </c>
      <c r="D3998">
        <v>1.68</v>
      </c>
      <c r="F3998" t="s">
        <v>1740</v>
      </c>
      <c r="H3998" t="s">
        <v>4785</v>
      </c>
      <c r="I3998" t="s">
        <v>2328</v>
      </c>
      <c r="K3998" t="s">
        <v>5037</v>
      </c>
      <c r="L3998" t="s">
        <v>5039</v>
      </c>
    </row>
    <row r="3999" spans="1:12" x14ac:dyDescent="0.35">
      <c r="A3999" t="s">
        <v>118</v>
      </c>
      <c r="B3999" t="s">
        <v>636</v>
      </c>
      <c r="C3999" t="s">
        <v>1238</v>
      </c>
      <c r="D3999">
        <v>1.08</v>
      </c>
      <c r="F3999" t="s">
        <v>1831</v>
      </c>
      <c r="H3999" t="s">
        <v>4786</v>
      </c>
      <c r="I3999" t="s">
        <v>2328</v>
      </c>
      <c r="K3999" t="s">
        <v>5037</v>
      </c>
      <c r="L3999" t="s">
        <v>5039</v>
      </c>
    </row>
    <row r="4000" spans="1:12" x14ac:dyDescent="0.35">
      <c r="A4000" t="s">
        <v>118</v>
      </c>
      <c r="B4000" t="s">
        <v>636</v>
      </c>
      <c r="C4000" t="s">
        <v>167</v>
      </c>
      <c r="D4000">
        <v>2.0499999999999998</v>
      </c>
      <c r="F4000" t="s">
        <v>1439</v>
      </c>
      <c r="H4000" t="s">
        <v>4787</v>
      </c>
      <c r="I4000" t="s">
        <v>2328</v>
      </c>
      <c r="K4000" t="s">
        <v>5037</v>
      </c>
      <c r="L4000" t="s">
        <v>5039</v>
      </c>
    </row>
    <row r="4001" spans="1:12" x14ac:dyDescent="0.35">
      <c r="A4001" t="s">
        <v>118</v>
      </c>
      <c r="B4001" t="s">
        <v>636</v>
      </c>
      <c r="C4001" t="s">
        <v>167</v>
      </c>
      <c r="D4001">
        <v>2.91</v>
      </c>
      <c r="F4001" t="s">
        <v>2624</v>
      </c>
      <c r="H4001" t="s">
        <v>4788</v>
      </c>
      <c r="I4001" t="s">
        <v>2328</v>
      </c>
      <c r="K4001" t="s">
        <v>5037</v>
      </c>
      <c r="L4001" t="s">
        <v>5039</v>
      </c>
    </row>
    <row r="4002" spans="1:12" x14ac:dyDescent="0.35">
      <c r="A4002" t="s">
        <v>118</v>
      </c>
      <c r="B4002" t="s">
        <v>636</v>
      </c>
      <c r="C4002" t="s">
        <v>1188</v>
      </c>
      <c r="D4002">
        <v>2.2400000000000002</v>
      </c>
      <c r="F4002" t="s">
        <v>2496</v>
      </c>
      <c r="H4002" t="s">
        <v>4789</v>
      </c>
      <c r="I4002" t="s">
        <v>2328</v>
      </c>
      <c r="K4002" t="s">
        <v>5037</v>
      </c>
      <c r="L4002" t="s">
        <v>5039</v>
      </c>
    </row>
    <row r="4003" spans="1:12" x14ac:dyDescent="0.35">
      <c r="A4003" t="s">
        <v>118</v>
      </c>
      <c r="B4003" t="s">
        <v>636</v>
      </c>
      <c r="C4003" t="s">
        <v>167</v>
      </c>
      <c r="D4003">
        <v>4.4400000000000004</v>
      </c>
      <c r="F4003" t="s">
        <v>2435</v>
      </c>
      <c r="H4003" t="s">
        <v>4790</v>
      </c>
      <c r="I4003" t="s">
        <v>2328</v>
      </c>
      <c r="K4003" t="s">
        <v>5037</v>
      </c>
      <c r="L4003" t="s">
        <v>5039</v>
      </c>
    </row>
    <row r="4004" spans="1:12" x14ac:dyDescent="0.35">
      <c r="A4004" t="s">
        <v>118</v>
      </c>
      <c r="B4004" t="s">
        <v>636</v>
      </c>
      <c r="C4004" t="s">
        <v>1188</v>
      </c>
      <c r="D4004">
        <v>0.28000000000000003</v>
      </c>
      <c r="F4004" t="s">
        <v>1732</v>
      </c>
      <c r="H4004" t="s">
        <v>4791</v>
      </c>
      <c r="I4004" t="s">
        <v>1969</v>
      </c>
      <c r="K4004" t="s">
        <v>5037</v>
      </c>
      <c r="L4004" t="s">
        <v>5039</v>
      </c>
    </row>
    <row r="4005" spans="1:12" x14ac:dyDescent="0.35">
      <c r="A4005" t="s">
        <v>118</v>
      </c>
      <c r="B4005" t="s">
        <v>636</v>
      </c>
      <c r="C4005" t="s">
        <v>1188</v>
      </c>
      <c r="D4005">
        <v>3.69</v>
      </c>
      <c r="F4005" t="s">
        <v>2625</v>
      </c>
      <c r="H4005" t="s">
        <v>4792</v>
      </c>
      <c r="I4005" t="s">
        <v>4865</v>
      </c>
      <c r="K4005" t="s">
        <v>5037</v>
      </c>
      <c r="L4005" t="s">
        <v>5039</v>
      </c>
    </row>
    <row r="4006" spans="1:12" x14ac:dyDescent="0.35">
      <c r="A4006" t="s">
        <v>118</v>
      </c>
      <c r="B4006" t="s">
        <v>636</v>
      </c>
      <c r="C4006" t="s">
        <v>1188</v>
      </c>
      <c r="D4006">
        <v>0.32</v>
      </c>
      <c r="F4006" t="s">
        <v>1470</v>
      </c>
      <c r="H4006" t="s">
        <v>4793</v>
      </c>
      <c r="I4006" t="s">
        <v>4873</v>
      </c>
      <c r="K4006" t="s">
        <v>5037</v>
      </c>
      <c r="L4006" t="s">
        <v>5039</v>
      </c>
    </row>
    <row r="4007" spans="1:12" x14ac:dyDescent="0.35">
      <c r="A4007" t="s">
        <v>118</v>
      </c>
      <c r="B4007" t="s">
        <v>636</v>
      </c>
      <c r="C4007" t="s">
        <v>1188</v>
      </c>
      <c r="D4007">
        <v>0.57999999999999996</v>
      </c>
      <c r="F4007" t="s">
        <v>1444</v>
      </c>
      <c r="H4007" t="s">
        <v>4794</v>
      </c>
      <c r="I4007" t="s">
        <v>4873</v>
      </c>
      <c r="K4007" t="s">
        <v>5037</v>
      </c>
      <c r="L4007" t="s">
        <v>5039</v>
      </c>
    </row>
    <row r="4008" spans="1:12" x14ac:dyDescent="0.35">
      <c r="A4008" t="s">
        <v>118</v>
      </c>
      <c r="B4008" t="s">
        <v>649</v>
      </c>
      <c r="C4008" t="s">
        <v>167</v>
      </c>
      <c r="D4008">
        <v>0.17899999999999999</v>
      </c>
      <c r="F4008" t="s">
        <v>2626</v>
      </c>
      <c r="H4008" t="s">
        <v>4795</v>
      </c>
      <c r="I4008" t="s">
        <v>4943</v>
      </c>
      <c r="K4008" t="s">
        <v>5037</v>
      </c>
      <c r="L4008" t="s">
        <v>5039</v>
      </c>
    </row>
    <row r="4009" spans="1:12" x14ac:dyDescent="0.35">
      <c r="A4009" t="s">
        <v>118</v>
      </c>
      <c r="B4009" t="s">
        <v>649</v>
      </c>
      <c r="C4009" t="s">
        <v>1188</v>
      </c>
      <c r="D4009">
        <v>11</v>
      </c>
      <c r="F4009" t="s">
        <v>1841</v>
      </c>
      <c r="H4009" t="s">
        <v>4796</v>
      </c>
      <c r="I4009" t="s">
        <v>4943</v>
      </c>
      <c r="K4009" t="s">
        <v>5037</v>
      </c>
      <c r="L4009" t="s">
        <v>5039</v>
      </c>
    </row>
    <row r="4010" spans="1:12" x14ac:dyDescent="0.35">
      <c r="A4010" t="s">
        <v>118</v>
      </c>
      <c r="B4010" t="s">
        <v>649</v>
      </c>
      <c r="C4010" t="s">
        <v>1188</v>
      </c>
      <c r="D4010">
        <v>0.53100000000000003</v>
      </c>
      <c r="F4010" t="s">
        <v>2627</v>
      </c>
      <c r="H4010" t="s">
        <v>4797</v>
      </c>
      <c r="I4010" t="s">
        <v>4943</v>
      </c>
      <c r="K4010" t="s">
        <v>5037</v>
      </c>
      <c r="L4010" t="s">
        <v>5039</v>
      </c>
    </row>
    <row r="4011" spans="1:12" x14ac:dyDescent="0.35">
      <c r="A4011" t="s">
        <v>118</v>
      </c>
      <c r="B4011" t="s">
        <v>649</v>
      </c>
      <c r="C4011" t="s">
        <v>167</v>
      </c>
      <c r="D4011">
        <v>0.65</v>
      </c>
      <c r="F4011" t="s">
        <v>1819</v>
      </c>
      <c r="H4011" t="s">
        <v>4798</v>
      </c>
      <c r="I4011" t="s">
        <v>4943</v>
      </c>
      <c r="K4011" t="s">
        <v>5037</v>
      </c>
      <c r="L4011" t="s">
        <v>5039</v>
      </c>
    </row>
    <row r="4012" spans="1:12" x14ac:dyDescent="0.35">
      <c r="A4012" t="s">
        <v>118</v>
      </c>
      <c r="B4012" t="s">
        <v>650</v>
      </c>
      <c r="C4012" t="s">
        <v>167</v>
      </c>
      <c r="D4012">
        <v>0.17199999999999999</v>
      </c>
      <c r="F4012" t="s">
        <v>2160</v>
      </c>
      <c r="H4012" t="s">
        <v>4799</v>
      </c>
      <c r="I4012" t="s">
        <v>4956</v>
      </c>
      <c r="K4012" t="s">
        <v>5037</v>
      </c>
      <c r="L4012" t="s">
        <v>5039</v>
      </c>
    </row>
    <row r="4013" spans="1:12" x14ac:dyDescent="0.35">
      <c r="A4013" t="s">
        <v>118</v>
      </c>
      <c r="B4013" t="s">
        <v>650</v>
      </c>
      <c r="C4013" t="s">
        <v>1188</v>
      </c>
      <c r="D4013">
        <v>0.26900000000000002</v>
      </c>
      <c r="F4013" t="s">
        <v>2628</v>
      </c>
      <c r="H4013" t="s">
        <v>4799</v>
      </c>
      <c r="I4013" t="s">
        <v>4956</v>
      </c>
      <c r="K4013" t="s">
        <v>5037</v>
      </c>
      <c r="L4013" t="s">
        <v>5039</v>
      </c>
    </row>
    <row r="4014" spans="1:12" x14ac:dyDescent="0.35">
      <c r="A4014" t="s">
        <v>118</v>
      </c>
      <c r="B4014" t="s">
        <v>651</v>
      </c>
      <c r="C4014" t="s">
        <v>1188</v>
      </c>
      <c r="D4014">
        <v>3.3</v>
      </c>
      <c r="F4014" t="s">
        <v>1377</v>
      </c>
      <c r="H4014" t="s">
        <v>4800</v>
      </c>
      <c r="I4014" t="s">
        <v>4915</v>
      </c>
      <c r="K4014" t="s">
        <v>5037</v>
      </c>
      <c r="L4014" t="s">
        <v>5039</v>
      </c>
    </row>
    <row r="4015" spans="1:12" x14ac:dyDescent="0.35">
      <c r="A4015" t="s">
        <v>118</v>
      </c>
      <c r="B4015" t="s">
        <v>651</v>
      </c>
      <c r="C4015" t="s">
        <v>167</v>
      </c>
      <c r="D4015">
        <v>0.2</v>
      </c>
      <c r="F4015" t="s">
        <v>1371</v>
      </c>
      <c r="H4015" t="s">
        <v>4801</v>
      </c>
      <c r="I4015" t="s">
        <v>1969</v>
      </c>
      <c r="K4015" t="s">
        <v>5037</v>
      </c>
      <c r="L4015" t="s">
        <v>5039</v>
      </c>
    </row>
    <row r="4016" spans="1:12" x14ac:dyDescent="0.35">
      <c r="A4016" t="s">
        <v>118</v>
      </c>
      <c r="B4016" t="s">
        <v>652</v>
      </c>
      <c r="C4016" t="s">
        <v>1253</v>
      </c>
      <c r="D4016">
        <v>0.16</v>
      </c>
      <c r="F4016" t="s">
        <v>1573</v>
      </c>
      <c r="H4016" t="s">
        <v>4802</v>
      </c>
      <c r="I4016" t="s">
        <v>4959</v>
      </c>
      <c r="K4016" t="s">
        <v>5037</v>
      </c>
      <c r="L4016" t="s">
        <v>5039</v>
      </c>
    </row>
    <row r="4017" spans="1:12" x14ac:dyDescent="0.35">
      <c r="A4017" t="s">
        <v>118</v>
      </c>
      <c r="B4017" t="s">
        <v>652</v>
      </c>
      <c r="C4017" t="s">
        <v>1254</v>
      </c>
      <c r="D4017">
        <v>2.1999999999999999E-2</v>
      </c>
      <c r="F4017" t="s">
        <v>1890</v>
      </c>
      <c r="H4017" t="s">
        <v>4803</v>
      </c>
      <c r="I4017" t="s">
        <v>4959</v>
      </c>
      <c r="K4017" t="s">
        <v>5037</v>
      </c>
      <c r="L4017" t="s">
        <v>5039</v>
      </c>
    </row>
    <row r="4018" spans="1:12" x14ac:dyDescent="0.35">
      <c r="A4018" t="s">
        <v>118</v>
      </c>
      <c r="B4018" t="s">
        <v>652</v>
      </c>
      <c r="C4018" t="s">
        <v>1253</v>
      </c>
      <c r="D4018">
        <v>0.09</v>
      </c>
      <c r="F4018" t="s">
        <v>1310</v>
      </c>
      <c r="H4018" t="s">
        <v>4804</v>
      </c>
      <c r="I4018" t="s">
        <v>4959</v>
      </c>
      <c r="K4018" t="s">
        <v>5037</v>
      </c>
      <c r="L4018" t="s">
        <v>5039</v>
      </c>
    </row>
    <row r="4019" spans="1:12" x14ac:dyDescent="0.35">
      <c r="A4019" t="s">
        <v>118</v>
      </c>
      <c r="B4019" t="s">
        <v>652</v>
      </c>
      <c r="C4019" t="s">
        <v>1254</v>
      </c>
      <c r="D4019">
        <v>2.1000000000000001E-2</v>
      </c>
      <c r="F4019" t="s">
        <v>1617</v>
      </c>
      <c r="H4019" t="s">
        <v>4805</v>
      </c>
      <c r="I4019" t="s">
        <v>4959</v>
      </c>
      <c r="K4019" t="s">
        <v>5037</v>
      </c>
      <c r="L4019" t="s">
        <v>5039</v>
      </c>
    </row>
    <row r="4020" spans="1:12" x14ac:dyDescent="0.35">
      <c r="A4020" t="s">
        <v>118</v>
      </c>
      <c r="B4020" t="s">
        <v>652</v>
      </c>
      <c r="C4020" t="s">
        <v>1253</v>
      </c>
      <c r="D4020">
        <v>0.11</v>
      </c>
      <c r="F4020" t="s">
        <v>1295</v>
      </c>
      <c r="H4020" t="s">
        <v>4806</v>
      </c>
      <c r="I4020" t="s">
        <v>4959</v>
      </c>
      <c r="K4020" t="s">
        <v>5037</v>
      </c>
      <c r="L4020" t="s">
        <v>5039</v>
      </c>
    </row>
    <row r="4021" spans="1:12" x14ac:dyDescent="0.35">
      <c r="A4021" t="s">
        <v>118</v>
      </c>
      <c r="B4021" t="s">
        <v>652</v>
      </c>
      <c r="C4021" t="s">
        <v>1254</v>
      </c>
      <c r="D4021">
        <v>8.9999999999999993E-3</v>
      </c>
      <c r="F4021" t="s">
        <v>1546</v>
      </c>
      <c r="H4021" t="s">
        <v>4807</v>
      </c>
      <c r="I4021" t="s">
        <v>4959</v>
      </c>
      <c r="K4021" t="s">
        <v>5037</v>
      </c>
      <c r="L4021" t="s">
        <v>5039</v>
      </c>
    </row>
    <row r="4022" spans="1:12" x14ac:dyDescent="0.35">
      <c r="A4022" t="s">
        <v>118</v>
      </c>
      <c r="B4022" t="s">
        <v>652</v>
      </c>
      <c r="C4022" t="s">
        <v>1254</v>
      </c>
      <c r="D4022">
        <v>2.5999999999999999E-2</v>
      </c>
      <c r="F4022" t="s">
        <v>1737</v>
      </c>
      <c r="H4022" t="s">
        <v>4806</v>
      </c>
      <c r="I4022" t="s">
        <v>4959</v>
      </c>
      <c r="K4022" t="s">
        <v>5037</v>
      </c>
      <c r="L4022" t="s">
        <v>5039</v>
      </c>
    </row>
    <row r="4023" spans="1:12" x14ac:dyDescent="0.35">
      <c r="A4023" t="s">
        <v>118</v>
      </c>
      <c r="B4023" t="s">
        <v>652</v>
      </c>
      <c r="C4023" t="s">
        <v>1253</v>
      </c>
      <c r="D4023">
        <v>6.4000000000000001E-2</v>
      </c>
      <c r="F4023" t="s">
        <v>1827</v>
      </c>
      <c r="H4023" t="s">
        <v>4803</v>
      </c>
      <c r="I4023" t="s">
        <v>4959</v>
      </c>
      <c r="K4023" t="s">
        <v>5037</v>
      </c>
      <c r="L4023" t="s">
        <v>5039</v>
      </c>
    </row>
    <row r="4024" spans="1:12" x14ac:dyDescent="0.35">
      <c r="A4024" t="s">
        <v>118</v>
      </c>
      <c r="B4024" t="s">
        <v>652</v>
      </c>
      <c r="C4024" t="s">
        <v>1253</v>
      </c>
      <c r="D4024">
        <v>0.183</v>
      </c>
      <c r="F4024" t="s">
        <v>2629</v>
      </c>
      <c r="H4024" t="s">
        <v>4808</v>
      </c>
      <c r="I4024" t="s">
        <v>4959</v>
      </c>
      <c r="K4024" t="s">
        <v>5037</v>
      </c>
      <c r="L4024" t="s">
        <v>5039</v>
      </c>
    </row>
    <row r="4025" spans="1:12" x14ac:dyDescent="0.35">
      <c r="A4025" t="s">
        <v>118</v>
      </c>
      <c r="B4025" t="s">
        <v>652</v>
      </c>
      <c r="C4025" t="s">
        <v>1253</v>
      </c>
      <c r="D4025">
        <v>0.36499999999999999</v>
      </c>
      <c r="F4025" t="s">
        <v>2630</v>
      </c>
      <c r="H4025" t="s">
        <v>4805</v>
      </c>
      <c r="I4025" t="s">
        <v>4959</v>
      </c>
      <c r="K4025" t="s">
        <v>5037</v>
      </c>
      <c r="L4025" t="s">
        <v>5039</v>
      </c>
    </row>
    <row r="4026" spans="1:12" x14ac:dyDescent="0.35">
      <c r="A4026" t="s">
        <v>118</v>
      </c>
      <c r="B4026" t="s">
        <v>326</v>
      </c>
      <c r="C4026" t="s">
        <v>1187</v>
      </c>
      <c r="D4026">
        <v>0.8</v>
      </c>
      <c r="F4026" t="s">
        <v>1319</v>
      </c>
      <c r="H4026" t="s">
        <v>4286</v>
      </c>
      <c r="I4026" t="s">
        <v>2332</v>
      </c>
      <c r="K4026" t="s">
        <v>5037</v>
      </c>
      <c r="L4026" t="s">
        <v>5039</v>
      </c>
    </row>
    <row r="4027" spans="1:12" x14ac:dyDescent="0.35">
      <c r="A4027" t="s">
        <v>118</v>
      </c>
      <c r="B4027" t="s">
        <v>326</v>
      </c>
      <c r="C4027" t="s">
        <v>1255</v>
      </c>
      <c r="D4027">
        <v>0.56000000000000005</v>
      </c>
      <c r="F4027" t="s">
        <v>2170</v>
      </c>
      <c r="H4027" t="s">
        <v>4809</v>
      </c>
      <c r="I4027" t="s">
        <v>5003</v>
      </c>
      <c r="K4027" t="s">
        <v>5037</v>
      </c>
      <c r="L4027" t="s">
        <v>5039</v>
      </c>
    </row>
    <row r="4028" spans="1:12" x14ac:dyDescent="0.35">
      <c r="A4028" t="s">
        <v>118</v>
      </c>
      <c r="B4028" t="s">
        <v>326</v>
      </c>
      <c r="C4028" t="s">
        <v>1254</v>
      </c>
      <c r="D4028">
        <v>5.8999999999999997E-2</v>
      </c>
      <c r="F4028" t="s">
        <v>1729</v>
      </c>
      <c r="H4028" t="s">
        <v>4809</v>
      </c>
      <c r="I4028" t="s">
        <v>5003</v>
      </c>
      <c r="K4028" t="s">
        <v>5037</v>
      </c>
      <c r="L4028" t="s">
        <v>5039</v>
      </c>
    </row>
    <row r="4029" spans="1:12" x14ac:dyDescent="0.35">
      <c r="A4029" t="s">
        <v>118</v>
      </c>
      <c r="B4029" t="s">
        <v>326</v>
      </c>
      <c r="C4029" t="s">
        <v>1256</v>
      </c>
      <c r="D4029">
        <v>0.91</v>
      </c>
      <c r="F4029" t="s">
        <v>1874</v>
      </c>
      <c r="H4029" t="s">
        <v>4809</v>
      </c>
      <c r="I4029" t="s">
        <v>5003</v>
      </c>
      <c r="K4029" t="s">
        <v>5037</v>
      </c>
      <c r="L4029" t="s">
        <v>5039</v>
      </c>
    </row>
    <row r="4030" spans="1:12" x14ac:dyDescent="0.35">
      <c r="A4030" t="s">
        <v>118</v>
      </c>
      <c r="B4030" t="s">
        <v>326</v>
      </c>
      <c r="C4030" t="s">
        <v>167</v>
      </c>
      <c r="D4030">
        <v>0.45500000000000002</v>
      </c>
      <c r="F4030" t="s">
        <v>1693</v>
      </c>
      <c r="H4030" t="s">
        <v>4810</v>
      </c>
      <c r="I4030" t="s">
        <v>4881</v>
      </c>
      <c r="K4030" t="s">
        <v>5037</v>
      </c>
      <c r="L4030" t="s">
        <v>5039</v>
      </c>
    </row>
    <row r="4031" spans="1:12" x14ac:dyDescent="0.35">
      <c r="A4031" t="s">
        <v>118</v>
      </c>
      <c r="B4031" t="s">
        <v>326</v>
      </c>
      <c r="C4031" t="s">
        <v>1188</v>
      </c>
      <c r="D4031">
        <v>2.2839999999999998</v>
      </c>
      <c r="F4031" t="s">
        <v>2631</v>
      </c>
      <c r="H4031" t="s">
        <v>4811</v>
      </c>
      <c r="I4031" t="s">
        <v>4881</v>
      </c>
      <c r="K4031" t="s">
        <v>5037</v>
      </c>
      <c r="L4031" t="s">
        <v>5039</v>
      </c>
    </row>
    <row r="4032" spans="1:12" x14ac:dyDescent="0.35">
      <c r="A4032" t="s">
        <v>118</v>
      </c>
      <c r="B4032" t="s">
        <v>326</v>
      </c>
      <c r="C4032" t="s">
        <v>1187</v>
      </c>
      <c r="D4032">
        <v>0.6</v>
      </c>
      <c r="F4032" t="s">
        <v>1519</v>
      </c>
      <c r="H4032" t="s">
        <v>4286</v>
      </c>
      <c r="I4032" t="s">
        <v>2332</v>
      </c>
      <c r="K4032" t="s">
        <v>5037</v>
      </c>
      <c r="L4032" t="s">
        <v>5039</v>
      </c>
    </row>
    <row r="4033" spans="1:12" x14ac:dyDescent="0.35">
      <c r="A4033" t="s">
        <v>118</v>
      </c>
      <c r="B4033" t="s">
        <v>653</v>
      </c>
      <c r="C4033" t="s">
        <v>1239</v>
      </c>
      <c r="D4033">
        <v>0.03</v>
      </c>
      <c r="F4033" t="s">
        <v>1266</v>
      </c>
      <c r="I4033" t="s">
        <v>4861</v>
      </c>
      <c r="K4033" t="s">
        <v>5037</v>
      </c>
      <c r="L4033" t="s">
        <v>5039</v>
      </c>
    </row>
    <row r="4034" spans="1:12" x14ac:dyDescent="0.35">
      <c r="A4034" t="s">
        <v>118</v>
      </c>
      <c r="B4034" t="s">
        <v>653</v>
      </c>
      <c r="C4034" t="s">
        <v>1257</v>
      </c>
      <c r="D4034">
        <v>0.55000000000000004</v>
      </c>
      <c r="F4034" t="s">
        <v>1432</v>
      </c>
      <c r="I4034" t="s">
        <v>4861</v>
      </c>
      <c r="K4034" t="s">
        <v>5037</v>
      </c>
      <c r="L4034" t="s">
        <v>5039</v>
      </c>
    </row>
    <row r="4035" spans="1:12" x14ac:dyDescent="0.35">
      <c r="A4035" t="s">
        <v>118</v>
      </c>
      <c r="B4035" t="s">
        <v>653</v>
      </c>
      <c r="C4035" t="s">
        <v>1218</v>
      </c>
      <c r="D4035">
        <v>5.0000000000000001E-3</v>
      </c>
      <c r="F4035" t="s">
        <v>1264</v>
      </c>
      <c r="I4035" t="s">
        <v>4861</v>
      </c>
      <c r="K4035" t="s">
        <v>5037</v>
      </c>
      <c r="L4035" t="s">
        <v>5039</v>
      </c>
    </row>
    <row r="4036" spans="1:12" x14ac:dyDescent="0.35">
      <c r="A4036" t="s">
        <v>118</v>
      </c>
      <c r="B4036" t="s">
        <v>653</v>
      </c>
      <c r="C4036" t="s">
        <v>1229</v>
      </c>
      <c r="D4036">
        <v>0.12</v>
      </c>
      <c r="F4036" t="s">
        <v>1473</v>
      </c>
      <c r="I4036" t="s">
        <v>4861</v>
      </c>
      <c r="K4036" t="s">
        <v>5037</v>
      </c>
      <c r="L4036" t="s">
        <v>5039</v>
      </c>
    </row>
    <row r="4037" spans="1:12" x14ac:dyDescent="0.35">
      <c r="A4037" t="s">
        <v>118</v>
      </c>
      <c r="B4037" t="s">
        <v>653</v>
      </c>
      <c r="C4037" t="s">
        <v>1188</v>
      </c>
      <c r="D4037">
        <v>0.53</v>
      </c>
      <c r="F4037" t="s">
        <v>1817</v>
      </c>
      <c r="H4037" t="s">
        <v>4812</v>
      </c>
      <c r="I4037" t="s">
        <v>4865</v>
      </c>
      <c r="K4037" t="s">
        <v>5037</v>
      </c>
      <c r="L4037" t="s">
        <v>5039</v>
      </c>
    </row>
    <row r="4038" spans="1:12" x14ac:dyDescent="0.35">
      <c r="A4038" t="s">
        <v>118</v>
      </c>
      <c r="B4038" t="s">
        <v>653</v>
      </c>
      <c r="C4038" t="s">
        <v>167</v>
      </c>
      <c r="D4038">
        <v>3.3</v>
      </c>
      <c r="F4038" t="s">
        <v>1377</v>
      </c>
      <c r="H4038" t="s">
        <v>4813</v>
      </c>
      <c r="I4038" t="s">
        <v>5015</v>
      </c>
      <c r="K4038" t="s">
        <v>5037</v>
      </c>
      <c r="L4038" t="s">
        <v>5039</v>
      </c>
    </row>
    <row r="4039" spans="1:12" x14ac:dyDescent="0.35">
      <c r="A4039" t="s">
        <v>118</v>
      </c>
      <c r="B4039" t="s">
        <v>654</v>
      </c>
      <c r="C4039" t="s">
        <v>793</v>
      </c>
      <c r="D4039">
        <v>0.84</v>
      </c>
      <c r="F4039" t="s">
        <v>1673</v>
      </c>
      <c r="I4039" t="s">
        <v>4885</v>
      </c>
      <c r="K4039" t="s">
        <v>5037</v>
      </c>
      <c r="L4039" t="s">
        <v>5039</v>
      </c>
    </row>
    <row r="4040" spans="1:12" x14ac:dyDescent="0.35">
      <c r="A4040" t="s">
        <v>118</v>
      </c>
      <c r="B4040" t="s">
        <v>654</v>
      </c>
      <c r="C4040" t="s">
        <v>1188</v>
      </c>
      <c r="D4040">
        <v>0.13</v>
      </c>
      <c r="F4040" t="s">
        <v>1466</v>
      </c>
      <c r="H4040" t="s">
        <v>4814</v>
      </c>
      <c r="I4040" t="s">
        <v>4898</v>
      </c>
      <c r="K4040" t="s">
        <v>5037</v>
      </c>
      <c r="L4040" t="s">
        <v>5039</v>
      </c>
    </row>
    <row r="4041" spans="1:12" x14ac:dyDescent="0.35">
      <c r="A4041" t="s">
        <v>118</v>
      </c>
      <c r="B4041" t="s">
        <v>620</v>
      </c>
      <c r="C4041" t="s">
        <v>1186</v>
      </c>
      <c r="D4041">
        <v>0.17</v>
      </c>
      <c r="F4041" t="s">
        <v>1409</v>
      </c>
      <c r="H4041" t="s">
        <v>4815</v>
      </c>
      <c r="I4041" t="s">
        <v>4898</v>
      </c>
      <c r="K4041" t="s">
        <v>5037</v>
      </c>
      <c r="L4041" t="s">
        <v>5039</v>
      </c>
    </row>
    <row r="4042" spans="1:12" x14ac:dyDescent="0.35">
      <c r="A4042" t="s">
        <v>118</v>
      </c>
      <c r="B4042" t="s">
        <v>620</v>
      </c>
      <c r="C4042" t="s">
        <v>1186</v>
      </c>
      <c r="D4042">
        <v>0.3</v>
      </c>
      <c r="F4042" t="s">
        <v>1401</v>
      </c>
      <c r="H4042" t="s">
        <v>4816</v>
      </c>
      <c r="I4042" t="s">
        <v>4873</v>
      </c>
      <c r="K4042" t="s">
        <v>5037</v>
      </c>
      <c r="L4042" t="s">
        <v>5039</v>
      </c>
    </row>
    <row r="4043" spans="1:12" x14ac:dyDescent="0.35">
      <c r="A4043" t="s">
        <v>118</v>
      </c>
      <c r="B4043" t="s">
        <v>620</v>
      </c>
      <c r="C4043" t="s">
        <v>1186</v>
      </c>
      <c r="D4043">
        <v>0.26</v>
      </c>
      <c r="F4043" t="s">
        <v>1447</v>
      </c>
      <c r="H4043" t="s">
        <v>4817</v>
      </c>
      <c r="I4043" t="s">
        <v>4898</v>
      </c>
      <c r="K4043" t="s">
        <v>5037</v>
      </c>
      <c r="L4043" t="s">
        <v>5039</v>
      </c>
    </row>
    <row r="4044" spans="1:12" x14ac:dyDescent="0.35">
      <c r="A4044" t="s">
        <v>118</v>
      </c>
      <c r="B4044" t="s">
        <v>620</v>
      </c>
      <c r="C4044" t="s">
        <v>1186</v>
      </c>
      <c r="D4044">
        <v>0.31</v>
      </c>
      <c r="F4044" t="s">
        <v>1714</v>
      </c>
      <c r="H4044" t="s">
        <v>4818</v>
      </c>
      <c r="I4044" t="s">
        <v>4873</v>
      </c>
      <c r="K4044" t="s">
        <v>5037</v>
      </c>
      <c r="L4044" t="s">
        <v>5039</v>
      </c>
    </row>
    <row r="4045" spans="1:12" x14ac:dyDescent="0.35">
      <c r="A4045" t="s">
        <v>118</v>
      </c>
      <c r="B4045" t="s">
        <v>620</v>
      </c>
      <c r="C4045" t="s">
        <v>1186</v>
      </c>
      <c r="D4045">
        <v>0.21</v>
      </c>
      <c r="F4045" t="s">
        <v>1572</v>
      </c>
      <c r="H4045" t="s">
        <v>4819</v>
      </c>
      <c r="I4045" t="s">
        <v>4898</v>
      </c>
      <c r="K4045" t="s">
        <v>5037</v>
      </c>
      <c r="L4045" t="s">
        <v>5039</v>
      </c>
    </row>
    <row r="4046" spans="1:12" x14ac:dyDescent="0.35">
      <c r="A4046" t="s">
        <v>118</v>
      </c>
      <c r="B4046" t="s">
        <v>620</v>
      </c>
      <c r="C4046" t="s">
        <v>1188</v>
      </c>
      <c r="D4046">
        <v>0.5</v>
      </c>
      <c r="F4046" t="s">
        <v>1440</v>
      </c>
      <c r="H4046" t="s">
        <v>4820</v>
      </c>
      <c r="I4046" t="s">
        <v>4873</v>
      </c>
      <c r="K4046" t="s">
        <v>5037</v>
      </c>
      <c r="L4046" t="s">
        <v>5039</v>
      </c>
    </row>
    <row r="4047" spans="1:12" x14ac:dyDescent="0.35">
      <c r="A4047" t="s">
        <v>118</v>
      </c>
      <c r="B4047" t="s">
        <v>620</v>
      </c>
      <c r="C4047" t="s">
        <v>1186</v>
      </c>
      <c r="D4047">
        <v>0.5</v>
      </c>
      <c r="F4047" t="s">
        <v>1440</v>
      </c>
      <c r="H4047" t="s">
        <v>4820</v>
      </c>
      <c r="I4047" t="s">
        <v>4873</v>
      </c>
      <c r="K4047" t="s">
        <v>5037</v>
      </c>
      <c r="L4047" t="s">
        <v>5039</v>
      </c>
    </row>
    <row r="4048" spans="1:12" x14ac:dyDescent="0.35">
      <c r="A4048" t="s">
        <v>118</v>
      </c>
      <c r="B4048" t="s">
        <v>620</v>
      </c>
      <c r="C4048" t="s">
        <v>1188</v>
      </c>
      <c r="D4048">
        <v>0.09</v>
      </c>
      <c r="F4048" t="s">
        <v>1310</v>
      </c>
      <c r="H4048" t="s">
        <v>4821</v>
      </c>
      <c r="I4048" t="s">
        <v>4898</v>
      </c>
      <c r="K4048" t="s">
        <v>5037</v>
      </c>
      <c r="L4048" t="s">
        <v>5039</v>
      </c>
    </row>
    <row r="4049" spans="1:12" x14ac:dyDescent="0.35">
      <c r="A4049" t="s">
        <v>118</v>
      </c>
      <c r="B4049" t="s">
        <v>620</v>
      </c>
      <c r="C4049" t="s">
        <v>1188</v>
      </c>
      <c r="D4049">
        <v>7.0000000000000007E-2</v>
      </c>
      <c r="F4049" t="s">
        <v>1456</v>
      </c>
      <c r="H4049" t="s">
        <v>4822</v>
      </c>
      <c r="I4049" t="s">
        <v>4898</v>
      </c>
      <c r="K4049" t="s">
        <v>5037</v>
      </c>
      <c r="L4049" t="s">
        <v>5039</v>
      </c>
    </row>
    <row r="4050" spans="1:12" x14ac:dyDescent="0.35">
      <c r="A4050" t="s">
        <v>118</v>
      </c>
      <c r="B4050" t="s">
        <v>620</v>
      </c>
      <c r="C4050" t="s">
        <v>1188</v>
      </c>
      <c r="D4050">
        <v>0.49</v>
      </c>
      <c r="F4050" t="s">
        <v>1724</v>
      </c>
      <c r="H4050" t="s">
        <v>4823</v>
      </c>
      <c r="I4050" t="s">
        <v>1571</v>
      </c>
      <c r="K4050" t="s">
        <v>5037</v>
      </c>
      <c r="L4050" t="s">
        <v>5039</v>
      </c>
    </row>
    <row r="4051" spans="1:12" x14ac:dyDescent="0.35">
      <c r="A4051" t="s">
        <v>118</v>
      </c>
      <c r="B4051" t="s">
        <v>620</v>
      </c>
      <c r="C4051" t="s">
        <v>1186</v>
      </c>
      <c r="D4051">
        <v>0.37</v>
      </c>
      <c r="F4051" t="s">
        <v>1481</v>
      </c>
      <c r="H4051" t="s">
        <v>4824</v>
      </c>
      <c r="I4051" t="s">
        <v>4898</v>
      </c>
      <c r="K4051" t="s">
        <v>5037</v>
      </c>
      <c r="L4051" t="s">
        <v>5039</v>
      </c>
    </row>
    <row r="4052" spans="1:12" x14ac:dyDescent="0.35">
      <c r="A4052" t="s">
        <v>118</v>
      </c>
      <c r="B4052" t="s">
        <v>620</v>
      </c>
      <c r="C4052" t="s">
        <v>793</v>
      </c>
      <c r="D4052">
        <v>24</v>
      </c>
      <c r="F4052" t="s">
        <v>1839</v>
      </c>
      <c r="H4052" t="s">
        <v>4825</v>
      </c>
      <c r="I4052" t="s">
        <v>1571</v>
      </c>
      <c r="K4052" t="s">
        <v>5037</v>
      </c>
      <c r="L4052" t="s">
        <v>5039</v>
      </c>
    </row>
    <row r="4053" spans="1:12" x14ac:dyDescent="0.35">
      <c r="A4053" t="s">
        <v>118</v>
      </c>
      <c r="B4053" t="s">
        <v>620</v>
      </c>
      <c r="C4053" t="s">
        <v>1186</v>
      </c>
      <c r="D4053">
        <v>0.28999999999999998</v>
      </c>
      <c r="F4053" t="s">
        <v>1396</v>
      </c>
      <c r="H4053" t="s">
        <v>4826</v>
      </c>
      <c r="I4053" t="s">
        <v>4898</v>
      </c>
      <c r="K4053" t="s">
        <v>5037</v>
      </c>
      <c r="L4053" t="s">
        <v>5039</v>
      </c>
    </row>
    <row r="4054" spans="1:12" x14ac:dyDescent="0.35">
      <c r="A4054" t="s">
        <v>118</v>
      </c>
      <c r="B4054" t="s">
        <v>620</v>
      </c>
      <c r="C4054" t="s">
        <v>1188</v>
      </c>
      <c r="D4054">
        <v>0.54</v>
      </c>
      <c r="F4054" t="s">
        <v>1748</v>
      </c>
      <c r="H4054" t="s">
        <v>4827</v>
      </c>
      <c r="I4054" t="s">
        <v>4873</v>
      </c>
      <c r="K4054" t="s">
        <v>5037</v>
      </c>
      <c r="L4054" t="s">
        <v>5039</v>
      </c>
    </row>
    <row r="4055" spans="1:12" x14ac:dyDescent="0.35">
      <c r="A4055" t="s">
        <v>118</v>
      </c>
      <c r="B4055" t="s">
        <v>620</v>
      </c>
      <c r="C4055" t="s">
        <v>793</v>
      </c>
      <c r="D4055">
        <v>0.7</v>
      </c>
      <c r="F4055" t="s">
        <v>1378</v>
      </c>
      <c r="H4055" t="s">
        <v>4828</v>
      </c>
      <c r="I4055" t="s">
        <v>1571</v>
      </c>
      <c r="K4055" t="s">
        <v>5037</v>
      </c>
      <c r="L4055" t="s">
        <v>5039</v>
      </c>
    </row>
    <row r="4056" spans="1:12" x14ac:dyDescent="0.35">
      <c r="A4056" t="s">
        <v>118</v>
      </c>
      <c r="B4056" t="s">
        <v>620</v>
      </c>
      <c r="C4056" t="s">
        <v>1188</v>
      </c>
      <c r="D4056">
        <v>0.81</v>
      </c>
      <c r="F4056" t="s">
        <v>1820</v>
      </c>
      <c r="H4056" t="s">
        <v>4829</v>
      </c>
      <c r="I4056" t="s">
        <v>4873</v>
      </c>
      <c r="K4056" t="s">
        <v>5037</v>
      </c>
      <c r="L4056" t="s">
        <v>5039</v>
      </c>
    </row>
    <row r="4057" spans="1:12" x14ac:dyDescent="0.35">
      <c r="A4057" t="s">
        <v>118</v>
      </c>
      <c r="B4057" t="s">
        <v>620</v>
      </c>
      <c r="C4057" t="s">
        <v>1186</v>
      </c>
      <c r="D4057">
        <v>0.33</v>
      </c>
      <c r="F4057" t="s">
        <v>1397</v>
      </c>
      <c r="H4057" t="s">
        <v>4830</v>
      </c>
      <c r="I4057" t="s">
        <v>4898</v>
      </c>
      <c r="K4057" t="s">
        <v>5037</v>
      </c>
      <c r="L4057" t="s">
        <v>5039</v>
      </c>
    </row>
    <row r="4058" spans="1:12" x14ac:dyDescent="0.35">
      <c r="A4058" t="s">
        <v>118</v>
      </c>
      <c r="B4058" t="s">
        <v>620</v>
      </c>
      <c r="C4058" t="s">
        <v>1188</v>
      </c>
      <c r="D4058">
        <v>0.77</v>
      </c>
      <c r="F4058" t="s">
        <v>1484</v>
      </c>
      <c r="H4058" t="s">
        <v>4831</v>
      </c>
      <c r="I4058" t="s">
        <v>1571</v>
      </c>
      <c r="K4058" t="s">
        <v>5037</v>
      </c>
      <c r="L4058" t="s">
        <v>5039</v>
      </c>
    </row>
    <row r="4059" spans="1:12" x14ac:dyDescent="0.35">
      <c r="A4059" t="s">
        <v>118</v>
      </c>
      <c r="B4059" t="s">
        <v>620</v>
      </c>
      <c r="C4059" t="s">
        <v>1186</v>
      </c>
      <c r="D4059">
        <v>0.34</v>
      </c>
      <c r="F4059" t="s">
        <v>1327</v>
      </c>
      <c r="H4059" t="s">
        <v>4832</v>
      </c>
      <c r="I4059" t="s">
        <v>4898</v>
      </c>
      <c r="K4059" t="s">
        <v>5037</v>
      </c>
      <c r="L4059" t="s">
        <v>5039</v>
      </c>
    </row>
    <row r="4060" spans="1:12" x14ac:dyDescent="0.35">
      <c r="A4060" t="s">
        <v>118</v>
      </c>
      <c r="B4060" t="s">
        <v>620</v>
      </c>
      <c r="C4060" t="s">
        <v>793</v>
      </c>
      <c r="D4060">
        <v>3.7</v>
      </c>
      <c r="F4060" t="s">
        <v>1380</v>
      </c>
      <c r="H4060" t="s">
        <v>4833</v>
      </c>
      <c r="I4060" t="s">
        <v>1571</v>
      </c>
      <c r="K4060" t="s">
        <v>5037</v>
      </c>
      <c r="L4060" t="s">
        <v>5039</v>
      </c>
    </row>
    <row r="4061" spans="1:12" x14ac:dyDescent="0.35">
      <c r="A4061" t="s">
        <v>118</v>
      </c>
      <c r="B4061" t="s">
        <v>620</v>
      </c>
      <c r="C4061" t="s">
        <v>1188</v>
      </c>
      <c r="D4061">
        <v>0.38</v>
      </c>
      <c r="F4061" t="s">
        <v>1624</v>
      </c>
      <c r="H4061" t="s">
        <v>4834</v>
      </c>
      <c r="I4061" t="s">
        <v>4898</v>
      </c>
      <c r="K4061" t="s">
        <v>5037</v>
      </c>
      <c r="L4061" t="s">
        <v>5039</v>
      </c>
    </row>
    <row r="4062" spans="1:12" x14ac:dyDescent="0.35">
      <c r="A4062" t="s">
        <v>118</v>
      </c>
      <c r="B4062" t="s">
        <v>620</v>
      </c>
      <c r="C4062" t="s">
        <v>1186</v>
      </c>
      <c r="D4062">
        <v>1.1000000000000001</v>
      </c>
      <c r="F4062" t="s">
        <v>1505</v>
      </c>
      <c r="H4062" t="s">
        <v>4829</v>
      </c>
      <c r="I4062" t="s">
        <v>4873</v>
      </c>
      <c r="K4062" t="s">
        <v>5037</v>
      </c>
      <c r="L4062" t="s">
        <v>5039</v>
      </c>
    </row>
    <row r="4063" spans="1:12" x14ac:dyDescent="0.35">
      <c r="A4063" t="s">
        <v>118</v>
      </c>
      <c r="B4063" t="s">
        <v>620</v>
      </c>
      <c r="C4063" t="s">
        <v>1186</v>
      </c>
      <c r="D4063">
        <v>0.63</v>
      </c>
      <c r="F4063" t="s">
        <v>1931</v>
      </c>
      <c r="H4063" t="s">
        <v>4835</v>
      </c>
      <c r="I4063" t="s">
        <v>4873</v>
      </c>
      <c r="K4063" t="s">
        <v>5037</v>
      </c>
      <c r="L4063" t="s">
        <v>5039</v>
      </c>
    </row>
    <row r="4064" spans="1:12" x14ac:dyDescent="0.35">
      <c r="A4064" t="s">
        <v>118</v>
      </c>
      <c r="B4064" t="s">
        <v>620</v>
      </c>
      <c r="C4064" t="s">
        <v>1188</v>
      </c>
      <c r="D4064">
        <v>0.73</v>
      </c>
      <c r="F4064" t="s">
        <v>2007</v>
      </c>
      <c r="H4064" t="s">
        <v>4836</v>
      </c>
      <c r="I4064" t="s">
        <v>4873</v>
      </c>
      <c r="K4064" t="s">
        <v>5037</v>
      </c>
      <c r="L4064" t="s">
        <v>5039</v>
      </c>
    </row>
    <row r="4065" spans="1:12" x14ac:dyDescent="0.35">
      <c r="A4065" t="s">
        <v>118</v>
      </c>
      <c r="B4065" t="s">
        <v>620</v>
      </c>
      <c r="C4065" t="s">
        <v>1186</v>
      </c>
      <c r="D4065">
        <v>0.73</v>
      </c>
      <c r="F4065" t="s">
        <v>2007</v>
      </c>
      <c r="H4065" t="s">
        <v>4837</v>
      </c>
      <c r="I4065" t="s">
        <v>4873</v>
      </c>
      <c r="K4065" t="s">
        <v>5037</v>
      </c>
      <c r="L4065" t="s">
        <v>5039</v>
      </c>
    </row>
    <row r="4066" spans="1:12" x14ac:dyDescent="0.35">
      <c r="A4066" t="s">
        <v>118</v>
      </c>
      <c r="B4066" t="s">
        <v>620</v>
      </c>
      <c r="C4066" t="s">
        <v>1188</v>
      </c>
      <c r="D4066">
        <v>1.49</v>
      </c>
      <c r="F4066" t="s">
        <v>2632</v>
      </c>
      <c r="H4066" t="s">
        <v>4818</v>
      </c>
      <c r="I4066" t="s">
        <v>4873</v>
      </c>
      <c r="K4066" t="s">
        <v>5037</v>
      </c>
      <c r="L4066" t="s">
        <v>5039</v>
      </c>
    </row>
    <row r="4067" spans="1:12" x14ac:dyDescent="0.35">
      <c r="A4067" t="s">
        <v>118</v>
      </c>
      <c r="B4067" t="s">
        <v>620</v>
      </c>
      <c r="C4067" t="s">
        <v>1186</v>
      </c>
      <c r="D4067">
        <v>1.85</v>
      </c>
      <c r="F4067" t="s">
        <v>1998</v>
      </c>
      <c r="H4067" t="s">
        <v>4827</v>
      </c>
      <c r="I4067" t="s">
        <v>4873</v>
      </c>
      <c r="K4067" t="s">
        <v>5037</v>
      </c>
      <c r="L4067" t="s">
        <v>5039</v>
      </c>
    </row>
    <row r="4068" spans="1:12" x14ac:dyDescent="0.35">
      <c r="A4068" t="s">
        <v>118</v>
      </c>
      <c r="B4068" t="s">
        <v>620</v>
      </c>
      <c r="C4068" t="s">
        <v>1186</v>
      </c>
      <c r="D4068">
        <v>11.4</v>
      </c>
      <c r="F4068" t="s">
        <v>1668</v>
      </c>
      <c r="H4068" t="s">
        <v>4838</v>
      </c>
      <c r="I4068" t="s">
        <v>4873</v>
      </c>
      <c r="K4068" t="s">
        <v>5037</v>
      </c>
      <c r="L4068" t="s">
        <v>5039</v>
      </c>
    </row>
    <row r="4069" spans="1:12" x14ac:dyDescent="0.35">
      <c r="A4069" t="s">
        <v>118</v>
      </c>
      <c r="B4069" t="s">
        <v>620</v>
      </c>
      <c r="C4069" t="s">
        <v>1186</v>
      </c>
      <c r="D4069">
        <v>0.42</v>
      </c>
      <c r="F4069" t="s">
        <v>1629</v>
      </c>
      <c r="H4069" t="s">
        <v>4836</v>
      </c>
      <c r="I4069" t="s">
        <v>4873</v>
      </c>
      <c r="K4069" t="s">
        <v>5037</v>
      </c>
      <c r="L4069" t="s">
        <v>5039</v>
      </c>
    </row>
    <row r="4070" spans="1:12" x14ac:dyDescent="0.35">
      <c r="A4070" t="s">
        <v>118</v>
      </c>
      <c r="B4070" t="s">
        <v>620</v>
      </c>
      <c r="C4070" t="s">
        <v>1188</v>
      </c>
      <c r="D4070">
        <v>0.56999999999999995</v>
      </c>
      <c r="F4070" t="s">
        <v>1711</v>
      </c>
      <c r="H4070" t="s">
        <v>4835</v>
      </c>
      <c r="I4070" t="s">
        <v>4873</v>
      </c>
      <c r="K4070" t="s">
        <v>5037</v>
      </c>
      <c r="L4070" t="s">
        <v>5039</v>
      </c>
    </row>
    <row r="4071" spans="1:12" x14ac:dyDescent="0.35">
      <c r="A4071" t="s">
        <v>118</v>
      </c>
      <c r="B4071" t="s">
        <v>620</v>
      </c>
      <c r="C4071" t="s">
        <v>1186</v>
      </c>
      <c r="D4071">
        <v>8.1999999999999993</v>
      </c>
      <c r="F4071" t="s">
        <v>1527</v>
      </c>
      <c r="H4071" t="s">
        <v>4839</v>
      </c>
      <c r="I4071" t="s">
        <v>4873</v>
      </c>
      <c r="K4071" t="s">
        <v>5037</v>
      </c>
      <c r="L4071" t="s">
        <v>5039</v>
      </c>
    </row>
    <row r="4072" spans="1:12" x14ac:dyDescent="0.35">
      <c r="A4072" t="s">
        <v>118</v>
      </c>
      <c r="B4072" t="s">
        <v>620</v>
      </c>
      <c r="C4072" t="s">
        <v>1186</v>
      </c>
      <c r="D4072">
        <v>2.75</v>
      </c>
      <c r="F4072" t="s">
        <v>2633</v>
      </c>
      <c r="H4072" t="s">
        <v>4840</v>
      </c>
      <c r="I4072" t="s">
        <v>4898</v>
      </c>
      <c r="K4072" t="s">
        <v>5037</v>
      </c>
      <c r="L4072" t="s">
        <v>5039</v>
      </c>
    </row>
    <row r="4073" spans="1:12" x14ac:dyDescent="0.35">
      <c r="A4073" t="s">
        <v>118</v>
      </c>
      <c r="B4073" t="s">
        <v>620</v>
      </c>
      <c r="C4073" t="s">
        <v>1186</v>
      </c>
      <c r="D4073">
        <v>2.42</v>
      </c>
      <c r="F4073" t="s">
        <v>2634</v>
      </c>
      <c r="H4073" t="s">
        <v>4841</v>
      </c>
      <c r="I4073" t="s">
        <v>4873</v>
      </c>
      <c r="K4073" t="s">
        <v>5037</v>
      </c>
      <c r="L4073" t="s">
        <v>5039</v>
      </c>
    </row>
    <row r="4074" spans="1:12" x14ac:dyDescent="0.35">
      <c r="A4074" t="s">
        <v>118</v>
      </c>
      <c r="B4074" t="s">
        <v>620</v>
      </c>
      <c r="C4074" t="s">
        <v>1186</v>
      </c>
      <c r="D4074">
        <v>1.1399999999999999</v>
      </c>
      <c r="F4074" t="s">
        <v>1934</v>
      </c>
      <c r="H4074" t="s">
        <v>4842</v>
      </c>
      <c r="I4074" t="s">
        <v>4873</v>
      </c>
      <c r="K4074" t="s">
        <v>5037</v>
      </c>
      <c r="L4074" t="s">
        <v>5039</v>
      </c>
    </row>
    <row r="4075" spans="1:12" x14ac:dyDescent="0.35">
      <c r="A4075" t="s">
        <v>118</v>
      </c>
      <c r="B4075" t="s">
        <v>620</v>
      </c>
      <c r="C4075" t="s">
        <v>1188</v>
      </c>
      <c r="D4075">
        <v>1.17</v>
      </c>
      <c r="F4075" t="s">
        <v>2635</v>
      </c>
      <c r="H4075" t="s">
        <v>4839</v>
      </c>
      <c r="I4075" t="s">
        <v>4873</v>
      </c>
      <c r="K4075" t="s">
        <v>5037</v>
      </c>
      <c r="L4075" t="s">
        <v>5039</v>
      </c>
    </row>
    <row r="4076" spans="1:12" x14ac:dyDescent="0.35">
      <c r="A4076" t="s">
        <v>118</v>
      </c>
      <c r="B4076" t="s">
        <v>620</v>
      </c>
      <c r="C4076" t="s">
        <v>1186</v>
      </c>
      <c r="D4076">
        <v>2.2599999999999998</v>
      </c>
      <c r="F4076" t="s">
        <v>2636</v>
      </c>
      <c r="H4076" t="s">
        <v>4843</v>
      </c>
      <c r="I4076" t="s">
        <v>4873</v>
      </c>
      <c r="K4076" t="s">
        <v>5037</v>
      </c>
      <c r="L4076" t="s">
        <v>5039</v>
      </c>
    </row>
    <row r="4077" spans="1:12" x14ac:dyDescent="0.35">
      <c r="A4077" t="s">
        <v>118</v>
      </c>
      <c r="B4077" t="s">
        <v>620</v>
      </c>
      <c r="C4077" t="s">
        <v>793</v>
      </c>
      <c r="D4077">
        <v>3.42</v>
      </c>
      <c r="F4077" t="s">
        <v>2341</v>
      </c>
      <c r="H4077" t="s">
        <v>4844</v>
      </c>
      <c r="I4077" t="s">
        <v>1571</v>
      </c>
      <c r="K4077" t="s">
        <v>5037</v>
      </c>
      <c r="L4077" t="s">
        <v>5039</v>
      </c>
    </row>
    <row r="4078" spans="1:12" x14ac:dyDescent="0.35">
      <c r="A4078" t="s">
        <v>118</v>
      </c>
      <c r="B4078" t="s">
        <v>620</v>
      </c>
      <c r="C4078" t="s">
        <v>793</v>
      </c>
      <c r="D4078">
        <v>37.4</v>
      </c>
      <c r="F4078" t="s">
        <v>2228</v>
      </c>
      <c r="H4078" t="s">
        <v>4845</v>
      </c>
      <c r="I4078" t="s">
        <v>1571</v>
      </c>
      <c r="K4078" t="s">
        <v>5037</v>
      </c>
      <c r="L4078" t="s">
        <v>5039</v>
      </c>
    </row>
    <row r="4079" spans="1:12" x14ac:dyDescent="0.35">
      <c r="A4079" t="s">
        <v>118</v>
      </c>
      <c r="B4079" t="s">
        <v>620</v>
      </c>
      <c r="C4079" t="s">
        <v>1186</v>
      </c>
      <c r="D4079">
        <v>7.04</v>
      </c>
      <c r="F4079" t="s">
        <v>1745</v>
      </c>
      <c r="H4079" t="s">
        <v>4846</v>
      </c>
      <c r="I4079" t="s">
        <v>4873</v>
      </c>
      <c r="K4079" t="s">
        <v>5037</v>
      </c>
      <c r="L4079" t="s">
        <v>5039</v>
      </c>
    </row>
    <row r="4080" spans="1:12" x14ac:dyDescent="0.35">
      <c r="A4080" t="s">
        <v>118</v>
      </c>
      <c r="B4080" t="s">
        <v>620</v>
      </c>
      <c r="C4080" t="s">
        <v>793</v>
      </c>
      <c r="D4080">
        <v>6.38</v>
      </c>
      <c r="F4080" t="s">
        <v>2637</v>
      </c>
      <c r="H4080" t="s">
        <v>4847</v>
      </c>
      <c r="I4080" t="s">
        <v>1571</v>
      </c>
      <c r="K4080" t="s">
        <v>5037</v>
      </c>
      <c r="L4080" t="s">
        <v>5039</v>
      </c>
    </row>
    <row r="4081" spans="1:12" x14ac:dyDescent="0.35">
      <c r="A4081" t="s">
        <v>118</v>
      </c>
      <c r="B4081" t="s">
        <v>620</v>
      </c>
      <c r="C4081" t="s">
        <v>1188</v>
      </c>
      <c r="D4081">
        <v>0.76</v>
      </c>
      <c r="F4081" t="s">
        <v>1750</v>
      </c>
      <c r="H4081" t="s">
        <v>4848</v>
      </c>
      <c r="I4081" t="s">
        <v>1571</v>
      </c>
      <c r="K4081" t="s">
        <v>5037</v>
      </c>
      <c r="L4081" t="s">
        <v>5039</v>
      </c>
    </row>
    <row r="4082" spans="1:12" x14ac:dyDescent="0.35">
      <c r="A4082" t="s">
        <v>118</v>
      </c>
      <c r="B4082" t="s">
        <v>620</v>
      </c>
      <c r="C4082" t="s">
        <v>1188</v>
      </c>
      <c r="D4082">
        <v>0.52</v>
      </c>
      <c r="F4082" t="s">
        <v>2037</v>
      </c>
      <c r="H4082" t="s">
        <v>4849</v>
      </c>
      <c r="I4082" t="s">
        <v>4873</v>
      </c>
      <c r="K4082" t="s">
        <v>5037</v>
      </c>
      <c r="L4082" t="s">
        <v>5039</v>
      </c>
    </row>
    <row r="4083" spans="1:12" x14ac:dyDescent="0.35">
      <c r="A4083" t="s">
        <v>118</v>
      </c>
      <c r="B4083" t="s">
        <v>620</v>
      </c>
      <c r="C4083" t="s">
        <v>1188</v>
      </c>
      <c r="D4083">
        <v>0.14000000000000001</v>
      </c>
      <c r="F4083" t="s">
        <v>1361</v>
      </c>
      <c r="H4083" t="s">
        <v>4850</v>
      </c>
      <c r="I4083" t="s">
        <v>4898</v>
      </c>
      <c r="K4083" t="s">
        <v>5037</v>
      </c>
      <c r="L4083" t="s">
        <v>5039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44"/>
  <sheetViews>
    <sheetView workbookViewId="0"/>
  </sheetViews>
  <sheetFormatPr defaultRowHeight="14.5" x14ac:dyDescent="0.35"/>
  <cols>
    <col min="1" max="1" width="8.81640625" customWidth="1"/>
    <col min="2" max="2" width="35.26953125" customWidth="1"/>
    <col min="3" max="3" width="88.453125" customWidth="1"/>
    <col min="4" max="4" width="8.7265625" customWidth="1"/>
    <col min="5" max="5" width="14.81640625" customWidth="1"/>
    <col min="6" max="6" width="9.54296875" customWidth="1"/>
    <col min="7" max="7" width="18.453125" customWidth="1"/>
    <col min="8" max="8" width="234.7265625" customWidth="1"/>
    <col min="9" max="9" width="9.54296875" customWidth="1"/>
    <col min="10" max="10" width="16.453125" customWidth="1"/>
    <col min="11" max="11" width="10.453125" customWidth="1"/>
    <col min="12" max="12" width="4.7265625" customWidth="1"/>
  </cols>
  <sheetData>
    <row r="1" spans="1:12" x14ac:dyDescent="0.35">
      <c r="A1" t="s">
        <v>306</v>
      </c>
      <c r="B1" t="s">
        <v>307</v>
      </c>
      <c r="C1" t="s">
        <v>655</v>
      </c>
      <c r="D1" t="s">
        <v>1258</v>
      </c>
      <c r="E1" t="s">
        <v>1259</v>
      </c>
      <c r="F1" t="s">
        <v>1260</v>
      </c>
      <c r="G1" t="s">
        <v>2638</v>
      </c>
      <c r="H1" t="s">
        <v>2639</v>
      </c>
      <c r="I1" t="s">
        <v>4851</v>
      </c>
      <c r="J1" t="s">
        <v>5035</v>
      </c>
      <c r="K1" t="s">
        <v>5036</v>
      </c>
      <c r="L1" t="s">
        <v>5038</v>
      </c>
    </row>
    <row r="2" spans="1:12" x14ac:dyDescent="0.35">
      <c r="A2" t="s">
        <v>98</v>
      </c>
      <c r="B2" t="s">
        <v>311</v>
      </c>
      <c r="C2" t="s">
        <v>656</v>
      </c>
      <c r="D2">
        <v>18.100000000000001</v>
      </c>
      <c r="F2" t="s">
        <v>1773</v>
      </c>
      <c r="H2" t="s">
        <v>2645</v>
      </c>
      <c r="I2" t="s">
        <v>4853</v>
      </c>
      <c r="K2" t="s">
        <v>6025</v>
      </c>
      <c r="L2" t="s">
        <v>6026</v>
      </c>
    </row>
    <row r="3" spans="1:12" x14ac:dyDescent="0.35">
      <c r="A3" t="s">
        <v>98</v>
      </c>
      <c r="B3" t="s">
        <v>314</v>
      </c>
      <c r="C3" t="s">
        <v>659</v>
      </c>
      <c r="D3">
        <v>1.23E-3</v>
      </c>
      <c r="F3" t="s">
        <v>5081</v>
      </c>
      <c r="H3" t="s">
        <v>2648</v>
      </c>
      <c r="I3" t="s">
        <v>2331</v>
      </c>
      <c r="K3" t="s">
        <v>6025</v>
      </c>
      <c r="L3" t="s">
        <v>6026</v>
      </c>
    </row>
    <row r="4" spans="1:12" x14ac:dyDescent="0.35">
      <c r="A4" t="s">
        <v>98</v>
      </c>
      <c r="B4" t="s">
        <v>314</v>
      </c>
      <c r="C4" t="s">
        <v>656</v>
      </c>
      <c r="D4">
        <v>2.0600000000000002E-3</v>
      </c>
      <c r="F4" t="s">
        <v>5082</v>
      </c>
      <c r="H4" t="s">
        <v>2648</v>
      </c>
      <c r="I4" t="s">
        <v>2331</v>
      </c>
      <c r="K4" t="s">
        <v>6025</v>
      </c>
      <c r="L4" t="s">
        <v>6026</v>
      </c>
    </row>
    <row r="5" spans="1:12" x14ac:dyDescent="0.35">
      <c r="A5" t="s">
        <v>98</v>
      </c>
      <c r="B5" t="s">
        <v>171</v>
      </c>
      <c r="C5" t="s">
        <v>660</v>
      </c>
      <c r="D5">
        <v>1.5499999999999999E-3</v>
      </c>
      <c r="F5" t="s">
        <v>5083</v>
      </c>
      <c r="H5" t="s">
        <v>2650</v>
      </c>
      <c r="I5" t="s">
        <v>4854</v>
      </c>
      <c r="K5" t="s">
        <v>6025</v>
      </c>
      <c r="L5" t="s">
        <v>6026</v>
      </c>
    </row>
    <row r="6" spans="1:12" x14ac:dyDescent="0.35">
      <c r="A6" t="s">
        <v>98</v>
      </c>
      <c r="B6" t="s">
        <v>171</v>
      </c>
      <c r="C6" t="s">
        <v>661</v>
      </c>
      <c r="D6">
        <v>3.0999999999999999E-3</v>
      </c>
      <c r="F6" t="s">
        <v>1775</v>
      </c>
      <c r="H6" t="s">
        <v>2650</v>
      </c>
      <c r="I6" t="s">
        <v>4854</v>
      </c>
      <c r="K6" t="s">
        <v>6025</v>
      </c>
      <c r="L6" t="s">
        <v>6026</v>
      </c>
    </row>
    <row r="7" spans="1:12" x14ac:dyDescent="0.35">
      <c r="A7" t="s">
        <v>98</v>
      </c>
      <c r="B7" t="s">
        <v>171</v>
      </c>
      <c r="C7" t="s">
        <v>663</v>
      </c>
      <c r="D7">
        <v>5.9999999999999995E-4</v>
      </c>
      <c r="F7" t="s">
        <v>2459</v>
      </c>
      <c r="H7" t="s">
        <v>2655</v>
      </c>
      <c r="I7" t="s">
        <v>4854</v>
      </c>
      <c r="K7" t="s">
        <v>6025</v>
      </c>
      <c r="L7" t="s">
        <v>6026</v>
      </c>
    </row>
    <row r="8" spans="1:12" x14ac:dyDescent="0.35">
      <c r="A8" t="s">
        <v>98</v>
      </c>
      <c r="B8" t="s">
        <v>171</v>
      </c>
      <c r="C8" t="s">
        <v>663</v>
      </c>
      <c r="D8">
        <v>9.6000000000000002E-4</v>
      </c>
      <c r="F8" t="s">
        <v>5084</v>
      </c>
      <c r="H8" t="s">
        <v>2653</v>
      </c>
      <c r="I8" t="s">
        <v>4854</v>
      </c>
      <c r="K8" t="s">
        <v>6025</v>
      </c>
      <c r="L8" t="s">
        <v>6026</v>
      </c>
    </row>
    <row r="9" spans="1:12" x14ac:dyDescent="0.35">
      <c r="A9" t="s">
        <v>98</v>
      </c>
      <c r="B9" t="s">
        <v>171</v>
      </c>
      <c r="C9" t="s">
        <v>656</v>
      </c>
      <c r="D9">
        <v>9.6000000000000002E-4</v>
      </c>
      <c r="F9" t="s">
        <v>5084</v>
      </c>
      <c r="H9" t="s">
        <v>2653</v>
      </c>
      <c r="I9" t="s">
        <v>4854</v>
      </c>
      <c r="K9" t="s">
        <v>6025</v>
      </c>
      <c r="L9" t="s">
        <v>6026</v>
      </c>
    </row>
    <row r="10" spans="1:12" x14ac:dyDescent="0.35">
      <c r="A10" t="s">
        <v>98</v>
      </c>
      <c r="B10" t="s">
        <v>171</v>
      </c>
      <c r="C10" t="s">
        <v>661</v>
      </c>
      <c r="D10">
        <v>5.5100000000000001E-3</v>
      </c>
      <c r="F10" t="s">
        <v>5085</v>
      </c>
      <c r="H10" t="s">
        <v>2649</v>
      </c>
      <c r="I10" t="s">
        <v>4854</v>
      </c>
      <c r="K10" t="s">
        <v>6025</v>
      </c>
      <c r="L10" t="s">
        <v>6026</v>
      </c>
    </row>
    <row r="11" spans="1:12" x14ac:dyDescent="0.35">
      <c r="A11" t="s">
        <v>98</v>
      </c>
      <c r="B11" t="s">
        <v>171</v>
      </c>
      <c r="C11" t="s">
        <v>660</v>
      </c>
      <c r="D11">
        <v>4.5399999999999998E-3</v>
      </c>
      <c r="F11" t="s">
        <v>5086</v>
      </c>
      <c r="H11" t="s">
        <v>2649</v>
      </c>
      <c r="I11" t="s">
        <v>4854</v>
      </c>
      <c r="K11" t="s">
        <v>6025</v>
      </c>
      <c r="L11" t="s">
        <v>6026</v>
      </c>
    </row>
    <row r="12" spans="1:12" x14ac:dyDescent="0.35">
      <c r="A12" t="s">
        <v>98</v>
      </c>
      <c r="B12" t="s">
        <v>171</v>
      </c>
      <c r="C12" t="s">
        <v>656</v>
      </c>
      <c r="D12">
        <v>9.3000000000000005E-4</v>
      </c>
      <c r="F12" t="s">
        <v>5087</v>
      </c>
      <c r="H12" t="s">
        <v>2655</v>
      </c>
      <c r="I12" t="s">
        <v>4854</v>
      </c>
      <c r="K12" t="s">
        <v>6025</v>
      </c>
      <c r="L12" t="s">
        <v>6026</v>
      </c>
    </row>
    <row r="13" spans="1:12" x14ac:dyDescent="0.35">
      <c r="A13" t="s">
        <v>98</v>
      </c>
      <c r="B13" t="s">
        <v>317</v>
      </c>
      <c r="C13" t="s">
        <v>656</v>
      </c>
      <c r="D13">
        <v>16.899999999999999</v>
      </c>
      <c r="F13" t="s">
        <v>1806</v>
      </c>
      <c r="H13" t="s">
        <v>2660</v>
      </c>
      <c r="I13" t="s">
        <v>4856</v>
      </c>
      <c r="K13" t="s">
        <v>6025</v>
      </c>
      <c r="L13" t="s">
        <v>6026</v>
      </c>
    </row>
    <row r="14" spans="1:12" x14ac:dyDescent="0.35">
      <c r="A14" t="s">
        <v>98</v>
      </c>
      <c r="B14" t="s">
        <v>317</v>
      </c>
      <c r="C14" t="s">
        <v>656</v>
      </c>
      <c r="D14">
        <v>21</v>
      </c>
      <c r="F14" t="s">
        <v>2051</v>
      </c>
      <c r="H14" t="s">
        <v>2661</v>
      </c>
      <c r="I14" t="s">
        <v>4856</v>
      </c>
      <c r="K14" t="s">
        <v>6025</v>
      </c>
      <c r="L14" t="s">
        <v>6026</v>
      </c>
    </row>
    <row r="15" spans="1:12" x14ac:dyDescent="0.35">
      <c r="A15" t="s">
        <v>98</v>
      </c>
      <c r="B15" t="s">
        <v>317</v>
      </c>
      <c r="C15" t="s">
        <v>656</v>
      </c>
      <c r="D15">
        <v>11.8</v>
      </c>
      <c r="F15" t="s">
        <v>1749</v>
      </c>
      <c r="H15" t="s">
        <v>2664</v>
      </c>
      <c r="I15" t="s">
        <v>4856</v>
      </c>
      <c r="K15" t="s">
        <v>6025</v>
      </c>
      <c r="L15" t="s">
        <v>6026</v>
      </c>
    </row>
    <row r="16" spans="1:12" x14ac:dyDescent="0.35">
      <c r="A16" t="s">
        <v>98</v>
      </c>
      <c r="B16" t="s">
        <v>317</v>
      </c>
      <c r="C16" t="s">
        <v>659</v>
      </c>
      <c r="D16">
        <v>11.8</v>
      </c>
      <c r="F16" t="s">
        <v>1749</v>
      </c>
      <c r="H16" t="s">
        <v>2660</v>
      </c>
      <c r="I16" t="s">
        <v>4856</v>
      </c>
      <c r="K16" t="s">
        <v>6025</v>
      </c>
      <c r="L16" t="s">
        <v>6026</v>
      </c>
    </row>
    <row r="17" spans="1:12" x14ac:dyDescent="0.35">
      <c r="A17" t="s">
        <v>98</v>
      </c>
      <c r="B17" t="s">
        <v>317</v>
      </c>
      <c r="C17" t="s">
        <v>656</v>
      </c>
      <c r="D17">
        <v>11.1</v>
      </c>
      <c r="F17" t="s">
        <v>1675</v>
      </c>
      <c r="H17" t="s">
        <v>2662</v>
      </c>
      <c r="I17" t="s">
        <v>4856</v>
      </c>
      <c r="K17" t="s">
        <v>6025</v>
      </c>
      <c r="L17" t="s">
        <v>6026</v>
      </c>
    </row>
    <row r="18" spans="1:12" x14ac:dyDescent="0.35">
      <c r="A18" t="s">
        <v>98</v>
      </c>
      <c r="B18" t="s">
        <v>317</v>
      </c>
      <c r="C18" t="s">
        <v>659</v>
      </c>
      <c r="D18">
        <v>11.7</v>
      </c>
      <c r="F18" t="s">
        <v>2227</v>
      </c>
      <c r="H18" t="s">
        <v>2662</v>
      </c>
      <c r="I18" t="s">
        <v>4856</v>
      </c>
      <c r="K18" t="s">
        <v>6025</v>
      </c>
      <c r="L18" t="s">
        <v>6026</v>
      </c>
    </row>
    <row r="19" spans="1:12" x14ac:dyDescent="0.35">
      <c r="A19" t="s">
        <v>98</v>
      </c>
      <c r="B19" t="s">
        <v>317</v>
      </c>
      <c r="C19" t="s">
        <v>659</v>
      </c>
      <c r="D19">
        <v>10.8</v>
      </c>
      <c r="F19" t="s">
        <v>1699</v>
      </c>
      <c r="H19" t="s">
        <v>2663</v>
      </c>
      <c r="I19" t="s">
        <v>4856</v>
      </c>
      <c r="K19" t="s">
        <v>6025</v>
      </c>
      <c r="L19" t="s">
        <v>6026</v>
      </c>
    </row>
    <row r="20" spans="1:12" x14ac:dyDescent="0.35">
      <c r="A20" t="s">
        <v>98</v>
      </c>
      <c r="B20" t="s">
        <v>317</v>
      </c>
      <c r="C20" t="s">
        <v>659</v>
      </c>
      <c r="D20">
        <v>15.1</v>
      </c>
      <c r="F20" t="s">
        <v>1479</v>
      </c>
      <c r="H20" t="s">
        <v>2661</v>
      </c>
      <c r="I20" t="s">
        <v>4856</v>
      </c>
      <c r="K20" t="s">
        <v>6025</v>
      </c>
      <c r="L20" t="s">
        <v>6026</v>
      </c>
    </row>
    <row r="21" spans="1:12" x14ac:dyDescent="0.35">
      <c r="A21" t="s">
        <v>98</v>
      </c>
      <c r="B21" t="s">
        <v>317</v>
      </c>
      <c r="C21" t="s">
        <v>659</v>
      </c>
      <c r="D21">
        <v>14.3</v>
      </c>
      <c r="F21" t="s">
        <v>2622</v>
      </c>
      <c r="H21" t="s">
        <v>2664</v>
      </c>
      <c r="I21" t="s">
        <v>4856</v>
      </c>
      <c r="K21" t="s">
        <v>6025</v>
      </c>
      <c r="L21" t="s">
        <v>6026</v>
      </c>
    </row>
    <row r="22" spans="1:12" x14ac:dyDescent="0.35">
      <c r="A22" t="s">
        <v>98</v>
      </c>
      <c r="B22" t="s">
        <v>317</v>
      </c>
      <c r="C22" t="s">
        <v>656</v>
      </c>
      <c r="D22">
        <v>17.399999999999999</v>
      </c>
      <c r="F22" t="s">
        <v>1472</v>
      </c>
      <c r="H22" t="s">
        <v>2663</v>
      </c>
      <c r="I22" t="s">
        <v>4856</v>
      </c>
      <c r="K22" t="s">
        <v>6025</v>
      </c>
      <c r="L22" t="s">
        <v>6026</v>
      </c>
    </row>
    <row r="23" spans="1:12" x14ac:dyDescent="0.35">
      <c r="A23" t="s">
        <v>98</v>
      </c>
      <c r="B23" t="s">
        <v>319</v>
      </c>
      <c r="C23" t="s">
        <v>664</v>
      </c>
      <c r="D23">
        <v>0.26</v>
      </c>
      <c r="F23" t="s">
        <v>1447</v>
      </c>
      <c r="H23" t="s">
        <v>2666</v>
      </c>
      <c r="I23" t="s">
        <v>4858</v>
      </c>
      <c r="K23" t="s">
        <v>6025</v>
      </c>
      <c r="L23" t="s">
        <v>6026</v>
      </c>
    </row>
    <row r="24" spans="1:12" x14ac:dyDescent="0.35">
      <c r="A24" t="s">
        <v>98</v>
      </c>
      <c r="B24" t="s">
        <v>319</v>
      </c>
      <c r="C24" t="s">
        <v>665</v>
      </c>
      <c r="D24">
        <v>0.14000000000000001</v>
      </c>
      <c r="F24" t="s">
        <v>1361</v>
      </c>
      <c r="H24" t="s">
        <v>2666</v>
      </c>
      <c r="I24" t="s">
        <v>4858</v>
      </c>
      <c r="K24" t="s">
        <v>6025</v>
      </c>
      <c r="L24" t="s">
        <v>6026</v>
      </c>
    </row>
    <row r="25" spans="1:12" x14ac:dyDescent="0.35">
      <c r="A25" t="s">
        <v>98</v>
      </c>
      <c r="B25" t="s">
        <v>175</v>
      </c>
      <c r="C25" t="s">
        <v>656</v>
      </c>
      <c r="D25">
        <v>0.5</v>
      </c>
      <c r="F25" t="s">
        <v>1440</v>
      </c>
      <c r="H25" t="s">
        <v>2678</v>
      </c>
      <c r="I25" t="s">
        <v>4861</v>
      </c>
      <c r="K25" t="s">
        <v>6025</v>
      </c>
      <c r="L25" t="s">
        <v>6026</v>
      </c>
    </row>
    <row r="26" spans="1:12" x14ac:dyDescent="0.35">
      <c r="A26" t="s">
        <v>98</v>
      </c>
      <c r="B26" t="s">
        <v>175</v>
      </c>
      <c r="C26" t="s">
        <v>656</v>
      </c>
      <c r="D26">
        <v>0.52</v>
      </c>
      <c r="F26" t="s">
        <v>2037</v>
      </c>
      <c r="H26" t="s">
        <v>2679</v>
      </c>
      <c r="I26" t="s">
        <v>4861</v>
      </c>
      <c r="K26" t="s">
        <v>6025</v>
      </c>
      <c r="L26" t="s">
        <v>6026</v>
      </c>
    </row>
    <row r="27" spans="1:12" x14ac:dyDescent="0.35">
      <c r="A27" t="s">
        <v>98</v>
      </c>
      <c r="B27" t="s">
        <v>175</v>
      </c>
      <c r="C27" t="s">
        <v>656</v>
      </c>
      <c r="D27">
        <v>0.3</v>
      </c>
      <c r="F27" t="s">
        <v>1401</v>
      </c>
      <c r="H27" t="s">
        <v>2669</v>
      </c>
      <c r="I27" t="s">
        <v>1889</v>
      </c>
      <c r="K27" t="s">
        <v>6025</v>
      </c>
      <c r="L27" t="s">
        <v>6026</v>
      </c>
    </row>
    <row r="28" spans="1:12" x14ac:dyDescent="0.35">
      <c r="A28" t="s">
        <v>98</v>
      </c>
      <c r="B28" t="s">
        <v>175</v>
      </c>
      <c r="C28" t="s">
        <v>659</v>
      </c>
      <c r="D28">
        <v>4.2</v>
      </c>
      <c r="F28" t="s">
        <v>1868</v>
      </c>
      <c r="H28" t="s">
        <v>2669</v>
      </c>
      <c r="I28" t="s">
        <v>1889</v>
      </c>
      <c r="K28" t="s">
        <v>6025</v>
      </c>
      <c r="L28" t="s">
        <v>6026</v>
      </c>
    </row>
    <row r="29" spans="1:12" x14ac:dyDescent="0.35">
      <c r="A29" t="s">
        <v>98</v>
      </c>
      <c r="B29" t="s">
        <v>175</v>
      </c>
      <c r="C29" t="s">
        <v>656</v>
      </c>
      <c r="D29">
        <v>0.48</v>
      </c>
      <c r="F29" t="s">
        <v>1508</v>
      </c>
      <c r="H29" t="s">
        <v>2673</v>
      </c>
      <c r="I29" t="s">
        <v>4861</v>
      </c>
      <c r="K29" t="s">
        <v>6025</v>
      </c>
      <c r="L29" t="s">
        <v>6026</v>
      </c>
    </row>
    <row r="30" spans="1:12" x14ac:dyDescent="0.35">
      <c r="A30" t="s">
        <v>98</v>
      </c>
      <c r="B30" t="s">
        <v>321</v>
      </c>
      <c r="C30" t="s">
        <v>658</v>
      </c>
      <c r="D30">
        <v>667</v>
      </c>
      <c r="F30" t="s">
        <v>5088</v>
      </c>
      <c r="H30" t="s">
        <v>5699</v>
      </c>
      <c r="I30" t="s">
        <v>1335</v>
      </c>
      <c r="K30" t="s">
        <v>6025</v>
      </c>
      <c r="L30" t="s">
        <v>6026</v>
      </c>
    </row>
    <row r="31" spans="1:12" x14ac:dyDescent="0.35">
      <c r="A31" t="s">
        <v>98</v>
      </c>
      <c r="B31" t="s">
        <v>321</v>
      </c>
      <c r="C31" t="s">
        <v>657</v>
      </c>
      <c r="D31">
        <v>567</v>
      </c>
      <c r="F31" t="s">
        <v>5089</v>
      </c>
      <c r="H31" t="s">
        <v>5699</v>
      </c>
      <c r="I31" t="s">
        <v>1335</v>
      </c>
      <c r="K31" t="s">
        <v>6025</v>
      </c>
      <c r="L31" t="s">
        <v>6026</v>
      </c>
    </row>
    <row r="32" spans="1:12" x14ac:dyDescent="0.35">
      <c r="A32" t="s">
        <v>100</v>
      </c>
      <c r="B32" t="s">
        <v>322</v>
      </c>
      <c r="C32" t="s">
        <v>666</v>
      </c>
      <c r="D32">
        <v>72.7</v>
      </c>
      <c r="F32" t="s">
        <v>5090</v>
      </c>
      <c r="H32" t="s">
        <v>2689</v>
      </c>
      <c r="I32" t="s">
        <v>1389</v>
      </c>
      <c r="K32" t="s">
        <v>6025</v>
      </c>
      <c r="L32" t="s">
        <v>6026</v>
      </c>
    </row>
    <row r="33" spans="1:12" x14ac:dyDescent="0.35">
      <c r="A33" t="s">
        <v>100</v>
      </c>
      <c r="B33" t="s">
        <v>324</v>
      </c>
      <c r="C33" t="s">
        <v>666</v>
      </c>
      <c r="D33">
        <v>63.1</v>
      </c>
      <c r="F33" t="s">
        <v>5091</v>
      </c>
      <c r="H33" t="s">
        <v>2692</v>
      </c>
      <c r="I33" t="s">
        <v>1389</v>
      </c>
      <c r="K33" t="s">
        <v>6025</v>
      </c>
      <c r="L33" t="s">
        <v>6026</v>
      </c>
    </row>
    <row r="34" spans="1:12" x14ac:dyDescent="0.35">
      <c r="A34" t="s">
        <v>100</v>
      </c>
      <c r="B34" t="s">
        <v>324</v>
      </c>
      <c r="C34" t="s">
        <v>666</v>
      </c>
      <c r="D34">
        <v>50.8</v>
      </c>
      <c r="F34" t="s">
        <v>5092</v>
      </c>
      <c r="H34" t="s">
        <v>2693</v>
      </c>
      <c r="I34" t="s">
        <v>1389</v>
      </c>
      <c r="K34" t="s">
        <v>6025</v>
      </c>
      <c r="L34" t="s">
        <v>6026</v>
      </c>
    </row>
    <row r="35" spans="1:12" x14ac:dyDescent="0.35">
      <c r="A35" t="s">
        <v>100</v>
      </c>
      <c r="B35" t="s">
        <v>326</v>
      </c>
      <c r="C35" t="s">
        <v>671</v>
      </c>
      <c r="D35">
        <v>2</v>
      </c>
      <c r="F35" t="s">
        <v>1372</v>
      </c>
      <c r="H35" t="s">
        <v>2695</v>
      </c>
      <c r="I35" t="s">
        <v>1454</v>
      </c>
      <c r="K35" t="s">
        <v>6025</v>
      </c>
      <c r="L35" t="s">
        <v>6026</v>
      </c>
    </row>
    <row r="36" spans="1:12" x14ac:dyDescent="0.35">
      <c r="A36" t="s">
        <v>100</v>
      </c>
      <c r="B36" t="s">
        <v>326</v>
      </c>
      <c r="C36" t="s">
        <v>671</v>
      </c>
      <c r="D36">
        <v>2.8</v>
      </c>
      <c r="F36" t="s">
        <v>1504</v>
      </c>
      <c r="H36" t="s">
        <v>2696</v>
      </c>
      <c r="I36" t="s">
        <v>1454</v>
      </c>
      <c r="K36" t="s">
        <v>6025</v>
      </c>
      <c r="L36" t="s">
        <v>6026</v>
      </c>
    </row>
    <row r="37" spans="1:12" x14ac:dyDescent="0.35">
      <c r="A37" t="s">
        <v>100</v>
      </c>
      <c r="B37" t="s">
        <v>326</v>
      </c>
      <c r="C37" t="s">
        <v>673</v>
      </c>
      <c r="D37">
        <v>8.8000000000000007</v>
      </c>
      <c r="F37" t="s">
        <v>1672</v>
      </c>
      <c r="H37" t="s">
        <v>2696</v>
      </c>
      <c r="I37" t="s">
        <v>1454</v>
      </c>
      <c r="K37" t="s">
        <v>6025</v>
      </c>
      <c r="L37" t="s">
        <v>6026</v>
      </c>
    </row>
    <row r="38" spans="1:12" x14ac:dyDescent="0.35">
      <c r="A38" t="s">
        <v>100</v>
      </c>
      <c r="B38" t="s">
        <v>326</v>
      </c>
      <c r="C38" t="s">
        <v>668</v>
      </c>
      <c r="D38">
        <v>0.87</v>
      </c>
      <c r="F38" t="s">
        <v>1897</v>
      </c>
      <c r="H38" t="s">
        <v>2696</v>
      </c>
      <c r="I38" t="s">
        <v>1454</v>
      </c>
      <c r="K38" t="s">
        <v>6025</v>
      </c>
      <c r="L38" t="s">
        <v>6026</v>
      </c>
    </row>
    <row r="39" spans="1:12" x14ac:dyDescent="0.35">
      <c r="A39" t="s">
        <v>100</v>
      </c>
      <c r="B39" t="s">
        <v>326</v>
      </c>
      <c r="C39" t="s">
        <v>668</v>
      </c>
      <c r="D39">
        <v>1.1499999999999999</v>
      </c>
      <c r="F39" t="s">
        <v>1622</v>
      </c>
      <c r="H39" t="s">
        <v>2695</v>
      </c>
      <c r="I39" t="s">
        <v>1454</v>
      </c>
      <c r="K39" t="s">
        <v>6025</v>
      </c>
      <c r="L39" t="s">
        <v>6026</v>
      </c>
    </row>
    <row r="40" spans="1:12" x14ac:dyDescent="0.35">
      <c r="A40" t="s">
        <v>100</v>
      </c>
      <c r="B40" t="s">
        <v>326</v>
      </c>
      <c r="C40" t="s">
        <v>666</v>
      </c>
      <c r="D40">
        <v>17.5</v>
      </c>
      <c r="F40" t="s">
        <v>5093</v>
      </c>
      <c r="H40" t="s">
        <v>2696</v>
      </c>
      <c r="I40" t="s">
        <v>1454</v>
      </c>
      <c r="K40" t="s">
        <v>6025</v>
      </c>
      <c r="L40" t="s">
        <v>6026</v>
      </c>
    </row>
    <row r="41" spans="1:12" x14ac:dyDescent="0.35">
      <c r="A41" t="s">
        <v>100</v>
      </c>
      <c r="B41" t="s">
        <v>326</v>
      </c>
      <c r="C41" t="s">
        <v>673</v>
      </c>
      <c r="D41">
        <v>4.0999999999999996</v>
      </c>
      <c r="F41" t="s">
        <v>1385</v>
      </c>
      <c r="H41" t="s">
        <v>2695</v>
      </c>
      <c r="I41" t="s">
        <v>1454</v>
      </c>
      <c r="K41" t="s">
        <v>6025</v>
      </c>
      <c r="L41" t="s">
        <v>6026</v>
      </c>
    </row>
    <row r="42" spans="1:12" x14ac:dyDescent="0.35">
      <c r="A42" t="s">
        <v>100</v>
      </c>
      <c r="B42" t="s">
        <v>326</v>
      </c>
      <c r="C42" t="s">
        <v>672</v>
      </c>
      <c r="D42">
        <v>134.5</v>
      </c>
      <c r="F42" t="s">
        <v>5094</v>
      </c>
      <c r="H42" t="s">
        <v>2695</v>
      </c>
      <c r="I42" t="s">
        <v>1454</v>
      </c>
      <c r="K42" t="s">
        <v>6025</v>
      </c>
      <c r="L42" t="s">
        <v>6026</v>
      </c>
    </row>
    <row r="43" spans="1:12" x14ac:dyDescent="0.35">
      <c r="A43" t="s">
        <v>101</v>
      </c>
      <c r="B43" t="s">
        <v>329</v>
      </c>
      <c r="C43" t="s">
        <v>163</v>
      </c>
      <c r="D43">
        <v>89</v>
      </c>
      <c r="F43" t="s">
        <v>4854</v>
      </c>
      <c r="H43" t="s">
        <v>5700</v>
      </c>
      <c r="I43" t="s">
        <v>2393</v>
      </c>
      <c r="K43" t="s">
        <v>6025</v>
      </c>
      <c r="L43" t="s">
        <v>6026</v>
      </c>
    </row>
    <row r="44" spans="1:12" x14ac:dyDescent="0.35">
      <c r="A44" t="s">
        <v>101</v>
      </c>
      <c r="B44" t="s">
        <v>329</v>
      </c>
      <c r="C44" t="s">
        <v>688</v>
      </c>
      <c r="D44">
        <v>89</v>
      </c>
      <c r="F44" t="s">
        <v>4854</v>
      </c>
      <c r="H44" t="s">
        <v>5701</v>
      </c>
      <c r="I44" t="s">
        <v>2393</v>
      </c>
      <c r="K44" t="s">
        <v>6025</v>
      </c>
      <c r="L44" t="s">
        <v>6026</v>
      </c>
    </row>
    <row r="45" spans="1:12" x14ac:dyDescent="0.35">
      <c r="A45" t="s">
        <v>101</v>
      </c>
      <c r="B45" t="s">
        <v>329</v>
      </c>
      <c r="C45" t="s">
        <v>163</v>
      </c>
      <c r="D45">
        <v>4</v>
      </c>
      <c r="F45" t="s">
        <v>1379</v>
      </c>
      <c r="H45" t="s">
        <v>2714</v>
      </c>
      <c r="I45" t="s">
        <v>2393</v>
      </c>
      <c r="K45" t="s">
        <v>6025</v>
      </c>
      <c r="L45" t="s">
        <v>6026</v>
      </c>
    </row>
    <row r="46" spans="1:12" x14ac:dyDescent="0.35">
      <c r="A46" t="s">
        <v>101</v>
      </c>
      <c r="B46" t="s">
        <v>329</v>
      </c>
      <c r="C46" t="s">
        <v>688</v>
      </c>
      <c r="D46">
        <v>4</v>
      </c>
      <c r="F46" t="s">
        <v>1379</v>
      </c>
      <c r="H46" t="s">
        <v>2714</v>
      </c>
      <c r="I46" t="s">
        <v>2393</v>
      </c>
      <c r="K46" t="s">
        <v>6025</v>
      </c>
      <c r="L46" t="s">
        <v>6026</v>
      </c>
    </row>
    <row r="47" spans="1:12" x14ac:dyDescent="0.35">
      <c r="A47" t="s">
        <v>101</v>
      </c>
      <c r="B47" t="s">
        <v>329</v>
      </c>
      <c r="C47" t="s">
        <v>163</v>
      </c>
      <c r="D47">
        <v>90</v>
      </c>
      <c r="F47" t="s">
        <v>2330</v>
      </c>
      <c r="H47" t="s">
        <v>5702</v>
      </c>
      <c r="I47" t="s">
        <v>2393</v>
      </c>
      <c r="K47" t="s">
        <v>6025</v>
      </c>
      <c r="L47" t="s">
        <v>6026</v>
      </c>
    </row>
    <row r="48" spans="1:12" x14ac:dyDescent="0.35">
      <c r="A48" t="s">
        <v>101</v>
      </c>
      <c r="B48" t="s">
        <v>329</v>
      </c>
      <c r="C48" t="s">
        <v>688</v>
      </c>
      <c r="D48">
        <v>90</v>
      </c>
      <c r="F48" t="s">
        <v>2330</v>
      </c>
      <c r="H48" t="s">
        <v>5702</v>
      </c>
      <c r="I48" t="s">
        <v>2393</v>
      </c>
      <c r="K48" t="s">
        <v>6025</v>
      </c>
      <c r="L48" t="s">
        <v>6026</v>
      </c>
    </row>
    <row r="49" spans="1:12" x14ac:dyDescent="0.35">
      <c r="A49" t="s">
        <v>101</v>
      </c>
      <c r="B49" t="s">
        <v>329</v>
      </c>
      <c r="C49" t="s">
        <v>163</v>
      </c>
      <c r="D49">
        <v>187</v>
      </c>
      <c r="F49" t="s">
        <v>5001</v>
      </c>
      <c r="H49" t="s">
        <v>2719</v>
      </c>
      <c r="I49" t="s">
        <v>2393</v>
      </c>
      <c r="K49" t="s">
        <v>6025</v>
      </c>
      <c r="L49" t="s">
        <v>6026</v>
      </c>
    </row>
    <row r="50" spans="1:12" x14ac:dyDescent="0.35">
      <c r="A50" t="s">
        <v>101</v>
      </c>
      <c r="B50" t="s">
        <v>329</v>
      </c>
      <c r="C50" t="s">
        <v>163</v>
      </c>
      <c r="D50">
        <v>96</v>
      </c>
      <c r="F50" t="s">
        <v>4869</v>
      </c>
      <c r="H50" t="s">
        <v>5703</v>
      </c>
      <c r="I50" t="s">
        <v>2393</v>
      </c>
      <c r="K50" t="s">
        <v>6025</v>
      </c>
      <c r="L50" t="s">
        <v>6026</v>
      </c>
    </row>
    <row r="51" spans="1:12" x14ac:dyDescent="0.35">
      <c r="A51" t="s">
        <v>101</v>
      </c>
      <c r="B51" t="s">
        <v>329</v>
      </c>
      <c r="C51" t="s">
        <v>688</v>
      </c>
      <c r="D51">
        <v>96</v>
      </c>
      <c r="F51" t="s">
        <v>4869</v>
      </c>
      <c r="H51" t="s">
        <v>5704</v>
      </c>
      <c r="I51" t="s">
        <v>2393</v>
      </c>
      <c r="K51" t="s">
        <v>6025</v>
      </c>
      <c r="L51" t="s">
        <v>6026</v>
      </c>
    </row>
    <row r="52" spans="1:12" x14ac:dyDescent="0.35">
      <c r="A52" t="s">
        <v>101</v>
      </c>
      <c r="B52" t="s">
        <v>329</v>
      </c>
      <c r="C52" t="s">
        <v>688</v>
      </c>
      <c r="D52">
        <v>187</v>
      </c>
      <c r="F52" t="s">
        <v>5001</v>
      </c>
      <c r="H52" t="s">
        <v>5705</v>
      </c>
      <c r="I52" t="s">
        <v>1360</v>
      </c>
      <c r="K52" t="s">
        <v>6025</v>
      </c>
      <c r="L52" t="s">
        <v>6026</v>
      </c>
    </row>
    <row r="53" spans="1:12" x14ac:dyDescent="0.35">
      <c r="A53" t="s">
        <v>101</v>
      </c>
      <c r="B53" t="s">
        <v>312</v>
      </c>
      <c r="C53" t="s">
        <v>689</v>
      </c>
      <c r="D53">
        <v>198</v>
      </c>
      <c r="F53" t="s">
        <v>5095</v>
      </c>
      <c r="H53" t="s">
        <v>2724</v>
      </c>
      <c r="I53" t="s">
        <v>4865</v>
      </c>
      <c r="K53" t="s">
        <v>6025</v>
      </c>
      <c r="L53" t="s">
        <v>6026</v>
      </c>
    </row>
    <row r="54" spans="1:12" x14ac:dyDescent="0.35">
      <c r="A54" t="s">
        <v>101</v>
      </c>
      <c r="B54" t="s">
        <v>312</v>
      </c>
      <c r="C54" t="s">
        <v>688</v>
      </c>
      <c r="D54">
        <v>136</v>
      </c>
      <c r="F54" t="s">
        <v>4915</v>
      </c>
      <c r="H54" t="s">
        <v>2724</v>
      </c>
      <c r="I54" t="s">
        <v>4865</v>
      </c>
      <c r="K54" t="s">
        <v>6025</v>
      </c>
      <c r="L54" t="s">
        <v>6026</v>
      </c>
    </row>
    <row r="55" spans="1:12" x14ac:dyDescent="0.35">
      <c r="A55" t="s">
        <v>101</v>
      </c>
      <c r="B55" t="s">
        <v>330</v>
      </c>
      <c r="C55" t="s">
        <v>688</v>
      </c>
      <c r="D55">
        <v>4170</v>
      </c>
      <c r="F55" t="s">
        <v>5096</v>
      </c>
      <c r="H55" t="s">
        <v>5706</v>
      </c>
      <c r="I55" t="s">
        <v>4866</v>
      </c>
      <c r="K55" t="s">
        <v>6025</v>
      </c>
      <c r="L55" t="s">
        <v>6026</v>
      </c>
    </row>
    <row r="56" spans="1:12" x14ac:dyDescent="0.35">
      <c r="A56" t="s">
        <v>101</v>
      </c>
      <c r="B56" t="s">
        <v>330</v>
      </c>
      <c r="C56" t="s">
        <v>163</v>
      </c>
      <c r="D56">
        <v>36.83</v>
      </c>
      <c r="F56" t="s">
        <v>5097</v>
      </c>
      <c r="H56" t="s">
        <v>5707</v>
      </c>
      <c r="I56" t="s">
        <v>4866</v>
      </c>
      <c r="K56" t="s">
        <v>6025</v>
      </c>
      <c r="L56" t="s">
        <v>6026</v>
      </c>
    </row>
    <row r="57" spans="1:12" x14ac:dyDescent="0.35">
      <c r="A57" t="s">
        <v>101</v>
      </c>
      <c r="B57" t="s">
        <v>331</v>
      </c>
      <c r="C57" t="s">
        <v>688</v>
      </c>
      <c r="D57">
        <v>19.66</v>
      </c>
      <c r="F57" t="s">
        <v>5098</v>
      </c>
      <c r="H57" t="s">
        <v>2726</v>
      </c>
      <c r="I57" t="s">
        <v>4867</v>
      </c>
      <c r="K57" t="s">
        <v>6025</v>
      </c>
      <c r="L57" t="s">
        <v>6026</v>
      </c>
    </row>
    <row r="58" spans="1:12" x14ac:dyDescent="0.35">
      <c r="A58" t="s">
        <v>101</v>
      </c>
      <c r="B58" t="s">
        <v>331</v>
      </c>
      <c r="C58" t="s">
        <v>690</v>
      </c>
      <c r="D58">
        <v>43.85</v>
      </c>
      <c r="F58" t="s">
        <v>5099</v>
      </c>
      <c r="H58" t="s">
        <v>2726</v>
      </c>
      <c r="I58" t="s">
        <v>4867</v>
      </c>
      <c r="K58" t="s">
        <v>6025</v>
      </c>
      <c r="L58" t="s">
        <v>6026</v>
      </c>
    </row>
    <row r="59" spans="1:12" x14ac:dyDescent="0.35">
      <c r="A59" t="s">
        <v>101</v>
      </c>
      <c r="B59" t="s">
        <v>333</v>
      </c>
      <c r="C59" t="s">
        <v>163</v>
      </c>
      <c r="D59">
        <v>322</v>
      </c>
      <c r="F59" t="s">
        <v>5100</v>
      </c>
      <c r="H59" t="s">
        <v>5708</v>
      </c>
      <c r="I59" t="s">
        <v>1394</v>
      </c>
      <c r="K59" t="s">
        <v>6025</v>
      </c>
      <c r="L59" t="s">
        <v>6026</v>
      </c>
    </row>
    <row r="60" spans="1:12" x14ac:dyDescent="0.35">
      <c r="A60" t="s">
        <v>101</v>
      </c>
      <c r="B60" t="s">
        <v>333</v>
      </c>
      <c r="C60" t="s">
        <v>688</v>
      </c>
      <c r="D60">
        <v>322</v>
      </c>
      <c r="F60" t="s">
        <v>5100</v>
      </c>
      <c r="H60" t="s">
        <v>5708</v>
      </c>
      <c r="I60" t="s">
        <v>1394</v>
      </c>
      <c r="K60" t="s">
        <v>6025</v>
      </c>
      <c r="L60" t="s">
        <v>6026</v>
      </c>
    </row>
    <row r="61" spans="1:12" x14ac:dyDescent="0.35">
      <c r="A61" t="s">
        <v>101</v>
      </c>
      <c r="B61" t="s">
        <v>178</v>
      </c>
      <c r="C61" t="s">
        <v>163</v>
      </c>
      <c r="D61">
        <v>217</v>
      </c>
      <c r="F61" t="s">
        <v>4956</v>
      </c>
      <c r="H61" t="s">
        <v>5709</v>
      </c>
      <c r="I61" t="s">
        <v>4927</v>
      </c>
      <c r="K61" t="s">
        <v>6025</v>
      </c>
      <c r="L61" t="s">
        <v>6026</v>
      </c>
    </row>
    <row r="62" spans="1:12" x14ac:dyDescent="0.35">
      <c r="A62" t="s">
        <v>101</v>
      </c>
      <c r="B62" t="s">
        <v>178</v>
      </c>
      <c r="C62" t="s">
        <v>163</v>
      </c>
      <c r="D62">
        <v>176</v>
      </c>
      <c r="F62" t="s">
        <v>4949</v>
      </c>
      <c r="H62" t="s">
        <v>5710</v>
      </c>
      <c r="I62" t="s">
        <v>4927</v>
      </c>
      <c r="K62" t="s">
        <v>6025</v>
      </c>
      <c r="L62" t="s">
        <v>6026</v>
      </c>
    </row>
    <row r="63" spans="1:12" x14ac:dyDescent="0.35">
      <c r="A63" t="s">
        <v>101</v>
      </c>
      <c r="B63" t="s">
        <v>178</v>
      </c>
      <c r="C63" t="s">
        <v>163</v>
      </c>
      <c r="D63">
        <v>205</v>
      </c>
      <c r="F63" t="s">
        <v>4957</v>
      </c>
      <c r="H63" t="s">
        <v>5711</v>
      </c>
      <c r="I63" t="s">
        <v>4927</v>
      </c>
      <c r="K63" t="s">
        <v>6025</v>
      </c>
      <c r="L63" t="s">
        <v>6026</v>
      </c>
    </row>
    <row r="64" spans="1:12" x14ac:dyDescent="0.35">
      <c r="A64" t="s">
        <v>101</v>
      </c>
      <c r="B64" t="s">
        <v>178</v>
      </c>
      <c r="C64" t="s">
        <v>691</v>
      </c>
      <c r="D64">
        <v>574</v>
      </c>
      <c r="F64" t="s">
        <v>5101</v>
      </c>
      <c r="H64" t="s">
        <v>5709</v>
      </c>
      <c r="I64" t="s">
        <v>4927</v>
      </c>
      <c r="K64" t="s">
        <v>6025</v>
      </c>
      <c r="L64" t="s">
        <v>6026</v>
      </c>
    </row>
    <row r="65" spans="1:12" x14ac:dyDescent="0.35">
      <c r="A65" t="s">
        <v>101</v>
      </c>
      <c r="B65" t="s">
        <v>178</v>
      </c>
      <c r="C65" t="s">
        <v>691</v>
      </c>
      <c r="D65">
        <v>279</v>
      </c>
      <c r="F65" t="s">
        <v>5034</v>
      </c>
      <c r="H65" t="s">
        <v>5710</v>
      </c>
      <c r="I65" t="s">
        <v>4927</v>
      </c>
      <c r="K65" t="s">
        <v>6025</v>
      </c>
      <c r="L65" t="s">
        <v>6026</v>
      </c>
    </row>
    <row r="66" spans="1:12" x14ac:dyDescent="0.35">
      <c r="A66" t="s">
        <v>101</v>
      </c>
      <c r="B66" t="s">
        <v>178</v>
      </c>
      <c r="C66" t="s">
        <v>691</v>
      </c>
      <c r="D66">
        <v>319</v>
      </c>
      <c r="F66" t="s">
        <v>5102</v>
      </c>
      <c r="H66" t="s">
        <v>5711</v>
      </c>
      <c r="I66" t="s">
        <v>4927</v>
      </c>
      <c r="K66" t="s">
        <v>6025</v>
      </c>
      <c r="L66" t="s">
        <v>6026</v>
      </c>
    </row>
    <row r="67" spans="1:12" x14ac:dyDescent="0.35">
      <c r="A67" t="s">
        <v>101</v>
      </c>
      <c r="B67" t="s">
        <v>347</v>
      </c>
      <c r="C67" t="s">
        <v>688</v>
      </c>
      <c r="D67">
        <v>352</v>
      </c>
      <c r="F67" t="s">
        <v>5103</v>
      </c>
      <c r="H67" t="s">
        <v>2782</v>
      </c>
      <c r="I67" t="s">
        <v>4870</v>
      </c>
      <c r="K67" t="s">
        <v>6025</v>
      </c>
      <c r="L67" t="s">
        <v>6026</v>
      </c>
    </row>
    <row r="68" spans="1:12" x14ac:dyDescent="0.35">
      <c r="A68" t="s">
        <v>101</v>
      </c>
      <c r="B68" t="s">
        <v>350</v>
      </c>
      <c r="C68" t="s">
        <v>164</v>
      </c>
      <c r="D68">
        <v>101</v>
      </c>
      <c r="F68" t="s">
        <v>4932</v>
      </c>
      <c r="H68" t="s">
        <v>2788</v>
      </c>
      <c r="I68" t="s">
        <v>1360</v>
      </c>
      <c r="K68" t="s">
        <v>6025</v>
      </c>
      <c r="L68" t="s">
        <v>6026</v>
      </c>
    </row>
    <row r="69" spans="1:12" x14ac:dyDescent="0.35">
      <c r="A69" t="s">
        <v>101</v>
      </c>
      <c r="B69" t="s">
        <v>352</v>
      </c>
      <c r="C69" t="s">
        <v>697</v>
      </c>
      <c r="D69">
        <v>4.33</v>
      </c>
      <c r="F69" t="s">
        <v>1997</v>
      </c>
      <c r="H69" t="s">
        <v>2795</v>
      </c>
      <c r="I69" t="s">
        <v>1892</v>
      </c>
      <c r="K69" t="s">
        <v>6025</v>
      </c>
      <c r="L69" t="s">
        <v>6026</v>
      </c>
    </row>
    <row r="70" spans="1:12" x14ac:dyDescent="0.35">
      <c r="A70" t="s">
        <v>101</v>
      </c>
      <c r="B70" t="s">
        <v>352</v>
      </c>
      <c r="C70" t="s">
        <v>703</v>
      </c>
      <c r="D70">
        <v>1.55</v>
      </c>
      <c r="F70" t="s">
        <v>1726</v>
      </c>
      <c r="H70" t="s">
        <v>2800</v>
      </c>
      <c r="I70" t="s">
        <v>1892</v>
      </c>
      <c r="K70" t="s">
        <v>6025</v>
      </c>
      <c r="L70" t="s">
        <v>6026</v>
      </c>
    </row>
    <row r="71" spans="1:12" x14ac:dyDescent="0.35">
      <c r="A71" t="s">
        <v>101</v>
      </c>
      <c r="B71" t="s">
        <v>352</v>
      </c>
      <c r="C71" t="s">
        <v>696</v>
      </c>
      <c r="D71">
        <v>0.38</v>
      </c>
      <c r="F71" t="s">
        <v>1624</v>
      </c>
      <c r="H71" t="s">
        <v>2794</v>
      </c>
      <c r="I71" t="s">
        <v>4873</v>
      </c>
      <c r="K71" t="s">
        <v>6025</v>
      </c>
      <c r="L71" t="s">
        <v>6026</v>
      </c>
    </row>
    <row r="72" spans="1:12" x14ac:dyDescent="0.35">
      <c r="A72" t="s">
        <v>101</v>
      </c>
      <c r="B72" t="s">
        <v>352</v>
      </c>
      <c r="C72" t="s">
        <v>696</v>
      </c>
      <c r="D72">
        <v>0.35</v>
      </c>
      <c r="F72" t="s">
        <v>1294</v>
      </c>
      <c r="H72" t="s">
        <v>2793</v>
      </c>
      <c r="I72" t="s">
        <v>4873</v>
      </c>
      <c r="K72" t="s">
        <v>6025</v>
      </c>
      <c r="L72" t="s">
        <v>6026</v>
      </c>
    </row>
    <row r="73" spans="1:12" x14ac:dyDescent="0.35">
      <c r="A73" t="s">
        <v>101</v>
      </c>
      <c r="B73" t="s">
        <v>352</v>
      </c>
      <c r="C73" t="s">
        <v>702</v>
      </c>
      <c r="D73">
        <v>2.69</v>
      </c>
      <c r="F73" t="s">
        <v>5104</v>
      </c>
      <c r="H73" t="s">
        <v>2795</v>
      </c>
      <c r="I73" t="s">
        <v>1892</v>
      </c>
      <c r="K73" t="s">
        <v>6025</v>
      </c>
      <c r="L73" t="s">
        <v>6026</v>
      </c>
    </row>
    <row r="74" spans="1:12" x14ac:dyDescent="0.35">
      <c r="A74" t="s">
        <v>101</v>
      </c>
      <c r="B74" t="s">
        <v>352</v>
      </c>
      <c r="C74" t="s">
        <v>699</v>
      </c>
      <c r="D74">
        <v>3.45</v>
      </c>
      <c r="F74" t="s">
        <v>1976</v>
      </c>
      <c r="H74" t="s">
        <v>2796</v>
      </c>
      <c r="I74" t="s">
        <v>1892</v>
      </c>
      <c r="K74" t="s">
        <v>6025</v>
      </c>
      <c r="L74" t="s">
        <v>6026</v>
      </c>
    </row>
    <row r="75" spans="1:12" x14ac:dyDescent="0.35">
      <c r="A75" t="s">
        <v>101</v>
      </c>
      <c r="B75" t="s">
        <v>352</v>
      </c>
      <c r="C75" t="s">
        <v>700</v>
      </c>
      <c r="D75">
        <v>1.77</v>
      </c>
      <c r="F75" t="s">
        <v>1870</v>
      </c>
      <c r="H75" t="s">
        <v>2800</v>
      </c>
      <c r="I75" t="s">
        <v>1892</v>
      </c>
      <c r="K75" t="s">
        <v>6025</v>
      </c>
      <c r="L75" t="s">
        <v>6026</v>
      </c>
    </row>
    <row r="76" spans="1:12" x14ac:dyDescent="0.35">
      <c r="A76" t="s">
        <v>101</v>
      </c>
      <c r="B76" t="s">
        <v>352</v>
      </c>
      <c r="C76" t="s">
        <v>697</v>
      </c>
      <c r="D76">
        <v>1.81</v>
      </c>
      <c r="F76" t="s">
        <v>5105</v>
      </c>
      <c r="H76" t="s">
        <v>2799</v>
      </c>
      <c r="I76" t="s">
        <v>1892</v>
      </c>
      <c r="K76" t="s">
        <v>6025</v>
      </c>
      <c r="L76" t="s">
        <v>6026</v>
      </c>
    </row>
    <row r="77" spans="1:12" x14ac:dyDescent="0.35">
      <c r="A77" t="s">
        <v>101</v>
      </c>
      <c r="B77" t="s">
        <v>352</v>
      </c>
      <c r="C77" t="s">
        <v>701</v>
      </c>
      <c r="D77">
        <v>5.55</v>
      </c>
      <c r="F77" t="s">
        <v>5106</v>
      </c>
      <c r="H77" t="s">
        <v>2797</v>
      </c>
      <c r="I77" t="s">
        <v>4873</v>
      </c>
      <c r="K77" t="s">
        <v>6025</v>
      </c>
      <c r="L77" t="s">
        <v>6026</v>
      </c>
    </row>
    <row r="78" spans="1:12" x14ac:dyDescent="0.35">
      <c r="A78" t="s">
        <v>101</v>
      </c>
      <c r="B78" t="s">
        <v>352</v>
      </c>
      <c r="C78" t="s">
        <v>702</v>
      </c>
      <c r="D78">
        <v>1.44</v>
      </c>
      <c r="F78" t="s">
        <v>1718</v>
      </c>
      <c r="H78" t="s">
        <v>2800</v>
      </c>
      <c r="I78" t="s">
        <v>1892</v>
      </c>
      <c r="K78" t="s">
        <v>6025</v>
      </c>
      <c r="L78" t="s">
        <v>6026</v>
      </c>
    </row>
    <row r="79" spans="1:12" x14ac:dyDescent="0.35">
      <c r="A79" t="s">
        <v>101</v>
      </c>
      <c r="B79" t="s">
        <v>352</v>
      </c>
      <c r="C79" t="s">
        <v>688</v>
      </c>
      <c r="D79">
        <v>259</v>
      </c>
      <c r="F79" t="s">
        <v>5107</v>
      </c>
      <c r="H79" t="s">
        <v>2792</v>
      </c>
      <c r="I79" t="s">
        <v>4872</v>
      </c>
      <c r="K79" t="s">
        <v>6025</v>
      </c>
      <c r="L79" t="s">
        <v>6026</v>
      </c>
    </row>
    <row r="80" spans="1:12" x14ac:dyDescent="0.35">
      <c r="A80" t="s">
        <v>101</v>
      </c>
      <c r="B80" t="s">
        <v>352</v>
      </c>
      <c r="C80" t="s">
        <v>700</v>
      </c>
      <c r="D80">
        <v>2.85</v>
      </c>
      <c r="F80" t="s">
        <v>1869</v>
      </c>
      <c r="H80" t="s">
        <v>2795</v>
      </c>
      <c r="I80" t="s">
        <v>1892</v>
      </c>
      <c r="K80" t="s">
        <v>6025</v>
      </c>
      <c r="L80" t="s">
        <v>6026</v>
      </c>
    </row>
    <row r="81" spans="1:12" x14ac:dyDescent="0.35">
      <c r="A81" t="s">
        <v>101</v>
      </c>
      <c r="B81" t="s">
        <v>352</v>
      </c>
      <c r="C81" t="s">
        <v>703</v>
      </c>
      <c r="D81">
        <v>2.79</v>
      </c>
      <c r="F81" t="s">
        <v>5108</v>
      </c>
      <c r="H81" t="s">
        <v>2795</v>
      </c>
      <c r="I81" t="s">
        <v>1892</v>
      </c>
      <c r="K81" t="s">
        <v>6025</v>
      </c>
      <c r="L81" t="s">
        <v>6026</v>
      </c>
    </row>
    <row r="82" spans="1:12" x14ac:dyDescent="0.35">
      <c r="A82" t="s">
        <v>101</v>
      </c>
      <c r="B82" t="s">
        <v>352</v>
      </c>
      <c r="C82" t="s">
        <v>701</v>
      </c>
      <c r="D82">
        <v>0.30499999999999999</v>
      </c>
      <c r="F82" t="s">
        <v>2589</v>
      </c>
      <c r="H82" t="s">
        <v>2793</v>
      </c>
      <c r="I82" t="s">
        <v>4873</v>
      </c>
      <c r="K82" t="s">
        <v>6025</v>
      </c>
      <c r="L82" t="s">
        <v>6026</v>
      </c>
    </row>
    <row r="83" spans="1:12" x14ac:dyDescent="0.35">
      <c r="A83" t="s">
        <v>101</v>
      </c>
      <c r="B83" t="s">
        <v>352</v>
      </c>
      <c r="C83" t="s">
        <v>699</v>
      </c>
      <c r="D83">
        <v>2.99</v>
      </c>
      <c r="F83" t="s">
        <v>5109</v>
      </c>
      <c r="H83" t="s">
        <v>2798</v>
      </c>
      <c r="I83" t="s">
        <v>1892</v>
      </c>
      <c r="K83" t="s">
        <v>6025</v>
      </c>
      <c r="L83" t="s">
        <v>6026</v>
      </c>
    </row>
    <row r="84" spans="1:12" x14ac:dyDescent="0.35">
      <c r="A84" t="s">
        <v>101</v>
      </c>
      <c r="B84" t="s">
        <v>178</v>
      </c>
      <c r="C84" t="s">
        <v>163</v>
      </c>
      <c r="D84">
        <v>8.33</v>
      </c>
      <c r="F84" t="s">
        <v>5110</v>
      </c>
      <c r="H84" t="s">
        <v>5712</v>
      </c>
      <c r="I84" t="s">
        <v>4874</v>
      </c>
      <c r="K84" t="s">
        <v>6025</v>
      </c>
      <c r="L84" t="s">
        <v>6026</v>
      </c>
    </row>
    <row r="85" spans="1:12" x14ac:dyDescent="0.35">
      <c r="A85" t="s">
        <v>101</v>
      </c>
      <c r="B85" t="s">
        <v>178</v>
      </c>
      <c r="C85" t="s">
        <v>688</v>
      </c>
      <c r="D85">
        <v>8.33</v>
      </c>
      <c r="F85" t="s">
        <v>5110</v>
      </c>
      <c r="H85" t="s">
        <v>2804</v>
      </c>
      <c r="I85" t="s">
        <v>4874</v>
      </c>
      <c r="K85" t="s">
        <v>6025</v>
      </c>
      <c r="L85" t="s">
        <v>6026</v>
      </c>
    </row>
    <row r="86" spans="1:12" x14ac:dyDescent="0.35">
      <c r="A86" t="s">
        <v>101</v>
      </c>
      <c r="B86" t="s">
        <v>178</v>
      </c>
      <c r="C86" t="s">
        <v>688</v>
      </c>
      <c r="D86">
        <v>9.33</v>
      </c>
      <c r="F86" t="s">
        <v>5111</v>
      </c>
      <c r="H86" t="s">
        <v>2806</v>
      </c>
      <c r="I86" t="s">
        <v>4874</v>
      </c>
      <c r="K86" t="s">
        <v>6025</v>
      </c>
      <c r="L86" t="s">
        <v>6026</v>
      </c>
    </row>
    <row r="87" spans="1:12" x14ac:dyDescent="0.35">
      <c r="A87" t="s">
        <v>101</v>
      </c>
      <c r="B87" t="s">
        <v>178</v>
      </c>
      <c r="C87" t="s">
        <v>688</v>
      </c>
      <c r="D87">
        <v>4.83</v>
      </c>
      <c r="F87" t="s">
        <v>5112</v>
      </c>
      <c r="H87" t="s">
        <v>2805</v>
      </c>
      <c r="I87" t="s">
        <v>4874</v>
      </c>
      <c r="K87" t="s">
        <v>6025</v>
      </c>
      <c r="L87" t="s">
        <v>6026</v>
      </c>
    </row>
    <row r="88" spans="1:12" x14ac:dyDescent="0.35">
      <c r="A88" t="s">
        <v>101</v>
      </c>
      <c r="B88" t="s">
        <v>178</v>
      </c>
      <c r="C88" t="s">
        <v>163</v>
      </c>
      <c r="D88">
        <v>1.83</v>
      </c>
      <c r="F88" t="s">
        <v>5113</v>
      </c>
      <c r="H88" t="s">
        <v>2807</v>
      </c>
      <c r="I88" t="s">
        <v>4874</v>
      </c>
      <c r="K88" t="s">
        <v>6025</v>
      </c>
      <c r="L88" t="s">
        <v>6026</v>
      </c>
    </row>
    <row r="89" spans="1:12" x14ac:dyDescent="0.35">
      <c r="A89" t="s">
        <v>101</v>
      </c>
      <c r="B89" t="s">
        <v>178</v>
      </c>
      <c r="C89" t="s">
        <v>688</v>
      </c>
      <c r="D89">
        <v>1.83</v>
      </c>
      <c r="F89" t="s">
        <v>5113</v>
      </c>
      <c r="H89" t="s">
        <v>2807</v>
      </c>
      <c r="I89" t="s">
        <v>4874</v>
      </c>
      <c r="K89" t="s">
        <v>6025</v>
      </c>
      <c r="L89" t="s">
        <v>6026</v>
      </c>
    </row>
    <row r="90" spans="1:12" x14ac:dyDescent="0.35">
      <c r="A90" t="s">
        <v>101</v>
      </c>
      <c r="B90" t="s">
        <v>178</v>
      </c>
      <c r="C90" t="s">
        <v>163</v>
      </c>
      <c r="D90">
        <v>7.83</v>
      </c>
      <c r="F90" t="s">
        <v>1663</v>
      </c>
      <c r="H90" t="s">
        <v>5713</v>
      </c>
      <c r="I90" t="s">
        <v>4874</v>
      </c>
      <c r="K90" t="s">
        <v>6025</v>
      </c>
      <c r="L90" t="s">
        <v>6026</v>
      </c>
    </row>
    <row r="91" spans="1:12" x14ac:dyDescent="0.35">
      <c r="A91" t="s">
        <v>101</v>
      </c>
      <c r="B91" t="s">
        <v>178</v>
      </c>
      <c r="C91" t="s">
        <v>163</v>
      </c>
      <c r="D91">
        <v>10.16</v>
      </c>
      <c r="F91" t="s">
        <v>5114</v>
      </c>
      <c r="H91" t="s">
        <v>2806</v>
      </c>
      <c r="I91" t="s">
        <v>4874</v>
      </c>
      <c r="K91" t="s">
        <v>6025</v>
      </c>
      <c r="L91" t="s">
        <v>6026</v>
      </c>
    </row>
    <row r="92" spans="1:12" x14ac:dyDescent="0.35">
      <c r="A92" t="s">
        <v>101</v>
      </c>
      <c r="B92" t="s">
        <v>353</v>
      </c>
      <c r="C92" t="s">
        <v>705</v>
      </c>
      <c r="D92">
        <v>10</v>
      </c>
      <c r="F92" t="s">
        <v>1533</v>
      </c>
      <c r="H92" t="s">
        <v>2808</v>
      </c>
      <c r="I92" t="s">
        <v>2346</v>
      </c>
      <c r="K92" t="s">
        <v>6025</v>
      </c>
      <c r="L92" t="s">
        <v>6026</v>
      </c>
    </row>
    <row r="93" spans="1:12" x14ac:dyDescent="0.35">
      <c r="A93" t="s">
        <v>101</v>
      </c>
      <c r="B93" t="s">
        <v>353</v>
      </c>
      <c r="C93" t="s">
        <v>706</v>
      </c>
      <c r="D93">
        <v>43</v>
      </c>
      <c r="F93" t="s">
        <v>1394</v>
      </c>
      <c r="H93" t="s">
        <v>2808</v>
      </c>
      <c r="I93" t="s">
        <v>2346</v>
      </c>
      <c r="K93" t="s">
        <v>6025</v>
      </c>
      <c r="L93" t="s">
        <v>6026</v>
      </c>
    </row>
    <row r="94" spans="1:12" x14ac:dyDescent="0.35">
      <c r="A94" t="s">
        <v>101</v>
      </c>
      <c r="B94" t="s">
        <v>353</v>
      </c>
      <c r="C94" t="s">
        <v>688</v>
      </c>
      <c r="D94">
        <v>0.13</v>
      </c>
      <c r="F94" t="s">
        <v>1466</v>
      </c>
      <c r="H94" t="s">
        <v>2809</v>
      </c>
      <c r="I94" t="s">
        <v>4875</v>
      </c>
      <c r="K94" t="s">
        <v>6025</v>
      </c>
      <c r="L94" t="s">
        <v>6026</v>
      </c>
    </row>
    <row r="95" spans="1:12" x14ac:dyDescent="0.35">
      <c r="A95" t="s">
        <v>101</v>
      </c>
      <c r="B95" t="s">
        <v>353</v>
      </c>
      <c r="C95" t="s">
        <v>164</v>
      </c>
      <c r="D95">
        <v>0.03</v>
      </c>
      <c r="F95" t="s">
        <v>1266</v>
      </c>
      <c r="H95" t="s">
        <v>2809</v>
      </c>
      <c r="I95" t="s">
        <v>4875</v>
      </c>
      <c r="K95" t="s">
        <v>6025</v>
      </c>
      <c r="L95" t="s">
        <v>6026</v>
      </c>
    </row>
    <row r="96" spans="1:12" x14ac:dyDescent="0.35">
      <c r="A96" t="s">
        <v>101</v>
      </c>
      <c r="B96" t="s">
        <v>353</v>
      </c>
      <c r="C96" t="s">
        <v>164</v>
      </c>
      <c r="D96">
        <v>670</v>
      </c>
      <c r="F96" t="s">
        <v>5115</v>
      </c>
      <c r="H96" t="s">
        <v>2810</v>
      </c>
      <c r="I96" t="s">
        <v>4875</v>
      </c>
      <c r="K96" t="s">
        <v>6025</v>
      </c>
      <c r="L96" t="s">
        <v>6026</v>
      </c>
    </row>
    <row r="97" spans="1:12" x14ac:dyDescent="0.35">
      <c r="A97" t="s">
        <v>101</v>
      </c>
      <c r="B97" t="s">
        <v>353</v>
      </c>
      <c r="C97" t="s">
        <v>688</v>
      </c>
      <c r="D97">
        <v>530</v>
      </c>
      <c r="F97" t="s">
        <v>5116</v>
      </c>
      <c r="H97" t="s">
        <v>2810</v>
      </c>
      <c r="I97" t="s">
        <v>4875</v>
      </c>
      <c r="K97" t="s">
        <v>6025</v>
      </c>
      <c r="L97" t="s">
        <v>6026</v>
      </c>
    </row>
    <row r="98" spans="1:12" x14ac:dyDescent="0.35">
      <c r="A98" t="s">
        <v>101</v>
      </c>
      <c r="B98" t="s">
        <v>353</v>
      </c>
      <c r="C98" t="s">
        <v>688</v>
      </c>
      <c r="D98">
        <v>24.43</v>
      </c>
      <c r="F98" t="s">
        <v>5117</v>
      </c>
      <c r="H98" t="s">
        <v>2811</v>
      </c>
      <c r="I98" t="s">
        <v>4867</v>
      </c>
      <c r="K98" t="s">
        <v>6025</v>
      </c>
      <c r="L98" t="s">
        <v>6026</v>
      </c>
    </row>
    <row r="99" spans="1:12" x14ac:dyDescent="0.35">
      <c r="A99" t="s">
        <v>101</v>
      </c>
      <c r="B99" t="s">
        <v>353</v>
      </c>
      <c r="C99" t="s">
        <v>690</v>
      </c>
      <c r="D99">
        <v>40.64</v>
      </c>
      <c r="F99" t="s">
        <v>5118</v>
      </c>
      <c r="H99" t="s">
        <v>2811</v>
      </c>
      <c r="I99" t="s">
        <v>4867</v>
      </c>
      <c r="K99" t="s">
        <v>6025</v>
      </c>
      <c r="L99" t="s">
        <v>6026</v>
      </c>
    </row>
    <row r="100" spans="1:12" x14ac:dyDescent="0.35">
      <c r="A100" t="s">
        <v>101</v>
      </c>
      <c r="B100" t="s">
        <v>355</v>
      </c>
      <c r="C100" t="s">
        <v>163</v>
      </c>
      <c r="D100">
        <v>120</v>
      </c>
      <c r="F100" t="s">
        <v>2329</v>
      </c>
      <c r="H100" t="s">
        <v>2819</v>
      </c>
      <c r="I100" t="s">
        <v>4877</v>
      </c>
      <c r="K100" t="s">
        <v>6025</v>
      </c>
      <c r="L100" t="s">
        <v>6026</v>
      </c>
    </row>
    <row r="101" spans="1:12" x14ac:dyDescent="0.35">
      <c r="A101" t="s">
        <v>101</v>
      </c>
      <c r="B101" t="s">
        <v>355</v>
      </c>
      <c r="C101" t="s">
        <v>688</v>
      </c>
      <c r="D101">
        <v>120</v>
      </c>
      <c r="F101" t="s">
        <v>2329</v>
      </c>
      <c r="H101" t="s">
        <v>2819</v>
      </c>
      <c r="I101" t="s">
        <v>4877</v>
      </c>
      <c r="K101" t="s">
        <v>6025</v>
      </c>
      <c r="L101" t="s">
        <v>6026</v>
      </c>
    </row>
    <row r="102" spans="1:12" x14ac:dyDescent="0.35">
      <c r="A102" t="s">
        <v>101</v>
      </c>
      <c r="B102" t="s">
        <v>356</v>
      </c>
      <c r="C102" t="s">
        <v>691</v>
      </c>
      <c r="D102">
        <v>22</v>
      </c>
      <c r="F102" t="s">
        <v>1449</v>
      </c>
      <c r="H102" t="s">
        <v>2820</v>
      </c>
      <c r="I102" t="s">
        <v>4864</v>
      </c>
      <c r="K102" t="s">
        <v>6025</v>
      </c>
      <c r="L102" t="s">
        <v>6026</v>
      </c>
    </row>
    <row r="103" spans="1:12" x14ac:dyDescent="0.35">
      <c r="A103" t="s">
        <v>101</v>
      </c>
      <c r="B103" t="s">
        <v>356</v>
      </c>
      <c r="C103" t="s">
        <v>163</v>
      </c>
      <c r="D103">
        <v>27</v>
      </c>
      <c r="F103" t="s">
        <v>2364</v>
      </c>
      <c r="H103" t="s">
        <v>2820</v>
      </c>
      <c r="I103" t="s">
        <v>4864</v>
      </c>
      <c r="K103" t="s">
        <v>6025</v>
      </c>
      <c r="L103" t="s">
        <v>6026</v>
      </c>
    </row>
    <row r="104" spans="1:12" x14ac:dyDescent="0.35">
      <c r="A104" t="s">
        <v>101</v>
      </c>
      <c r="B104" t="s">
        <v>356</v>
      </c>
      <c r="C104" t="s">
        <v>688</v>
      </c>
      <c r="D104">
        <v>30</v>
      </c>
      <c r="F104" t="s">
        <v>1354</v>
      </c>
      <c r="H104" t="s">
        <v>2820</v>
      </c>
      <c r="I104" t="s">
        <v>4864</v>
      </c>
      <c r="K104" t="s">
        <v>6025</v>
      </c>
      <c r="L104" t="s">
        <v>6026</v>
      </c>
    </row>
    <row r="105" spans="1:12" x14ac:dyDescent="0.35">
      <c r="A105" t="s">
        <v>101</v>
      </c>
      <c r="B105" t="s">
        <v>356</v>
      </c>
      <c r="C105" t="s">
        <v>164</v>
      </c>
      <c r="D105">
        <v>14</v>
      </c>
      <c r="F105" t="s">
        <v>1467</v>
      </c>
      <c r="H105" t="s">
        <v>2820</v>
      </c>
      <c r="I105" t="s">
        <v>4864</v>
      </c>
      <c r="K105" t="s">
        <v>6025</v>
      </c>
      <c r="L105" t="s">
        <v>6026</v>
      </c>
    </row>
    <row r="106" spans="1:12" x14ac:dyDescent="0.35">
      <c r="A106" t="s">
        <v>101</v>
      </c>
      <c r="B106" t="s">
        <v>357</v>
      </c>
      <c r="C106" t="s">
        <v>691</v>
      </c>
      <c r="D106">
        <v>205</v>
      </c>
      <c r="F106" t="s">
        <v>4957</v>
      </c>
      <c r="H106" t="s">
        <v>2826</v>
      </c>
      <c r="I106" t="s">
        <v>4878</v>
      </c>
      <c r="K106" t="s">
        <v>6025</v>
      </c>
      <c r="L106" t="s">
        <v>6026</v>
      </c>
    </row>
    <row r="107" spans="1:12" x14ac:dyDescent="0.35">
      <c r="A107" t="s">
        <v>101</v>
      </c>
      <c r="B107" t="s">
        <v>358</v>
      </c>
      <c r="C107" t="s">
        <v>688</v>
      </c>
      <c r="D107">
        <v>89.6</v>
      </c>
      <c r="F107" t="s">
        <v>5119</v>
      </c>
      <c r="H107" t="s">
        <v>2827</v>
      </c>
      <c r="I107" t="s">
        <v>4879</v>
      </c>
      <c r="K107" t="s">
        <v>6025</v>
      </c>
      <c r="L107" t="s">
        <v>6026</v>
      </c>
    </row>
    <row r="108" spans="1:12" x14ac:dyDescent="0.35">
      <c r="A108" t="s">
        <v>101</v>
      </c>
      <c r="B108" t="s">
        <v>358</v>
      </c>
      <c r="C108" t="s">
        <v>688</v>
      </c>
      <c r="D108">
        <v>103.8</v>
      </c>
      <c r="F108" t="s">
        <v>5120</v>
      </c>
      <c r="H108" t="s">
        <v>2829</v>
      </c>
      <c r="I108" t="s">
        <v>4879</v>
      </c>
      <c r="K108" t="s">
        <v>6025</v>
      </c>
      <c r="L108" t="s">
        <v>6026</v>
      </c>
    </row>
    <row r="109" spans="1:12" x14ac:dyDescent="0.35">
      <c r="A109" t="s">
        <v>101</v>
      </c>
      <c r="B109" t="s">
        <v>358</v>
      </c>
      <c r="C109" t="s">
        <v>688</v>
      </c>
      <c r="D109">
        <v>88.5</v>
      </c>
      <c r="F109" t="s">
        <v>5121</v>
      </c>
      <c r="H109" t="s">
        <v>2828</v>
      </c>
      <c r="I109" t="s">
        <v>4879</v>
      </c>
      <c r="K109" t="s">
        <v>6025</v>
      </c>
      <c r="L109" t="s">
        <v>6026</v>
      </c>
    </row>
    <row r="110" spans="1:12" x14ac:dyDescent="0.35">
      <c r="A110" t="s">
        <v>101</v>
      </c>
      <c r="B110" t="s">
        <v>358</v>
      </c>
      <c r="C110" t="s">
        <v>688</v>
      </c>
      <c r="D110">
        <v>7</v>
      </c>
      <c r="F110" t="s">
        <v>1335</v>
      </c>
      <c r="H110" t="s">
        <v>2832</v>
      </c>
      <c r="I110" t="s">
        <v>4879</v>
      </c>
      <c r="K110" t="s">
        <v>6025</v>
      </c>
      <c r="L110" t="s">
        <v>6026</v>
      </c>
    </row>
    <row r="111" spans="1:12" x14ac:dyDescent="0.35">
      <c r="A111" t="s">
        <v>101</v>
      </c>
      <c r="B111" t="s">
        <v>358</v>
      </c>
      <c r="C111" t="s">
        <v>688</v>
      </c>
      <c r="D111">
        <v>4.5999999999999996</v>
      </c>
      <c r="F111" t="s">
        <v>1468</v>
      </c>
      <c r="H111" t="s">
        <v>2831</v>
      </c>
      <c r="I111" t="s">
        <v>4879</v>
      </c>
      <c r="K111" t="s">
        <v>6025</v>
      </c>
      <c r="L111" t="s">
        <v>6026</v>
      </c>
    </row>
    <row r="112" spans="1:12" x14ac:dyDescent="0.35">
      <c r="A112" t="s">
        <v>101</v>
      </c>
      <c r="B112" t="s">
        <v>358</v>
      </c>
      <c r="C112" t="s">
        <v>688</v>
      </c>
      <c r="D112">
        <v>4.9000000000000004</v>
      </c>
      <c r="F112" t="s">
        <v>1669</v>
      </c>
      <c r="H112" t="s">
        <v>2833</v>
      </c>
      <c r="I112" t="s">
        <v>4879</v>
      </c>
      <c r="K112" t="s">
        <v>6025</v>
      </c>
      <c r="L112" t="s">
        <v>6026</v>
      </c>
    </row>
    <row r="113" spans="1:12" x14ac:dyDescent="0.35">
      <c r="A113" t="s">
        <v>102</v>
      </c>
      <c r="B113" t="s">
        <v>329</v>
      </c>
      <c r="C113" t="s">
        <v>709</v>
      </c>
      <c r="D113">
        <v>3.3</v>
      </c>
      <c r="F113" t="s">
        <v>1377</v>
      </c>
      <c r="H113" t="s">
        <v>5714</v>
      </c>
      <c r="I113" t="s">
        <v>1878</v>
      </c>
      <c r="K113" t="s">
        <v>6025</v>
      </c>
      <c r="L113" t="s">
        <v>6026</v>
      </c>
    </row>
    <row r="114" spans="1:12" x14ac:dyDescent="0.35">
      <c r="A114" t="s">
        <v>102</v>
      </c>
      <c r="B114" t="s">
        <v>329</v>
      </c>
      <c r="C114" t="s">
        <v>713</v>
      </c>
      <c r="D114">
        <v>16</v>
      </c>
      <c r="F114" t="s">
        <v>1526</v>
      </c>
      <c r="H114" t="s">
        <v>5715</v>
      </c>
      <c r="I114" t="s">
        <v>1878</v>
      </c>
      <c r="K114" t="s">
        <v>6025</v>
      </c>
      <c r="L114" t="s">
        <v>6026</v>
      </c>
    </row>
    <row r="115" spans="1:12" x14ac:dyDescent="0.35">
      <c r="A115" t="s">
        <v>102</v>
      </c>
      <c r="B115" t="s">
        <v>329</v>
      </c>
      <c r="C115" t="s">
        <v>709</v>
      </c>
      <c r="D115">
        <v>60</v>
      </c>
      <c r="F115" t="s">
        <v>1569</v>
      </c>
      <c r="H115" t="s">
        <v>5716</v>
      </c>
      <c r="I115" t="s">
        <v>1878</v>
      </c>
      <c r="K115" t="s">
        <v>6025</v>
      </c>
      <c r="L115" t="s">
        <v>6026</v>
      </c>
    </row>
    <row r="116" spans="1:12" x14ac:dyDescent="0.35">
      <c r="A116" t="s">
        <v>102</v>
      </c>
      <c r="B116" t="s">
        <v>329</v>
      </c>
      <c r="C116" t="s">
        <v>5045</v>
      </c>
      <c r="D116">
        <v>98</v>
      </c>
      <c r="F116" t="s">
        <v>4855</v>
      </c>
      <c r="I116" t="s">
        <v>1878</v>
      </c>
      <c r="K116" t="s">
        <v>6025</v>
      </c>
      <c r="L116" t="s">
        <v>6026</v>
      </c>
    </row>
    <row r="117" spans="1:12" x14ac:dyDescent="0.35">
      <c r="A117" t="s">
        <v>102</v>
      </c>
      <c r="B117" t="s">
        <v>329</v>
      </c>
      <c r="C117" t="s">
        <v>5046</v>
      </c>
      <c r="D117">
        <v>1.1000000000000001</v>
      </c>
      <c r="F117" t="s">
        <v>1505</v>
      </c>
      <c r="H117" t="s">
        <v>5717</v>
      </c>
      <c r="I117" t="s">
        <v>1878</v>
      </c>
      <c r="K117" t="s">
        <v>6025</v>
      </c>
      <c r="L117" t="s">
        <v>6026</v>
      </c>
    </row>
    <row r="118" spans="1:12" x14ac:dyDescent="0.35">
      <c r="A118" t="s">
        <v>102</v>
      </c>
      <c r="B118" t="s">
        <v>332</v>
      </c>
      <c r="C118" t="s">
        <v>162</v>
      </c>
      <c r="D118">
        <v>276.5</v>
      </c>
      <c r="F118" t="s">
        <v>5122</v>
      </c>
      <c r="H118" t="s">
        <v>5718</v>
      </c>
      <c r="I118" t="s">
        <v>4881</v>
      </c>
      <c r="K118" t="s">
        <v>6025</v>
      </c>
      <c r="L118" t="s">
        <v>6026</v>
      </c>
    </row>
    <row r="119" spans="1:12" x14ac:dyDescent="0.35">
      <c r="A119" t="s">
        <v>102</v>
      </c>
      <c r="B119" t="s">
        <v>332</v>
      </c>
      <c r="C119" t="s">
        <v>162</v>
      </c>
      <c r="D119">
        <v>170.7</v>
      </c>
      <c r="F119" t="s">
        <v>5123</v>
      </c>
      <c r="H119" t="s">
        <v>5719</v>
      </c>
      <c r="I119" t="s">
        <v>4881</v>
      </c>
      <c r="K119" t="s">
        <v>6025</v>
      </c>
      <c r="L119" t="s">
        <v>6026</v>
      </c>
    </row>
    <row r="120" spans="1:12" x14ac:dyDescent="0.35">
      <c r="A120" t="s">
        <v>102</v>
      </c>
      <c r="B120" t="s">
        <v>363</v>
      </c>
      <c r="C120" t="s">
        <v>712</v>
      </c>
      <c r="D120">
        <v>3.8600000000000001E-3</v>
      </c>
      <c r="F120" t="s">
        <v>5124</v>
      </c>
      <c r="H120" t="s">
        <v>2845</v>
      </c>
      <c r="I120" t="s">
        <v>1893</v>
      </c>
      <c r="K120" t="s">
        <v>6025</v>
      </c>
      <c r="L120" t="s">
        <v>6026</v>
      </c>
    </row>
    <row r="121" spans="1:12" x14ac:dyDescent="0.35">
      <c r="A121" t="s">
        <v>102</v>
      </c>
      <c r="B121" t="s">
        <v>363</v>
      </c>
      <c r="C121" t="s">
        <v>711</v>
      </c>
      <c r="D121">
        <v>2.4800000000000001E-4</v>
      </c>
      <c r="F121" t="s">
        <v>5125</v>
      </c>
      <c r="H121" t="s">
        <v>2845</v>
      </c>
      <c r="I121" t="s">
        <v>1893</v>
      </c>
      <c r="K121" t="s">
        <v>6025</v>
      </c>
      <c r="L121" t="s">
        <v>6026</v>
      </c>
    </row>
    <row r="122" spans="1:12" x14ac:dyDescent="0.35">
      <c r="A122" t="s">
        <v>102</v>
      </c>
      <c r="B122" t="s">
        <v>363</v>
      </c>
      <c r="C122" t="s">
        <v>709</v>
      </c>
      <c r="D122">
        <v>5.5000000000000002E-5</v>
      </c>
      <c r="F122" t="s">
        <v>5126</v>
      </c>
      <c r="H122" t="s">
        <v>2845</v>
      </c>
      <c r="I122" t="s">
        <v>1893</v>
      </c>
      <c r="K122" t="s">
        <v>6025</v>
      </c>
      <c r="L122" t="s">
        <v>6026</v>
      </c>
    </row>
    <row r="123" spans="1:12" x14ac:dyDescent="0.35">
      <c r="A123" t="s">
        <v>102</v>
      </c>
      <c r="B123" t="s">
        <v>363</v>
      </c>
      <c r="C123" t="s">
        <v>708</v>
      </c>
      <c r="D123">
        <v>2.0799999999999998E-3</v>
      </c>
      <c r="F123" t="s">
        <v>5127</v>
      </c>
      <c r="H123" t="s">
        <v>2845</v>
      </c>
      <c r="I123" t="s">
        <v>1893</v>
      </c>
      <c r="K123" t="s">
        <v>6025</v>
      </c>
      <c r="L123" t="s">
        <v>6026</v>
      </c>
    </row>
    <row r="124" spans="1:12" x14ac:dyDescent="0.35">
      <c r="A124" t="s">
        <v>102</v>
      </c>
      <c r="B124" t="s">
        <v>363</v>
      </c>
      <c r="C124" t="s">
        <v>162</v>
      </c>
      <c r="D124">
        <v>2.0899999999999998E-3</v>
      </c>
      <c r="F124" t="s">
        <v>5128</v>
      </c>
      <c r="H124" t="s">
        <v>5720</v>
      </c>
      <c r="I124" t="s">
        <v>1893</v>
      </c>
      <c r="K124" t="s">
        <v>6025</v>
      </c>
      <c r="L124" t="s">
        <v>6026</v>
      </c>
    </row>
    <row r="125" spans="1:12" x14ac:dyDescent="0.35">
      <c r="A125" t="s">
        <v>102</v>
      </c>
      <c r="B125" t="s">
        <v>363</v>
      </c>
      <c r="C125" t="s">
        <v>710</v>
      </c>
      <c r="D125">
        <v>4.5000000000000003E-5</v>
      </c>
      <c r="F125" t="s">
        <v>5129</v>
      </c>
      <c r="H125" t="s">
        <v>2842</v>
      </c>
      <c r="I125" t="s">
        <v>1893</v>
      </c>
      <c r="K125" t="s">
        <v>6025</v>
      </c>
      <c r="L125" t="s">
        <v>6026</v>
      </c>
    </row>
    <row r="126" spans="1:12" x14ac:dyDescent="0.35">
      <c r="A126" t="s">
        <v>102</v>
      </c>
      <c r="B126" t="s">
        <v>364</v>
      </c>
      <c r="C126" t="s">
        <v>708</v>
      </c>
      <c r="D126">
        <v>125</v>
      </c>
      <c r="F126" t="s">
        <v>4909</v>
      </c>
      <c r="H126" t="s">
        <v>2846</v>
      </c>
      <c r="I126" t="s">
        <v>1394</v>
      </c>
      <c r="K126" t="s">
        <v>6025</v>
      </c>
      <c r="L126" t="s">
        <v>6026</v>
      </c>
    </row>
    <row r="127" spans="1:12" x14ac:dyDescent="0.35">
      <c r="A127" t="s">
        <v>102</v>
      </c>
      <c r="B127" t="s">
        <v>364</v>
      </c>
      <c r="C127" t="s">
        <v>162</v>
      </c>
      <c r="D127">
        <v>125</v>
      </c>
      <c r="F127" t="s">
        <v>4909</v>
      </c>
      <c r="H127" t="s">
        <v>2846</v>
      </c>
      <c r="I127" t="s">
        <v>1394</v>
      </c>
      <c r="K127" t="s">
        <v>6025</v>
      </c>
      <c r="L127" t="s">
        <v>6026</v>
      </c>
    </row>
    <row r="128" spans="1:12" x14ac:dyDescent="0.35">
      <c r="A128" t="s">
        <v>102</v>
      </c>
      <c r="B128" t="s">
        <v>364</v>
      </c>
      <c r="C128" t="s">
        <v>709</v>
      </c>
      <c r="D128">
        <v>38.33</v>
      </c>
      <c r="F128" t="s">
        <v>5130</v>
      </c>
      <c r="H128" t="s">
        <v>2848</v>
      </c>
      <c r="I128" t="s">
        <v>1394</v>
      </c>
      <c r="K128" t="s">
        <v>6025</v>
      </c>
      <c r="L128" t="s">
        <v>6026</v>
      </c>
    </row>
    <row r="129" spans="1:12" x14ac:dyDescent="0.35">
      <c r="A129" t="s">
        <v>102</v>
      </c>
      <c r="B129" t="s">
        <v>364</v>
      </c>
      <c r="C129" t="s">
        <v>710</v>
      </c>
      <c r="D129">
        <v>38.33</v>
      </c>
      <c r="F129" t="s">
        <v>5130</v>
      </c>
      <c r="H129" t="s">
        <v>2842</v>
      </c>
      <c r="I129" t="s">
        <v>1394</v>
      </c>
      <c r="K129" t="s">
        <v>6025</v>
      </c>
      <c r="L129" t="s">
        <v>6026</v>
      </c>
    </row>
    <row r="130" spans="1:12" x14ac:dyDescent="0.35">
      <c r="A130" t="s">
        <v>102</v>
      </c>
      <c r="B130" t="s">
        <v>364</v>
      </c>
      <c r="C130" t="s">
        <v>713</v>
      </c>
      <c r="D130">
        <v>233.3</v>
      </c>
      <c r="F130" t="s">
        <v>5131</v>
      </c>
      <c r="H130" t="s">
        <v>2847</v>
      </c>
      <c r="I130" t="s">
        <v>1394</v>
      </c>
      <c r="K130" t="s">
        <v>6025</v>
      </c>
      <c r="L130" t="s">
        <v>6026</v>
      </c>
    </row>
    <row r="131" spans="1:12" x14ac:dyDescent="0.35">
      <c r="A131" t="s">
        <v>102</v>
      </c>
      <c r="B131" t="s">
        <v>365</v>
      </c>
      <c r="C131" t="s">
        <v>709</v>
      </c>
      <c r="D131">
        <v>25</v>
      </c>
      <c r="F131" t="s">
        <v>1387</v>
      </c>
      <c r="H131" t="s">
        <v>2851</v>
      </c>
      <c r="I131" t="s">
        <v>1394</v>
      </c>
      <c r="K131" t="s">
        <v>6025</v>
      </c>
      <c r="L131" t="s">
        <v>6026</v>
      </c>
    </row>
    <row r="132" spans="1:12" x14ac:dyDescent="0.35">
      <c r="A132" t="s">
        <v>102</v>
      </c>
      <c r="B132" t="s">
        <v>365</v>
      </c>
      <c r="C132" t="s">
        <v>710</v>
      </c>
      <c r="D132">
        <v>25</v>
      </c>
      <c r="F132" t="s">
        <v>1387</v>
      </c>
      <c r="H132" t="s">
        <v>2842</v>
      </c>
      <c r="I132" t="s">
        <v>1394</v>
      </c>
      <c r="K132" t="s">
        <v>6025</v>
      </c>
      <c r="L132" t="s">
        <v>6026</v>
      </c>
    </row>
    <row r="133" spans="1:12" x14ac:dyDescent="0.35">
      <c r="A133" t="s">
        <v>102</v>
      </c>
      <c r="B133" t="s">
        <v>365</v>
      </c>
      <c r="C133" t="s">
        <v>708</v>
      </c>
      <c r="D133">
        <v>266.7</v>
      </c>
      <c r="F133" t="s">
        <v>5132</v>
      </c>
      <c r="H133" t="s">
        <v>2849</v>
      </c>
      <c r="I133" t="s">
        <v>1394</v>
      </c>
      <c r="K133" t="s">
        <v>6025</v>
      </c>
      <c r="L133" t="s">
        <v>6026</v>
      </c>
    </row>
    <row r="134" spans="1:12" x14ac:dyDescent="0.35">
      <c r="A134" t="s">
        <v>102</v>
      </c>
      <c r="B134" t="s">
        <v>365</v>
      </c>
      <c r="C134" t="s">
        <v>162</v>
      </c>
      <c r="D134">
        <v>266.7</v>
      </c>
      <c r="F134" t="s">
        <v>5132</v>
      </c>
      <c r="H134" t="s">
        <v>2849</v>
      </c>
      <c r="I134" t="s">
        <v>1394</v>
      </c>
      <c r="K134" t="s">
        <v>6025</v>
      </c>
      <c r="L134" t="s">
        <v>6026</v>
      </c>
    </row>
    <row r="135" spans="1:12" x14ac:dyDescent="0.35">
      <c r="A135" t="s">
        <v>102</v>
      </c>
      <c r="B135" t="s">
        <v>365</v>
      </c>
      <c r="C135" t="s">
        <v>713</v>
      </c>
      <c r="D135">
        <v>153.30000000000001</v>
      </c>
      <c r="F135" t="s">
        <v>5133</v>
      </c>
      <c r="H135" t="s">
        <v>2850</v>
      </c>
      <c r="I135" t="s">
        <v>1394</v>
      </c>
      <c r="K135" t="s">
        <v>6025</v>
      </c>
      <c r="L135" t="s">
        <v>6026</v>
      </c>
    </row>
    <row r="136" spans="1:12" x14ac:dyDescent="0.35">
      <c r="A136" t="s">
        <v>102</v>
      </c>
      <c r="B136" t="s">
        <v>366</v>
      </c>
      <c r="C136" t="s">
        <v>708</v>
      </c>
      <c r="D136">
        <v>216.7</v>
      </c>
      <c r="F136" t="s">
        <v>5134</v>
      </c>
      <c r="I136" t="s">
        <v>1393</v>
      </c>
      <c r="K136" t="s">
        <v>6025</v>
      </c>
      <c r="L136" t="s">
        <v>6026</v>
      </c>
    </row>
    <row r="137" spans="1:12" x14ac:dyDescent="0.35">
      <c r="A137" t="s">
        <v>102</v>
      </c>
      <c r="B137" t="s">
        <v>367</v>
      </c>
      <c r="C137" t="s">
        <v>162</v>
      </c>
      <c r="D137">
        <v>1300</v>
      </c>
      <c r="F137" t="s">
        <v>5135</v>
      </c>
      <c r="H137" t="s">
        <v>2856</v>
      </c>
      <c r="I137" t="s">
        <v>4882</v>
      </c>
      <c r="K137" t="s">
        <v>6025</v>
      </c>
      <c r="L137" t="s">
        <v>6026</v>
      </c>
    </row>
    <row r="138" spans="1:12" x14ac:dyDescent="0.35">
      <c r="A138" t="s">
        <v>102</v>
      </c>
      <c r="B138" t="s">
        <v>367</v>
      </c>
      <c r="C138" t="s">
        <v>162</v>
      </c>
      <c r="D138">
        <v>1800</v>
      </c>
      <c r="F138" t="s">
        <v>5136</v>
      </c>
      <c r="H138" t="s">
        <v>5721</v>
      </c>
      <c r="I138" t="s">
        <v>4882</v>
      </c>
      <c r="K138" t="s">
        <v>6025</v>
      </c>
      <c r="L138" t="s">
        <v>6026</v>
      </c>
    </row>
    <row r="139" spans="1:12" x14ac:dyDescent="0.35">
      <c r="A139" t="s">
        <v>102</v>
      </c>
      <c r="B139" t="s">
        <v>368</v>
      </c>
      <c r="C139" t="s">
        <v>162</v>
      </c>
      <c r="D139">
        <v>21.1</v>
      </c>
      <c r="F139" t="s">
        <v>5137</v>
      </c>
      <c r="H139" t="s">
        <v>2860</v>
      </c>
      <c r="I139" t="s">
        <v>2323</v>
      </c>
      <c r="K139" t="s">
        <v>6025</v>
      </c>
      <c r="L139" t="s">
        <v>6026</v>
      </c>
    </row>
    <row r="140" spans="1:12" x14ac:dyDescent="0.35">
      <c r="A140" t="s">
        <v>102</v>
      </c>
      <c r="B140" t="s">
        <v>368</v>
      </c>
      <c r="C140" t="s">
        <v>162</v>
      </c>
      <c r="D140">
        <v>178.4</v>
      </c>
      <c r="F140" t="s">
        <v>5138</v>
      </c>
      <c r="H140" t="s">
        <v>2858</v>
      </c>
      <c r="I140" t="s">
        <v>2323</v>
      </c>
      <c r="K140" t="s">
        <v>6025</v>
      </c>
      <c r="L140" t="s">
        <v>6026</v>
      </c>
    </row>
    <row r="141" spans="1:12" x14ac:dyDescent="0.35">
      <c r="A141" t="s">
        <v>102</v>
      </c>
      <c r="B141" t="s">
        <v>368</v>
      </c>
      <c r="C141" t="s">
        <v>162</v>
      </c>
      <c r="D141">
        <v>327.2</v>
      </c>
      <c r="F141" t="s">
        <v>5139</v>
      </c>
      <c r="H141" t="s">
        <v>5722</v>
      </c>
      <c r="I141" t="s">
        <v>2323</v>
      </c>
      <c r="K141" t="s">
        <v>6025</v>
      </c>
      <c r="L141" t="s">
        <v>6026</v>
      </c>
    </row>
    <row r="142" spans="1:12" x14ac:dyDescent="0.35">
      <c r="A142" t="s">
        <v>102</v>
      </c>
      <c r="B142" t="s">
        <v>368</v>
      </c>
      <c r="C142" t="s">
        <v>162</v>
      </c>
      <c r="D142">
        <v>194.9</v>
      </c>
      <c r="F142" t="s">
        <v>5140</v>
      </c>
      <c r="H142" t="s">
        <v>2861</v>
      </c>
      <c r="I142" t="s">
        <v>2323</v>
      </c>
      <c r="K142" t="s">
        <v>6025</v>
      </c>
      <c r="L142" t="s">
        <v>6026</v>
      </c>
    </row>
    <row r="143" spans="1:12" x14ac:dyDescent="0.35">
      <c r="A143" t="s">
        <v>102</v>
      </c>
      <c r="B143" t="s">
        <v>370</v>
      </c>
      <c r="C143" t="s">
        <v>162</v>
      </c>
      <c r="D143">
        <v>142</v>
      </c>
      <c r="F143" t="s">
        <v>5141</v>
      </c>
      <c r="H143" t="s">
        <v>5723</v>
      </c>
      <c r="I143" t="s">
        <v>4855</v>
      </c>
      <c r="K143" t="s">
        <v>6025</v>
      </c>
      <c r="L143" t="s">
        <v>6026</v>
      </c>
    </row>
    <row r="144" spans="1:12" x14ac:dyDescent="0.35">
      <c r="A144" t="s">
        <v>102</v>
      </c>
      <c r="B144" t="s">
        <v>370</v>
      </c>
      <c r="C144" t="s">
        <v>162</v>
      </c>
      <c r="D144">
        <v>350</v>
      </c>
      <c r="F144" t="s">
        <v>2319</v>
      </c>
      <c r="H144" t="s">
        <v>5724</v>
      </c>
      <c r="I144" t="s">
        <v>4855</v>
      </c>
      <c r="K144" t="s">
        <v>6025</v>
      </c>
      <c r="L144" t="s">
        <v>6026</v>
      </c>
    </row>
    <row r="145" spans="1:12" x14ac:dyDescent="0.35">
      <c r="A145" t="s">
        <v>102</v>
      </c>
      <c r="B145" t="s">
        <v>370</v>
      </c>
      <c r="C145" t="s">
        <v>162</v>
      </c>
      <c r="D145">
        <v>154</v>
      </c>
      <c r="F145" t="s">
        <v>4952</v>
      </c>
      <c r="H145" t="s">
        <v>2868</v>
      </c>
      <c r="I145" t="s">
        <v>4855</v>
      </c>
      <c r="K145" t="s">
        <v>6025</v>
      </c>
      <c r="L145" t="s">
        <v>6026</v>
      </c>
    </row>
    <row r="146" spans="1:12" x14ac:dyDescent="0.35">
      <c r="A146" t="s">
        <v>102</v>
      </c>
      <c r="B146" t="s">
        <v>370</v>
      </c>
      <c r="C146" t="s">
        <v>162</v>
      </c>
      <c r="D146">
        <v>298</v>
      </c>
      <c r="F146" t="s">
        <v>5025</v>
      </c>
      <c r="H146" t="s">
        <v>5725</v>
      </c>
      <c r="I146" t="s">
        <v>4855</v>
      </c>
      <c r="K146" t="s">
        <v>6025</v>
      </c>
      <c r="L146" t="s">
        <v>6026</v>
      </c>
    </row>
    <row r="147" spans="1:12" x14ac:dyDescent="0.35">
      <c r="A147" t="s">
        <v>102</v>
      </c>
      <c r="B147" t="s">
        <v>371</v>
      </c>
      <c r="C147" t="s">
        <v>162</v>
      </c>
      <c r="D147">
        <v>197</v>
      </c>
      <c r="F147" t="s">
        <v>2286</v>
      </c>
      <c r="H147" t="s">
        <v>2872</v>
      </c>
      <c r="I147" t="s">
        <v>4855</v>
      </c>
      <c r="K147" t="s">
        <v>6025</v>
      </c>
      <c r="L147" t="s">
        <v>6026</v>
      </c>
    </row>
    <row r="148" spans="1:12" x14ac:dyDescent="0.35">
      <c r="A148" t="s">
        <v>102</v>
      </c>
      <c r="B148" t="s">
        <v>371</v>
      </c>
      <c r="C148" t="s">
        <v>162</v>
      </c>
      <c r="D148">
        <v>320</v>
      </c>
      <c r="F148" t="s">
        <v>2339</v>
      </c>
      <c r="H148" t="s">
        <v>5726</v>
      </c>
      <c r="I148" t="s">
        <v>4855</v>
      </c>
      <c r="K148" t="s">
        <v>6025</v>
      </c>
      <c r="L148" t="s">
        <v>6026</v>
      </c>
    </row>
    <row r="149" spans="1:12" x14ac:dyDescent="0.35">
      <c r="A149" t="s">
        <v>102</v>
      </c>
      <c r="B149" t="s">
        <v>371</v>
      </c>
      <c r="C149" t="s">
        <v>162</v>
      </c>
      <c r="D149">
        <v>318</v>
      </c>
      <c r="F149" t="s">
        <v>5142</v>
      </c>
      <c r="H149" t="s">
        <v>2870</v>
      </c>
      <c r="I149" t="s">
        <v>4855</v>
      </c>
      <c r="K149" t="s">
        <v>6025</v>
      </c>
      <c r="L149" t="s">
        <v>6026</v>
      </c>
    </row>
    <row r="150" spans="1:12" x14ac:dyDescent="0.35">
      <c r="A150" t="s">
        <v>102</v>
      </c>
      <c r="B150" t="s">
        <v>371</v>
      </c>
      <c r="C150" t="s">
        <v>162</v>
      </c>
      <c r="D150">
        <v>244</v>
      </c>
      <c r="F150" t="s">
        <v>2312</v>
      </c>
      <c r="H150" t="s">
        <v>2871</v>
      </c>
      <c r="I150" t="s">
        <v>4855</v>
      </c>
      <c r="K150" t="s">
        <v>6025</v>
      </c>
      <c r="L150" t="s">
        <v>6026</v>
      </c>
    </row>
    <row r="151" spans="1:12" x14ac:dyDescent="0.35">
      <c r="A151" t="s">
        <v>102</v>
      </c>
      <c r="B151" t="s">
        <v>368</v>
      </c>
      <c r="C151" t="s">
        <v>162</v>
      </c>
      <c r="D151">
        <v>250</v>
      </c>
      <c r="F151" t="s">
        <v>2048</v>
      </c>
      <c r="H151" t="s">
        <v>5727</v>
      </c>
      <c r="I151" t="s">
        <v>4885</v>
      </c>
      <c r="K151" t="s">
        <v>6025</v>
      </c>
      <c r="L151" t="s">
        <v>6026</v>
      </c>
    </row>
    <row r="152" spans="1:12" x14ac:dyDescent="0.35">
      <c r="A152" t="s">
        <v>102</v>
      </c>
      <c r="B152" t="s">
        <v>368</v>
      </c>
      <c r="C152" t="s">
        <v>709</v>
      </c>
      <c r="D152">
        <v>23</v>
      </c>
      <c r="F152" t="s">
        <v>1851</v>
      </c>
      <c r="H152" t="s">
        <v>5728</v>
      </c>
      <c r="I152" t="s">
        <v>2226</v>
      </c>
      <c r="K152" t="s">
        <v>6025</v>
      </c>
      <c r="L152" t="s">
        <v>6026</v>
      </c>
    </row>
    <row r="153" spans="1:12" x14ac:dyDescent="0.35">
      <c r="A153" t="s">
        <v>102</v>
      </c>
      <c r="B153" t="s">
        <v>368</v>
      </c>
      <c r="C153" t="s">
        <v>709</v>
      </c>
      <c r="D153">
        <v>32</v>
      </c>
      <c r="F153" t="s">
        <v>1461</v>
      </c>
      <c r="H153" t="s">
        <v>2878</v>
      </c>
      <c r="I153" t="s">
        <v>2226</v>
      </c>
      <c r="K153" t="s">
        <v>6025</v>
      </c>
      <c r="L153" t="s">
        <v>6026</v>
      </c>
    </row>
    <row r="154" spans="1:12" x14ac:dyDescent="0.35">
      <c r="A154" t="s">
        <v>102</v>
      </c>
      <c r="B154" t="s">
        <v>374</v>
      </c>
      <c r="C154" t="s">
        <v>162</v>
      </c>
      <c r="D154">
        <v>884</v>
      </c>
      <c r="F154" t="s">
        <v>5143</v>
      </c>
      <c r="H154" t="s">
        <v>2880</v>
      </c>
      <c r="I154" t="s">
        <v>2330</v>
      </c>
      <c r="K154" t="s">
        <v>6025</v>
      </c>
      <c r="L154" t="s">
        <v>6026</v>
      </c>
    </row>
    <row r="155" spans="1:12" x14ac:dyDescent="0.35">
      <c r="A155" t="s">
        <v>102</v>
      </c>
      <c r="B155" t="s">
        <v>355</v>
      </c>
      <c r="C155" t="s">
        <v>162</v>
      </c>
      <c r="D155">
        <v>676</v>
      </c>
      <c r="F155" t="s">
        <v>5144</v>
      </c>
      <c r="H155" t="s">
        <v>2881</v>
      </c>
      <c r="I155" t="s">
        <v>2330</v>
      </c>
      <c r="K155" t="s">
        <v>6025</v>
      </c>
      <c r="L155" t="s">
        <v>6026</v>
      </c>
    </row>
    <row r="156" spans="1:12" x14ac:dyDescent="0.35">
      <c r="A156" t="s">
        <v>102</v>
      </c>
      <c r="B156" t="s">
        <v>376</v>
      </c>
      <c r="C156" t="s">
        <v>708</v>
      </c>
      <c r="D156">
        <v>126.7</v>
      </c>
      <c r="F156" t="s">
        <v>5145</v>
      </c>
      <c r="H156" t="s">
        <v>2887</v>
      </c>
      <c r="I156" t="s">
        <v>1394</v>
      </c>
      <c r="K156" t="s">
        <v>6025</v>
      </c>
      <c r="L156" t="s">
        <v>6026</v>
      </c>
    </row>
    <row r="157" spans="1:12" x14ac:dyDescent="0.35">
      <c r="A157" t="s">
        <v>102</v>
      </c>
      <c r="B157" t="s">
        <v>376</v>
      </c>
      <c r="C157" t="s">
        <v>162</v>
      </c>
      <c r="D157">
        <v>126.7</v>
      </c>
      <c r="F157" t="s">
        <v>5145</v>
      </c>
      <c r="H157" t="s">
        <v>2887</v>
      </c>
      <c r="I157" t="s">
        <v>1394</v>
      </c>
      <c r="K157" t="s">
        <v>6025</v>
      </c>
      <c r="L157" t="s">
        <v>6026</v>
      </c>
    </row>
    <row r="158" spans="1:12" x14ac:dyDescent="0.35">
      <c r="A158" t="s">
        <v>102</v>
      </c>
      <c r="B158" t="s">
        <v>376</v>
      </c>
      <c r="C158" t="s">
        <v>709</v>
      </c>
      <c r="D158">
        <v>12.33</v>
      </c>
      <c r="F158" t="s">
        <v>5146</v>
      </c>
      <c r="H158" t="s">
        <v>2888</v>
      </c>
      <c r="I158" t="s">
        <v>1394</v>
      </c>
      <c r="K158" t="s">
        <v>6025</v>
      </c>
      <c r="L158" t="s">
        <v>6026</v>
      </c>
    </row>
    <row r="159" spans="1:12" x14ac:dyDescent="0.35">
      <c r="A159" t="s">
        <v>102</v>
      </c>
      <c r="B159" t="s">
        <v>376</v>
      </c>
      <c r="C159" t="s">
        <v>710</v>
      </c>
      <c r="D159">
        <v>12.33</v>
      </c>
      <c r="F159" t="s">
        <v>5146</v>
      </c>
      <c r="H159" t="s">
        <v>2842</v>
      </c>
      <c r="I159" t="s">
        <v>1394</v>
      </c>
      <c r="K159" t="s">
        <v>6025</v>
      </c>
      <c r="L159" t="s">
        <v>6026</v>
      </c>
    </row>
    <row r="160" spans="1:12" x14ac:dyDescent="0.35">
      <c r="A160" t="s">
        <v>102</v>
      </c>
      <c r="B160" t="s">
        <v>376</v>
      </c>
      <c r="C160" t="s">
        <v>713</v>
      </c>
      <c r="D160">
        <v>333.3</v>
      </c>
      <c r="F160" t="s">
        <v>5147</v>
      </c>
      <c r="H160" t="s">
        <v>2886</v>
      </c>
      <c r="I160" t="s">
        <v>1394</v>
      </c>
      <c r="K160" t="s">
        <v>6025</v>
      </c>
      <c r="L160" t="s">
        <v>6026</v>
      </c>
    </row>
    <row r="161" spans="1:12" x14ac:dyDescent="0.35">
      <c r="A161" t="s">
        <v>102</v>
      </c>
      <c r="B161" t="s">
        <v>377</v>
      </c>
      <c r="C161" t="s">
        <v>709</v>
      </c>
      <c r="D161">
        <v>65</v>
      </c>
      <c r="F161" t="s">
        <v>4927</v>
      </c>
      <c r="H161" t="s">
        <v>2890</v>
      </c>
      <c r="I161" t="s">
        <v>1394</v>
      </c>
      <c r="K161" t="s">
        <v>6025</v>
      </c>
      <c r="L161" t="s">
        <v>6026</v>
      </c>
    </row>
    <row r="162" spans="1:12" x14ac:dyDescent="0.35">
      <c r="A162" t="s">
        <v>102</v>
      </c>
      <c r="B162" t="s">
        <v>377</v>
      </c>
      <c r="C162" t="s">
        <v>710</v>
      </c>
      <c r="D162">
        <v>65</v>
      </c>
      <c r="F162" t="s">
        <v>4927</v>
      </c>
      <c r="H162" t="s">
        <v>2842</v>
      </c>
      <c r="I162" t="s">
        <v>1394</v>
      </c>
      <c r="K162" t="s">
        <v>6025</v>
      </c>
      <c r="L162" t="s">
        <v>6026</v>
      </c>
    </row>
    <row r="163" spans="1:12" x14ac:dyDescent="0.35">
      <c r="A163" t="s">
        <v>102</v>
      </c>
      <c r="B163" t="s">
        <v>377</v>
      </c>
      <c r="C163" t="s">
        <v>713</v>
      </c>
      <c r="D163">
        <v>250</v>
      </c>
      <c r="F163" t="s">
        <v>2048</v>
      </c>
      <c r="H163" t="s">
        <v>5729</v>
      </c>
      <c r="I163" t="s">
        <v>1394</v>
      </c>
      <c r="K163" t="s">
        <v>6025</v>
      </c>
      <c r="L163" t="s">
        <v>6026</v>
      </c>
    </row>
    <row r="164" spans="1:12" x14ac:dyDescent="0.35">
      <c r="A164" t="s">
        <v>102</v>
      </c>
      <c r="B164" t="s">
        <v>377</v>
      </c>
      <c r="C164" t="s">
        <v>708</v>
      </c>
      <c r="D164">
        <v>148.30000000000001</v>
      </c>
      <c r="F164" t="s">
        <v>5148</v>
      </c>
      <c r="H164" t="s">
        <v>2949</v>
      </c>
      <c r="I164" t="s">
        <v>1394</v>
      </c>
      <c r="K164" t="s">
        <v>6025</v>
      </c>
      <c r="L164" t="s">
        <v>6026</v>
      </c>
    </row>
    <row r="165" spans="1:12" x14ac:dyDescent="0.35">
      <c r="A165" t="s">
        <v>102</v>
      </c>
      <c r="B165" t="s">
        <v>377</v>
      </c>
      <c r="C165" t="s">
        <v>162</v>
      </c>
      <c r="D165">
        <v>148.30000000000001</v>
      </c>
      <c r="F165" t="s">
        <v>5148</v>
      </c>
      <c r="H165" t="s">
        <v>2949</v>
      </c>
      <c r="I165" t="s">
        <v>1394</v>
      </c>
      <c r="K165" t="s">
        <v>6025</v>
      </c>
      <c r="L165" t="s">
        <v>6026</v>
      </c>
    </row>
    <row r="166" spans="1:12" x14ac:dyDescent="0.35">
      <c r="A166" t="s">
        <v>102</v>
      </c>
      <c r="B166" t="s">
        <v>367</v>
      </c>
      <c r="C166" t="s">
        <v>162</v>
      </c>
      <c r="D166">
        <v>1500</v>
      </c>
      <c r="F166" t="s">
        <v>5149</v>
      </c>
      <c r="H166" t="s">
        <v>2895</v>
      </c>
      <c r="I166" t="s">
        <v>4882</v>
      </c>
      <c r="K166" t="s">
        <v>6025</v>
      </c>
      <c r="L166" t="s">
        <v>6026</v>
      </c>
    </row>
    <row r="167" spans="1:12" x14ac:dyDescent="0.35">
      <c r="A167" t="s">
        <v>102</v>
      </c>
      <c r="B167" t="s">
        <v>367</v>
      </c>
      <c r="C167" t="s">
        <v>162</v>
      </c>
      <c r="D167">
        <v>1600</v>
      </c>
      <c r="F167" t="s">
        <v>5150</v>
      </c>
      <c r="H167" t="s">
        <v>2896</v>
      </c>
      <c r="I167" t="s">
        <v>4882</v>
      </c>
      <c r="K167" t="s">
        <v>6025</v>
      </c>
      <c r="L167" t="s">
        <v>6026</v>
      </c>
    </row>
    <row r="168" spans="1:12" x14ac:dyDescent="0.35">
      <c r="A168" t="s">
        <v>102</v>
      </c>
      <c r="B168" t="s">
        <v>382</v>
      </c>
      <c r="C168" t="s">
        <v>721</v>
      </c>
      <c r="D168">
        <v>0.29299999999999998</v>
      </c>
      <c r="F168" t="s">
        <v>2469</v>
      </c>
      <c r="H168" t="s">
        <v>2913</v>
      </c>
      <c r="I168" t="s">
        <v>4889</v>
      </c>
      <c r="K168" t="s">
        <v>6025</v>
      </c>
      <c r="L168" t="s">
        <v>6026</v>
      </c>
    </row>
    <row r="169" spans="1:12" x14ac:dyDescent="0.35">
      <c r="A169" t="s">
        <v>102</v>
      </c>
      <c r="B169" t="s">
        <v>382</v>
      </c>
      <c r="C169" t="s">
        <v>162</v>
      </c>
      <c r="D169">
        <v>12.45</v>
      </c>
      <c r="F169" t="s">
        <v>5151</v>
      </c>
      <c r="H169" t="s">
        <v>2913</v>
      </c>
      <c r="I169" t="s">
        <v>4889</v>
      </c>
      <c r="K169" t="s">
        <v>6025</v>
      </c>
      <c r="L169" t="s">
        <v>6026</v>
      </c>
    </row>
    <row r="170" spans="1:12" x14ac:dyDescent="0.35">
      <c r="A170" t="s">
        <v>102</v>
      </c>
      <c r="B170" t="s">
        <v>382</v>
      </c>
      <c r="C170" t="s">
        <v>720</v>
      </c>
      <c r="D170">
        <v>10.37</v>
      </c>
      <c r="F170" t="s">
        <v>5152</v>
      </c>
      <c r="H170" t="s">
        <v>2913</v>
      </c>
      <c r="I170" t="s">
        <v>4889</v>
      </c>
      <c r="K170" t="s">
        <v>6025</v>
      </c>
      <c r="L170" t="s">
        <v>6026</v>
      </c>
    </row>
    <row r="171" spans="1:12" x14ac:dyDescent="0.35">
      <c r="A171" t="s">
        <v>102</v>
      </c>
      <c r="B171" t="s">
        <v>382</v>
      </c>
      <c r="C171" t="s">
        <v>708</v>
      </c>
      <c r="D171">
        <v>64.42</v>
      </c>
      <c r="F171" t="s">
        <v>5153</v>
      </c>
      <c r="H171" t="s">
        <v>2913</v>
      </c>
      <c r="I171" t="s">
        <v>4889</v>
      </c>
      <c r="K171" t="s">
        <v>6025</v>
      </c>
      <c r="L171" t="s">
        <v>6026</v>
      </c>
    </row>
    <row r="172" spans="1:12" x14ac:dyDescent="0.35">
      <c r="A172" t="s">
        <v>102</v>
      </c>
      <c r="B172" t="s">
        <v>384</v>
      </c>
      <c r="C172" t="s">
        <v>699</v>
      </c>
      <c r="D172">
        <v>94.7</v>
      </c>
      <c r="F172" t="s">
        <v>5154</v>
      </c>
      <c r="H172" t="s">
        <v>2917</v>
      </c>
      <c r="I172" t="s">
        <v>4890</v>
      </c>
      <c r="K172" t="s">
        <v>6025</v>
      </c>
      <c r="L172" t="s">
        <v>6026</v>
      </c>
    </row>
    <row r="173" spans="1:12" x14ac:dyDescent="0.35">
      <c r="A173" t="s">
        <v>102</v>
      </c>
      <c r="B173" t="s">
        <v>384</v>
      </c>
      <c r="C173" t="s">
        <v>699</v>
      </c>
      <c r="D173">
        <v>380.4</v>
      </c>
      <c r="F173" t="s">
        <v>5155</v>
      </c>
      <c r="H173" t="s">
        <v>2918</v>
      </c>
      <c r="I173" t="s">
        <v>4890</v>
      </c>
      <c r="K173" t="s">
        <v>6025</v>
      </c>
      <c r="L173" t="s">
        <v>6026</v>
      </c>
    </row>
    <row r="174" spans="1:12" x14ac:dyDescent="0.35">
      <c r="A174" t="s">
        <v>102</v>
      </c>
      <c r="B174" t="s">
        <v>384</v>
      </c>
      <c r="C174" t="s">
        <v>699</v>
      </c>
      <c r="D174">
        <v>344.4</v>
      </c>
      <c r="F174" t="s">
        <v>5156</v>
      </c>
      <c r="H174" t="s">
        <v>2919</v>
      </c>
      <c r="I174" t="s">
        <v>4890</v>
      </c>
      <c r="K174" t="s">
        <v>6025</v>
      </c>
      <c r="L174" t="s">
        <v>6026</v>
      </c>
    </row>
    <row r="175" spans="1:12" x14ac:dyDescent="0.35">
      <c r="A175" t="s">
        <v>102</v>
      </c>
      <c r="B175" t="s">
        <v>384</v>
      </c>
      <c r="C175" t="s">
        <v>699</v>
      </c>
      <c r="D175">
        <v>6467</v>
      </c>
      <c r="F175" t="s">
        <v>5157</v>
      </c>
      <c r="H175" t="s">
        <v>2914</v>
      </c>
      <c r="I175" t="s">
        <v>4890</v>
      </c>
      <c r="K175" t="s">
        <v>6025</v>
      </c>
      <c r="L175" t="s">
        <v>6026</v>
      </c>
    </row>
    <row r="176" spans="1:12" x14ac:dyDescent="0.35">
      <c r="A176" t="s">
        <v>102</v>
      </c>
      <c r="B176" t="s">
        <v>384</v>
      </c>
      <c r="C176" t="s">
        <v>699</v>
      </c>
      <c r="D176">
        <v>17479</v>
      </c>
      <c r="F176" t="s">
        <v>5158</v>
      </c>
      <c r="H176" t="s">
        <v>2915</v>
      </c>
      <c r="I176" t="s">
        <v>4890</v>
      </c>
      <c r="K176" t="s">
        <v>6025</v>
      </c>
      <c r="L176" t="s">
        <v>6026</v>
      </c>
    </row>
    <row r="177" spans="1:12" x14ac:dyDescent="0.35">
      <c r="A177" t="s">
        <v>102</v>
      </c>
      <c r="B177" t="s">
        <v>384</v>
      </c>
      <c r="C177" t="s">
        <v>699</v>
      </c>
      <c r="D177">
        <v>1293</v>
      </c>
      <c r="F177" t="s">
        <v>5159</v>
      </c>
      <c r="H177" t="s">
        <v>2916</v>
      </c>
      <c r="I177" t="s">
        <v>4890</v>
      </c>
      <c r="K177" t="s">
        <v>6025</v>
      </c>
      <c r="L177" t="s">
        <v>6026</v>
      </c>
    </row>
    <row r="178" spans="1:12" x14ac:dyDescent="0.35">
      <c r="A178" t="s">
        <v>102</v>
      </c>
      <c r="B178" t="s">
        <v>385</v>
      </c>
      <c r="C178" t="s">
        <v>162</v>
      </c>
      <c r="D178">
        <v>2.2999999999999998</v>
      </c>
      <c r="F178" t="s">
        <v>1453</v>
      </c>
      <c r="H178" t="s">
        <v>5730</v>
      </c>
      <c r="I178" t="s">
        <v>1892</v>
      </c>
      <c r="K178" t="s">
        <v>6025</v>
      </c>
      <c r="L178" t="s">
        <v>6026</v>
      </c>
    </row>
    <row r="179" spans="1:12" x14ac:dyDescent="0.35">
      <c r="A179" t="s">
        <v>102</v>
      </c>
      <c r="B179" t="s">
        <v>385</v>
      </c>
      <c r="C179" t="s">
        <v>162</v>
      </c>
      <c r="D179">
        <v>5.9</v>
      </c>
      <c r="F179" t="s">
        <v>1852</v>
      </c>
      <c r="H179" t="s">
        <v>2920</v>
      </c>
      <c r="I179" t="s">
        <v>1892</v>
      </c>
      <c r="K179" t="s">
        <v>6025</v>
      </c>
      <c r="L179" t="s">
        <v>6026</v>
      </c>
    </row>
    <row r="180" spans="1:12" x14ac:dyDescent="0.35">
      <c r="A180" t="s">
        <v>102</v>
      </c>
      <c r="B180" t="s">
        <v>5040</v>
      </c>
      <c r="C180" t="s">
        <v>5047</v>
      </c>
      <c r="D180">
        <v>0.7</v>
      </c>
      <c r="F180" t="s">
        <v>1378</v>
      </c>
      <c r="I180" t="s">
        <v>1878</v>
      </c>
      <c r="K180" t="s">
        <v>6025</v>
      </c>
      <c r="L180" t="s">
        <v>6026</v>
      </c>
    </row>
    <row r="181" spans="1:12" x14ac:dyDescent="0.35">
      <c r="A181" t="s">
        <v>102</v>
      </c>
      <c r="B181" t="s">
        <v>5040</v>
      </c>
      <c r="C181" t="s">
        <v>5046</v>
      </c>
      <c r="D181">
        <v>5.5</v>
      </c>
      <c r="F181" t="s">
        <v>1860</v>
      </c>
      <c r="I181" t="s">
        <v>1878</v>
      </c>
      <c r="K181" t="s">
        <v>6025</v>
      </c>
      <c r="L181" t="s">
        <v>6026</v>
      </c>
    </row>
    <row r="182" spans="1:12" x14ac:dyDescent="0.35">
      <c r="A182" t="s">
        <v>102</v>
      </c>
      <c r="B182" t="s">
        <v>5040</v>
      </c>
      <c r="C182" t="s">
        <v>713</v>
      </c>
      <c r="D182">
        <v>1.4</v>
      </c>
      <c r="F182" t="s">
        <v>1469</v>
      </c>
      <c r="I182" t="s">
        <v>1878</v>
      </c>
      <c r="K182" t="s">
        <v>6025</v>
      </c>
      <c r="L182" t="s">
        <v>6026</v>
      </c>
    </row>
    <row r="183" spans="1:12" x14ac:dyDescent="0.35">
      <c r="A183" t="s">
        <v>102</v>
      </c>
      <c r="B183" t="s">
        <v>5040</v>
      </c>
      <c r="C183" t="s">
        <v>5047</v>
      </c>
      <c r="D183">
        <v>5.3</v>
      </c>
      <c r="F183" t="s">
        <v>1671</v>
      </c>
      <c r="I183" t="s">
        <v>1878</v>
      </c>
      <c r="K183" t="s">
        <v>6025</v>
      </c>
      <c r="L183" t="s">
        <v>6026</v>
      </c>
    </row>
    <row r="184" spans="1:12" x14ac:dyDescent="0.35">
      <c r="A184" t="s">
        <v>102</v>
      </c>
      <c r="B184" t="s">
        <v>5040</v>
      </c>
      <c r="C184" t="s">
        <v>5048</v>
      </c>
      <c r="D184">
        <v>269</v>
      </c>
      <c r="F184" t="s">
        <v>5022</v>
      </c>
      <c r="I184" t="s">
        <v>1878</v>
      </c>
      <c r="K184" t="s">
        <v>6025</v>
      </c>
      <c r="L184" t="s">
        <v>6026</v>
      </c>
    </row>
    <row r="185" spans="1:12" x14ac:dyDescent="0.35">
      <c r="A185" t="s">
        <v>102</v>
      </c>
      <c r="B185" t="s">
        <v>5040</v>
      </c>
      <c r="C185" t="s">
        <v>709</v>
      </c>
      <c r="D185">
        <v>6.9</v>
      </c>
      <c r="F185" t="s">
        <v>1411</v>
      </c>
      <c r="I185" t="s">
        <v>1878</v>
      </c>
      <c r="K185" t="s">
        <v>6025</v>
      </c>
      <c r="L185" t="s">
        <v>6026</v>
      </c>
    </row>
    <row r="186" spans="1:12" x14ac:dyDescent="0.35">
      <c r="A186" t="s">
        <v>102</v>
      </c>
      <c r="B186" t="s">
        <v>5040</v>
      </c>
      <c r="C186" t="s">
        <v>5047</v>
      </c>
      <c r="D186">
        <v>6.2</v>
      </c>
      <c r="F186" t="s">
        <v>2400</v>
      </c>
      <c r="H186" t="s">
        <v>5731</v>
      </c>
      <c r="I186" t="s">
        <v>1878</v>
      </c>
      <c r="K186" t="s">
        <v>6025</v>
      </c>
      <c r="L186" t="s">
        <v>6026</v>
      </c>
    </row>
    <row r="187" spans="1:12" x14ac:dyDescent="0.35">
      <c r="A187" t="s">
        <v>102</v>
      </c>
      <c r="B187" t="s">
        <v>5040</v>
      </c>
      <c r="C187" t="s">
        <v>5049</v>
      </c>
      <c r="D187">
        <v>176</v>
      </c>
      <c r="F187" t="s">
        <v>4949</v>
      </c>
      <c r="I187" t="s">
        <v>1878</v>
      </c>
      <c r="K187" t="s">
        <v>6025</v>
      </c>
      <c r="L187" t="s">
        <v>6026</v>
      </c>
    </row>
    <row r="188" spans="1:12" x14ac:dyDescent="0.35">
      <c r="A188" t="s">
        <v>102</v>
      </c>
      <c r="B188" t="s">
        <v>5040</v>
      </c>
      <c r="C188" t="s">
        <v>162</v>
      </c>
      <c r="D188">
        <v>204</v>
      </c>
      <c r="F188" t="s">
        <v>5160</v>
      </c>
      <c r="I188" t="s">
        <v>1878</v>
      </c>
      <c r="K188" t="s">
        <v>6025</v>
      </c>
      <c r="L188" t="s">
        <v>6026</v>
      </c>
    </row>
    <row r="189" spans="1:12" x14ac:dyDescent="0.35">
      <c r="A189" t="s">
        <v>102</v>
      </c>
      <c r="B189" t="s">
        <v>5040</v>
      </c>
      <c r="C189" t="s">
        <v>5046</v>
      </c>
      <c r="D189">
        <v>18.8</v>
      </c>
      <c r="F189" t="s">
        <v>2256</v>
      </c>
      <c r="H189" t="s">
        <v>5732</v>
      </c>
      <c r="I189" t="s">
        <v>1878</v>
      </c>
      <c r="K189" t="s">
        <v>6025</v>
      </c>
      <c r="L189" t="s">
        <v>6026</v>
      </c>
    </row>
    <row r="190" spans="1:12" x14ac:dyDescent="0.35">
      <c r="A190" t="s">
        <v>102</v>
      </c>
      <c r="B190" t="s">
        <v>5040</v>
      </c>
      <c r="C190" t="s">
        <v>5050</v>
      </c>
      <c r="D190">
        <v>227</v>
      </c>
      <c r="F190" t="s">
        <v>5161</v>
      </c>
      <c r="I190" t="s">
        <v>1878</v>
      </c>
      <c r="K190" t="s">
        <v>6025</v>
      </c>
      <c r="L190" t="s">
        <v>6026</v>
      </c>
    </row>
    <row r="191" spans="1:12" x14ac:dyDescent="0.35">
      <c r="A191" t="s">
        <v>102</v>
      </c>
      <c r="B191" t="s">
        <v>377</v>
      </c>
      <c r="C191" t="s">
        <v>723</v>
      </c>
      <c r="D191">
        <v>0.64</v>
      </c>
      <c r="F191" t="s">
        <v>2041</v>
      </c>
      <c r="H191" t="s">
        <v>2926</v>
      </c>
      <c r="I191" t="s">
        <v>4892</v>
      </c>
      <c r="K191" t="s">
        <v>6025</v>
      </c>
      <c r="L191" t="s">
        <v>6026</v>
      </c>
    </row>
    <row r="192" spans="1:12" x14ac:dyDescent="0.35">
      <c r="A192" t="s">
        <v>102</v>
      </c>
      <c r="B192" t="s">
        <v>377</v>
      </c>
      <c r="C192" t="s">
        <v>709</v>
      </c>
      <c r="D192">
        <v>40</v>
      </c>
      <c r="F192" t="s">
        <v>2345</v>
      </c>
      <c r="H192" t="s">
        <v>2926</v>
      </c>
      <c r="I192" t="s">
        <v>4892</v>
      </c>
      <c r="K192" t="s">
        <v>6025</v>
      </c>
      <c r="L192" t="s">
        <v>6026</v>
      </c>
    </row>
    <row r="193" spans="1:12" x14ac:dyDescent="0.35">
      <c r="A193" t="s">
        <v>102</v>
      </c>
      <c r="B193" t="s">
        <v>377</v>
      </c>
      <c r="C193" t="s">
        <v>715</v>
      </c>
      <c r="D193">
        <v>40</v>
      </c>
      <c r="F193" t="s">
        <v>2345</v>
      </c>
      <c r="H193" t="s">
        <v>2926</v>
      </c>
      <c r="I193" t="s">
        <v>4892</v>
      </c>
      <c r="K193" t="s">
        <v>6025</v>
      </c>
      <c r="L193" t="s">
        <v>6026</v>
      </c>
    </row>
    <row r="194" spans="1:12" x14ac:dyDescent="0.35">
      <c r="A194" t="s">
        <v>102</v>
      </c>
      <c r="B194" t="s">
        <v>377</v>
      </c>
      <c r="C194" t="s">
        <v>708</v>
      </c>
      <c r="D194">
        <v>96</v>
      </c>
      <c r="F194" t="s">
        <v>4869</v>
      </c>
      <c r="H194" t="s">
        <v>2926</v>
      </c>
      <c r="I194" t="s">
        <v>4892</v>
      </c>
      <c r="K194" t="s">
        <v>6025</v>
      </c>
      <c r="L194" t="s">
        <v>6026</v>
      </c>
    </row>
    <row r="195" spans="1:12" x14ac:dyDescent="0.35">
      <c r="A195" t="s">
        <v>102</v>
      </c>
      <c r="B195" t="s">
        <v>377</v>
      </c>
      <c r="C195" t="s">
        <v>162</v>
      </c>
      <c r="D195">
        <v>96</v>
      </c>
      <c r="F195" t="s">
        <v>4869</v>
      </c>
      <c r="H195" t="s">
        <v>2926</v>
      </c>
      <c r="I195" t="s">
        <v>4892</v>
      </c>
      <c r="K195" t="s">
        <v>6025</v>
      </c>
      <c r="L195" t="s">
        <v>6026</v>
      </c>
    </row>
    <row r="196" spans="1:12" x14ac:dyDescent="0.35">
      <c r="A196" t="s">
        <v>102</v>
      </c>
      <c r="B196" t="s">
        <v>377</v>
      </c>
      <c r="C196" t="s">
        <v>162</v>
      </c>
      <c r="D196">
        <v>94</v>
      </c>
      <c r="F196" t="s">
        <v>4898</v>
      </c>
      <c r="H196" t="s">
        <v>2927</v>
      </c>
      <c r="I196" t="s">
        <v>2009</v>
      </c>
      <c r="K196" t="s">
        <v>6025</v>
      </c>
      <c r="L196" t="s">
        <v>6026</v>
      </c>
    </row>
    <row r="197" spans="1:12" x14ac:dyDescent="0.35">
      <c r="A197" t="s">
        <v>102</v>
      </c>
      <c r="B197" t="s">
        <v>377</v>
      </c>
      <c r="C197" t="s">
        <v>162</v>
      </c>
      <c r="D197">
        <v>180</v>
      </c>
      <c r="F197" t="s">
        <v>2407</v>
      </c>
      <c r="H197" t="s">
        <v>2928</v>
      </c>
      <c r="I197" t="s">
        <v>1509</v>
      </c>
      <c r="K197" t="s">
        <v>6025</v>
      </c>
      <c r="L197" t="s">
        <v>6026</v>
      </c>
    </row>
    <row r="198" spans="1:12" x14ac:dyDescent="0.35">
      <c r="A198" t="s">
        <v>102</v>
      </c>
      <c r="B198" t="s">
        <v>377</v>
      </c>
      <c r="C198" t="s">
        <v>722</v>
      </c>
      <c r="D198">
        <v>80</v>
      </c>
      <c r="F198" t="s">
        <v>1705</v>
      </c>
      <c r="H198" t="s">
        <v>2926</v>
      </c>
      <c r="I198" t="s">
        <v>4892</v>
      </c>
      <c r="K198" t="s">
        <v>6025</v>
      </c>
      <c r="L198" t="s">
        <v>6026</v>
      </c>
    </row>
    <row r="199" spans="1:12" x14ac:dyDescent="0.35">
      <c r="A199" t="s">
        <v>102</v>
      </c>
      <c r="B199" t="s">
        <v>377</v>
      </c>
      <c r="C199" t="s">
        <v>5051</v>
      </c>
      <c r="D199">
        <v>0.33</v>
      </c>
      <c r="F199" t="s">
        <v>1397</v>
      </c>
      <c r="H199" t="s">
        <v>2928</v>
      </c>
      <c r="I199" t="s">
        <v>1509</v>
      </c>
      <c r="K199" t="s">
        <v>6025</v>
      </c>
      <c r="L199" t="s">
        <v>6026</v>
      </c>
    </row>
    <row r="200" spans="1:12" x14ac:dyDescent="0.35">
      <c r="A200" t="s">
        <v>102</v>
      </c>
      <c r="B200" t="s">
        <v>377</v>
      </c>
      <c r="C200" t="s">
        <v>699</v>
      </c>
      <c r="D200">
        <v>39.5</v>
      </c>
      <c r="F200" t="s">
        <v>5162</v>
      </c>
      <c r="H200" t="s">
        <v>2928</v>
      </c>
      <c r="I200" t="s">
        <v>1509</v>
      </c>
      <c r="K200" t="s">
        <v>6025</v>
      </c>
      <c r="L200" t="s">
        <v>6026</v>
      </c>
    </row>
    <row r="201" spans="1:12" x14ac:dyDescent="0.35">
      <c r="A201" t="s">
        <v>102</v>
      </c>
      <c r="B201" t="s">
        <v>394</v>
      </c>
      <c r="C201" t="s">
        <v>162</v>
      </c>
      <c r="D201">
        <v>106</v>
      </c>
      <c r="F201" t="s">
        <v>4918</v>
      </c>
      <c r="H201" t="s">
        <v>2932</v>
      </c>
      <c r="I201" t="s">
        <v>2009</v>
      </c>
      <c r="K201" t="s">
        <v>6025</v>
      </c>
      <c r="L201" t="s">
        <v>6026</v>
      </c>
    </row>
    <row r="202" spans="1:12" x14ac:dyDescent="0.35">
      <c r="A202" t="s">
        <v>102</v>
      </c>
      <c r="B202" t="s">
        <v>353</v>
      </c>
      <c r="C202" t="s">
        <v>162</v>
      </c>
      <c r="D202">
        <v>46.5</v>
      </c>
      <c r="F202" t="s">
        <v>5163</v>
      </c>
      <c r="H202" t="s">
        <v>2945</v>
      </c>
      <c r="I202" t="s">
        <v>4885</v>
      </c>
      <c r="K202" t="s">
        <v>6025</v>
      </c>
      <c r="L202" t="s">
        <v>6026</v>
      </c>
    </row>
    <row r="203" spans="1:12" x14ac:dyDescent="0.35">
      <c r="A203" t="s">
        <v>102</v>
      </c>
      <c r="B203" t="s">
        <v>401</v>
      </c>
      <c r="C203" t="s">
        <v>162</v>
      </c>
      <c r="D203">
        <v>643</v>
      </c>
      <c r="F203" t="s">
        <v>5164</v>
      </c>
      <c r="I203" t="s">
        <v>2258</v>
      </c>
      <c r="K203" t="s">
        <v>6025</v>
      </c>
      <c r="L203" t="s">
        <v>6026</v>
      </c>
    </row>
    <row r="204" spans="1:12" x14ac:dyDescent="0.35">
      <c r="A204" t="s">
        <v>102</v>
      </c>
      <c r="B204" t="s">
        <v>406</v>
      </c>
      <c r="C204" t="s">
        <v>708</v>
      </c>
      <c r="D204">
        <v>2330</v>
      </c>
      <c r="F204" t="s">
        <v>5165</v>
      </c>
      <c r="I204" t="s">
        <v>1373</v>
      </c>
      <c r="K204" t="s">
        <v>6025</v>
      </c>
      <c r="L204" t="s">
        <v>6026</v>
      </c>
    </row>
    <row r="205" spans="1:12" x14ac:dyDescent="0.35">
      <c r="A205" t="s">
        <v>156</v>
      </c>
      <c r="B205" t="s">
        <v>410</v>
      </c>
      <c r="C205" t="s">
        <v>695</v>
      </c>
      <c r="D205">
        <v>0.24</v>
      </c>
      <c r="F205" t="s">
        <v>1488</v>
      </c>
      <c r="H205" t="s">
        <v>2969</v>
      </c>
      <c r="I205" t="s">
        <v>1393</v>
      </c>
      <c r="K205" t="s">
        <v>6025</v>
      </c>
      <c r="L205" t="s">
        <v>6026</v>
      </c>
    </row>
    <row r="206" spans="1:12" x14ac:dyDescent="0.35">
      <c r="A206" t="s">
        <v>156</v>
      </c>
      <c r="B206" t="s">
        <v>410</v>
      </c>
      <c r="C206" t="s">
        <v>162</v>
      </c>
      <c r="D206">
        <v>0.34</v>
      </c>
      <c r="F206" t="s">
        <v>1327</v>
      </c>
      <c r="H206" t="s">
        <v>2969</v>
      </c>
      <c r="I206" t="s">
        <v>1393</v>
      </c>
      <c r="K206" t="s">
        <v>6025</v>
      </c>
      <c r="L206" t="s">
        <v>6026</v>
      </c>
    </row>
    <row r="207" spans="1:12" x14ac:dyDescent="0.35">
      <c r="A207" t="s">
        <v>156</v>
      </c>
      <c r="B207" t="s">
        <v>410</v>
      </c>
      <c r="C207" t="s">
        <v>698</v>
      </c>
      <c r="D207">
        <v>0.08</v>
      </c>
      <c r="F207" t="s">
        <v>1402</v>
      </c>
      <c r="H207" t="s">
        <v>2969</v>
      </c>
      <c r="I207" t="s">
        <v>1393</v>
      </c>
      <c r="K207" t="s">
        <v>6025</v>
      </c>
      <c r="L207" t="s">
        <v>6026</v>
      </c>
    </row>
    <row r="208" spans="1:12" x14ac:dyDescent="0.35">
      <c r="A208" t="s">
        <v>156</v>
      </c>
      <c r="B208" t="s">
        <v>410</v>
      </c>
      <c r="C208" t="s">
        <v>691</v>
      </c>
      <c r="D208">
        <v>0.37</v>
      </c>
      <c r="F208" t="s">
        <v>1481</v>
      </c>
      <c r="H208" t="s">
        <v>2969</v>
      </c>
      <c r="I208" t="s">
        <v>1393</v>
      </c>
      <c r="K208" t="s">
        <v>6025</v>
      </c>
      <c r="L208" t="s">
        <v>6026</v>
      </c>
    </row>
    <row r="209" spans="1:12" x14ac:dyDescent="0.35">
      <c r="A209" t="s">
        <v>156</v>
      </c>
      <c r="B209" t="s">
        <v>410</v>
      </c>
      <c r="C209" t="s">
        <v>704</v>
      </c>
      <c r="D209">
        <v>0.36</v>
      </c>
      <c r="F209" t="s">
        <v>1398</v>
      </c>
      <c r="H209" t="s">
        <v>2969</v>
      </c>
      <c r="I209" t="s">
        <v>1393</v>
      </c>
      <c r="K209" t="s">
        <v>6025</v>
      </c>
      <c r="L209" t="s">
        <v>6026</v>
      </c>
    </row>
    <row r="210" spans="1:12" x14ac:dyDescent="0.35">
      <c r="A210" t="s">
        <v>156</v>
      </c>
      <c r="B210" t="s">
        <v>410</v>
      </c>
      <c r="C210" t="s">
        <v>163</v>
      </c>
      <c r="D210">
        <v>0.22</v>
      </c>
      <c r="F210" t="s">
        <v>1438</v>
      </c>
      <c r="H210" t="s">
        <v>2969</v>
      </c>
      <c r="I210" t="s">
        <v>1393</v>
      </c>
      <c r="K210" t="s">
        <v>6025</v>
      </c>
      <c r="L210" t="s">
        <v>6026</v>
      </c>
    </row>
    <row r="211" spans="1:12" x14ac:dyDescent="0.35">
      <c r="A211" t="s">
        <v>156</v>
      </c>
      <c r="B211" t="s">
        <v>313</v>
      </c>
      <c r="C211" t="s">
        <v>162</v>
      </c>
      <c r="D211">
        <v>0.5</v>
      </c>
      <c r="F211" t="s">
        <v>1440</v>
      </c>
      <c r="H211" t="s">
        <v>2977</v>
      </c>
      <c r="I211" t="s">
        <v>1943</v>
      </c>
      <c r="K211" t="s">
        <v>6025</v>
      </c>
      <c r="L211" t="s">
        <v>6026</v>
      </c>
    </row>
    <row r="212" spans="1:12" x14ac:dyDescent="0.35">
      <c r="A212" t="s">
        <v>156</v>
      </c>
      <c r="B212" t="s">
        <v>313</v>
      </c>
      <c r="C212" t="s">
        <v>163</v>
      </c>
      <c r="D212">
        <v>0.5</v>
      </c>
      <c r="F212" t="s">
        <v>1440</v>
      </c>
      <c r="H212" t="s">
        <v>2977</v>
      </c>
      <c r="I212" t="s">
        <v>1943</v>
      </c>
      <c r="K212" t="s">
        <v>6025</v>
      </c>
      <c r="L212" t="s">
        <v>6026</v>
      </c>
    </row>
    <row r="213" spans="1:12" x14ac:dyDescent="0.35">
      <c r="A213" t="s">
        <v>156</v>
      </c>
      <c r="B213" t="s">
        <v>313</v>
      </c>
      <c r="C213" t="s">
        <v>161</v>
      </c>
      <c r="D213">
        <v>3.8</v>
      </c>
      <c r="F213" t="s">
        <v>1388</v>
      </c>
      <c r="H213" t="s">
        <v>2980</v>
      </c>
      <c r="I213" t="s">
        <v>1943</v>
      </c>
      <c r="K213" t="s">
        <v>6025</v>
      </c>
      <c r="L213" t="s">
        <v>6026</v>
      </c>
    </row>
    <row r="214" spans="1:12" x14ac:dyDescent="0.35">
      <c r="A214" t="s">
        <v>156</v>
      </c>
      <c r="B214" t="s">
        <v>313</v>
      </c>
      <c r="C214" t="s">
        <v>724</v>
      </c>
      <c r="D214">
        <v>0.4</v>
      </c>
      <c r="F214" t="s">
        <v>1315</v>
      </c>
      <c r="H214" t="s">
        <v>2977</v>
      </c>
      <c r="I214" t="s">
        <v>1943</v>
      </c>
      <c r="K214" t="s">
        <v>6025</v>
      </c>
      <c r="L214" t="s">
        <v>6026</v>
      </c>
    </row>
    <row r="215" spans="1:12" x14ac:dyDescent="0.35">
      <c r="A215" t="s">
        <v>156</v>
      </c>
      <c r="B215" t="s">
        <v>313</v>
      </c>
      <c r="C215" t="s">
        <v>162</v>
      </c>
      <c r="D215">
        <v>1.5</v>
      </c>
      <c r="F215" t="s">
        <v>1426</v>
      </c>
      <c r="H215" t="s">
        <v>2980</v>
      </c>
      <c r="I215" t="s">
        <v>1943</v>
      </c>
      <c r="K215" t="s">
        <v>6025</v>
      </c>
      <c r="L215" t="s">
        <v>6026</v>
      </c>
    </row>
    <row r="216" spans="1:12" x14ac:dyDescent="0.35">
      <c r="A216" t="s">
        <v>156</v>
      </c>
      <c r="B216" t="s">
        <v>313</v>
      </c>
      <c r="C216" t="s">
        <v>724</v>
      </c>
      <c r="D216">
        <v>34</v>
      </c>
      <c r="F216" t="s">
        <v>1584</v>
      </c>
      <c r="H216" t="s">
        <v>2979</v>
      </c>
      <c r="I216" t="s">
        <v>1943</v>
      </c>
      <c r="K216" t="s">
        <v>6025</v>
      </c>
      <c r="L216" t="s">
        <v>6026</v>
      </c>
    </row>
    <row r="217" spans="1:12" x14ac:dyDescent="0.35">
      <c r="A217" t="s">
        <v>156</v>
      </c>
      <c r="B217" t="s">
        <v>313</v>
      </c>
      <c r="C217" t="s">
        <v>695</v>
      </c>
      <c r="D217">
        <v>0.7</v>
      </c>
      <c r="F217" t="s">
        <v>1378</v>
      </c>
      <c r="H217" t="s">
        <v>2977</v>
      </c>
      <c r="I217" t="s">
        <v>1943</v>
      </c>
      <c r="K217" t="s">
        <v>6025</v>
      </c>
      <c r="L217" t="s">
        <v>6026</v>
      </c>
    </row>
    <row r="218" spans="1:12" x14ac:dyDescent="0.35">
      <c r="A218" t="s">
        <v>156</v>
      </c>
      <c r="B218" t="s">
        <v>313</v>
      </c>
      <c r="C218" t="s">
        <v>724</v>
      </c>
      <c r="D218">
        <v>9.3000000000000007</v>
      </c>
      <c r="F218" t="s">
        <v>1535</v>
      </c>
      <c r="H218" t="s">
        <v>2980</v>
      </c>
      <c r="I218" t="s">
        <v>1943</v>
      </c>
      <c r="K218" t="s">
        <v>6025</v>
      </c>
      <c r="L218" t="s">
        <v>6026</v>
      </c>
    </row>
    <row r="219" spans="1:12" x14ac:dyDescent="0.35">
      <c r="A219" t="s">
        <v>156</v>
      </c>
      <c r="B219" t="s">
        <v>313</v>
      </c>
      <c r="C219" t="s">
        <v>163</v>
      </c>
      <c r="D219">
        <v>4.2</v>
      </c>
      <c r="F219" t="s">
        <v>1868</v>
      </c>
      <c r="H219" t="s">
        <v>2980</v>
      </c>
      <c r="I219" t="s">
        <v>1943</v>
      </c>
      <c r="K219" t="s">
        <v>6025</v>
      </c>
      <c r="L219" t="s">
        <v>6026</v>
      </c>
    </row>
    <row r="220" spans="1:12" x14ac:dyDescent="0.35">
      <c r="A220" t="s">
        <v>156</v>
      </c>
      <c r="B220" t="s">
        <v>313</v>
      </c>
      <c r="C220" t="s">
        <v>695</v>
      </c>
      <c r="D220">
        <v>1.8</v>
      </c>
      <c r="F220" t="s">
        <v>1375</v>
      </c>
      <c r="H220" t="s">
        <v>2980</v>
      </c>
      <c r="I220" t="s">
        <v>1943</v>
      </c>
      <c r="K220" t="s">
        <v>6025</v>
      </c>
      <c r="L220" t="s">
        <v>6026</v>
      </c>
    </row>
    <row r="221" spans="1:12" x14ac:dyDescent="0.35">
      <c r="A221" t="s">
        <v>156</v>
      </c>
      <c r="B221" t="s">
        <v>313</v>
      </c>
      <c r="C221" t="s">
        <v>161</v>
      </c>
      <c r="D221">
        <v>0.35</v>
      </c>
      <c r="F221" t="s">
        <v>1294</v>
      </c>
      <c r="H221" t="s">
        <v>2977</v>
      </c>
      <c r="I221" t="s">
        <v>1943</v>
      </c>
      <c r="K221" t="s">
        <v>6025</v>
      </c>
      <c r="L221" t="s">
        <v>6026</v>
      </c>
    </row>
    <row r="222" spans="1:12" x14ac:dyDescent="0.35">
      <c r="A222" t="s">
        <v>156</v>
      </c>
      <c r="B222" t="s">
        <v>313</v>
      </c>
      <c r="C222" t="s">
        <v>695</v>
      </c>
      <c r="D222">
        <v>44.6</v>
      </c>
      <c r="F222" t="s">
        <v>5166</v>
      </c>
      <c r="H222" t="s">
        <v>2979</v>
      </c>
      <c r="I222" t="s">
        <v>1943</v>
      </c>
      <c r="K222" t="s">
        <v>6025</v>
      </c>
      <c r="L222" t="s">
        <v>6026</v>
      </c>
    </row>
    <row r="223" spans="1:12" x14ac:dyDescent="0.35">
      <c r="A223" t="s">
        <v>156</v>
      </c>
      <c r="B223" t="s">
        <v>313</v>
      </c>
      <c r="C223" t="s">
        <v>161</v>
      </c>
      <c r="D223">
        <v>23.5</v>
      </c>
      <c r="F223" t="s">
        <v>2287</v>
      </c>
      <c r="H223" t="s">
        <v>2979</v>
      </c>
      <c r="I223" t="s">
        <v>1943</v>
      </c>
      <c r="K223" t="s">
        <v>6025</v>
      </c>
      <c r="L223" t="s">
        <v>6026</v>
      </c>
    </row>
    <row r="224" spans="1:12" x14ac:dyDescent="0.35">
      <c r="A224" t="s">
        <v>156</v>
      </c>
      <c r="B224" t="s">
        <v>313</v>
      </c>
      <c r="C224" t="s">
        <v>163</v>
      </c>
      <c r="D224">
        <v>21.8</v>
      </c>
      <c r="F224" t="s">
        <v>5167</v>
      </c>
      <c r="H224" t="s">
        <v>2979</v>
      </c>
      <c r="I224" t="s">
        <v>1943</v>
      </c>
      <c r="K224" t="s">
        <v>6025</v>
      </c>
      <c r="L224" t="s">
        <v>6026</v>
      </c>
    </row>
    <row r="225" spans="1:12" x14ac:dyDescent="0.35">
      <c r="A225" t="s">
        <v>156</v>
      </c>
      <c r="B225" t="s">
        <v>313</v>
      </c>
      <c r="C225" t="s">
        <v>162</v>
      </c>
      <c r="D225">
        <v>47.4</v>
      </c>
      <c r="F225" t="s">
        <v>1568</v>
      </c>
      <c r="H225" t="s">
        <v>2979</v>
      </c>
      <c r="I225" t="s">
        <v>1943</v>
      </c>
      <c r="K225" t="s">
        <v>6025</v>
      </c>
      <c r="L225" t="s">
        <v>6026</v>
      </c>
    </row>
    <row r="226" spans="1:12" x14ac:dyDescent="0.35">
      <c r="A226" t="s">
        <v>156</v>
      </c>
      <c r="B226" t="s">
        <v>320</v>
      </c>
      <c r="C226" t="s">
        <v>164</v>
      </c>
      <c r="D226">
        <v>9.33</v>
      </c>
      <c r="F226" t="s">
        <v>5111</v>
      </c>
      <c r="H226" t="s">
        <v>2982</v>
      </c>
      <c r="I226" t="s">
        <v>2254</v>
      </c>
      <c r="K226" t="s">
        <v>6025</v>
      </c>
      <c r="L226" t="s">
        <v>6026</v>
      </c>
    </row>
    <row r="227" spans="1:12" x14ac:dyDescent="0.35">
      <c r="A227" t="s">
        <v>156</v>
      </c>
      <c r="B227" t="s">
        <v>320</v>
      </c>
      <c r="C227" t="s">
        <v>726</v>
      </c>
      <c r="D227">
        <v>1.83</v>
      </c>
      <c r="F227" t="s">
        <v>5113</v>
      </c>
      <c r="H227" t="s">
        <v>2982</v>
      </c>
      <c r="I227" t="s">
        <v>2254</v>
      </c>
      <c r="K227" t="s">
        <v>6025</v>
      </c>
      <c r="L227" t="s">
        <v>6026</v>
      </c>
    </row>
    <row r="228" spans="1:12" x14ac:dyDescent="0.35">
      <c r="A228" t="s">
        <v>156</v>
      </c>
      <c r="B228" t="s">
        <v>320</v>
      </c>
      <c r="C228" t="s">
        <v>699</v>
      </c>
      <c r="D228">
        <v>2.66</v>
      </c>
      <c r="F228" t="s">
        <v>2010</v>
      </c>
      <c r="H228" t="s">
        <v>2982</v>
      </c>
      <c r="I228" t="s">
        <v>2254</v>
      </c>
      <c r="K228" t="s">
        <v>6025</v>
      </c>
      <c r="L228" t="s">
        <v>6026</v>
      </c>
    </row>
    <row r="229" spans="1:12" x14ac:dyDescent="0.35">
      <c r="A229" t="s">
        <v>156</v>
      </c>
      <c r="B229" t="s">
        <v>320</v>
      </c>
      <c r="C229" t="s">
        <v>695</v>
      </c>
      <c r="D229">
        <v>19.329999999999998</v>
      </c>
      <c r="F229" t="s">
        <v>5168</v>
      </c>
      <c r="H229" t="s">
        <v>2982</v>
      </c>
      <c r="I229" t="s">
        <v>2254</v>
      </c>
      <c r="K229" t="s">
        <v>6025</v>
      </c>
      <c r="L229" t="s">
        <v>6026</v>
      </c>
    </row>
    <row r="230" spans="1:12" x14ac:dyDescent="0.35">
      <c r="A230" t="s">
        <v>156</v>
      </c>
      <c r="B230" t="s">
        <v>320</v>
      </c>
      <c r="C230" t="s">
        <v>698</v>
      </c>
      <c r="D230">
        <v>15.33</v>
      </c>
      <c r="F230" t="s">
        <v>5169</v>
      </c>
      <c r="H230" t="s">
        <v>2982</v>
      </c>
      <c r="I230" t="s">
        <v>2254</v>
      </c>
      <c r="K230" t="s">
        <v>6025</v>
      </c>
      <c r="L230" t="s">
        <v>6026</v>
      </c>
    </row>
    <row r="231" spans="1:12" x14ac:dyDescent="0.35">
      <c r="A231" t="s">
        <v>156</v>
      </c>
      <c r="B231" t="s">
        <v>320</v>
      </c>
      <c r="C231" t="s">
        <v>725</v>
      </c>
      <c r="D231">
        <v>15.83</v>
      </c>
      <c r="F231" t="s">
        <v>5170</v>
      </c>
      <c r="H231" t="s">
        <v>2982</v>
      </c>
      <c r="I231" t="s">
        <v>2254</v>
      </c>
      <c r="K231" t="s">
        <v>6025</v>
      </c>
      <c r="L231" t="s">
        <v>6026</v>
      </c>
    </row>
    <row r="232" spans="1:12" x14ac:dyDescent="0.35">
      <c r="A232" t="s">
        <v>156</v>
      </c>
      <c r="B232" t="s">
        <v>320</v>
      </c>
      <c r="C232" t="s">
        <v>163</v>
      </c>
      <c r="D232">
        <v>25.66</v>
      </c>
      <c r="F232" t="s">
        <v>5171</v>
      </c>
      <c r="H232" t="s">
        <v>2982</v>
      </c>
      <c r="I232" t="s">
        <v>2254</v>
      </c>
      <c r="K232" t="s">
        <v>6025</v>
      </c>
      <c r="L232" t="s">
        <v>6026</v>
      </c>
    </row>
    <row r="233" spans="1:12" x14ac:dyDescent="0.35">
      <c r="A233" t="s">
        <v>156</v>
      </c>
      <c r="B233" t="s">
        <v>179</v>
      </c>
      <c r="C233" t="s">
        <v>163</v>
      </c>
      <c r="D233">
        <v>490</v>
      </c>
      <c r="F233" t="s">
        <v>5172</v>
      </c>
      <c r="H233" t="s">
        <v>2988</v>
      </c>
      <c r="I233" t="s">
        <v>1943</v>
      </c>
      <c r="K233" t="s">
        <v>6025</v>
      </c>
      <c r="L233" t="s">
        <v>6026</v>
      </c>
    </row>
    <row r="234" spans="1:12" x14ac:dyDescent="0.35">
      <c r="A234" t="s">
        <v>156</v>
      </c>
      <c r="B234" t="s">
        <v>179</v>
      </c>
      <c r="C234" t="s">
        <v>695</v>
      </c>
      <c r="D234">
        <v>576</v>
      </c>
      <c r="F234" t="s">
        <v>5173</v>
      </c>
      <c r="H234" t="s">
        <v>2985</v>
      </c>
      <c r="I234" t="s">
        <v>1943</v>
      </c>
      <c r="K234" t="s">
        <v>6025</v>
      </c>
      <c r="L234" t="s">
        <v>6026</v>
      </c>
    </row>
    <row r="235" spans="1:12" x14ac:dyDescent="0.35">
      <c r="A235" t="s">
        <v>156</v>
      </c>
      <c r="B235" t="s">
        <v>179</v>
      </c>
      <c r="C235" t="s">
        <v>727</v>
      </c>
      <c r="D235">
        <v>5.9</v>
      </c>
      <c r="F235" t="s">
        <v>1852</v>
      </c>
      <c r="H235" t="s">
        <v>2984</v>
      </c>
      <c r="I235" t="s">
        <v>1943</v>
      </c>
      <c r="K235" t="s">
        <v>6025</v>
      </c>
      <c r="L235" t="s">
        <v>6026</v>
      </c>
    </row>
    <row r="236" spans="1:12" x14ac:dyDescent="0.35">
      <c r="A236" t="s">
        <v>156</v>
      </c>
      <c r="B236" t="s">
        <v>179</v>
      </c>
      <c r="C236" t="s">
        <v>163</v>
      </c>
      <c r="D236">
        <v>116</v>
      </c>
      <c r="F236" t="s">
        <v>1858</v>
      </c>
      <c r="H236" t="s">
        <v>2986</v>
      </c>
      <c r="I236" t="s">
        <v>1943</v>
      </c>
      <c r="K236" t="s">
        <v>6025</v>
      </c>
      <c r="L236" t="s">
        <v>6026</v>
      </c>
    </row>
    <row r="237" spans="1:12" x14ac:dyDescent="0.35">
      <c r="A237" t="s">
        <v>156</v>
      </c>
      <c r="B237" t="s">
        <v>179</v>
      </c>
      <c r="C237" t="s">
        <v>695</v>
      </c>
      <c r="D237">
        <v>132</v>
      </c>
      <c r="F237" t="s">
        <v>4881</v>
      </c>
      <c r="H237" t="s">
        <v>2986</v>
      </c>
      <c r="I237" t="s">
        <v>1943</v>
      </c>
      <c r="K237" t="s">
        <v>6025</v>
      </c>
      <c r="L237" t="s">
        <v>6026</v>
      </c>
    </row>
    <row r="238" spans="1:12" x14ac:dyDescent="0.35">
      <c r="A238" t="s">
        <v>156</v>
      </c>
      <c r="B238" t="s">
        <v>179</v>
      </c>
      <c r="C238" t="s">
        <v>164</v>
      </c>
      <c r="D238">
        <v>210</v>
      </c>
      <c r="F238" t="s">
        <v>2403</v>
      </c>
      <c r="H238" t="s">
        <v>2985</v>
      </c>
      <c r="I238" t="s">
        <v>1943</v>
      </c>
      <c r="K238" t="s">
        <v>6025</v>
      </c>
      <c r="L238" t="s">
        <v>6026</v>
      </c>
    </row>
    <row r="239" spans="1:12" x14ac:dyDescent="0.35">
      <c r="A239" t="s">
        <v>156</v>
      </c>
      <c r="B239" t="s">
        <v>179</v>
      </c>
      <c r="C239" t="s">
        <v>164</v>
      </c>
      <c r="D239">
        <v>199</v>
      </c>
      <c r="F239" t="s">
        <v>5174</v>
      </c>
      <c r="H239" t="s">
        <v>2988</v>
      </c>
      <c r="I239" t="s">
        <v>1943</v>
      </c>
      <c r="K239" t="s">
        <v>6025</v>
      </c>
      <c r="L239" t="s">
        <v>6026</v>
      </c>
    </row>
    <row r="240" spans="1:12" x14ac:dyDescent="0.35">
      <c r="A240" t="s">
        <v>156</v>
      </c>
      <c r="B240" t="s">
        <v>179</v>
      </c>
      <c r="C240" t="s">
        <v>164</v>
      </c>
      <c r="D240">
        <v>6.6</v>
      </c>
      <c r="F240" t="s">
        <v>1517</v>
      </c>
      <c r="H240" t="s">
        <v>2986</v>
      </c>
      <c r="I240" t="s">
        <v>1943</v>
      </c>
      <c r="K240" t="s">
        <v>6025</v>
      </c>
      <c r="L240" t="s">
        <v>6026</v>
      </c>
    </row>
    <row r="241" spans="1:12" x14ac:dyDescent="0.35">
      <c r="A241" t="s">
        <v>156</v>
      </c>
      <c r="B241" t="s">
        <v>179</v>
      </c>
      <c r="C241" t="s">
        <v>727</v>
      </c>
      <c r="D241">
        <v>155</v>
      </c>
      <c r="F241" t="s">
        <v>4916</v>
      </c>
      <c r="H241" t="s">
        <v>5733</v>
      </c>
      <c r="I241" t="s">
        <v>1943</v>
      </c>
      <c r="K241" t="s">
        <v>6025</v>
      </c>
      <c r="L241" t="s">
        <v>6026</v>
      </c>
    </row>
    <row r="242" spans="1:12" x14ac:dyDescent="0.35">
      <c r="A242" t="s">
        <v>156</v>
      </c>
      <c r="B242" t="s">
        <v>179</v>
      </c>
      <c r="C242" t="s">
        <v>695</v>
      </c>
      <c r="D242">
        <v>510</v>
      </c>
      <c r="F242" t="s">
        <v>5175</v>
      </c>
      <c r="H242" t="s">
        <v>2988</v>
      </c>
      <c r="I242" t="s">
        <v>1943</v>
      </c>
      <c r="K242" t="s">
        <v>6025</v>
      </c>
      <c r="L242" t="s">
        <v>6026</v>
      </c>
    </row>
    <row r="243" spans="1:12" x14ac:dyDescent="0.35">
      <c r="A243" t="s">
        <v>156</v>
      </c>
      <c r="B243" t="s">
        <v>179</v>
      </c>
      <c r="C243" t="s">
        <v>727</v>
      </c>
      <c r="D243">
        <v>165</v>
      </c>
      <c r="F243" t="s">
        <v>4993</v>
      </c>
      <c r="H243" t="s">
        <v>2985</v>
      </c>
      <c r="I243" t="s">
        <v>1943</v>
      </c>
      <c r="K243" t="s">
        <v>6025</v>
      </c>
      <c r="L243" t="s">
        <v>6026</v>
      </c>
    </row>
    <row r="244" spans="1:12" x14ac:dyDescent="0.35">
      <c r="A244" t="s">
        <v>156</v>
      </c>
      <c r="B244" t="s">
        <v>179</v>
      </c>
      <c r="C244" t="s">
        <v>163</v>
      </c>
      <c r="D244">
        <v>566</v>
      </c>
      <c r="F244" t="s">
        <v>5176</v>
      </c>
      <c r="H244" t="s">
        <v>2985</v>
      </c>
      <c r="I244" t="s">
        <v>1943</v>
      </c>
      <c r="K244" t="s">
        <v>6025</v>
      </c>
      <c r="L244" t="s">
        <v>6026</v>
      </c>
    </row>
    <row r="245" spans="1:12" x14ac:dyDescent="0.35">
      <c r="A245" t="s">
        <v>156</v>
      </c>
      <c r="B245" t="s">
        <v>414</v>
      </c>
      <c r="C245" t="s">
        <v>728</v>
      </c>
      <c r="D245">
        <v>11.8</v>
      </c>
      <c r="F245" t="s">
        <v>1749</v>
      </c>
      <c r="H245" t="s">
        <v>2842</v>
      </c>
      <c r="I245" t="s">
        <v>4859</v>
      </c>
      <c r="K245" t="s">
        <v>6025</v>
      </c>
      <c r="L245" t="s">
        <v>6026</v>
      </c>
    </row>
    <row r="246" spans="1:12" x14ac:dyDescent="0.35">
      <c r="A246" t="s">
        <v>156</v>
      </c>
      <c r="B246" t="s">
        <v>414</v>
      </c>
      <c r="C246" t="s">
        <v>163</v>
      </c>
      <c r="D246">
        <v>10.6</v>
      </c>
      <c r="F246" t="s">
        <v>2399</v>
      </c>
      <c r="H246" t="s">
        <v>2989</v>
      </c>
      <c r="I246" t="s">
        <v>4859</v>
      </c>
      <c r="K246" t="s">
        <v>6025</v>
      </c>
      <c r="L246" t="s">
        <v>6026</v>
      </c>
    </row>
    <row r="247" spans="1:12" x14ac:dyDescent="0.35">
      <c r="A247" t="s">
        <v>156</v>
      </c>
      <c r="B247" t="s">
        <v>415</v>
      </c>
      <c r="C247" t="s">
        <v>698</v>
      </c>
      <c r="D247">
        <v>0.17</v>
      </c>
      <c r="F247" t="s">
        <v>1409</v>
      </c>
      <c r="H247" t="s">
        <v>2994</v>
      </c>
      <c r="I247" t="s">
        <v>4894</v>
      </c>
      <c r="K247" t="s">
        <v>6025</v>
      </c>
      <c r="L247" t="s">
        <v>6026</v>
      </c>
    </row>
    <row r="248" spans="1:12" x14ac:dyDescent="0.35">
      <c r="A248" t="s">
        <v>156</v>
      </c>
      <c r="B248" t="s">
        <v>415</v>
      </c>
      <c r="C248" t="s">
        <v>725</v>
      </c>
      <c r="D248">
        <v>0.7</v>
      </c>
      <c r="F248" t="s">
        <v>1378</v>
      </c>
      <c r="H248" t="s">
        <v>2997</v>
      </c>
      <c r="I248" t="s">
        <v>4894</v>
      </c>
      <c r="K248" t="s">
        <v>6025</v>
      </c>
      <c r="L248" t="s">
        <v>6026</v>
      </c>
    </row>
    <row r="249" spans="1:12" x14ac:dyDescent="0.35">
      <c r="A249" t="s">
        <v>156</v>
      </c>
      <c r="B249" t="s">
        <v>415</v>
      </c>
      <c r="C249" t="s">
        <v>699</v>
      </c>
      <c r="D249">
        <v>1.46</v>
      </c>
      <c r="F249" t="s">
        <v>1756</v>
      </c>
      <c r="H249" t="s">
        <v>2992</v>
      </c>
      <c r="I249" t="s">
        <v>4894</v>
      </c>
      <c r="K249" t="s">
        <v>6025</v>
      </c>
      <c r="L249" t="s">
        <v>6026</v>
      </c>
    </row>
    <row r="250" spans="1:12" x14ac:dyDescent="0.35">
      <c r="A250" t="s">
        <v>156</v>
      </c>
      <c r="B250" t="s">
        <v>415</v>
      </c>
      <c r="C250" t="s">
        <v>695</v>
      </c>
      <c r="D250">
        <v>1.48</v>
      </c>
      <c r="F250" t="s">
        <v>1365</v>
      </c>
      <c r="H250" t="s">
        <v>2993</v>
      </c>
      <c r="I250" t="s">
        <v>4894</v>
      </c>
      <c r="K250" t="s">
        <v>6025</v>
      </c>
      <c r="L250" t="s">
        <v>6026</v>
      </c>
    </row>
    <row r="251" spans="1:12" x14ac:dyDescent="0.35">
      <c r="A251" t="s">
        <v>156</v>
      </c>
      <c r="B251" t="s">
        <v>415</v>
      </c>
      <c r="C251" t="s">
        <v>164</v>
      </c>
      <c r="D251">
        <v>0.44</v>
      </c>
      <c r="F251" t="s">
        <v>1723</v>
      </c>
      <c r="H251" t="s">
        <v>2995</v>
      </c>
      <c r="I251" t="s">
        <v>4894</v>
      </c>
      <c r="K251" t="s">
        <v>6025</v>
      </c>
      <c r="L251" t="s">
        <v>6026</v>
      </c>
    </row>
    <row r="252" spans="1:12" x14ac:dyDescent="0.35">
      <c r="A252" t="s">
        <v>156</v>
      </c>
      <c r="B252" t="s">
        <v>415</v>
      </c>
      <c r="C252" t="s">
        <v>698</v>
      </c>
      <c r="D252">
        <v>0.44</v>
      </c>
      <c r="F252" t="s">
        <v>1723</v>
      </c>
      <c r="H252" t="s">
        <v>2998</v>
      </c>
      <c r="I252" t="s">
        <v>4894</v>
      </c>
      <c r="K252" t="s">
        <v>6025</v>
      </c>
      <c r="L252" t="s">
        <v>6026</v>
      </c>
    </row>
    <row r="253" spans="1:12" x14ac:dyDescent="0.35">
      <c r="A253" t="s">
        <v>156</v>
      </c>
      <c r="B253" t="s">
        <v>415</v>
      </c>
      <c r="C253" t="s">
        <v>699</v>
      </c>
      <c r="D253">
        <v>1.19</v>
      </c>
      <c r="F253" t="s">
        <v>2480</v>
      </c>
      <c r="H253" t="s">
        <v>5734</v>
      </c>
      <c r="I253" t="s">
        <v>4894</v>
      </c>
      <c r="K253" t="s">
        <v>6025</v>
      </c>
      <c r="L253" t="s">
        <v>6026</v>
      </c>
    </row>
    <row r="254" spans="1:12" x14ac:dyDescent="0.35">
      <c r="A254" t="s">
        <v>156</v>
      </c>
      <c r="B254" t="s">
        <v>415</v>
      </c>
      <c r="C254" t="s">
        <v>163</v>
      </c>
      <c r="D254">
        <v>0.92</v>
      </c>
      <c r="F254" t="s">
        <v>1491</v>
      </c>
      <c r="H254" t="s">
        <v>5735</v>
      </c>
      <c r="I254" t="s">
        <v>4894</v>
      </c>
      <c r="K254" t="s">
        <v>6025</v>
      </c>
      <c r="L254" t="s">
        <v>6026</v>
      </c>
    </row>
    <row r="255" spans="1:12" x14ac:dyDescent="0.35">
      <c r="A255" t="s">
        <v>156</v>
      </c>
      <c r="B255" t="s">
        <v>353</v>
      </c>
      <c r="C255" t="s">
        <v>695</v>
      </c>
      <c r="D255">
        <v>39</v>
      </c>
      <c r="F255" t="s">
        <v>2050</v>
      </c>
      <c r="H255" t="s">
        <v>5736</v>
      </c>
      <c r="I255" t="s">
        <v>1584</v>
      </c>
      <c r="K255" t="s">
        <v>6025</v>
      </c>
      <c r="L255" t="s">
        <v>6026</v>
      </c>
    </row>
    <row r="256" spans="1:12" x14ac:dyDescent="0.35">
      <c r="A256" t="s">
        <v>156</v>
      </c>
      <c r="B256" t="s">
        <v>353</v>
      </c>
      <c r="C256" t="s">
        <v>695</v>
      </c>
      <c r="D256">
        <v>24</v>
      </c>
      <c r="F256" t="s">
        <v>1839</v>
      </c>
      <c r="H256" t="s">
        <v>5737</v>
      </c>
      <c r="I256" t="s">
        <v>1584</v>
      </c>
      <c r="K256" t="s">
        <v>6025</v>
      </c>
      <c r="L256" t="s">
        <v>6026</v>
      </c>
    </row>
    <row r="257" spans="1:12" x14ac:dyDescent="0.35">
      <c r="A257" t="s">
        <v>156</v>
      </c>
      <c r="B257" t="s">
        <v>353</v>
      </c>
      <c r="C257" t="s">
        <v>695</v>
      </c>
      <c r="D257">
        <v>25.6</v>
      </c>
      <c r="F257" t="s">
        <v>5177</v>
      </c>
      <c r="H257" t="s">
        <v>3000</v>
      </c>
      <c r="I257" t="s">
        <v>1584</v>
      </c>
      <c r="K257" t="s">
        <v>6025</v>
      </c>
      <c r="L257" t="s">
        <v>6026</v>
      </c>
    </row>
    <row r="258" spans="1:12" x14ac:dyDescent="0.35">
      <c r="A258" t="s">
        <v>156</v>
      </c>
      <c r="B258" t="s">
        <v>353</v>
      </c>
      <c r="C258" t="s">
        <v>695</v>
      </c>
      <c r="D258">
        <v>35.700000000000003</v>
      </c>
      <c r="F258" t="s">
        <v>5178</v>
      </c>
      <c r="H258" t="s">
        <v>2999</v>
      </c>
      <c r="I258" t="s">
        <v>1584</v>
      </c>
      <c r="K258" t="s">
        <v>6025</v>
      </c>
      <c r="L258" t="s">
        <v>6026</v>
      </c>
    </row>
    <row r="259" spans="1:12" x14ac:dyDescent="0.35">
      <c r="A259" t="s">
        <v>156</v>
      </c>
      <c r="B259" t="s">
        <v>178</v>
      </c>
      <c r="C259" t="s">
        <v>732</v>
      </c>
      <c r="D259">
        <v>0.7</v>
      </c>
      <c r="F259" t="s">
        <v>1378</v>
      </c>
      <c r="H259" t="s">
        <v>3009</v>
      </c>
      <c r="I259" t="s">
        <v>4880</v>
      </c>
      <c r="K259" t="s">
        <v>6025</v>
      </c>
      <c r="L259" t="s">
        <v>6026</v>
      </c>
    </row>
    <row r="260" spans="1:12" x14ac:dyDescent="0.35">
      <c r="A260" t="s">
        <v>156</v>
      </c>
      <c r="B260" t="s">
        <v>178</v>
      </c>
      <c r="C260" t="s">
        <v>163</v>
      </c>
      <c r="D260">
        <v>0.53</v>
      </c>
      <c r="F260" t="s">
        <v>1817</v>
      </c>
      <c r="H260" t="s">
        <v>3013</v>
      </c>
      <c r="I260" t="s">
        <v>4880</v>
      </c>
      <c r="K260" t="s">
        <v>6025</v>
      </c>
      <c r="L260" t="s">
        <v>6026</v>
      </c>
    </row>
    <row r="261" spans="1:12" x14ac:dyDescent="0.35">
      <c r="A261" t="s">
        <v>156</v>
      </c>
      <c r="B261" t="s">
        <v>178</v>
      </c>
      <c r="C261" t="s">
        <v>165</v>
      </c>
      <c r="D261">
        <v>0.53</v>
      </c>
      <c r="F261" t="s">
        <v>1817</v>
      </c>
      <c r="H261" t="s">
        <v>3010</v>
      </c>
      <c r="I261" t="s">
        <v>4880</v>
      </c>
      <c r="K261" t="s">
        <v>6025</v>
      </c>
      <c r="L261" t="s">
        <v>6026</v>
      </c>
    </row>
    <row r="262" spans="1:12" x14ac:dyDescent="0.35">
      <c r="A262" t="s">
        <v>156</v>
      </c>
      <c r="B262" t="s">
        <v>178</v>
      </c>
      <c r="C262" t="s">
        <v>699</v>
      </c>
      <c r="D262">
        <v>0.47</v>
      </c>
      <c r="F262" t="s">
        <v>1795</v>
      </c>
      <c r="H262" t="s">
        <v>3012</v>
      </c>
      <c r="I262" t="s">
        <v>4880</v>
      </c>
      <c r="K262" t="s">
        <v>6025</v>
      </c>
      <c r="L262" t="s">
        <v>6026</v>
      </c>
    </row>
    <row r="263" spans="1:12" x14ac:dyDescent="0.35">
      <c r="A263" t="s">
        <v>156</v>
      </c>
      <c r="B263" t="s">
        <v>178</v>
      </c>
      <c r="C263" t="s">
        <v>695</v>
      </c>
      <c r="D263">
        <v>0.75</v>
      </c>
      <c r="F263" t="s">
        <v>1475</v>
      </c>
      <c r="H263" t="s">
        <v>3010</v>
      </c>
      <c r="I263" t="s">
        <v>4880</v>
      </c>
      <c r="K263" t="s">
        <v>6025</v>
      </c>
      <c r="L263" t="s">
        <v>6026</v>
      </c>
    </row>
    <row r="264" spans="1:12" x14ac:dyDescent="0.35">
      <c r="A264" t="s">
        <v>156</v>
      </c>
      <c r="B264" t="s">
        <v>178</v>
      </c>
      <c r="C264" t="s">
        <v>732</v>
      </c>
      <c r="D264">
        <v>0.37</v>
      </c>
      <c r="F264" t="s">
        <v>1481</v>
      </c>
      <c r="H264" t="s">
        <v>3011</v>
      </c>
      <c r="I264" t="s">
        <v>4880</v>
      </c>
      <c r="K264" t="s">
        <v>6025</v>
      </c>
      <c r="L264" t="s">
        <v>6026</v>
      </c>
    </row>
    <row r="265" spans="1:12" x14ac:dyDescent="0.35">
      <c r="A265" t="s">
        <v>156</v>
      </c>
      <c r="B265" t="s">
        <v>178</v>
      </c>
      <c r="C265" t="s">
        <v>699</v>
      </c>
      <c r="D265">
        <v>0.13</v>
      </c>
      <c r="F265" t="s">
        <v>1466</v>
      </c>
      <c r="H265" t="s">
        <v>3013</v>
      </c>
      <c r="I265" t="s">
        <v>4880</v>
      </c>
      <c r="K265" t="s">
        <v>6025</v>
      </c>
      <c r="L265" t="s">
        <v>6026</v>
      </c>
    </row>
    <row r="266" spans="1:12" x14ac:dyDescent="0.35">
      <c r="A266" t="s">
        <v>156</v>
      </c>
      <c r="B266" t="s">
        <v>178</v>
      </c>
      <c r="C266" t="s">
        <v>725</v>
      </c>
      <c r="D266">
        <v>0.43</v>
      </c>
      <c r="F266" t="s">
        <v>1441</v>
      </c>
      <c r="H266" t="s">
        <v>3009</v>
      </c>
      <c r="I266" t="s">
        <v>4880</v>
      </c>
      <c r="K266" t="s">
        <v>6025</v>
      </c>
      <c r="L266" t="s">
        <v>6026</v>
      </c>
    </row>
    <row r="267" spans="1:12" x14ac:dyDescent="0.35">
      <c r="A267" t="s">
        <v>156</v>
      </c>
      <c r="B267" t="s">
        <v>178</v>
      </c>
      <c r="C267" t="s">
        <v>691</v>
      </c>
      <c r="D267">
        <v>0.56000000000000005</v>
      </c>
      <c r="F267" t="s">
        <v>2170</v>
      </c>
      <c r="H267" t="s">
        <v>3013</v>
      </c>
      <c r="I267" t="s">
        <v>4880</v>
      </c>
      <c r="K267" t="s">
        <v>6025</v>
      </c>
      <c r="L267" t="s">
        <v>6026</v>
      </c>
    </row>
    <row r="268" spans="1:12" x14ac:dyDescent="0.35">
      <c r="A268" t="s">
        <v>156</v>
      </c>
      <c r="B268" t="s">
        <v>178</v>
      </c>
      <c r="C268" t="s">
        <v>698</v>
      </c>
      <c r="D268">
        <v>0.51</v>
      </c>
      <c r="F268" t="s">
        <v>1418</v>
      </c>
      <c r="H268" t="s">
        <v>3010</v>
      </c>
      <c r="I268" t="s">
        <v>4880</v>
      </c>
      <c r="K268" t="s">
        <v>6025</v>
      </c>
      <c r="L268" t="s">
        <v>6026</v>
      </c>
    </row>
    <row r="269" spans="1:12" x14ac:dyDescent="0.35">
      <c r="A269" t="s">
        <v>156</v>
      </c>
      <c r="B269" t="s">
        <v>178</v>
      </c>
      <c r="C269" t="s">
        <v>732</v>
      </c>
      <c r="D269">
        <v>20.100000000000001</v>
      </c>
      <c r="F269" t="s">
        <v>5179</v>
      </c>
      <c r="H269" t="s">
        <v>3014</v>
      </c>
      <c r="I269" t="s">
        <v>4880</v>
      </c>
      <c r="K269" t="s">
        <v>6025</v>
      </c>
      <c r="L269" t="s">
        <v>6026</v>
      </c>
    </row>
    <row r="270" spans="1:12" x14ac:dyDescent="0.35">
      <c r="A270" t="s">
        <v>156</v>
      </c>
      <c r="B270" t="s">
        <v>178</v>
      </c>
      <c r="C270" t="s">
        <v>163</v>
      </c>
      <c r="D270">
        <v>48</v>
      </c>
      <c r="F270" t="s">
        <v>4859</v>
      </c>
      <c r="H270" t="s">
        <v>3015</v>
      </c>
      <c r="I270" t="s">
        <v>4880</v>
      </c>
      <c r="K270" t="s">
        <v>6025</v>
      </c>
      <c r="L270" t="s">
        <v>6026</v>
      </c>
    </row>
    <row r="271" spans="1:12" x14ac:dyDescent="0.35">
      <c r="A271" t="s">
        <v>156</v>
      </c>
      <c r="B271" t="s">
        <v>178</v>
      </c>
      <c r="C271" t="s">
        <v>699</v>
      </c>
      <c r="D271">
        <v>30.2</v>
      </c>
      <c r="F271" t="s">
        <v>2313</v>
      </c>
      <c r="H271" t="s">
        <v>3015</v>
      </c>
      <c r="I271" t="s">
        <v>4880</v>
      </c>
      <c r="K271" t="s">
        <v>6025</v>
      </c>
      <c r="L271" t="s">
        <v>6026</v>
      </c>
    </row>
    <row r="272" spans="1:12" x14ac:dyDescent="0.35">
      <c r="A272" t="s">
        <v>156</v>
      </c>
      <c r="B272" t="s">
        <v>178</v>
      </c>
      <c r="C272" t="s">
        <v>725</v>
      </c>
      <c r="D272">
        <v>23.9</v>
      </c>
      <c r="F272" t="s">
        <v>5180</v>
      </c>
      <c r="H272" t="s">
        <v>3014</v>
      </c>
      <c r="I272" t="s">
        <v>4880</v>
      </c>
      <c r="K272" t="s">
        <v>6025</v>
      </c>
      <c r="L272" t="s">
        <v>6026</v>
      </c>
    </row>
    <row r="273" spans="1:12" x14ac:dyDescent="0.35">
      <c r="A273" t="s">
        <v>156</v>
      </c>
      <c r="B273" t="s">
        <v>178</v>
      </c>
      <c r="C273" t="s">
        <v>165</v>
      </c>
      <c r="D273">
        <v>26.6</v>
      </c>
      <c r="F273" t="s">
        <v>5181</v>
      </c>
      <c r="H273" t="s">
        <v>3016</v>
      </c>
      <c r="I273" t="s">
        <v>4880</v>
      </c>
      <c r="K273" t="s">
        <v>6025</v>
      </c>
      <c r="L273" t="s">
        <v>6026</v>
      </c>
    </row>
    <row r="274" spans="1:12" x14ac:dyDescent="0.35">
      <c r="A274" t="s">
        <v>156</v>
      </c>
      <c r="B274" t="s">
        <v>178</v>
      </c>
      <c r="C274" t="s">
        <v>699</v>
      </c>
      <c r="D274">
        <v>24.5</v>
      </c>
      <c r="F274" t="s">
        <v>5182</v>
      </c>
      <c r="H274" t="s">
        <v>3017</v>
      </c>
      <c r="I274" t="s">
        <v>4880</v>
      </c>
      <c r="K274" t="s">
        <v>6025</v>
      </c>
      <c r="L274" t="s">
        <v>6026</v>
      </c>
    </row>
    <row r="275" spans="1:12" x14ac:dyDescent="0.35">
      <c r="A275" t="s">
        <v>156</v>
      </c>
      <c r="B275" t="s">
        <v>178</v>
      </c>
      <c r="C275" t="s">
        <v>732</v>
      </c>
      <c r="D275">
        <v>18.5</v>
      </c>
      <c r="F275" t="s">
        <v>1425</v>
      </c>
      <c r="H275" t="s">
        <v>3018</v>
      </c>
      <c r="I275" t="s">
        <v>4880</v>
      </c>
      <c r="K275" t="s">
        <v>6025</v>
      </c>
      <c r="L275" t="s">
        <v>6026</v>
      </c>
    </row>
    <row r="276" spans="1:12" x14ac:dyDescent="0.35">
      <c r="A276" t="s">
        <v>156</v>
      </c>
      <c r="B276" t="s">
        <v>178</v>
      </c>
      <c r="C276" t="s">
        <v>695</v>
      </c>
      <c r="D276">
        <v>57.3</v>
      </c>
      <c r="F276" t="s">
        <v>1886</v>
      </c>
      <c r="H276" t="s">
        <v>3016</v>
      </c>
      <c r="I276" t="s">
        <v>4880</v>
      </c>
      <c r="K276" t="s">
        <v>6025</v>
      </c>
      <c r="L276" t="s">
        <v>6026</v>
      </c>
    </row>
    <row r="277" spans="1:12" x14ac:dyDescent="0.35">
      <c r="A277" t="s">
        <v>156</v>
      </c>
      <c r="B277" t="s">
        <v>178</v>
      </c>
      <c r="C277" t="s">
        <v>698</v>
      </c>
      <c r="D277">
        <v>31.6</v>
      </c>
      <c r="F277" t="s">
        <v>1884</v>
      </c>
      <c r="H277" t="s">
        <v>3016</v>
      </c>
      <c r="I277" t="s">
        <v>4880</v>
      </c>
      <c r="K277" t="s">
        <v>6025</v>
      </c>
      <c r="L277" t="s">
        <v>6026</v>
      </c>
    </row>
    <row r="278" spans="1:12" x14ac:dyDescent="0.35">
      <c r="A278" t="s">
        <v>156</v>
      </c>
      <c r="B278" t="s">
        <v>417</v>
      </c>
      <c r="C278" t="s">
        <v>699</v>
      </c>
      <c r="D278">
        <v>0.3</v>
      </c>
      <c r="F278" t="s">
        <v>1401</v>
      </c>
      <c r="H278" t="s">
        <v>3021</v>
      </c>
      <c r="I278" t="s">
        <v>1360</v>
      </c>
      <c r="K278" t="s">
        <v>6025</v>
      </c>
      <c r="L278" t="s">
        <v>6026</v>
      </c>
    </row>
    <row r="279" spans="1:12" x14ac:dyDescent="0.35">
      <c r="A279" t="s">
        <v>156</v>
      </c>
      <c r="B279" t="s">
        <v>417</v>
      </c>
      <c r="C279" t="s">
        <v>163</v>
      </c>
      <c r="D279">
        <v>0.63</v>
      </c>
      <c r="F279" t="s">
        <v>1931</v>
      </c>
      <c r="H279" t="s">
        <v>3021</v>
      </c>
      <c r="I279" t="s">
        <v>1360</v>
      </c>
      <c r="K279" t="s">
        <v>6025</v>
      </c>
      <c r="L279" t="s">
        <v>6026</v>
      </c>
    </row>
    <row r="280" spans="1:12" x14ac:dyDescent="0.35">
      <c r="A280" t="s">
        <v>156</v>
      </c>
      <c r="B280" t="s">
        <v>417</v>
      </c>
      <c r="C280" t="s">
        <v>699</v>
      </c>
      <c r="D280">
        <v>0.15</v>
      </c>
      <c r="F280" t="s">
        <v>1269</v>
      </c>
      <c r="H280" t="s">
        <v>3020</v>
      </c>
      <c r="I280" t="s">
        <v>1360</v>
      </c>
      <c r="K280" t="s">
        <v>6025</v>
      </c>
      <c r="L280" t="s">
        <v>6026</v>
      </c>
    </row>
    <row r="281" spans="1:12" x14ac:dyDescent="0.35">
      <c r="A281" t="s">
        <v>156</v>
      </c>
      <c r="B281" t="s">
        <v>417</v>
      </c>
      <c r="C281" t="s">
        <v>691</v>
      </c>
      <c r="D281">
        <v>0.73</v>
      </c>
      <c r="F281" t="s">
        <v>2007</v>
      </c>
      <c r="H281" t="s">
        <v>3021</v>
      </c>
      <c r="I281" t="s">
        <v>1360</v>
      </c>
      <c r="K281" t="s">
        <v>6025</v>
      </c>
      <c r="L281" t="s">
        <v>6026</v>
      </c>
    </row>
    <row r="282" spans="1:12" x14ac:dyDescent="0.35">
      <c r="A282" t="s">
        <v>156</v>
      </c>
      <c r="B282" t="s">
        <v>417</v>
      </c>
      <c r="C282" t="s">
        <v>704</v>
      </c>
      <c r="D282">
        <v>1.05</v>
      </c>
      <c r="F282" t="s">
        <v>1717</v>
      </c>
      <c r="H282" t="s">
        <v>3025</v>
      </c>
      <c r="I282" t="s">
        <v>1360</v>
      </c>
      <c r="K282" t="s">
        <v>6025</v>
      </c>
      <c r="L282" t="s">
        <v>6026</v>
      </c>
    </row>
    <row r="283" spans="1:12" x14ac:dyDescent="0.35">
      <c r="A283" t="s">
        <v>156</v>
      </c>
      <c r="B283" t="s">
        <v>417</v>
      </c>
      <c r="C283" t="s">
        <v>691</v>
      </c>
      <c r="D283">
        <v>0.11</v>
      </c>
      <c r="F283" t="s">
        <v>1295</v>
      </c>
      <c r="H283" t="s">
        <v>3024</v>
      </c>
      <c r="I283" t="s">
        <v>1360</v>
      </c>
      <c r="K283" t="s">
        <v>6025</v>
      </c>
      <c r="L283" t="s">
        <v>6026</v>
      </c>
    </row>
    <row r="284" spans="1:12" x14ac:dyDescent="0.35">
      <c r="A284" t="s">
        <v>156</v>
      </c>
      <c r="B284" t="s">
        <v>417</v>
      </c>
      <c r="C284" t="s">
        <v>698</v>
      </c>
      <c r="D284">
        <v>1.55</v>
      </c>
      <c r="F284" t="s">
        <v>1726</v>
      </c>
      <c r="H284" t="s">
        <v>3023</v>
      </c>
      <c r="I284" t="s">
        <v>1360</v>
      </c>
      <c r="K284" t="s">
        <v>6025</v>
      </c>
      <c r="L284" t="s">
        <v>6026</v>
      </c>
    </row>
    <row r="285" spans="1:12" x14ac:dyDescent="0.35">
      <c r="A285" t="s">
        <v>156</v>
      </c>
      <c r="B285" t="s">
        <v>417</v>
      </c>
      <c r="C285" t="s">
        <v>695</v>
      </c>
      <c r="D285">
        <v>1.19</v>
      </c>
      <c r="F285" t="s">
        <v>2480</v>
      </c>
      <c r="H285" t="s">
        <v>3019</v>
      </c>
      <c r="I285" t="s">
        <v>1360</v>
      </c>
      <c r="K285" t="s">
        <v>6025</v>
      </c>
      <c r="L285" t="s">
        <v>6026</v>
      </c>
    </row>
    <row r="286" spans="1:12" x14ac:dyDescent="0.35">
      <c r="A286" t="s">
        <v>156</v>
      </c>
      <c r="B286" t="s">
        <v>417</v>
      </c>
      <c r="C286" t="s">
        <v>162</v>
      </c>
      <c r="D286">
        <v>0.89</v>
      </c>
      <c r="F286" t="s">
        <v>1840</v>
      </c>
      <c r="H286" t="s">
        <v>3026</v>
      </c>
      <c r="I286" t="s">
        <v>1360</v>
      </c>
      <c r="K286" t="s">
        <v>6025</v>
      </c>
      <c r="L286" t="s">
        <v>6026</v>
      </c>
    </row>
    <row r="287" spans="1:12" x14ac:dyDescent="0.35">
      <c r="A287" t="s">
        <v>156</v>
      </c>
      <c r="B287" t="s">
        <v>417</v>
      </c>
      <c r="C287" t="s">
        <v>725</v>
      </c>
      <c r="D287">
        <v>0.121</v>
      </c>
      <c r="F287" t="s">
        <v>2177</v>
      </c>
      <c r="H287" t="s">
        <v>3022</v>
      </c>
      <c r="I287" t="s">
        <v>1360</v>
      </c>
      <c r="K287" t="s">
        <v>6025</v>
      </c>
      <c r="L287" t="s">
        <v>6026</v>
      </c>
    </row>
    <row r="288" spans="1:12" x14ac:dyDescent="0.35">
      <c r="A288" t="s">
        <v>156</v>
      </c>
      <c r="B288" t="s">
        <v>175</v>
      </c>
      <c r="C288" t="s">
        <v>164</v>
      </c>
      <c r="D288">
        <v>3.8</v>
      </c>
      <c r="F288" t="s">
        <v>1388</v>
      </c>
      <c r="H288" t="s">
        <v>3028</v>
      </c>
      <c r="I288" t="s">
        <v>1848</v>
      </c>
      <c r="K288" t="s">
        <v>6025</v>
      </c>
      <c r="L288" t="s">
        <v>6026</v>
      </c>
    </row>
    <row r="289" spans="1:12" x14ac:dyDescent="0.35">
      <c r="A289" t="s">
        <v>156</v>
      </c>
      <c r="B289" t="s">
        <v>175</v>
      </c>
      <c r="C289" t="s">
        <v>163</v>
      </c>
      <c r="D289">
        <v>0.3</v>
      </c>
      <c r="F289" t="s">
        <v>1401</v>
      </c>
      <c r="H289" t="s">
        <v>3027</v>
      </c>
      <c r="I289" t="s">
        <v>1848</v>
      </c>
      <c r="K289" t="s">
        <v>6025</v>
      </c>
      <c r="L289" t="s">
        <v>6026</v>
      </c>
    </row>
    <row r="290" spans="1:12" x14ac:dyDescent="0.35">
      <c r="A290" t="s">
        <v>156</v>
      </c>
      <c r="B290" t="s">
        <v>175</v>
      </c>
      <c r="C290" t="s">
        <v>695</v>
      </c>
      <c r="D290">
        <v>1</v>
      </c>
      <c r="F290" t="s">
        <v>1317</v>
      </c>
      <c r="H290" t="s">
        <v>3028</v>
      </c>
      <c r="I290" t="s">
        <v>1848</v>
      </c>
      <c r="K290" t="s">
        <v>6025</v>
      </c>
      <c r="L290" t="s">
        <v>6026</v>
      </c>
    </row>
    <row r="291" spans="1:12" x14ac:dyDescent="0.35">
      <c r="A291" t="s">
        <v>156</v>
      </c>
      <c r="B291" t="s">
        <v>175</v>
      </c>
      <c r="C291" t="s">
        <v>164</v>
      </c>
      <c r="D291">
        <v>69</v>
      </c>
      <c r="F291" t="s">
        <v>4899</v>
      </c>
      <c r="H291" t="s">
        <v>3028</v>
      </c>
      <c r="I291" t="s">
        <v>1848</v>
      </c>
      <c r="K291" t="s">
        <v>6025</v>
      </c>
      <c r="L291" t="s">
        <v>6026</v>
      </c>
    </row>
    <row r="292" spans="1:12" x14ac:dyDescent="0.35">
      <c r="A292" t="s">
        <v>156</v>
      </c>
      <c r="B292" t="s">
        <v>175</v>
      </c>
      <c r="C292" t="s">
        <v>695</v>
      </c>
      <c r="D292">
        <v>1.2</v>
      </c>
      <c r="F292" t="s">
        <v>1421</v>
      </c>
      <c r="H292" t="s">
        <v>3027</v>
      </c>
      <c r="I292" t="s">
        <v>1848</v>
      </c>
      <c r="K292" t="s">
        <v>6025</v>
      </c>
      <c r="L292" t="s">
        <v>6026</v>
      </c>
    </row>
    <row r="293" spans="1:12" x14ac:dyDescent="0.35">
      <c r="A293" t="s">
        <v>156</v>
      </c>
      <c r="B293" t="s">
        <v>175</v>
      </c>
      <c r="C293" t="s">
        <v>727</v>
      </c>
      <c r="D293">
        <v>1.2</v>
      </c>
      <c r="F293" t="s">
        <v>1421</v>
      </c>
      <c r="H293" t="s">
        <v>3028</v>
      </c>
      <c r="I293" t="s">
        <v>1848</v>
      </c>
      <c r="K293" t="s">
        <v>6025</v>
      </c>
      <c r="L293" t="s">
        <v>6026</v>
      </c>
    </row>
    <row r="294" spans="1:12" x14ac:dyDescent="0.35">
      <c r="A294" t="s">
        <v>156</v>
      </c>
      <c r="B294" t="s">
        <v>175</v>
      </c>
      <c r="C294" t="s">
        <v>695</v>
      </c>
      <c r="D294">
        <v>83</v>
      </c>
      <c r="F294" t="s">
        <v>4921</v>
      </c>
      <c r="H294" t="s">
        <v>3028</v>
      </c>
      <c r="I294" t="s">
        <v>1848</v>
      </c>
      <c r="K294" t="s">
        <v>6025</v>
      </c>
      <c r="L294" t="s">
        <v>6026</v>
      </c>
    </row>
    <row r="295" spans="1:12" x14ac:dyDescent="0.35">
      <c r="A295" t="s">
        <v>156</v>
      </c>
      <c r="B295" t="s">
        <v>175</v>
      </c>
      <c r="C295" t="s">
        <v>163</v>
      </c>
      <c r="D295">
        <v>0.25</v>
      </c>
      <c r="F295" t="s">
        <v>1403</v>
      </c>
      <c r="H295" t="s">
        <v>3028</v>
      </c>
      <c r="I295" t="s">
        <v>1848</v>
      </c>
      <c r="K295" t="s">
        <v>6025</v>
      </c>
      <c r="L295" t="s">
        <v>6026</v>
      </c>
    </row>
    <row r="296" spans="1:12" x14ac:dyDescent="0.35">
      <c r="A296" t="s">
        <v>235</v>
      </c>
      <c r="B296" t="s">
        <v>426</v>
      </c>
      <c r="C296" t="s">
        <v>704</v>
      </c>
      <c r="D296">
        <v>3</v>
      </c>
      <c r="F296" t="s">
        <v>1368</v>
      </c>
      <c r="H296" t="s">
        <v>3057</v>
      </c>
      <c r="I296" t="s">
        <v>4894</v>
      </c>
      <c r="K296" t="s">
        <v>6025</v>
      </c>
      <c r="L296" t="s">
        <v>6026</v>
      </c>
    </row>
    <row r="297" spans="1:12" x14ac:dyDescent="0.35">
      <c r="A297" t="s">
        <v>235</v>
      </c>
      <c r="B297" t="s">
        <v>426</v>
      </c>
      <c r="C297" t="s">
        <v>746</v>
      </c>
      <c r="D297">
        <v>2.5</v>
      </c>
      <c r="F297" t="s">
        <v>1406</v>
      </c>
      <c r="H297" t="s">
        <v>3058</v>
      </c>
      <c r="I297" t="s">
        <v>4894</v>
      </c>
      <c r="K297" t="s">
        <v>6025</v>
      </c>
      <c r="L297" t="s">
        <v>6026</v>
      </c>
    </row>
    <row r="298" spans="1:12" x14ac:dyDescent="0.35">
      <c r="A298" t="s">
        <v>235</v>
      </c>
      <c r="B298" t="s">
        <v>426</v>
      </c>
      <c r="C298" t="s">
        <v>698</v>
      </c>
      <c r="D298">
        <v>7.4</v>
      </c>
      <c r="F298" t="s">
        <v>2049</v>
      </c>
      <c r="H298" t="s">
        <v>3059</v>
      </c>
      <c r="I298" t="s">
        <v>4894</v>
      </c>
      <c r="K298" t="s">
        <v>6025</v>
      </c>
      <c r="L298" t="s">
        <v>6026</v>
      </c>
    </row>
    <row r="299" spans="1:12" x14ac:dyDescent="0.35">
      <c r="A299" t="s">
        <v>235</v>
      </c>
      <c r="B299" t="s">
        <v>426</v>
      </c>
      <c r="C299" t="s">
        <v>695</v>
      </c>
      <c r="D299">
        <v>4</v>
      </c>
      <c r="F299" t="s">
        <v>1379</v>
      </c>
      <c r="H299" t="s">
        <v>3057</v>
      </c>
      <c r="I299" t="s">
        <v>4894</v>
      </c>
      <c r="K299" t="s">
        <v>6025</v>
      </c>
      <c r="L299" t="s">
        <v>6026</v>
      </c>
    </row>
    <row r="300" spans="1:12" x14ac:dyDescent="0.35">
      <c r="A300" t="s">
        <v>235</v>
      </c>
      <c r="B300" t="s">
        <v>426</v>
      </c>
      <c r="C300" t="s">
        <v>163</v>
      </c>
      <c r="D300">
        <v>12.5</v>
      </c>
      <c r="F300" t="s">
        <v>5183</v>
      </c>
      <c r="H300" t="s">
        <v>3056</v>
      </c>
      <c r="I300" t="s">
        <v>4894</v>
      </c>
      <c r="K300" t="s">
        <v>6025</v>
      </c>
      <c r="L300" t="s">
        <v>6026</v>
      </c>
    </row>
    <row r="301" spans="1:12" x14ac:dyDescent="0.35">
      <c r="A301" t="s">
        <v>235</v>
      </c>
      <c r="B301" t="s">
        <v>426</v>
      </c>
      <c r="C301" t="s">
        <v>164</v>
      </c>
      <c r="D301">
        <v>10.3</v>
      </c>
      <c r="F301" t="s">
        <v>2219</v>
      </c>
      <c r="H301" t="s">
        <v>3060</v>
      </c>
      <c r="I301" t="s">
        <v>4894</v>
      </c>
      <c r="K301" t="s">
        <v>6025</v>
      </c>
      <c r="L301" t="s">
        <v>6026</v>
      </c>
    </row>
    <row r="302" spans="1:12" x14ac:dyDescent="0.35">
      <c r="A302" t="s">
        <v>235</v>
      </c>
      <c r="B302" t="s">
        <v>426</v>
      </c>
      <c r="C302" t="s">
        <v>746</v>
      </c>
      <c r="D302">
        <v>13.2</v>
      </c>
      <c r="F302" t="s">
        <v>1436</v>
      </c>
      <c r="H302" t="s">
        <v>3059</v>
      </c>
      <c r="I302" t="s">
        <v>4894</v>
      </c>
      <c r="K302" t="s">
        <v>6025</v>
      </c>
      <c r="L302" t="s">
        <v>6026</v>
      </c>
    </row>
    <row r="303" spans="1:12" x14ac:dyDescent="0.35">
      <c r="A303" t="s">
        <v>235</v>
      </c>
      <c r="B303" t="s">
        <v>426</v>
      </c>
      <c r="C303" t="s">
        <v>707</v>
      </c>
      <c r="D303">
        <v>4.0999999999999996</v>
      </c>
      <c r="F303" t="s">
        <v>1385</v>
      </c>
      <c r="H303" t="s">
        <v>3057</v>
      </c>
      <c r="I303" t="s">
        <v>4894</v>
      </c>
      <c r="K303" t="s">
        <v>6025</v>
      </c>
      <c r="L303" t="s">
        <v>6026</v>
      </c>
    </row>
    <row r="304" spans="1:12" x14ac:dyDescent="0.35">
      <c r="A304" t="s">
        <v>235</v>
      </c>
      <c r="B304" t="s">
        <v>428</v>
      </c>
      <c r="C304" t="s">
        <v>688</v>
      </c>
      <c r="D304">
        <v>16.899999999999999</v>
      </c>
      <c r="F304" t="s">
        <v>1806</v>
      </c>
      <c r="H304" t="s">
        <v>3075</v>
      </c>
      <c r="I304" t="s">
        <v>2254</v>
      </c>
      <c r="K304" t="s">
        <v>6025</v>
      </c>
      <c r="L304" t="s">
        <v>6026</v>
      </c>
    </row>
    <row r="305" spans="1:12" x14ac:dyDescent="0.35">
      <c r="A305" t="s">
        <v>235</v>
      </c>
      <c r="B305" t="s">
        <v>428</v>
      </c>
      <c r="C305" t="s">
        <v>690</v>
      </c>
      <c r="D305">
        <v>16.89</v>
      </c>
      <c r="F305" t="s">
        <v>5184</v>
      </c>
      <c r="H305" t="s">
        <v>3075</v>
      </c>
      <c r="I305" t="s">
        <v>2254</v>
      </c>
      <c r="K305" t="s">
        <v>6025</v>
      </c>
      <c r="L305" t="s">
        <v>6026</v>
      </c>
    </row>
    <row r="306" spans="1:12" x14ac:dyDescent="0.35">
      <c r="A306" t="s">
        <v>235</v>
      </c>
      <c r="B306" t="s">
        <v>353</v>
      </c>
      <c r="C306" t="s">
        <v>691</v>
      </c>
      <c r="D306">
        <v>500</v>
      </c>
      <c r="F306" t="s">
        <v>5185</v>
      </c>
      <c r="H306" t="s">
        <v>3082</v>
      </c>
      <c r="I306" t="s">
        <v>1379</v>
      </c>
      <c r="K306" t="s">
        <v>6025</v>
      </c>
      <c r="L306" t="s">
        <v>6026</v>
      </c>
    </row>
    <row r="307" spans="1:12" x14ac:dyDescent="0.35">
      <c r="A307" t="s">
        <v>235</v>
      </c>
      <c r="B307" t="s">
        <v>353</v>
      </c>
      <c r="C307" t="s">
        <v>695</v>
      </c>
      <c r="D307">
        <v>500</v>
      </c>
      <c r="F307" t="s">
        <v>5185</v>
      </c>
      <c r="H307" t="s">
        <v>3079</v>
      </c>
      <c r="I307" t="s">
        <v>2051</v>
      </c>
      <c r="K307" t="s">
        <v>6025</v>
      </c>
      <c r="L307" t="s">
        <v>6026</v>
      </c>
    </row>
    <row r="308" spans="1:12" x14ac:dyDescent="0.35">
      <c r="A308" t="s">
        <v>235</v>
      </c>
      <c r="B308" t="s">
        <v>353</v>
      </c>
      <c r="C308" t="s">
        <v>704</v>
      </c>
      <c r="D308">
        <v>160</v>
      </c>
      <c r="F308" t="s">
        <v>5019</v>
      </c>
      <c r="H308" t="s">
        <v>3081</v>
      </c>
      <c r="I308" t="s">
        <v>1533</v>
      </c>
      <c r="K308" t="s">
        <v>6025</v>
      </c>
      <c r="L308" t="s">
        <v>6026</v>
      </c>
    </row>
    <row r="309" spans="1:12" x14ac:dyDescent="0.35">
      <c r="A309" t="s">
        <v>235</v>
      </c>
      <c r="B309" t="s">
        <v>353</v>
      </c>
      <c r="C309" t="s">
        <v>698</v>
      </c>
      <c r="D309">
        <v>250</v>
      </c>
      <c r="F309" t="s">
        <v>2048</v>
      </c>
      <c r="H309" t="s">
        <v>5738</v>
      </c>
      <c r="I309" t="s">
        <v>1533</v>
      </c>
      <c r="K309" t="s">
        <v>6025</v>
      </c>
      <c r="L309" t="s">
        <v>6026</v>
      </c>
    </row>
    <row r="310" spans="1:12" x14ac:dyDescent="0.35">
      <c r="A310" t="s">
        <v>235</v>
      </c>
      <c r="B310" t="s">
        <v>353</v>
      </c>
      <c r="C310" t="s">
        <v>704</v>
      </c>
      <c r="D310">
        <v>250</v>
      </c>
      <c r="F310" t="s">
        <v>2048</v>
      </c>
      <c r="H310" t="s">
        <v>3082</v>
      </c>
      <c r="I310" t="s">
        <v>1379</v>
      </c>
      <c r="K310" t="s">
        <v>6025</v>
      </c>
      <c r="L310" t="s">
        <v>6026</v>
      </c>
    </row>
    <row r="311" spans="1:12" x14ac:dyDescent="0.35">
      <c r="A311" t="s">
        <v>235</v>
      </c>
      <c r="B311" t="s">
        <v>353</v>
      </c>
      <c r="C311" t="s">
        <v>704</v>
      </c>
      <c r="D311">
        <v>350</v>
      </c>
      <c r="F311" t="s">
        <v>2319</v>
      </c>
      <c r="H311" t="s">
        <v>3079</v>
      </c>
      <c r="I311" t="s">
        <v>2051</v>
      </c>
      <c r="K311" t="s">
        <v>6025</v>
      </c>
      <c r="L311" t="s">
        <v>6026</v>
      </c>
    </row>
    <row r="312" spans="1:12" x14ac:dyDescent="0.35">
      <c r="A312" t="s">
        <v>235</v>
      </c>
      <c r="B312" t="s">
        <v>353</v>
      </c>
      <c r="C312" t="s">
        <v>688</v>
      </c>
      <c r="D312">
        <v>290</v>
      </c>
      <c r="F312" t="s">
        <v>2404</v>
      </c>
      <c r="H312" t="s">
        <v>3079</v>
      </c>
      <c r="I312" t="s">
        <v>2051</v>
      </c>
      <c r="K312" t="s">
        <v>6025</v>
      </c>
      <c r="L312" t="s">
        <v>6026</v>
      </c>
    </row>
    <row r="313" spans="1:12" x14ac:dyDescent="0.35">
      <c r="A313" t="s">
        <v>235</v>
      </c>
      <c r="B313" t="s">
        <v>353</v>
      </c>
      <c r="C313" t="s">
        <v>688</v>
      </c>
      <c r="D313">
        <v>140</v>
      </c>
      <c r="F313" t="s">
        <v>1515</v>
      </c>
      <c r="H313" t="s">
        <v>3081</v>
      </c>
      <c r="I313" t="s">
        <v>1533</v>
      </c>
      <c r="K313" t="s">
        <v>6025</v>
      </c>
      <c r="L313" t="s">
        <v>6026</v>
      </c>
    </row>
    <row r="314" spans="1:12" x14ac:dyDescent="0.35">
      <c r="A314" t="s">
        <v>235</v>
      </c>
      <c r="B314" t="s">
        <v>353</v>
      </c>
      <c r="C314" t="s">
        <v>695</v>
      </c>
      <c r="D314">
        <v>210</v>
      </c>
      <c r="F314" t="s">
        <v>2403</v>
      </c>
      <c r="H314" t="s">
        <v>3081</v>
      </c>
      <c r="I314" t="s">
        <v>1533</v>
      </c>
      <c r="K314" t="s">
        <v>6025</v>
      </c>
      <c r="L314" t="s">
        <v>6026</v>
      </c>
    </row>
    <row r="315" spans="1:12" x14ac:dyDescent="0.35">
      <c r="A315" t="s">
        <v>235</v>
      </c>
      <c r="B315" t="s">
        <v>353</v>
      </c>
      <c r="C315" t="s">
        <v>698</v>
      </c>
      <c r="D315">
        <v>1200</v>
      </c>
      <c r="F315" t="s">
        <v>5186</v>
      </c>
      <c r="H315" t="s">
        <v>5739</v>
      </c>
      <c r="I315" t="s">
        <v>2051</v>
      </c>
      <c r="K315" t="s">
        <v>6025</v>
      </c>
      <c r="L315" t="s">
        <v>6026</v>
      </c>
    </row>
    <row r="316" spans="1:12" x14ac:dyDescent="0.35">
      <c r="A316" t="s">
        <v>235</v>
      </c>
      <c r="B316" t="s">
        <v>353</v>
      </c>
      <c r="C316" t="s">
        <v>163</v>
      </c>
      <c r="D316">
        <v>278</v>
      </c>
      <c r="F316" t="s">
        <v>4985</v>
      </c>
      <c r="H316" t="s">
        <v>3082</v>
      </c>
      <c r="I316" t="s">
        <v>1379</v>
      </c>
      <c r="K316" t="s">
        <v>6025</v>
      </c>
      <c r="L316" t="s">
        <v>6026</v>
      </c>
    </row>
    <row r="317" spans="1:12" x14ac:dyDescent="0.35">
      <c r="A317" t="s">
        <v>235</v>
      </c>
      <c r="B317" t="s">
        <v>353</v>
      </c>
      <c r="C317" t="s">
        <v>698</v>
      </c>
      <c r="D317">
        <v>152</v>
      </c>
      <c r="F317" t="s">
        <v>4889</v>
      </c>
      <c r="H317" t="s">
        <v>3082</v>
      </c>
      <c r="I317" t="s">
        <v>1379</v>
      </c>
      <c r="K317" t="s">
        <v>6025</v>
      </c>
      <c r="L317" t="s">
        <v>6026</v>
      </c>
    </row>
    <row r="318" spans="1:12" x14ac:dyDescent="0.35">
      <c r="A318" t="s">
        <v>235</v>
      </c>
      <c r="B318" t="s">
        <v>353</v>
      </c>
      <c r="C318" t="s">
        <v>695</v>
      </c>
      <c r="D318">
        <v>333</v>
      </c>
      <c r="F318" t="s">
        <v>5187</v>
      </c>
      <c r="H318" t="s">
        <v>3082</v>
      </c>
      <c r="I318" t="s">
        <v>1379</v>
      </c>
      <c r="K318" t="s">
        <v>6025</v>
      </c>
      <c r="L318" t="s">
        <v>6026</v>
      </c>
    </row>
    <row r="319" spans="1:12" x14ac:dyDescent="0.35">
      <c r="A319" t="s">
        <v>235</v>
      </c>
      <c r="B319" t="s">
        <v>429</v>
      </c>
      <c r="C319" t="s">
        <v>704</v>
      </c>
      <c r="D319">
        <v>62</v>
      </c>
      <c r="F319" t="s">
        <v>4877</v>
      </c>
      <c r="H319" t="s">
        <v>5740</v>
      </c>
      <c r="I319" t="s">
        <v>1335</v>
      </c>
      <c r="K319" t="s">
        <v>6025</v>
      </c>
      <c r="L319" t="s">
        <v>6026</v>
      </c>
    </row>
    <row r="320" spans="1:12" x14ac:dyDescent="0.35">
      <c r="A320" t="s">
        <v>235</v>
      </c>
      <c r="B320" t="s">
        <v>429</v>
      </c>
      <c r="C320" t="s">
        <v>695</v>
      </c>
      <c r="D320">
        <v>72</v>
      </c>
      <c r="F320" t="s">
        <v>4872</v>
      </c>
      <c r="H320" t="s">
        <v>5741</v>
      </c>
      <c r="I320" t="s">
        <v>1335</v>
      </c>
      <c r="K320" t="s">
        <v>6025</v>
      </c>
      <c r="L320" t="s">
        <v>6026</v>
      </c>
    </row>
    <row r="321" spans="1:12" x14ac:dyDescent="0.35">
      <c r="A321" t="s">
        <v>235</v>
      </c>
      <c r="B321" t="s">
        <v>429</v>
      </c>
      <c r="C321" t="s">
        <v>163</v>
      </c>
      <c r="D321">
        <v>225</v>
      </c>
      <c r="F321" t="s">
        <v>4971</v>
      </c>
      <c r="H321" t="s">
        <v>3101</v>
      </c>
      <c r="I321" t="s">
        <v>4895</v>
      </c>
      <c r="K321" t="s">
        <v>6025</v>
      </c>
      <c r="L321" t="s">
        <v>6026</v>
      </c>
    </row>
    <row r="322" spans="1:12" x14ac:dyDescent="0.35">
      <c r="A322" t="s">
        <v>235</v>
      </c>
      <c r="B322" t="s">
        <v>429</v>
      </c>
      <c r="C322" t="s">
        <v>698</v>
      </c>
      <c r="D322">
        <v>253</v>
      </c>
      <c r="F322" t="s">
        <v>5188</v>
      </c>
      <c r="H322" t="s">
        <v>5742</v>
      </c>
      <c r="I322" t="s">
        <v>1335</v>
      </c>
      <c r="K322" t="s">
        <v>6025</v>
      </c>
      <c r="L322" t="s">
        <v>6026</v>
      </c>
    </row>
    <row r="323" spans="1:12" x14ac:dyDescent="0.35">
      <c r="A323" t="s">
        <v>104</v>
      </c>
      <c r="B323" t="s">
        <v>340</v>
      </c>
      <c r="C323" t="s">
        <v>716</v>
      </c>
      <c r="D323">
        <v>98.3</v>
      </c>
      <c r="F323" t="s">
        <v>5189</v>
      </c>
      <c r="H323" t="s">
        <v>5743</v>
      </c>
      <c r="I323" t="s">
        <v>4863</v>
      </c>
      <c r="K323" t="s">
        <v>6025</v>
      </c>
      <c r="L323" t="s">
        <v>6026</v>
      </c>
    </row>
    <row r="324" spans="1:12" x14ac:dyDescent="0.35">
      <c r="A324" t="s">
        <v>104</v>
      </c>
      <c r="B324" t="s">
        <v>340</v>
      </c>
      <c r="C324" t="s">
        <v>750</v>
      </c>
      <c r="D324">
        <v>96.7</v>
      </c>
      <c r="F324" t="s">
        <v>5190</v>
      </c>
      <c r="H324" t="s">
        <v>2842</v>
      </c>
      <c r="I324" t="s">
        <v>4863</v>
      </c>
      <c r="K324" t="s">
        <v>6025</v>
      </c>
      <c r="L324" t="s">
        <v>6026</v>
      </c>
    </row>
    <row r="325" spans="1:12" x14ac:dyDescent="0.35">
      <c r="A325" t="s">
        <v>104</v>
      </c>
      <c r="B325" t="s">
        <v>432</v>
      </c>
      <c r="C325" t="s">
        <v>750</v>
      </c>
      <c r="D325">
        <v>154.30000000000001</v>
      </c>
      <c r="F325" t="s">
        <v>5191</v>
      </c>
      <c r="H325" t="s">
        <v>2842</v>
      </c>
      <c r="I325" t="s">
        <v>2393</v>
      </c>
      <c r="K325" t="s">
        <v>6025</v>
      </c>
      <c r="L325" t="s">
        <v>6026</v>
      </c>
    </row>
    <row r="326" spans="1:12" x14ac:dyDescent="0.35">
      <c r="A326" t="s">
        <v>104</v>
      </c>
      <c r="B326" t="s">
        <v>432</v>
      </c>
      <c r="C326" t="s">
        <v>162</v>
      </c>
      <c r="D326">
        <v>158.4</v>
      </c>
      <c r="F326" t="s">
        <v>5192</v>
      </c>
      <c r="H326" t="s">
        <v>3111</v>
      </c>
      <c r="I326" t="s">
        <v>2393</v>
      </c>
      <c r="K326" t="s">
        <v>6025</v>
      </c>
      <c r="L326" t="s">
        <v>6026</v>
      </c>
    </row>
    <row r="327" spans="1:12" x14ac:dyDescent="0.35">
      <c r="A327" t="s">
        <v>104</v>
      </c>
      <c r="B327" t="s">
        <v>432</v>
      </c>
      <c r="C327" t="s">
        <v>750</v>
      </c>
      <c r="D327">
        <v>177</v>
      </c>
      <c r="F327" t="s">
        <v>4905</v>
      </c>
      <c r="H327" t="s">
        <v>2842</v>
      </c>
      <c r="I327" t="s">
        <v>2393</v>
      </c>
      <c r="K327" t="s">
        <v>6025</v>
      </c>
      <c r="L327" t="s">
        <v>6026</v>
      </c>
    </row>
    <row r="328" spans="1:12" x14ac:dyDescent="0.35">
      <c r="A328" t="s">
        <v>104</v>
      </c>
      <c r="B328" t="s">
        <v>432</v>
      </c>
      <c r="C328" t="s">
        <v>162</v>
      </c>
      <c r="D328">
        <v>21.6</v>
      </c>
      <c r="F328" t="s">
        <v>5193</v>
      </c>
      <c r="H328" t="s">
        <v>3113</v>
      </c>
      <c r="I328" t="s">
        <v>2393</v>
      </c>
      <c r="K328" t="s">
        <v>6025</v>
      </c>
      <c r="L328" t="s">
        <v>6026</v>
      </c>
    </row>
    <row r="329" spans="1:12" x14ac:dyDescent="0.35">
      <c r="A329" t="s">
        <v>104</v>
      </c>
      <c r="B329" t="s">
        <v>178</v>
      </c>
      <c r="C329" t="s">
        <v>750</v>
      </c>
      <c r="D329">
        <v>324</v>
      </c>
      <c r="F329" t="s">
        <v>5194</v>
      </c>
      <c r="H329" t="s">
        <v>2842</v>
      </c>
      <c r="I329" t="s">
        <v>1752</v>
      </c>
      <c r="K329" t="s">
        <v>6025</v>
      </c>
      <c r="L329" t="s">
        <v>6026</v>
      </c>
    </row>
    <row r="330" spans="1:12" x14ac:dyDescent="0.35">
      <c r="A330" t="s">
        <v>104</v>
      </c>
      <c r="B330" t="s">
        <v>178</v>
      </c>
      <c r="C330" t="s">
        <v>750</v>
      </c>
      <c r="D330">
        <v>268</v>
      </c>
      <c r="F330" t="s">
        <v>2363</v>
      </c>
      <c r="H330" t="s">
        <v>2842</v>
      </c>
      <c r="I330" t="s">
        <v>1752</v>
      </c>
      <c r="K330" t="s">
        <v>6025</v>
      </c>
      <c r="L330" t="s">
        <v>6026</v>
      </c>
    </row>
    <row r="331" spans="1:12" x14ac:dyDescent="0.35">
      <c r="A331" t="s">
        <v>104</v>
      </c>
      <c r="B331" t="s">
        <v>324</v>
      </c>
      <c r="C331" t="s">
        <v>716</v>
      </c>
      <c r="D331">
        <v>2.1</v>
      </c>
      <c r="F331" t="s">
        <v>1399</v>
      </c>
      <c r="H331" t="s">
        <v>3122</v>
      </c>
      <c r="I331" t="s">
        <v>4879</v>
      </c>
      <c r="K331" t="s">
        <v>6025</v>
      </c>
      <c r="L331" t="s">
        <v>6026</v>
      </c>
    </row>
    <row r="332" spans="1:12" x14ac:dyDescent="0.35">
      <c r="A332" t="s">
        <v>104</v>
      </c>
      <c r="B332" t="s">
        <v>324</v>
      </c>
      <c r="C332" t="s">
        <v>716</v>
      </c>
      <c r="D332">
        <v>8.3000000000000007</v>
      </c>
      <c r="F332" t="s">
        <v>1382</v>
      </c>
      <c r="H332" t="s">
        <v>3122</v>
      </c>
      <c r="I332" t="s">
        <v>4879</v>
      </c>
      <c r="K332" t="s">
        <v>6025</v>
      </c>
      <c r="L332" t="s">
        <v>6026</v>
      </c>
    </row>
    <row r="333" spans="1:12" x14ac:dyDescent="0.35">
      <c r="A333" t="s">
        <v>104</v>
      </c>
      <c r="B333" t="s">
        <v>324</v>
      </c>
      <c r="C333" t="s">
        <v>716</v>
      </c>
      <c r="D333">
        <v>4.2</v>
      </c>
      <c r="F333" t="s">
        <v>1868</v>
      </c>
      <c r="H333" t="s">
        <v>3110</v>
      </c>
      <c r="I333" t="s">
        <v>1584</v>
      </c>
      <c r="K333" t="s">
        <v>6025</v>
      </c>
      <c r="L333" t="s">
        <v>6026</v>
      </c>
    </row>
    <row r="334" spans="1:12" x14ac:dyDescent="0.35">
      <c r="A334" t="s">
        <v>104</v>
      </c>
      <c r="B334" t="s">
        <v>324</v>
      </c>
      <c r="C334" t="s">
        <v>716</v>
      </c>
      <c r="D334">
        <v>12.2</v>
      </c>
      <c r="F334" t="s">
        <v>1471</v>
      </c>
      <c r="H334" t="s">
        <v>5744</v>
      </c>
      <c r="I334" t="s">
        <v>4879</v>
      </c>
      <c r="K334" t="s">
        <v>6025</v>
      </c>
      <c r="L334" t="s">
        <v>6026</v>
      </c>
    </row>
    <row r="335" spans="1:12" x14ac:dyDescent="0.35">
      <c r="A335" t="s">
        <v>104</v>
      </c>
      <c r="B335" t="s">
        <v>324</v>
      </c>
      <c r="C335" t="s">
        <v>716</v>
      </c>
      <c r="D335">
        <v>30.8</v>
      </c>
      <c r="F335" t="s">
        <v>5195</v>
      </c>
      <c r="H335" t="s">
        <v>3163</v>
      </c>
      <c r="I335" t="s">
        <v>1584</v>
      </c>
      <c r="K335" t="s">
        <v>6025</v>
      </c>
      <c r="L335" t="s">
        <v>6026</v>
      </c>
    </row>
    <row r="336" spans="1:12" x14ac:dyDescent="0.35">
      <c r="A336" t="s">
        <v>104</v>
      </c>
      <c r="B336" t="s">
        <v>324</v>
      </c>
      <c r="C336" t="s">
        <v>709</v>
      </c>
      <c r="D336">
        <v>40.6</v>
      </c>
      <c r="F336" t="s">
        <v>5196</v>
      </c>
      <c r="H336" t="s">
        <v>3120</v>
      </c>
      <c r="I336" t="s">
        <v>1584</v>
      </c>
      <c r="K336" t="s">
        <v>6025</v>
      </c>
      <c r="L336" t="s">
        <v>6026</v>
      </c>
    </row>
    <row r="337" spans="1:12" x14ac:dyDescent="0.35">
      <c r="A337" t="s">
        <v>104</v>
      </c>
      <c r="B337" t="s">
        <v>324</v>
      </c>
      <c r="C337" t="s">
        <v>716</v>
      </c>
      <c r="D337">
        <v>200.3</v>
      </c>
      <c r="F337" t="s">
        <v>5197</v>
      </c>
      <c r="H337" t="s">
        <v>3120</v>
      </c>
      <c r="I337" t="s">
        <v>1584</v>
      </c>
      <c r="K337" t="s">
        <v>6025</v>
      </c>
      <c r="L337" t="s">
        <v>6026</v>
      </c>
    </row>
    <row r="338" spans="1:12" x14ac:dyDescent="0.35">
      <c r="A338" t="s">
        <v>104</v>
      </c>
      <c r="B338" t="s">
        <v>175</v>
      </c>
      <c r="C338" t="s">
        <v>750</v>
      </c>
      <c r="D338">
        <v>3</v>
      </c>
      <c r="F338" t="s">
        <v>1368</v>
      </c>
      <c r="H338" t="s">
        <v>2842</v>
      </c>
      <c r="I338" t="s">
        <v>1353</v>
      </c>
      <c r="K338" t="s">
        <v>6025</v>
      </c>
      <c r="L338" t="s">
        <v>6026</v>
      </c>
    </row>
    <row r="339" spans="1:12" x14ac:dyDescent="0.35">
      <c r="A339" t="s">
        <v>104</v>
      </c>
      <c r="B339" t="s">
        <v>175</v>
      </c>
      <c r="C339" t="s">
        <v>750</v>
      </c>
      <c r="D339">
        <v>2</v>
      </c>
      <c r="F339" t="s">
        <v>1372</v>
      </c>
      <c r="H339" t="s">
        <v>2842</v>
      </c>
      <c r="I339" t="s">
        <v>1353</v>
      </c>
      <c r="K339" t="s">
        <v>6025</v>
      </c>
      <c r="L339" t="s">
        <v>6026</v>
      </c>
    </row>
    <row r="340" spans="1:12" x14ac:dyDescent="0.35">
      <c r="A340" t="s">
        <v>104</v>
      </c>
      <c r="B340" t="s">
        <v>175</v>
      </c>
      <c r="C340" t="s">
        <v>750</v>
      </c>
      <c r="D340">
        <v>21</v>
      </c>
      <c r="F340" t="s">
        <v>2051</v>
      </c>
      <c r="H340" t="s">
        <v>2842</v>
      </c>
      <c r="I340" t="s">
        <v>1353</v>
      </c>
      <c r="K340" t="s">
        <v>6025</v>
      </c>
      <c r="L340" t="s">
        <v>6026</v>
      </c>
    </row>
    <row r="341" spans="1:12" x14ac:dyDescent="0.35">
      <c r="A341" t="s">
        <v>104</v>
      </c>
      <c r="B341" t="s">
        <v>175</v>
      </c>
      <c r="C341" t="s">
        <v>750</v>
      </c>
      <c r="D341">
        <v>27</v>
      </c>
      <c r="F341" t="s">
        <v>2364</v>
      </c>
      <c r="H341" t="s">
        <v>2842</v>
      </c>
      <c r="I341" t="s">
        <v>1353</v>
      </c>
      <c r="K341" t="s">
        <v>6025</v>
      </c>
      <c r="L341" t="s">
        <v>6026</v>
      </c>
    </row>
    <row r="342" spans="1:12" x14ac:dyDescent="0.35">
      <c r="A342" t="s">
        <v>104</v>
      </c>
      <c r="B342" t="s">
        <v>175</v>
      </c>
      <c r="C342" t="s">
        <v>750</v>
      </c>
      <c r="D342">
        <v>30</v>
      </c>
      <c r="F342" t="s">
        <v>1354</v>
      </c>
      <c r="H342" t="s">
        <v>2842</v>
      </c>
      <c r="I342" t="s">
        <v>1353</v>
      </c>
      <c r="K342" t="s">
        <v>6025</v>
      </c>
      <c r="L342" t="s">
        <v>6026</v>
      </c>
    </row>
    <row r="343" spans="1:12" x14ac:dyDescent="0.35">
      <c r="A343" t="s">
        <v>104</v>
      </c>
      <c r="B343" t="s">
        <v>175</v>
      </c>
      <c r="C343" t="s">
        <v>750</v>
      </c>
      <c r="D343">
        <v>29</v>
      </c>
      <c r="F343" t="s">
        <v>1509</v>
      </c>
      <c r="H343" t="s">
        <v>2842</v>
      </c>
      <c r="I343" t="s">
        <v>1353</v>
      </c>
      <c r="K343" t="s">
        <v>6025</v>
      </c>
      <c r="L343" t="s">
        <v>6026</v>
      </c>
    </row>
    <row r="344" spans="1:12" x14ac:dyDescent="0.35">
      <c r="A344" t="s">
        <v>104</v>
      </c>
      <c r="B344" t="s">
        <v>175</v>
      </c>
      <c r="C344" t="s">
        <v>750</v>
      </c>
      <c r="D344">
        <v>31</v>
      </c>
      <c r="F344" t="s">
        <v>1390</v>
      </c>
      <c r="H344" t="s">
        <v>2842</v>
      </c>
      <c r="I344" t="s">
        <v>1353</v>
      </c>
      <c r="K344" t="s">
        <v>6025</v>
      </c>
      <c r="L344" t="s">
        <v>6026</v>
      </c>
    </row>
    <row r="345" spans="1:12" x14ac:dyDescent="0.35">
      <c r="A345" t="s">
        <v>104</v>
      </c>
      <c r="B345" t="s">
        <v>175</v>
      </c>
      <c r="C345" t="s">
        <v>750</v>
      </c>
      <c r="D345">
        <v>23</v>
      </c>
      <c r="F345" t="s">
        <v>1851</v>
      </c>
      <c r="H345" t="s">
        <v>2842</v>
      </c>
      <c r="I345" t="s">
        <v>1353</v>
      </c>
      <c r="K345" t="s">
        <v>6025</v>
      </c>
      <c r="L345" t="s">
        <v>6026</v>
      </c>
    </row>
    <row r="346" spans="1:12" x14ac:dyDescent="0.35">
      <c r="A346" t="s">
        <v>104</v>
      </c>
      <c r="B346" t="s">
        <v>175</v>
      </c>
      <c r="C346" t="s">
        <v>750</v>
      </c>
      <c r="D346">
        <v>32</v>
      </c>
      <c r="F346" t="s">
        <v>1461</v>
      </c>
      <c r="H346" t="s">
        <v>2842</v>
      </c>
      <c r="I346" t="s">
        <v>1353</v>
      </c>
      <c r="K346" t="s">
        <v>6025</v>
      </c>
      <c r="L346" t="s">
        <v>6026</v>
      </c>
    </row>
    <row r="347" spans="1:12" x14ac:dyDescent="0.35">
      <c r="A347" t="s">
        <v>104</v>
      </c>
      <c r="B347" t="s">
        <v>434</v>
      </c>
      <c r="C347" t="s">
        <v>709</v>
      </c>
      <c r="D347">
        <v>12.7</v>
      </c>
      <c r="F347" t="s">
        <v>2245</v>
      </c>
      <c r="H347" t="s">
        <v>3149</v>
      </c>
      <c r="I347" t="s">
        <v>4853</v>
      </c>
      <c r="K347" t="s">
        <v>6025</v>
      </c>
      <c r="L347" t="s">
        <v>6026</v>
      </c>
    </row>
    <row r="348" spans="1:12" x14ac:dyDescent="0.35">
      <c r="A348" t="s">
        <v>104</v>
      </c>
      <c r="B348" t="s">
        <v>434</v>
      </c>
      <c r="C348" t="s">
        <v>709</v>
      </c>
      <c r="D348">
        <v>21.3</v>
      </c>
      <c r="F348" t="s">
        <v>5198</v>
      </c>
      <c r="H348" t="s">
        <v>3142</v>
      </c>
      <c r="I348" t="s">
        <v>4853</v>
      </c>
      <c r="K348" t="s">
        <v>6025</v>
      </c>
      <c r="L348" t="s">
        <v>6026</v>
      </c>
    </row>
    <row r="349" spans="1:12" x14ac:dyDescent="0.35">
      <c r="A349" t="s">
        <v>104</v>
      </c>
      <c r="B349" t="s">
        <v>434</v>
      </c>
      <c r="C349" t="s">
        <v>716</v>
      </c>
      <c r="D349">
        <v>31.1</v>
      </c>
      <c r="F349" t="s">
        <v>2367</v>
      </c>
      <c r="H349" t="s">
        <v>3144</v>
      </c>
      <c r="I349" t="s">
        <v>4853</v>
      </c>
      <c r="K349" t="s">
        <v>6025</v>
      </c>
      <c r="L349" t="s">
        <v>6026</v>
      </c>
    </row>
    <row r="350" spans="1:12" x14ac:dyDescent="0.35">
      <c r="A350" t="s">
        <v>104</v>
      </c>
      <c r="B350" t="s">
        <v>434</v>
      </c>
      <c r="C350" t="s">
        <v>709</v>
      </c>
      <c r="D350">
        <v>37.700000000000003</v>
      </c>
      <c r="F350" t="s">
        <v>5199</v>
      </c>
      <c r="H350" t="s">
        <v>3150</v>
      </c>
      <c r="I350" t="s">
        <v>4853</v>
      </c>
      <c r="K350" t="s">
        <v>6025</v>
      </c>
      <c r="L350" t="s">
        <v>6026</v>
      </c>
    </row>
    <row r="351" spans="1:12" x14ac:dyDescent="0.35">
      <c r="A351" t="s">
        <v>104</v>
      </c>
      <c r="B351" t="s">
        <v>434</v>
      </c>
      <c r="C351" t="s">
        <v>716</v>
      </c>
      <c r="D351">
        <v>43.4</v>
      </c>
      <c r="F351" t="s">
        <v>5200</v>
      </c>
      <c r="H351" t="s">
        <v>3141</v>
      </c>
      <c r="I351" t="s">
        <v>4853</v>
      </c>
      <c r="K351" t="s">
        <v>6025</v>
      </c>
      <c r="L351" t="s">
        <v>6026</v>
      </c>
    </row>
    <row r="352" spans="1:12" x14ac:dyDescent="0.35">
      <c r="A352" t="s">
        <v>104</v>
      </c>
      <c r="B352" t="s">
        <v>434</v>
      </c>
      <c r="C352" t="s">
        <v>716</v>
      </c>
      <c r="D352">
        <v>40.1</v>
      </c>
      <c r="F352" t="s">
        <v>5201</v>
      </c>
      <c r="H352" t="s">
        <v>3147</v>
      </c>
      <c r="I352" t="s">
        <v>4853</v>
      </c>
      <c r="K352" t="s">
        <v>6025</v>
      </c>
      <c r="L352" t="s">
        <v>6026</v>
      </c>
    </row>
    <row r="353" spans="1:12" x14ac:dyDescent="0.35">
      <c r="A353" t="s">
        <v>104</v>
      </c>
      <c r="B353" t="s">
        <v>434</v>
      </c>
      <c r="C353" t="s">
        <v>709</v>
      </c>
      <c r="D353">
        <v>4.6900000000000004</v>
      </c>
      <c r="F353" t="s">
        <v>5202</v>
      </c>
      <c r="H353" t="s">
        <v>3144</v>
      </c>
      <c r="I353" t="s">
        <v>4853</v>
      </c>
      <c r="K353" t="s">
        <v>6025</v>
      </c>
      <c r="L353" t="s">
        <v>6026</v>
      </c>
    </row>
    <row r="354" spans="1:12" x14ac:dyDescent="0.35">
      <c r="A354" t="s">
        <v>104</v>
      </c>
      <c r="B354" t="s">
        <v>434</v>
      </c>
      <c r="C354" t="s">
        <v>716</v>
      </c>
      <c r="D354">
        <v>2.97</v>
      </c>
      <c r="F354" t="s">
        <v>5203</v>
      </c>
      <c r="H354" t="s">
        <v>3143</v>
      </c>
      <c r="I354" t="s">
        <v>4853</v>
      </c>
      <c r="K354" t="s">
        <v>6025</v>
      </c>
      <c r="L354" t="s">
        <v>6026</v>
      </c>
    </row>
    <row r="355" spans="1:12" x14ac:dyDescent="0.35">
      <c r="A355" t="s">
        <v>104</v>
      </c>
      <c r="B355" t="s">
        <v>434</v>
      </c>
      <c r="C355" t="s">
        <v>709</v>
      </c>
      <c r="D355">
        <v>3.37</v>
      </c>
      <c r="F355" t="s">
        <v>5204</v>
      </c>
      <c r="H355" t="s">
        <v>3146</v>
      </c>
      <c r="I355" t="s">
        <v>4853</v>
      </c>
      <c r="K355" t="s">
        <v>6025</v>
      </c>
      <c r="L355" t="s">
        <v>6026</v>
      </c>
    </row>
    <row r="356" spans="1:12" x14ac:dyDescent="0.35">
      <c r="A356" t="s">
        <v>104</v>
      </c>
      <c r="B356" t="s">
        <v>434</v>
      </c>
      <c r="C356" t="s">
        <v>716</v>
      </c>
      <c r="D356">
        <v>6.48</v>
      </c>
      <c r="F356" t="s">
        <v>5205</v>
      </c>
      <c r="H356" t="s">
        <v>3145</v>
      </c>
      <c r="I356" t="s">
        <v>4853</v>
      </c>
      <c r="K356" t="s">
        <v>6025</v>
      </c>
      <c r="L356" t="s">
        <v>6026</v>
      </c>
    </row>
    <row r="357" spans="1:12" x14ac:dyDescent="0.35">
      <c r="A357" t="s">
        <v>104</v>
      </c>
      <c r="B357" t="s">
        <v>434</v>
      </c>
      <c r="C357" t="s">
        <v>716</v>
      </c>
      <c r="D357">
        <v>42.6</v>
      </c>
      <c r="F357" t="s">
        <v>5206</v>
      </c>
      <c r="H357" t="s">
        <v>5745</v>
      </c>
      <c r="I357" t="s">
        <v>4853</v>
      </c>
      <c r="K357" t="s">
        <v>6025</v>
      </c>
      <c r="L357" t="s">
        <v>6026</v>
      </c>
    </row>
    <row r="358" spans="1:12" x14ac:dyDescent="0.35">
      <c r="A358" t="s">
        <v>104</v>
      </c>
      <c r="B358" t="s">
        <v>434</v>
      </c>
      <c r="C358" t="s">
        <v>709</v>
      </c>
      <c r="D358">
        <v>7.44</v>
      </c>
      <c r="F358" t="s">
        <v>1871</v>
      </c>
      <c r="H358" t="s">
        <v>3145</v>
      </c>
      <c r="I358" t="s">
        <v>4853</v>
      </c>
      <c r="K358" t="s">
        <v>6025</v>
      </c>
      <c r="L358" t="s">
        <v>6026</v>
      </c>
    </row>
    <row r="359" spans="1:12" x14ac:dyDescent="0.35">
      <c r="A359" t="s">
        <v>104</v>
      </c>
      <c r="B359" t="s">
        <v>324</v>
      </c>
      <c r="C359" t="s">
        <v>750</v>
      </c>
      <c r="D359">
        <v>1.6</v>
      </c>
      <c r="F359" t="s">
        <v>1328</v>
      </c>
      <c r="H359" t="s">
        <v>2842</v>
      </c>
      <c r="I359" t="s">
        <v>4854</v>
      </c>
      <c r="K359" t="s">
        <v>6025</v>
      </c>
      <c r="L359" t="s">
        <v>6026</v>
      </c>
    </row>
    <row r="360" spans="1:12" x14ac:dyDescent="0.35">
      <c r="A360" t="s">
        <v>104</v>
      </c>
      <c r="B360" t="s">
        <v>324</v>
      </c>
      <c r="C360" t="s">
        <v>750</v>
      </c>
      <c r="D360">
        <v>3.6</v>
      </c>
      <c r="F360" t="s">
        <v>1391</v>
      </c>
      <c r="H360" t="s">
        <v>2842</v>
      </c>
      <c r="I360" t="s">
        <v>4886</v>
      </c>
      <c r="K360" t="s">
        <v>6025</v>
      </c>
      <c r="L360" t="s">
        <v>6026</v>
      </c>
    </row>
    <row r="361" spans="1:12" x14ac:dyDescent="0.35">
      <c r="A361" t="s">
        <v>104</v>
      </c>
      <c r="B361" t="s">
        <v>324</v>
      </c>
      <c r="C361" t="s">
        <v>750</v>
      </c>
      <c r="D361">
        <v>36.700000000000003</v>
      </c>
      <c r="F361" t="s">
        <v>5207</v>
      </c>
      <c r="H361" t="s">
        <v>2842</v>
      </c>
      <c r="I361" t="s">
        <v>4886</v>
      </c>
      <c r="K361" t="s">
        <v>6025</v>
      </c>
      <c r="L361" t="s">
        <v>6026</v>
      </c>
    </row>
    <row r="362" spans="1:12" x14ac:dyDescent="0.35">
      <c r="A362" t="s">
        <v>104</v>
      </c>
      <c r="B362" t="s">
        <v>324</v>
      </c>
      <c r="C362" t="s">
        <v>750</v>
      </c>
      <c r="D362">
        <v>4</v>
      </c>
      <c r="F362" t="s">
        <v>1379</v>
      </c>
      <c r="H362" t="s">
        <v>2842</v>
      </c>
      <c r="I362" t="s">
        <v>4886</v>
      </c>
      <c r="K362" t="s">
        <v>6025</v>
      </c>
      <c r="L362" t="s">
        <v>6026</v>
      </c>
    </row>
    <row r="363" spans="1:12" x14ac:dyDescent="0.35">
      <c r="A363" t="s">
        <v>104</v>
      </c>
      <c r="B363" t="s">
        <v>324</v>
      </c>
      <c r="C363" t="s">
        <v>750</v>
      </c>
      <c r="D363">
        <v>29.8</v>
      </c>
      <c r="F363" t="s">
        <v>2002</v>
      </c>
      <c r="H363" t="s">
        <v>2842</v>
      </c>
      <c r="I363" t="s">
        <v>4886</v>
      </c>
      <c r="K363" t="s">
        <v>6025</v>
      </c>
      <c r="L363" t="s">
        <v>6026</v>
      </c>
    </row>
    <row r="364" spans="1:12" x14ac:dyDescent="0.35">
      <c r="A364" t="s">
        <v>104</v>
      </c>
      <c r="B364" t="s">
        <v>324</v>
      </c>
      <c r="C364" t="s">
        <v>750</v>
      </c>
      <c r="D364">
        <v>269</v>
      </c>
      <c r="F364" t="s">
        <v>5022</v>
      </c>
      <c r="H364" t="s">
        <v>2842</v>
      </c>
      <c r="I364" t="s">
        <v>4854</v>
      </c>
      <c r="K364" t="s">
        <v>6025</v>
      </c>
      <c r="L364" t="s">
        <v>6026</v>
      </c>
    </row>
    <row r="365" spans="1:12" x14ac:dyDescent="0.35">
      <c r="A365" t="s">
        <v>104</v>
      </c>
      <c r="B365" t="s">
        <v>324</v>
      </c>
      <c r="C365" t="s">
        <v>750</v>
      </c>
      <c r="D365">
        <v>5.6</v>
      </c>
      <c r="F365" t="s">
        <v>1847</v>
      </c>
      <c r="H365" t="s">
        <v>2842</v>
      </c>
      <c r="I365" t="s">
        <v>4854</v>
      </c>
      <c r="K365" t="s">
        <v>6025</v>
      </c>
      <c r="L365" t="s">
        <v>6026</v>
      </c>
    </row>
    <row r="366" spans="1:12" x14ac:dyDescent="0.35">
      <c r="A366" t="s">
        <v>104</v>
      </c>
      <c r="B366" t="s">
        <v>324</v>
      </c>
      <c r="C366" t="s">
        <v>750</v>
      </c>
      <c r="D366">
        <v>27.4</v>
      </c>
      <c r="F366" t="s">
        <v>5208</v>
      </c>
      <c r="H366" t="s">
        <v>2842</v>
      </c>
      <c r="I366" t="s">
        <v>4886</v>
      </c>
      <c r="K366" t="s">
        <v>6025</v>
      </c>
      <c r="L366" t="s">
        <v>6026</v>
      </c>
    </row>
    <row r="367" spans="1:12" x14ac:dyDescent="0.35">
      <c r="A367" t="s">
        <v>104</v>
      </c>
      <c r="B367" t="s">
        <v>324</v>
      </c>
      <c r="C367" t="s">
        <v>750</v>
      </c>
      <c r="D367">
        <v>26.3</v>
      </c>
      <c r="F367" t="s">
        <v>1807</v>
      </c>
      <c r="H367" t="s">
        <v>2842</v>
      </c>
      <c r="I367" t="s">
        <v>4886</v>
      </c>
      <c r="K367" t="s">
        <v>6025</v>
      </c>
      <c r="L367" t="s">
        <v>6026</v>
      </c>
    </row>
    <row r="368" spans="1:12" x14ac:dyDescent="0.35">
      <c r="A368" t="s">
        <v>104</v>
      </c>
      <c r="B368" t="s">
        <v>324</v>
      </c>
      <c r="C368" t="s">
        <v>750</v>
      </c>
      <c r="D368">
        <v>32.1</v>
      </c>
      <c r="F368" t="s">
        <v>5209</v>
      </c>
      <c r="H368" t="s">
        <v>2842</v>
      </c>
      <c r="I368" t="s">
        <v>4886</v>
      </c>
      <c r="K368" t="s">
        <v>6025</v>
      </c>
      <c r="L368" t="s">
        <v>6026</v>
      </c>
    </row>
    <row r="369" spans="1:12" x14ac:dyDescent="0.35">
      <c r="A369" t="s">
        <v>104</v>
      </c>
      <c r="B369" t="s">
        <v>324</v>
      </c>
      <c r="C369" t="s">
        <v>750</v>
      </c>
      <c r="D369">
        <v>28.7</v>
      </c>
      <c r="F369" t="s">
        <v>5210</v>
      </c>
      <c r="H369" t="s">
        <v>2842</v>
      </c>
      <c r="I369" t="s">
        <v>4886</v>
      </c>
      <c r="K369" t="s">
        <v>6025</v>
      </c>
      <c r="L369" t="s">
        <v>6026</v>
      </c>
    </row>
    <row r="370" spans="1:12" x14ac:dyDescent="0.35">
      <c r="A370" t="s">
        <v>104</v>
      </c>
      <c r="B370" t="s">
        <v>324</v>
      </c>
      <c r="C370" t="s">
        <v>750</v>
      </c>
      <c r="D370">
        <v>23.2</v>
      </c>
      <c r="F370" t="s">
        <v>5211</v>
      </c>
      <c r="H370" t="s">
        <v>2842</v>
      </c>
      <c r="I370" t="s">
        <v>4854</v>
      </c>
      <c r="K370" t="s">
        <v>6025</v>
      </c>
      <c r="L370" t="s">
        <v>6026</v>
      </c>
    </row>
    <row r="371" spans="1:12" x14ac:dyDescent="0.35">
      <c r="A371" t="s">
        <v>104</v>
      </c>
      <c r="B371" t="s">
        <v>324</v>
      </c>
      <c r="C371" t="s">
        <v>750</v>
      </c>
      <c r="D371">
        <v>3.55</v>
      </c>
      <c r="F371" t="s">
        <v>5212</v>
      </c>
      <c r="H371" t="s">
        <v>2842</v>
      </c>
      <c r="I371" t="s">
        <v>4854</v>
      </c>
      <c r="K371" t="s">
        <v>6025</v>
      </c>
      <c r="L371" t="s">
        <v>6026</v>
      </c>
    </row>
    <row r="372" spans="1:12" x14ac:dyDescent="0.35">
      <c r="A372" t="s">
        <v>104</v>
      </c>
      <c r="B372" t="s">
        <v>324</v>
      </c>
      <c r="C372" t="s">
        <v>709</v>
      </c>
      <c r="D372">
        <v>18.399999999999999</v>
      </c>
      <c r="F372" t="s">
        <v>5213</v>
      </c>
      <c r="H372" t="s">
        <v>3152</v>
      </c>
      <c r="I372" t="s">
        <v>1354</v>
      </c>
      <c r="K372" t="s">
        <v>6025</v>
      </c>
      <c r="L372" t="s">
        <v>6026</v>
      </c>
    </row>
    <row r="373" spans="1:12" x14ac:dyDescent="0.35">
      <c r="A373" t="s">
        <v>104</v>
      </c>
      <c r="B373" t="s">
        <v>324</v>
      </c>
      <c r="C373" t="s">
        <v>750</v>
      </c>
      <c r="D373">
        <v>91</v>
      </c>
      <c r="F373" t="s">
        <v>4928</v>
      </c>
      <c r="H373" t="s">
        <v>2842</v>
      </c>
      <c r="I373" t="s">
        <v>4854</v>
      </c>
      <c r="K373" t="s">
        <v>6025</v>
      </c>
      <c r="L373" t="s">
        <v>6026</v>
      </c>
    </row>
    <row r="374" spans="1:12" x14ac:dyDescent="0.35">
      <c r="A374" t="s">
        <v>104</v>
      </c>
      <c r="B374" t="s">
        <v>324</v>
      </c>
      <c r="C374" t="s">
        <v>750</v>
      </c>
      <c r="D374">
        <v>39.6</v>
      </c>
      <c r="F374" t="s">
        <v>5214</v>
      </c>
      <c r="H374" t="s">
        <v>2842</v>
      </c>
      <c r="I374" t="s">
        <v>4886</v>
      </c>
      <c r="K374" t="s">
        <v>6025</v>
      </c>
      <c r="L374" t="s">
        <v>6026</v>
      </c>
    </row>
    <row r="375" spans="1:12" x14ac:dyDescent="0.35">
      <c r="A375" t="s">
        <v>104</v>
      </c>
      <c r="B375" t="s">
        <v>324</v>
      </c>
      <c r="C375" t="s">
        <v>750</v>
      </c>
      <c r="D375">
        <v>28.1</v>
      </c>
      <c r="F375" t="s">
        <v>5215</v>
      </c>
      <c r="H375" t="s">
        <v>2842</v>
      </c>
      <c r="I375" t="s">
        <v>4886</v>
      </c>
      <c r="K375" t="s">
        <v>6025</v>
      </c>
      <c r="L375" t="s">
        <v>6026</v>
      </c>
    </row>
    <row r="376" spans="1:12" x14ac:dyDescent="0.35">
      <c r="A376" t="s">
        <v>104</v>
      </c>
      <c r="B376" t="s">
        <v>324</v>
      </c>
      <c r="C376" t="s">
        <v>750</v>
      </c>
      <c r="D376">
        <v>85.8</v>
      </c>
      <c r="F376" t="s">
        <v>5216</v>
      </c>
      <c r="H376" t="s">
        <v>2842</v>
      </c>
      <c r="I376" t="s">
        <v>4886</v>
      </c>
      <c r="K376" t="s">
        <v>6025</v>
      </c>
      <c r="L376" t="s">
        <v>6026</v>
      </c>
    </row>
    <row r="377" spans="1:12" x14ac:dyDescent="0.35">
      <c r="A377" t="s">
        <v>104</v>
      </c>
      <c r="B377" t="s">
        <v>324</v>
      </c>
      <c r="C377" t="s">
        <v>716</v>
      </c>
      <c r="D377">
        <v>181.1</v>
      </c>
      <c r="F377" t="s">
        <v>5217</v>
      </c>
      <c r="H377" t="s">
        <v>3152</v>
      </c>
      <c r="I377" t="s">
        <v>1354</v>
      </c>
      <c r="K377" t="s">
        <v>6025</v>
      </c>
      <c r="L377" t="s">
        <v>6026</v>
      </c>
    </row>
    <row r="378" spans="1:12" x14ac:dyDescent="0.35">
      <c r="A378" t="s">
        <v>104</v>
      </c>
      <c r="B378" t="s">
        <v>324</v>
      </c>
      <c r="C378" t="s">
        <v>750</v>
      </c>
      <c r="D378">
        <v>104.4</v>
      </c>
      <c r="F378" t="s">
        <v>5218</v>
      </c>
      <c r="H378" t="s">
        <v>2842</v>
      </c>
      <c r="I378" t="s">
        <v>4861</v>
      </c>
      <c r="K378" t="s">
        <v>6025</v>
      </c>
      <c r="L378" t="s">
        <v>6026</v>
      </c>
    </row>
    <row r="379" spans="1:12" x14ac:dyDescent="0.35">
      <c r="A379" t="s">
        <v>104</v>
      </c>
      <c r="B379" t="s">
        <v>324</v>
      </c>
      <c r="C379" t="s">
        <v>750</v>
      </c>
      <c r="D379">
        <v>151.69999999999999</v>
      </c>
      <c r="F379" t="s">
        <v>5219</v>
      </c>
      <c r="H379" t="s">
        <v>2842</v>
      </c>
      <c r="I379" t="s">
        <v>4861</v>
      </c>
      <c r="K379" t="s">
        <v>6025</v>
      </c>
      <c r="L379" t="s">
        <v>6026</v>
      </c>
    </row>
    <row r="380" spans="1:12" x14ac:dyDescent="0.35">
      <c r="A380" t="s">
        <v>104</v>
      </c>
      <c r="B380" t="s">
        <v>324</v>
      </c>
      <c r="C380" t="s">
        <v>750</v>
      </c>
      <c r="D380">
        <v>8.35</v>
      </c>
      <c r="F380" t="s">
        <v>5220</v>
      </c>
      <c r="H380" t="s">
        <v>2842</v>
      </c>
      <c r="I380" t="s">
        <v>4854</v>
      </c>
      <c r="K380" t="s">
        <v>6025</v>
      </c>
      <c r="L380" t="s">
        <v>6026</v>
      </c>
    </row>
    <row r="381" spans="1:12" x14ac:dyDescent="0.35">
      <c r="A381" t="s">
        <v>104</v>
      </c>
      <c r="B381" t="s">
        <v>324</v>
      </c>
      <c r="C381" t="s">
        <v>750</v>
      </c>
      <c r="D381">
        <v>198.9</v>
      </c>
      <c r="F381" t="s">
        <v>5221</v>
      </c>
      <c r="H381" t="s">
        <v>2842</v>
      </c>
      <c r="I381" t="s">
        <v>4884</v>
      </c>
      <c r="K381" t="s">
        <v>6025</v>
      </c>
      <c r="L381" t="s">
        <v>6026</v>
      </c>
    </row>
    <row r="382" spans="1:12" x14ac:dyDescent="0.35">
      <c r="A382" t="s">
        <v>104</v>
      </c>
      <c r="B382" t="s">
        <v>324</v>
      </c>
      <c r="C382" t="s">
        <v>716</v>
      </c>
      <c r="D382">
        <v>1.1000000000000001</v>
      </c>
      <c r="F382" t="s">
        <v>1505</v>
      </c>
      <c r="H382" t="s">
        <v>5746</v>
      </c>
      <c r="I382" t="s">
        <v>1354</v>
      </c>
      <c r="K382" t="s">
        <v>6025</v>
      </c>
      <c r="L382" t="s">
        <v>6026</v>
      </c>
    </row>
    <row r="383" spans="1:12" x14ac:dyDescent="0.35">
      <c r="A383" t="s">
        <v>104</v>
      </c>
      <c r="B383" t="s">
        <v>324</v>
      </c>
      <c r="C383" t="s">
        <v>716</v>
      </c>
      <c r="D383">
        <v>1.6</v>
      </c>
      <c r="F383" t="s">
        <v>1328</v>
      </c>
      <c r="H383" t="s">
        <v>5747</v>
      </c>
      <c r="I383" t="s">
        <v>4854</v>
      </c>
      <c r="K383" t="s">
        <v>6025</v>
      </c>
      <c r="L383" t="s">
        <v>6026</v>
      </c>
    </row>
    <row r="384" spans="1:12" x14ac:dyDescent="0.35">
      <c r="A384" t="s">
        <v>104</v>
      </c>
      <c r="B384" t="s">
        <v>324</v>
      </c>
      <c r="C384" t="s">
        <v>709</v>
      </c>
      <c r="D384">
        <v>13.5</v>
      </c>
      <c r="F384" t="s">
        <v>5222</v>
      </c>
      <c r="H384" t="s">
        <v>3165</v>
      </c>
      <c r="I384" t="s">
        <v>1584</v>
      </c>
      <c r="K384" t="s">
        <v>6025</v>
      </c>
      <c r="L384" t="s">
        <v>6026</v>
      </c>
    </row>
    <row r="385" spans="1:12" x14ac:dyDescent="0.35">
      <c r="A385" t="s">
        <v>104</v>
      </c>
      <c r="B385" t="s">
        <v>324</v>
      </c>
      <c r="C385" t="s">
        <v>716</v>
      </c>
      <c r="D385">
        <v>0.38</v>
      </c>
      <c r="F385" t="s">
        <v>1624</v>
      </c>
      <c r="H385" t="s">
        <v>3164</v>
      </c>
      <c r="I385" t="s">
        <v>1584</v>
      </c>
      <c r="K385" t="s">
        <v>6025</v>
      </c>
      <c r="L385" t="s">
        <v>6026</v>
      </c>
    </row>
    <row r="386" spans="1:12" x14ac:dyDescent="0.35">
      <c r="A386" t="s">
        <v>104</v>
      </c>
      <c r="B386" t="s">
        <v>324</v>
      </c>
      <c r="C386" t="s">
        <v>716</v>
      </c>
      <c r="D386">
        <v>269</v>
      </c>
      <c r="F386" t="s">
        <v>5022</v>
      </c>
      <c r="H386" t="s">
        <v>5748</v>
      </c>
      <c r="I386" t="s">
        <v>4854</v>
      </c>
      <c r="K386" t="s">
        <v>6025</v>
      </c>
      <c r="L386" t="s">
        <v>6026</v>
      </c>
    </row>
    <row r="387" spans="1:12" x14ac:dyDescent="0.35">
      <c r="A387" t="s">
        <v>104</v>
      </c>
      <c r="B387" t="s">
        <v>324</v>
      </c>
      <c r="C387" t="s">
        <v>716</v>
      </c>
      <c r="D387">
        <v>5.6</v>
      </c>
      <c r="F387" t="s">
        <v>1847</v>
      </c>
      <c r="H387" t="s">
        <v>5749</v>
      </c>
      <c r="I387" t="s">
        <v>4854</v>
      </c>
      <c r="K387" t="s">
        <v>6025</v>
      </c>
      <c r="L387" t="s">
        <v>6026</v>
      </c>
    </row>
    <row r="388" spans="1:12" x14ac:dyDescent="0.35">
      <c r="A388" t="s">
        <v>104</v>
      </c>
      <c r="B388" t="s">
        <v>324</v>
      </c>
      <c r="C388" t="s">
        <v>716</v>
      </c>
      <c r="D388">
        <v>23.2</v>
      </c>
      <c r="F388" t="s">
        <v>5211</v>
      </c>
      <c r="H388" t="s">
        <v>5750</v>
      </c>
      <c r="I388" t="s">
        <v>4854</v>
      </c>
      <c r="K388" t="s">
        <v>6025</v>
      </c>
      <c r="L388" t="s">
        <v>6026</v>
      </c>
    </row>
    <row r="389" spans="1:12" x14ac:dyDescent="0.35">
      <c r="A389" t="s">
        <v>104</v>
      </c>
      <c r="B389" t="s">
        <v>324</v>
      </c>
      <c r="C389" t="s">
        <v>716</v>
      </c>
      <c r="D389">
        <v>3.55</v>
      </c>
      <c r="F389" t="s">
        <v>5212</v>
      </c>
      <c r="H389" t="s">
        <v>3166</v>
      </c>
      <c r="I389" t="s">
        <v>4854</v>
      </c>
      <c r="K389" t="s">
        <v>6025</v>
      </c>
      <c r="L389" t="s">
        <v>6026</v>
      </c>
    </row>
    <row r="390" spans="1:12" x14ac:dyDescent="0.35">
      <c r="A390" t="s">
        <v>104</v>
      </c>
      <c r="B390" t="s">
        <v>324</v>
      </c>
      <c r="C390" t="s">
        <v>716</v>
      </c>
      <c r="D390">
        <v>91</v>
      </c>
      <c r="F390" t="s">
        <v>4928</v>
      </c>
      <c r="H390" t="s">
        <v>5751</v>
      </c>
      <c r="I390" t="s">
        <v>4854</v>
      </c>
      <c r="K390" t="s">
        <v>6025</v>
      </c>
      <c r="L390" t="s">
        <v>6026</v>
      </c>
    </row>
    <row r="391" spans="1:12" x14ac:dyDescent="0.35">
      <c r="A391" t="s">
        <v>104</v>
      </c>
      <c r="B391" t="s">
        <v>324</v>
      </c>
      <c r="C391" t="s">
        <v>716</v>
      </c>
      <c r="D391">
        <v>201.3</v>
      </c>
      <c r="F391" t="s">
        <v>5223</v>
      </c>
      <c r="H391" t="s">
        <v>3165</v>
      </c>
      <c r="I391" t="s">
        <v>1584</v>
      </c>
      <c r="K391" t="s">
        <v>6025</v>
      </c>
      <c r="L391" t="s">
        <v>6026</v>
      </c>
    </row>
    <row r="392" spans="1:12" x14ac:dyDescent="0.35">
      <c r="A392" t="s">
        <v>104</v>
      </c>
      <c r="B392" t="s">
        <v>324</v>
      </c>
      <c r="C392" t="s">
        <v>716</v>
      </c>
      <c r="D392">
        <v>8.35</v>
      </c>
      <c r="F392" t="s">
        <v>5220</v>
      </c>
      <c r="H392" t="s">
        <v>5752</v>
      </c>
      <c r="I392" t="s">
        <v>4854</v>
      </c>
      <c r="K392" t="s">
        <v>6025</v>
      </c>
      <c r="L392" t="s">
        <v>6026</v>
      </c>
    </row>
    <row r="393" spans="1:12" x14ac:dyDescent="0.35">
      <c r="A393" t="s">
        <v>104</v>
      </c>
      <c r="B393" t="s">
        <v>324</v>
      </c>
      <c r="C393" t="s">
        <v>750</v>
      </c>
      <c r="D393">
        <v>22</v>
      </c>
      <c r="F393" t="s">
        <v>1449</v>
      </c>
      <c r="H393" t="s">
        <v>2842</v>
      </c>
      <c r="I393" t="s">
        <v>1353</v>
      </c>
      <c r="K393" t="s">
        <v>6025</v>
      </c>
      <c r="L393" t="s">
        <v>6026</v>
      </c>
    </row>
    <row r="394" spans="1:12" x14ac:dyDescent="0.35">
      <c r="A394" t="s">
        <v>104</v>
      </c>
      <c r="B394" t="s">
        <v>324</v>
      </c>
      <c r="C394" t="s">
        <v>750</v>
      </c>
      <c r="D394">
        <v>1.1000000000000001</v>
      </c>
      <c r="F394" t="s">
        <v>1505</v>
      </c>
      <c r="H394" t="s">
        <v>2842</v>
      </c>
      <c r="I394" t="s">
        <v>2258</v>
      </c>
      <c r="K394" t="s">
        <v>6025</v>
      </c>
      <c r="L394" t="s">
        <v>6026</v>
      </c>
    </row>
    <row r="395" spans="1:12" x14ac:dyDescent="0.35">
      <c r="A395" t="s">
        <v>104</v>
      </c>
      <c r="B395" t="s">
        <v>435</v>
      </c>
      <c r="C395" t="s">
        <v>716</v>
      </c>
      <c r="D395">
        <v>4670</v>
      </c>
      <c r="F395" t="s">
        <v>5224</v>
      </c>
      <c r="H395" t="s">
        <v>5753</v>
      </c>
      <c r="I395" t="s">
        <v>1889</v>
      </c>
      <c r="K395" t="s">
        <v>6025</v>
      </c>
      <c r="L395" t="s">
        <v>6026</v>
      </c>
    </row>
    <row r="396" spans="1:12" x14ac:dyDescent="0.35">
      <c r="A396" t="s">
        <v>104</v>
      </c>
      <c r="B396" t="s">
        <v>435</v>
      </c>
      <c r="C396" t="s">
        <v>162</v>
      </c>
      <c r="D396">
        <v>16.5</v>
      </c>
      <c r="F396" t="s">
        <v>2279</v>
      </c>
      <c r="H396" t="s">
        <v>3178</v>
      </c>
      <c r="I396" t="s">
        <v>2226</v>
      </c>
      <c r="K396" t="s">
        <v>6025</v>
      </c>
      <c r="L396" t="s">
        <v>6026</v>
      </c>
    </row>
    <row r="397" spans="1:12" x14ac:dyDescent="0.35">
      <c r="A397" t="s">
        <v>104</v>
      </c>
      <c r="B397" t="s">
        <v>435</v>
      </c>
      <c r="C397" t="s">
        <v>716</v>
      </c>
      <c r="D397">
        <v>38.700000000000003</v>
      </c>
      <c r="F397" t="s">
        <v>5225</v>
      </c>
      <c r="H397" t="s">
        <v>5754</v>
      </c>
      <c r="I397" t="s">
        <v>1889</v>
      </c>
      <c r="K397" t="s">
        <v>6025</v>
      </c>
      <c r="L397" t="s">
        <v>6026</v>
      </c>
    </row>
    <row r="398" spans="1:12" x14ac:dyDescent="0.35">
      <c r="A398" t="s">
        <v>104</v>
      </c>
      <c r="B398" t="s">
        <v>435</v>
      </c>
      <c r="C398" t="s">
        <v>750</v>
      </c>
      <c r="D398">
        <v>38.700000000000003</v>
      </c>
      <c r="F398" t="s">
        <v>5225</v>
      </c>
      <c r="H398" t="s">
        <v>2842</v>
      </c>
      <c r="I398" t="s">
        <v>2226</v>
      </c>
      <c r="K398" t="s">
        <v>6025</v>
      </c>
      <c r="L398" t="s">
        <v>6026</v>
      </c>
    </row>
    <row r="399" spans="1:12" x14ac:dyDescent="0.35">
      <c r="A399" t="s">
        <v>104</v>
      </c>
      <c r="B399" t="s">
        <v>435</v>
      </c>
      <c r="C399" t="s">
        <v>716</v>
      </c>
      <c r="D399">
        <v>151.30000000000001</v>
      </c>
      <c r="F399" t="s">
        <v>5226</v>
      </c>
      <c r="H399" t="s">
        <v>5755</v>
      </c>
      <c r="I399" t="s">
        <v>1889</v>
      </c>
      <c r="K399" t="s">
        <v>6025</v>
      </c>
      <c r="L399" t="s">
        <v>6026</v>
      </c>
    </row>
    <row r="400" spans="1:12" x14ac:dyDescent="0.35">
      <c r="A400" t="s">
        <v>104</v>
      </c>
      <c r="B400" t="s">
        <v>435</v>
      </c>
      <c r="C400" t="s">
        <v>750</v>
      </c>
      <c r="D400">
        <v>151.30000000000001</v>
      </c>
      <c r="F400" t="s">
        <v>5226</v>
      </c>
      <c r="H400" t="s">
        <v>2842</v>
      </c>
      <c r="I400" t="s">
        <v>2226</v>
      </c>
      <c r="K400" t="s">
        <v>6025</v>
      </c>
      <c r="L400" t="s">
        <v>6026</v>
      </c>
    </row>
    <row r="401" spans="1:12" x14ac:dyDescent="0.35">
      <c r="A401" t="s">
        <v>104</v>
      </c>
      <c r="B401" t="s">
        <v>435</v>
      </c>
      <c r="C401" t="s">
        <v>716</v>
      </c>
      <c r="D401">
        <v>268.10000000000002</v>
      </c>
      <c r="F401" t="s">
        <v>5227</v>
      </c>
      <c r="H401" t="s">
        <v>5756</v>
      </c>
      <c r="I401" t="s">
        <v>1889</v>
      </c>
      <c r="K401" t="s">
        <v>6025</v>
      </c>
      <c r="L401" t="s">
        <v>6026</v>
      </c>
    </row>
    <row r="402" spans="1:12" x14ac:dyDescent="0.35">
      <c r="A402" t="s">
        <v>104</v>
      </c>
      <c r="B402" t="s">
        <v>435</v>
      </c>
      <c r="C402" t="s">
        <v>750</v>
      </c>
      <c r="D402">
        <v>268.10000000000002</v>
      </c>
      <c r="F402" t="s">
        <v>5227</v>
      </c>
      <c r="H402" t="s">
        <v>2842</v>
      </c>
      <c r="I402" t="s">
        <v>2226</v>
      </c>
      <c r="K402" t="s">
        <v>6025</v>
      </c>
      <c r="L402" t="s">
        <v>6026</v>
      </c>
    </row>
    <row r="403" spans="1:12" x14ac:dyDescent="0.35">
      <c r="A403" t="s">
        <v>104</v>
      </c>
      <c r="B403" t="s">
        <v>435</v>
      </c>
      <c r="C403" t="s">
        <v>716</v>
      </c>
      <c r="D403">
        <v>324.10000000000002</v>
      </c>
      <c r="F403" t="s">
        <v>5228</v>
      </c>
      <c r="H403" t="s">
        <v>5753</v>
      </c>
      <c r="I403" t="s">
        <v>1889</v>
      </c>
      <c r="K403" t="s">
        <v>6025</v>
      </c>
      <c r="L403" t="s">
        <v>6026</v>
      </c>
    </row>
    <row r="404" spans="1:12" x14ac:dyDescent="0.35">
      <c r="A404" t="s">
        <v>104</v>
      </c>
      <c r="B404" t="s">
        <v>435</v>
      </c>
      <c r="C404" t="s">
        <v>750</v>
      </c>
      <c r="D404">
        <v>324.10000000000002</v>
      </c>
      <c r="F404" t="s">
        <v>5228</v>
      </c>
      <c r="H404" t="s">
        <v>2842</v>
      </c>
      <c r="I404" t="s">
        <v>2226</v>
      </c>
      <c r="K404" t="s">
        <v>6025</v>
      </c>
      <c r="L404" t="s">
        <v>6026</v>
      </c>
    </row>
    <row r="405" spans="1:12" x14ac:dyDescent="0.35">
      <c r="A405" t="s">
        <v>104</v>
      </c>
      <c r="B405" t="s">
        <v>435</v>
      </c>
      <c r="C405" t="s">
        <v>162</v>
      </c>
      <c r="D405">
        <v>284.10000000000002</v>
      </c>
      <c r="F405" t="s">
        <v>5229</v>
      </c>
      <c r="H405" t="s">
        <v>3179</v>
      </c>
      <c r="I405" t="s">
        <v>2226</v>
      </c>
      <c r="K405" t="s">
        <v>6025</v>
      </c>
      <c r="L405" t="s">
        <v>6026</v>
      </c>
    </row>
    <row r="406" spans="1:12" x14ac:dyDescent="0.35">
      <c r="A406" t="s">
        <v>104</v>
      </c>
      <c r="B406" t="s">
        <v>435</v>
      </c>
      <c r="C406" t="s">
        <v>162</v>
      </c>
      <c r="D406">
        <v>75</v>
      </c>
      <c r="F406" t="s">
        <v>2346</v>
      </c>
      <c r="H406" t="s">
        <v>5757</v>
      </c>
      <c r="I406" t="s">
        <v>1752</v>
      </c>
      <c r="K406" t="s">
        <v>6025</v>
      </c>
      <c r="L406" t="s">
        <v>6026</v>
      </c>
    </row>
    <row r="407" spans="1:12" x14ac:dyDescent="0.35">
      <c r="A407" t="s">
        <v>104</v>
      </c>
      <c r="B407" t="s">
        <v>435</v>
      </c>
      <c r="C407" t="s">
        <v>162</v>
      </c>
      <c r="D407">
        <v>237</v>
      </c>
      <c r="F407" t="s">
        <v>4974</v>
      </c>
      <c r="H407" t="s">
        <v>5758</v>
      </c>
      <c r="I407" t="s">
        <v>1752</v>
      </c>
      <c r="K407" t="s">
        <v>6025</v>
      </c>
      <c r="L407" t="s">
        <v>6026</v>
      </c>
    </row>
    <row r="408" spans="1:12" x14ac:dyDescent="0.35">
      <c r="A408" t="s">
        <v>104</v>
      </c>
      <c r="B408" t="s">
        <v>354</v>
      </c>
      <c r="C408" t="s">
        <v>162</v>
      </c>
      <c r="D408">
        <v>34</v>
      </c>
      <c r="F408" t="s">
        <v>1584</v>
      </c>
      <c r="H408" t="s">
        <v>3185</v>
      </c>
      <c r="I408" t="s">
        <v>1571</v>
      </c>
      <c r="K408" t="s">
        <v>6025</v>
      </c>
      <c r="L408" t="s">
        <v>6026</v>
      </c>
    </row>
    <row r="409" spans="1:12" x14ac:dyDescent="0.35">
      <c r="A409" t="s">
        <v>104</v>
      </c>
      <c r="B409" t="s">
        <v>354</v>
      </c>
      <c r="C409" t="s">
        <v>716</v>
      </c>
      <c r="D409">
        <v>284</v>
      </c>
      <c r="F409" t="s">
        <v>4959</v>
      </c>
      <c r="H409" t="s">
        <v>5759</v>
      </c>
      <c r="I409" t="s">
        <v>1571</v>
      </c>
      <c r="K409" t="s">
        <v>6025</v>
      </c>
      <c r="L409" t="s">
        <v>6026</v>
      </c>
    </row>
    <row r="410" spans="1:12" x14ac:dyDescent="0.35">
      <c r="A410" t="s">
        <v>104</v>
      </c>
      <c r="B410" t="s">
        <v>354</v>
      </c>
      <c r="C410" t="s">
        <v>162</v>
      </c>
      <c r="D410">
        <v>113</v>
      </c>
      <c r="F410" t="s">
        <v>2620</v>
      </c>
      <c r="H410" t="s">
        <v>3186</v>
      </c>
      <c r="I410" t="s">
        <v>1571</v>
      </c>
      <c r="K410" t="s">
        <v>6025</v>
      </c>
      <c r="L410" t="s">
        <v>6026</v>
      </c>
    </row>
    <row r="411" spans="1:12" x14ac:dyDescent="0.35">
      <c r="A411" t="s">
        <v>104</v>
      </c>
      <c r="B411" t="s">
        <v>354</v>
      </c>
      <c r="C411" t="s">
        <v>750</v>
      </c>
      <c r="D411">
        <v>242</v>
      </c>
      <c r="F411" t="s">
        <v>4972</v>
      </c>
      <c r="H411" t="s">
        <v>2842</v>
      </c>
      <c r="I411" t="s">
        <v>1571</v>
      </c>
      <c r="K411" t="s">
        <v>6025</v>
      </c>
      <c r="L411" t="s">
        <v>6026</v>
      </c>
    </row>
    <row r="412" spans="1:12" x14ac:dyDescent="0.35">
      <c r="A412" t="s">
        <v>104</v>
      </c>
      <c r="B412" t="s">
        <v>354</v>
      </c>
      <c r="C412" t="s">
        <v>750</v>
      </c>
      <c r="D412">
        <v>1132</v>
      </c>
      <c r="F412" t="s">
        <v>5230</v>
      </c>
      <c r="H412" t="s">
        <v>2842</v>
      </c>
      <c r="I412" t="s">
        <v>1571</v>
      </c>
      <c r="K412" t="s">
        <v>6025</v>
      </c>
      <c r="L412" t="s">
        <v>6026</v>
      </c>
    </row>
    <row r="413" spans="1:12" x14ac:dyDescent="0.35">
      <c r="A413" t="s">
        <v>104</v>
      </c>
      <c r="B413" t="s">
        <v>354</v>
      </c>
      <c r="C413" t="s">
        <v>716</v>
      </c>
      <c r="D413">
        <v>1206</v>
      </c>
      <c r="F413" t="s">
        <v>5231</v>
      </c>
      <c r="H413" t="s">
        <v>5760</v>
      </c>
      <c r="I413" t="s">
        <v>1571</v>
      </c>
      <c r="K413" t="s">
        <v>6025</v>
      </c>
      <c r="L413" t="s">
        <v>6026</v>
      </c>
    </row>
    <row r="414" spans="1:12" x14ac:dyDescent="0.35">
      <c r="A414" t="s">
        <v>104</v>
      </c>
      <c r="B414" t="s">
        <v>313</v>
      </c>
      <c r="C414" t="s">
        <v>162</v>
      </c>
      <c r="D414">
        <v>39</v>
      </c>
      <c r="F414" t="s">
        <v>2050</v>
      </c>
      <c r="H414" t="s">
        <v>3195</v>
      </c>
      <c r="I414" t="s">
        <v>1571</v>
      </c>
      <c r="K414" t="s">
        <v>6025</v>
      </c>
      <c r="L414" t="s">
        <v>6026</v>
      </c>
    </row>
    <row r="415" spans="1:12" x14ac:dyDescent="0.35">
      <c r="A415" t="s">
        <v>104</v>
      </c>
      <c r="B415" t="s">
        <v>313</v>
      </c>
      <c r="C415" t="s">
        <v>750</v>
      </c>
      <c r="D415">
        <v>683</v>
      </c>
      <c r="F415" t="s">
        <v>5232</v>
      </c>
      <c r="H415" t="s">
        <v>2842</v>
      </c>
      <c r="I415" t="s">
        <v>1571</v>
      </c>
      <c r="K415" t="s">
        <v>6025</v>
      </c>
      <c r="L415" t="s">
        <v>6026</v>
      </c>
    </row>
    <row r="416" spans="1:12" x14ac:dyDescent="0.35">
      <c r="A416" t="s">
        <v>104</v>
      </c>
      <c r="B416" t="s">
        <v>313</v>
      </c>
      <c r="C416" t="s">
        <v>162</v>
      </c>
      <c r="D416">
        <v>8.3000000000000007</v>
      </c>
      <c r="F416" t="s">
        <v>1382</v>
      </c>
      <c r="H416" t="s">
        <v>3196</v>
      </c>
      <c r="I416" t="s">
        <v>1571</v>
      </c>
      <c r="K416" t="s">
        <v>6025</v>
      </c>
      <c r="L416" t="s">
        <v>6026</v>
      </c>
    </row>
    <row r="417" spans="1:12" x14ac:dyDescent="0.35">
      <c r="A417" t="s">
        <v>104</v>
      </c>
      <c r="B417" t="s">
        <v>313</v>
      </c>
      <c r="C417" t="s">
        <v>716</v>
      </c>
      <c r="D417">
        <v>504</v>
      </c>
      <c r="F417" t="s">
        <v>5233</v>
      </c>
      <c r="H417" t="s">
        <v>5761</v>
      </c>
      <c r="I417" t="s">
        <v>1571</v>
      </c>
      <c r="K417" t="s">
        <v>6025</v>
      </c>
      <c r="L417" t="s">
        <v>6026</v>
      </c>
    </row>
    <row r="418" spans="1:12" x14ac:dyDescent="0.35">
      <c r="A418" t="s">
        <v>104</v>
      </c>
      <c r="B418" t="s">
        <v>313</v>
      </c>
      <c r="C418" t="s">
        <v>750</v>
      </c>
      <c r="D418">
        <v>518</v>
      </c>
      <c r="F418" t="s">
        <v>5234</v>
      </c>
      <c r="H418" t="s">
        <v>2842</v>
      </c>
      <c r="I418" t="s">
        <v>1571</v>
      </c>
      <c r="K418" t="s">
        <v>6025</v>
      </c>
      <c r="L418" t="s">
        <v>6026</v>
      </c>
    </row>
    <row r="419" spans="1:12" x14ac:dyDescent="0.35">
      <c r="A419" t="s">
        <v>104</v>
      </c>
      <c r="B419" t="s">
        <v>313</v>
      </c>
      <c r="C419" t="s">
        <v>716</v>
      </c>
      <c r="D419">
        <v>691</v>
      </c>
      <c r="F419" t="s">
        <v>5235</v>
      </c>
      <c r="H419" t="s">
        <v>5762</v>
      </c>
      <c r="I419" t="s">
        <v>1571</v>
      </c>
      <c r="K419" t="s">
        <v>6025</v>
      </c>
      <c r="L419" t="s">
        <v>6026</v>
      </c>
    </row>
    <row r="420" spans="1:12" x14ac:dyDescent="0.35">
      <c r="A420" t="s">
        <v>104</v>
      </c>
      <c r="B420" t="s">
        <v>438</v>
      </c>
      <c r="C420" t="s">
        <v>751</v>
      </c>
      <c r="D420">
        <v>160</v>
      </c>
      <c r="F420" t="s">
        <v>5019</v>
      </c>
      <c r="I420" t="s">
        <v>1335</v>
      </c>
      <c r="K420" t="s">
        <v>6025</v>
      </c>
      <c r="L420" t="s">
        <v>6026</v>
      </c>
    </row>
    <row r="421" spans="1:12" x14ac:dyDescent="0.35">
      <c r="A421" t="s">
        <v>104</v>
      </c>
      <c r="B421" t="s">
        <v>439</v>
      </c>
      <c r="C421" t="s">
        <v>162</v>
      </c>
      <c r="D421">
        <v>3</v>
      </c>
      <c r="F421" t="s">
        <v>1368</v>
      </c>
      <c r="H421" t="s">
        <v>3198</v>
      </c>
      <c r="I421" t="s">
        <v>2329</v>
      </c>
      <c r="K421" t="s">
        <v>6025</v>
      </c>
      <c r="L421" t="s">
        <v>6026</v>
      </c>
    </row>
    <row r="422" spans="1:12" x14ac:dyDescent="0.35">
      <c r="A422" t="s">
        <v>104</v>
      </c>
      <c r="B422" t="s">
        <v>439</v>
      </c>
      <c r="C422" t="s">
        <v>750</v>
      </c>
      <c r="D422">
        <v>327</v>
      </c>
      <c r="F422" t="s">
        <v>5236</v>
      </c>
      <c r="H422" t="s">
        <v>2842</v>
      </c>
      <c r="I422" t="s">
        <v>2329</v>
      </c>
      <c r="K422" t="s">
        <v>6025</v>
      </c>
      <c r="L422" t="s">
        <v>6026</v>
      </c>
    </row>
    <row r="423" spans="1:12" x14ac:dyDescent="0.35">
      <c r="A423" t="s">
        <v>104</v>
      </c>
      <c r="B423" t="s">
        <v>440</v>
      </c>
      <c r="C423" t="s">
        <v>750</v>
      </c>
      <c r="D423">
        <v>275.7</v>
      </c>
      <c r="F423" t="s">
        <v>5237</v>
      </c>
      <c r="H423" t="s">
        <v>2842</v>
      </c>
      <c r="I423" t="s">
        <v>4884</v>
      </c>
      <c r="K423" t="s">
        <v>6025</v>
      </c>
      <c r="L423" t="s">
        <v>6026</v>
      </c>
    </row>
    <row r="424" spans="1:12" x14ac:dyDescent="0.35">
      <c r="A424" t="s">
        <v>104</v>
      </c>
      <c r="B424" t="s">
        <v>441</v>
      </c>
      <c r="C424" t="s">
        <v>750</v>
      </c>
      <c r="D424">
        <v>122.23</v>
      </c>
      <c r="F424" t="s">
        <v>5238</v>
      </c>
      <c r="H424" t="s">
        <v>2842</v>
      </c>
      <c r="I424" t="s">
        <v>4881</v>
      </c>
      <c r="K424" t="s">
        <v>6025</v>
      </c>
      <c r="L424" t="s">
        <v>6026</v>
      </c>
    </row>
    <row r="425" spans="1:12" x14ac:dyDescent="0.35">
      <c r="A425" t="s">
        <v>104</v>
      </c>
      <c r="B425" t="s">
        <v>441</v>
      </c>
      <c r="C425" t="s">
        <v>716</v>
      </c>
      <c r="D425">
        <v>106.93</v>
      </c>
      <c r="F425" t="s">
        <v>5239</v>
      </c>
      <c r="H425" t="s">
        <v>5763</v>
      </c>
      <c r="I425" t="s">
        <v>4881</v>
      </c>
      <c r="K425" t="s">
        <v>6025</v>
      </c>
      <c r="L425" t="s">
        <v>6026</v>
      </c>
    </row>
    <row r="426" spans="1:12" x14ac:dyDescent="0.35">
      <c r="A426" t="s">
        <v>104</v>
      </c>
      <c r="B426" t="s">
        <v>340</v>
      </c>
      <c r="C426" t="s">
        <v>750</v>
      </c>
      <c r="D426">
        <v>181.6</v>
      </c>
      <c r="F426" t="s">
        <v>5240</v>
      </c>
      <c r="H426" t="s">
        <v>2842</v>
      </c>
      <c r="I426" t="s">
        <v>4884</v>
      </c>
      <c r="K426" t="s">
        <v>6025</v>
      </c>
      <c r="L426" t="s">
        <v>6026</v>
      </c>
    </row>
    <row r="427" spans="1:12" x14ac:dyDescent="0.35">
      <c r="A427" t="s">
        <v>104</v>
      </c>
      <c r="B427" t="s">
        <v>341</v>
      </c>
      <c r="C427" t="s">
        <v>750</v>
      </c>
      <c r="D427">
        <v>376</v>
      </c>
      <c r="F427" t="s">
        <v>5241</v>
      </c>
      <c r="H427" t="s">
        <v>2842</v>
      </c>
      <c r="I427" t="s">
        <v>4859</v>
      </c>
      <c r="K427" t="s">
        <v>6025</v>
      </c>
      <c r="L427" t="s">
        <v>6026</v>
      </c>
    </row>
    <row r="428" spans="1:12" x14ac:dyDescent="0.35">
      <c r="A428" t="s">
        <v>104</v>
      </c>
      <c r="B428" t="s">
        <v>357</v>
      </c>
      <c r="C428" t="s">
        <v>751</v>
      </c>
      <c r="D428">
        <v>582</v>
      </c>
      <c r="F428" t="s">
        <v>5242</v>
      </c>
      <c r="H428" t="s">
        <v>5764</v>
      </c>
      <c r="I428" t="s">
        <v>1317</v>
      </c>
      <c r="K428" t="s">
        <v>6025</v>
      </c>
      <c r="L428" t="s">
        <v>6026</v>
      </c>
    </row>
    <row r="429" spans="1:12" x14ac:dyDescent="0.35">
      <c r="A429" t="s">
        <v>104</v>
      </c>
      <c r="B429" t="s">
        <v>445</v>
      </c>
      <c r="C429" t="s">
        <v>750</v>
      </c>
      <c r="D429">
        <v>15</v>
      </c>
      <c r="F429" t="s">
        <v>1489</v>
      </c>
      <c r="H429" t="s">
        <v>2842</v>
      </c>
      <c r="I429" t="s">
        <v>2258</v>
      </c>
      <c r="K429" t="s">
        <v>6025</v>
      </c>
      <c r="L429" t="s">
        <v>6026</v>
      </c>
    </row>
    <row r="430" spans="1:12" x14ac:dyDescent="0.35">
      <c r="A430" t="s">
        <v>104</v>
      </c>
      <c r="B430" t="s">
        <v>445</v>
      </c>
      <c r="C430" t="s">
        <v>750</v>
      </c>
      <c r="D430">
        <v>5.0000000000000001E-3</v>
      </c>
      <c r="F430" t="s">
        <v>1264</v>
      </c>
      <c r="H430" t="s">
        <v>2842</v>
      </c>
      <c r="I430" t="s">
        <v>2258</v>
      </c>
      <c r="K430" t="s">
        <v>6025</v>
      </c>
      <c r="L430" t="s">
        <v>6026</v>
      </c>
    </row>
    <row r="431" spans="1:12" x14ac:dyDescent="0.35">
      <c r="A431" t="s">
        <v>104</v>
      </c>
      <c r="B431" t="s">
        <v>445</v>
      </c>
      <c r="C431" t="s">
        <v>750</v>
      </c>
      <c r="D431">
        <v>4.0000000000000001E-3</v>
      </c>
      <c r="F431" t="s">
        <v>1838</v>
      </c>
      <c r="H431" t="s">
        <v>2842</v>
      </c>
      <c r="I431" t="s">
        <v>2258</v>
      </c>
      <c r="K431" t="s">
        <v>6025</v>
      </c>
      <c r="L431" t="s">
        <v>6026</v>
      </c>
    </row>
    <row r="432" spans="1:12" x14ac:dyDescent="0.35">
      <c r="A432" t="s">
        <v>104</v>
      </c>
      <c r="B432" t="s">
        <v>445</v>
      </c>
      <c r="C432" t="s">
        <v>750</v>
      </c>
      <c r="D432">
        <v>6.0000000000000001E-3</v>
      </c>
      <c r="F432" t="s">
        <v>1273</v>
      </c>
      <c r="H432" t="s">
        <v>2842</v>
      </c>
      <c r="I432" t="s">
        <v>2258</v>
      </c>
      <c r="K432" t="s">
        <v>6025</v>
      </c>
      <c r="L432" t="s">
        <v>6026</v>
      </c>
    </row>
    <row r="433" spans="1:12" x14ac:dyDescent="0.35">
      <c r="A433" t="s">
        <v>104</v>
      </c>
      <c r="B433" t="s">
        <v>445</v>
      </c>
      <c r="C433" t="s">
        <v>750</v>
      </c>
      <c r="D433">
        <v>31.34</v>
      </c>
      <c r="F433" t="s">
        <v>5243</v>
      </c>
      <c r="H433" t="s">
        <v>2842</v>
      </c>
      <c r="I433" t="s">
        <v>2258</v>
      </c>
      <c r="K433" t="s">
        <v>6025</v>
      </c>
      <c r="L433" t="s">
        <v>6026</v>
      </c>
    </row>
    <row r="434" spans="1:12" x14ac:dyDescent="0.35">
      <c r="A434" t="s">
        <v>104</v>
      </c>
      <c r="B434" t="s">
        <v>445</v>
      </c>
      <c r="C434" t="s">
        <v>750</v>
      </c>
      <c r="D434">
        <v>34.83</v>
      </c>
      <c r="F434" t="s">
        <v>5244</v>
      </c>
      <c r="H434" t="s">
        <v>2842</v>
      </c>
      <c r="I434" t="s">
        <v>2258</v>
      </c>
      <c r="K434" t="s">
        <v>6025</v>
      </c>
      <c r="L434" t="s">
        <v>6026</v>
      </c>
    </row>
    <row r="435" spans="1:12" x14ac:dyDescent="0.35">
      <c r="A435" t="s">
        <v>104</v>
      </c>
      <c r="B435" t="s">
        <v>445</v>
      </c>
      <c r="C435" t="s">
        <v>750</v>
      </c>
      <c r="D435">
        <v>46.44</v>
      </c>
      <c r="F435" t="s">
        <v>5245</v>
      </c>
      <c r="H435" t="s">
        <v>2842</v>
      </c>
      <c r="I435" t="s">
        <v>2258</v>
      </c>
      <c r="K435" t="s">
        <v>6025</v>
      </c>
      <c r="L435" t="s">
        <v>6026</v>
      </c>
    </row>
    <row r="436" spans="1:12" x14ac:dyDescent="0.35">
      <c r="A436" t="s">
        <v>104</v>
      </c>
      <c r="B436" t="s">
        <v>445</v>
      </c>
      <c r="C436" t="s">
        <v>750</v>
      </c>
      <c r="D436">
        <v>0.3</v>
      </c>
      <c r="F436" t="s">
        <v>1401</v>
      </c>
      <c r="H436" t="s">
        <v>2842</v>
      </c>
      <c r="I436" t="s">
        <v>2258</v>
      </c>
      <c r="K436" t="s">
        <v>6025</v>
      </c>
      <c r="L436" t="s">
        <v>6026</v>
      </c>
    </row>
    <row r="437" spans="1:12" x14ac:dyDescent="0.35">
      <c r="A437" t="s">
        <v>104</v>
      </c>
      <c r="B437" t="s">
        <v>446</v>
      </c>
      <c r="C437" t="s">
        <v>750</v>
      </c>
      <c r="D437">
        <v>113.63</v>
      </c>
      <c r="F437" t="s">
        <v>5246</v>
      </c>
      <c r="H437" t="s">
        <v>2842</v>
      </c>
      <c r="I437" t="s">
        <v>4881</v>
      </c>
      <c r="K437" t="s">
        <v>6025</v>
      </c>
      <c r="L437" t="s">
        <v>6026</v>
      </c>
    </row>
    <row r="438" spans="1:12" x14ac:dyDescent="0.35">
      <c r="A438" t="s">
        <v>104</v>
      </c>
      <c r="B438" t="s">
        <v>446</v>
      </c>
      <c r="C438" t="s">
        <v>716</v>
      </c>
      <c r="D438">
        <v>119.89</v>
      </c>
      <c r="F438" t="s">
        <v>5247</v>
      </c>
      <c r="H438" t="s">
        <v>5765</v>
      </c>
      <c r="I438" t="s">
        <v>4881</v>
      </c>
      <c r="K438" t="s">
        <v>6025</v>
      </c>
      <c r="L438" t="s">
        <v>6026</v>
      </c>
    </row>
    <row r="439" spans="1:12" x14ac:dyDescent="0.35">
      <c r="A439" t="s">
        <v>104</v>
      </c>
      <c r="B439" t="s">
        <v>447</v>
      </c>
      <c r="C439" t="s">
        <v>162</v>
      </c>
      <c r="D439">
        <v>6.7000000000000004E-2</v>
      </c>
      <c r="F439" t="s">
        <v>2054</v>
      </c>
      <c r="H439" t="s">
        <v>3208</v>
      </c>
      <c r="I439" t="s">
        <v>4897</v>
      </c>
      <c r="K439" t="s">
        <v>6025</v>
      </c>
      <c r="L439" t="s">
        <v>6026</v>
      </c>
    </row>
    <row r="440" spans="1:12" x14ac:dyDescent="0.35">
      <c r="A440" t="s">
        <v>104</v>
      </c>
      <c r="B440" t="s">
        <v>449</v>
      </c>
      <c r="C440" t="s">
        <v>750</v>
      </c>
      <c r="D440">
        <v>140.1</v>
      </c>
      <c r="F440" t="s">
        <v>5248</v>
      </c>
      <c r="H440" t="s">
        <v>2842</v>
      </c>
      <c r="I440" t="s">
        <v>2253</v>
      </c>
      <c r="K440" t="s">
        <v>6025</v>
      </c>
      <c r="L440" t="s">
        <v>6026</v>
      </c>
    </row>
    <row r="441" spans="1:12" x14ac:dyDescent="0.35">
      <c r="A441" t="s">
        <v>104</v>
      </c>
      <c r="B441" t="s">
        <v>353</v>
      </c>
      <c r="C441" t="s">
        <v>716</v>
      </c>
      <c r="D441">
        <v>66.599999999999994</v>
      </c>
      <c r="F441" t="s">
        <v>5249</v>
      </c>
      <c r="H441" t="s">
        <v>3212</v>
      </c>
      <c r="I441" t="s">
        <v>1369</v>
      </c>
      <c r="K441" t="s">
        <v>6025</v>
      </c>
      <c r="L441" t="s">
        <v>6026</v>
      </c>
    </row>
    <row r="442" spans="1:12" x14ac:dyDescent="0.35">
      <c r="A442" t="s">
        <v>104</v>
      </c>
      <c r="B442" t="s">
        <v>454</v>
      </c>
      <c r="C442" t="s">
        <v>716</v>
      </c>
      <c r="D442">
        <v>15.9</v>
      </c>
      <c r="F442" t="s">
        <v>5250</v>
      </c>
      <c r="H442" t="s">
        <v>3217</v>
      </c>
      <c r="I442" t="s">
        <v>4883</v>
      </c>
      <c r="K442" t="s">
        <v>6025</v>
      </c>
      <c r="L442" t="s">
        <v>6026</v>
      </c>
    </row>
    <row r="443" spans="1:12" x14ac:dyDescent="0.35">
      <c r="A443" t="s">
        <v>104</v>
      </c>
      <c r="B443" t="s">
        <v>454</v>
      </c>
      <c r="C443" t="s">
        <v>716</v>
      </c>
      <c r="D443">
        <v>0.8</v>
      </c>
      <c r="F443" t="s">
        <v>1319</v>
      </c>
      <c r="H443" t="s">
        <v>3216</v>
      </c>
      <c r="I443" t="s">
        <v>4883</v>
      </c>
      <c r="K443" t="s">
        <v>6025</v>
      </c>
      <c r="L443" t="s">
        <v>6026</v>
      </c>
    </row>
    <row r="444" spans="1:12" x14ac:dyDescent="0.35">
      <c r="A444" t="s">
        <v>104</v>
      </c>
      <c r="B444" t="s">
        <v>454</v>
      </c>
      <c r="C444" t="s">
        <v>750</v>
      </c>
      <c r="D444">
        <v>0.9</v>
      </c>
      <c r="F444" t="s">
        <v>1556</v>
      </c>
      <c r="H444" t="s">
        <v>2842</v>
      </c>
      <c r="I444" t="s">
        <v>4883</v>
      </c>
      <c r="K444" t="s">
        <v>6025</v>
      </c>
      <c r="L444" t="s">
        <v>6026</v>
      </c>
    </row>
    <row r="445" spans="1:12" x14ac:dyDescent="0.35">
      <c r="A445" t="s">
        <v>104</v>
      </c>
      <c r="B445" t="s">
        <v>454</v>
      </c>
      <c r="C445" t="s">
        <v>750</v>
      </c>
      <c r="D445">
        <v>12.6</v>
      </c>
      <c r="F445" t="s">
        <v>2028</v>
      </c>
      <c r="H445" t="s">
        <v>2842</v>
      </c>
      <c r="I445" t="s">
        <v>4883</v>
      </c>
      <c r="K445" t="s">
        <v>6025</v>
      </c>
      <c r="L445" t="s">
        <v>6026</v>
      </c>
    </row>
    <row r="446" spans="1:12" x14ac:dyDescent="0.35">
      <c r="A446" t="s">
        <v>104</v>
      </c>
      <c r="B446" t="s">
        <v>454</v>
      </c>
      <c r="C446" t="s">
        <v>716</v>
      </c>
      <c r="D446">
        <v>13.2</v>
      </c>
      <c r="F446" t="s">
        <v>1436</v>
      </c>
      <c r="H446" t="s">
        <v>3215</v>
      </c>
      <c r="I446" t="s">
        <v>4883</v>
      </c>
      <c r="K446" t="s">
        <v>6025</v>
      </c>
      <c r="L446" t="s">
        <v>6026</v>
      </c>
    </row>
    <row r="447" spans="1:12" x14ac:dyDescent="0.35">
      <c r="A447" t="s">
        <v>104</v>
      </c>
      <c r="B447" t="s">
        <v>454</v>
      </c>
      <c r="C447" t="s">
        <v>750</v>
      </c>
      <c r="D447">
        <v>19.100000000000001</v>
      </c>
      <c r="F447" t="s">
        <v>5251</v>
      </c>
      <c r="H447" t="s">
        <v>2842</v>
      </c>
      <c r="I447" t="s">
        <v>4883</v>
      </c>
      <c r="K447" t="s">
        <v>6025</v>
      </c>
      <c r="L447" t="s">
        <v>6026</v>
      </c>
    </row>
    <row r="448" spans="1:12" x14ac:dyDescent="0.35">
      <c r="A448" t="s">
        <v>104</v>
      </c>
      <c r="B448" t="s">
        <v>454</v>
      </c>
      <c r="C448" t="s">
        <v>716</v>
      </c>
      <c r="D448">
        <v>19.5</v>
      </c>
      <c r="F448" t="s">
        <v>5252</v>
      </c>
      <c r="H448" t="s">
        <v>5766</v>
      </c>
      <c r="I448" t="s">
        <v>4883</v>
      </c>
      <c r="K448" t="s">
        <v>6025</v>
      </c>
      <c r="L448" t="s">
        <v>6026</v>
      </c>
    </row>
    <row r="449" spans="1:12" x14ac:dyDescent="0.35">
      <c r="A449" t="s">
        <v>104</v>
      </c>
      <c r="B449" t="s">
        <v>454</v>
      </c>
      <c r="C449" t="s">
        <v>750</v>
      </c>
      <c r="D449">
        <v>15.7</v>
      </c>
      <c r="F449" t="s">
        <v>1916</v>
      </c>
      <c r="H449" t="s">
        <v>2842</v>
      </c>
      <c r="I449" t="s">
        <v>4883</v>
      </c>
      <c r="K449" t="s">
        <v>6025</v>
      </c>
      <c r="L449" t="s">
        <v>6026</v>
      </c>
    </row>
    <row r="450" spans="1:12" x14ac:dyDescent="0.35">
      <c r="A450" t="s">
        <v>104</v>
      </c>
      <c r="B450" t="s">
        <v>454</v>
      </c>
      <c r="C450" t="s">
        <v>716</v>
      </c>
      <c r="D450">
        <v>14.2</v>
      </c>
      <c r="F450" t="s">
        <v>2352</v>
      </c>
      <c r="H450" t="s">
        <v>3214</v>
      </c>
      <c r="I450" t="s">
        <v>4883</v>
      </c>
      <c r="K450" t="s">
        <v>6025</v>
      </c>
      <c r="L450" t="s">
        <v>6026</v>
      </c>
    </row>
    <row r="451" spans="1:12" x14ac:dyDescent="0.35">
      <c r="A451" t="s">
        <v>104</v>
      </c>
      <c r="B451" t="s">
        <v>454</v>
      </c>
      <c r="C451" t="s">
        <v>750</v>
      </c>
      <c r="D451">
        <v>13.6</v>
      </c>
      <c r="F451" t="s">
        <v>2351</v>
      </c>
      <c r="H451" t="s">
        <v>2842</v>
      </c>
      <c r="I451" t="s">
        <v>4883</v>
      </c>
      <c r="K451" t="s">
        <v>6025</v>
      </c>
      <c r="L451" t="s">
        <v>6026</v>
      </c>
    </row>
    <row r="452" spans="1:12" x14ac:dyDescent="0.35">
      <c r="A452" t="s">
        <v>104</v>
      </c>
      <c r="B452" t="s">
        <v>175</v>
      </c>
      <c r="C452" t="s">
        <v>716</v>
      </c>
      <c r="D452">
        <v>15</v>
      </c>
      <c r="F452" t="s">
        <v>1489</v>
      </c>
      <c r="H452" t="s">
        <v>5767</v>
      </c>
      <c r="I452" t="s">
        <v>4885</v>
      </c>
      <c r="K452" t="s">
        <v>6025</v>
      </c>
      <c r="L452" t="s">
        <v>6026</v>
      </c>
    </row>
    <row r="453" spans="1:12" x14ac:dyDescent="0.35">
      <c r="A453" t="s">
        <v>104</v>
      </c>
      <c r="B453" t="s">
        <v>175</v>
      </c>
      <c r="C453" t="s">
        <v>716</v>
      </c>
      <c r="D453">
        <v>8</v>
      </c>
      <c r="F453" t="s">
        <v>1373</v>
      </c>
      <c r="H453" t="s">
        <v>3227</v>
      </c>
      <c r="I453" t="s">
        <v>4885</v>
      </c>
      <c r="K453" t="s">
        <v>6025</v>
      </c>
      <c r="L453" t="s">
        <v>6026</v>
      </c>
    </row>
    <row r="454" spans="1:12" x14ac:dyDescent="0.35">
      <c r="A454" t="s">
        <v>104</v>
      </c>
      <c r="B454" t="s">
        <v>175</v>
      </c>
      <c r="C454" t="s">
        <v>716</v>
      </c>
      <c r="D454">
        <v>1.3</v>
      </c>
      <c r="F454" t="s">
        <v>1358</v>
      </c>
      <c r="H454" t="s">
        <v>3247</v>
      </c>
      <c r="I454" t="s">
        <v>4885</v>
      </c>
      <c r="K454" t="s">
        <v>6025</v>
      </c>
      <c r="L454" t="s">
        <v>6026</v>
      </c>
    </row>
    <row r="455" spans="1:12" x14ac:dyDescent="0.35">
      <c r="A455" t="s">
        <v>104</v>
      </c>
      <c r="B455" t="s">
        <v>175</v>
      </c>
      <c r="C455" t="s">
        <v>709</v>
      </c>
      <c r="D455">
        <v>110</v>
      </c>
      <c r="F455" t="s">
        <v>2331</v>
      </c>
      <c r="H455" t="s">
        <v>3245</v>
      </c>
      <c r="I455" t="s">
        <v>4885</v>
      </c>
      <c r="K455" t="s">
        <v>6025</v>
      </c>
      <c r="L455" t="s">
        <v>6026</v>
      </c>
    </row>
    <row r="456" spans="1:12" x14ac:dyDescent="0.35">
      <c r="A456" t="s">
        <v>104</v>
      </c>
      <c r="B456" t="s">
        <v>175</v>
      </c>
      <c r="C456" t="s">
        <v>716</v>
      </c>
      <c r="D456">
        <v>110</v>
      </c>
      <c r="F456" t="s">
        <v>2331</v>
      </c>
      <c r="H456" t="s">
        <v>3238</v>
      </c>
      <c r="I456" t="s">
        <v>4885</v>
      </c>
      <c r="K456" t="s">
        <v>6025</v>
      </c>
      <c r="L456" t="s">
        <v>6026</v>
      </c>
    </row>
    <row r="457" spans="1:12" x14ac:dyDescent="0.35">
      <c r="A457" t="s">
        <v>104</v>
      </c>
      <c r="B457" t="s">
        <v>175</v>
      </c>
      <c r="C457" t="s">
        <v>709</v>
      </c>
      <c r="D457">
        <v>22</v>
      </c>
      <c r="F457" t="s">
        <v>1449</v>
      </c>
      <c r="H457" t="s">
        <v>3236</v>
      </c>
      <c r="I457" t="s">
        <v>4885</v>
      </c>
      <c r="K457" t="s">
        <v>6025</v>
      </c>
      <c r="L457" t="s">
        <v>6026</v>
      </c>
    </row>
    <row r="458" spans="1:12" x14ac:dyDescent="0.35">
      <c r="A458" t="s">
        <v>104</v>
      </c>
      <c r="B458" t="s">
        <v>175</v>
      </c>
      <c r="C458" t="s">
        <v>709</v>
      </c>
      <c r="D458">
        <v>65</v>
      </c>
      <c r="F458" t="s">
        <v>4927</v>
      </c>
      <c r="H458" t="s">
        <v>3226</v>
      </c>
      <c r="I458" t="s">
        <v>4885</v>
      </c>
      <c r="K458" t="s">
        <v>6025</v>
      </c>
      <c r="L458" t="s">
        <v>6026</v>
      </c>
    </row>
    <row r="459" spans="1:12" x14ac:dyDescent="0.35">
      <c r="A459" t="s">
        <v>104</v>
      </c>
      <c r="B459" t="s">
        <v>175</v>
      </c>
      <c r="C459" t="s">
        <v>716</v>
      </c>
      <c r="D459">
        <v>121</v>
      </c>
      <c r="F459" t="s">
        <v>2325</v>
      </c>
      <c r="H459" t="s">
        <v>3237</v>
      </c>
      <c r="I459" t="s">
        <v>4885</v>
      </c>
      <c r="K459" t="s">
        <v>6025</v>
      </c>
      <c r="L459" t="s">
        <v>6026</v>
      </c>
    </row>
    <row r="460" spans="1:12" x14ac:dyDescent="0.35">
      <c r="A460" t="s">
        <v>104</v>
      </c>
      <c r="B460" t="s">
        <v>175</v>
      </c>
      <c r="C460" t="s">
        <v>709</v>
      </c>
      <c r="D460">
        <v>40</v>
      </c>
      <c r="F460" t="s">
        <v>2345</v>
      </c>
      <c r="H460" t="s">
        <v>3237</v>
      </c>
      <c r="I460" t="s">
        <v>4885</v>
      </c>
      <c r="K460" t="s">
        <v>6025</v>
      </c>
      <c r="L460" t="s">
        <v>6026</v>
      </c>
    </row>
    <row r="461" spans="1:12" x14ac:dyDescent="0.35">
      <c r="A461" t="s">
        <v>104</v>
      </c>
      <c r="B461" t="s">
        <v>175</v>
      </c>
      <c r="C461" t="s">
        <v>716</v>
      </c>
      <c r="D461">
        <v>149</v>
      </c>
      <c r="F461" t="s">
        <v>5023</v>
      </c>
      <c r="H461" t="s">
        <v>3235</v>
      </c>
      <c r="I461" t="s">
        <v>4885</v>
      </c>
      <c r="K461" t="s">
        <v>6025</v>
      </c>
      <c r="L461" t="s">
        <v>6026</v>
      </c>
    </row>
    <row r="462" spans="1:12" x14ac:dyDescent="0.35">
      <c r="A462" t="s">
        <v>104</v>
      </c>
      <c r="B462" t="s">
        <v>175</v>
      </c>
      <c r="C462" t="s">
        <v>716</v>
      </c>
      <c r="D462">
        <v>26</v>
      </c>
      <c r="F462" t="s">
        <v>1518</v>
      </c>
      <c r="H462" t="s">
        <v>3232</v>
      </c>
      <c r="I462" t="s">
        <v>4885</v>
      </c>
      <c r="K462" t="s">
        <v>6025</v>
      </c>
      <c r="L462" t="s">
        <v>6026</v>
      </c>
    </row>
    <row r="463" spans="1:12" x14ac:dyDescent="0.35">
      <c r="A463" t="s">
        <v>104</v>
      </c>
      <c r="B463" t="s">
        <v>175</v>
      </c>
      <c r="C463" t="s">
        <v>709</v>
      </c>
      <c r="D463">
        <v>51</v>
      </c>
      <c r="F463" t="s">
        <v>2009</v>
      </c>
      <c r="H463" t="s">
        <v>3249</v>
      </c>
      <c r="I463" t="s">
        <v>4885</v>
      </c>
      <c r="K463" t="s">
        <v>6025</v>
      </c>
      <c r="L463" t="s">
        <v>6026</v>
      </c>
    </row>
    <row r="464" spans="1:12" x14ac:dyDescent="0.35">
      <c r="A464" t="s">
        <v>104</v>
      </c>
      <c r="B464" t="s">
        <v>175</v>
      </c>
      <c r="C464" t="s">
        <v>716</v>
      </c>
      <c r="D464">
        <v>51</v>
      </c>
      <c r="F464" t="s">
        <v>2009</v>
      </c>
      <c r="H464" t="s">
        <v>3231</v>
      </c>
      <c r="I464" t="s">
        <v>4885</v>
      </c>
      <c r="K464" t="s">
        <v>6025</v>
      </c>
      <c r="L464" t="s">
        <v>6026</v>
      </c>
    </row>
    <row r="465" spans="1:12" x14ac:dyDescent="0.35">
      <c r="A465" t="s">
        <v>104</v>
      </c>
      <c r="B465" t="s">
        <v>175</v>
      </c>
      <c r="C465" t="s">
        <v>709</v>
      </c>
      <c r="D465">
        <v>28.9</v>
      </c>
      <c r="F465" t="s">
        <v>1926</v>
      </c>
      <c r="H465" t="s">
        <v>3225</v>
      </c>
      <c r="I465" t="s">
        <v>4872</v>
      </c>
      <c r="K465" t="s">
        <v>6025</v>
      </c>
      <c r="L465" t="s">
        <v>6026</v>
      </c>
    </row>
    <row r="466" spans="1:12" x14ac:dyDescent="0.35">
      <c r="A466" t="s">
        <v>104</v>
      </c>
      <c r="B466" t="s">
        <v>175</v>
      </c>
      <c r="C466" t="s">
        <v>709</v>
      </c>
      <c r="D466">
        <v>53</v>
      </c>
      <c r="F466" t="s">
        <v>2254</v>
      </c>
      <c r="H466" t="s">
        <v>3228</v>
      </c>
      <c r="I466" t="s">
        <v>4885</v>
      </c>
      <c r="K466" t="s">
        <v>6025</v>
      </c>
      <c r="L466" t="s">
        <v>6026</v>
      </c>
    </row>
    <row r="467" spans="1:12" x14ac:dyDescent="0.35">
      <c r="A467" t="s">
        <v>104</v>
      </c>
      <c r="B467" t="s">
        <v>175</v>
      </c>
      <c r="C467" t="s">
        <v>709</v>
      </c>
      <c r="D467">
        <v>60</v>
      </c>
      <c r="F467" t="s">
        <v>1569</v>
      </c>
      <c r="H467" t="s">
        <v>3244</v>
      </c>
      <c r="I467" t="s">
        <v>4885</v>
      </c>
      <c r="K467" t="s">
        <v>6025</v>
      </c>
      <c r="L467" t="s">
        <v>6026</v>
      </c>
    </row>
    <row r="468" spans="1:12" x14ac:dyDescent="0.35">
      <c r="A468" t="s">
        <v>104</v>
      </c>
      <c r="B468" t="s">
        <v>175</v>
      </c>
      <c r="C468" t="s">
        <v>716</v>
      </c>
      <c r="D468">
        <v>132</v>
      </c>
      <c r="F468" t="s">
        <v>4881</v>
      </c>
      <c r="H468" t="s">
        <v>3244</v>
      </c>
      <c r="I468" t="s">
        <v>4885</v>
      </c>
      <c r="K468" t="s">
        <v>6025</v>
      </c>
      <c r="L468" t="s">
        <v>6026</v>
      </c>
    </row>
    <row r="469" spans="1:12" x14ac:dyDescent="0.35">
      <c r="A469" t="s">
        <v>104</v>
      </c>
      <c r="B469" t="s">
        <v>175</v>
      </c>
      <c r="C469" t="s">
        <v>716</v>
      </c>
      <c r="D469">
        <v>78</v>
      </c>
      <c r="F469" t="s">
        <v>2212</v>
      </c>
      <c r="H469" t="s">
        <v>3228</v>
      </c>
      <c r="I469" t="s">
        <v>4885</v>
      </c>
      <c r="K469" t="s">
        <v>6025</v>
      </c>
      <c r="L469" t="s">
        <v>6026</v>
      </c>
    </row>
    <row r="470" spans="1:12" x14ac:dyDescent="0.35">
      <c r="A470" t="s">
        <v>104</v>
      </c>
      <c r="B470" t="s">
        <v>175</v>
      </c>
      <c r="C470" t="s">
        <v>716</v>
      </c>
      <c r="D470">
        <v>126</v>
      </c>
      <c r="F470" t="s">
        <v>4875</v>
      </c>
      <c r="H470" t="s">
        <v>3249</v>
      </c>
      <c r="I470" t="s">
        <v>4885</v>
      </c>
      <c r="K470" t="s">
        <v>6025</v>
      </c>
      <c r="L470" t="s">
        <v>6026</v>
      </c>
    </row>
    <row r="471" spans="1:12" x14ac:dyDescent="0.35">
      <c r="A471" t="s">
        <v>104</v>
      </c>
      <c r="B471" t="s">
        <v>175</v>
      </c>
      <c r="C471" t="s">
        <v>716</v>
      </c>
      <c r="D471">
        <v>102</v>
      </c>
      <c r="F471" t="s">
        <v>4925</v>
      </c>
      <c r="H471" t="s">
        <v>3226</v>
      </c>
      <c r="I471" t="s">
        <v>4885</v>
      </c>
      <c r="K471" t="s">
        <v>6025</v>
      </c>
      <c r="L471" t="s">
        <v>6026</v>
      </c>
    </row>
    <row r="472" spans="1:12" x14ac:dyDescent="0.35">
      <c r="A472" t="s">
        <v>104</v>
      </c>
      <c r="B472" t="s">
        <v>175</v>
      </c>
      <c r="C472" t="s">
        <v>716</v>
      </c>
      <c r="D472">
        <v>112</v>
      </c>
      <c r="F472" t="s">
        <v>4853</v>
      </c>
      <c r="H472" t="s">
        <v>3245</v>
      </c>
      <c r="I472" t="s">
        <v>4885</v>
      </c>
      <c r="K472" t="s">
        <v>6025</v>
      </c>
      <c r="L472" t="s">
        <v>6026</v>
      </c>
    </row>
    <row r="473" spans="1:12" x14ac:dyDescent="0.35">
      <c r="A473" t="s">
        <v>104</v>
      </c>
      <c r="B473" t="s">
        <v>175</v>
      </c>
      <c r="C473" t="s">
        <v>709</v>
      </c>
      <c r="D473">
        <v>145</v>
      </c>
      <c r="F473" t="s">
        <v>4943</v>
      </c>
      <c r="H473" t="s">
        <v>3239</v>
      </c>
      <c r="I473" t="s">
        <v>4885</v>
      </c>
      <c r="K473" t="s">
        <v>6025</v>
      </c>
      <c r="L473" t="s">
        <v>6026</v>
      </c>
    </row>
    <row r="474" spans="1:12" x14ac:dyDescent="0.35">
      <c r="A474" t="s">
        <v>104</v>
      </c>
      <c r="B474" t="s">
        <v>175</v>
      </c>
      <c r="C474" t="s">
        <v>709</v>
      </c>
      <c r="D474">
        <v>131</v>
      </c>
      <c r="F474" t="s">
        <v>5253</v>
      </c>
      <c r="H474" t="s">
        <v>3247</v>
      </c>
      <c r="I474" t="s">
        <v>4885</v>
      </c>
      <c r="K474" t="s">
        <v>6025</v>
      </c>
      <c r="L474" t="s">
        <v>6026</v>
      </c>
    </row>
    <row r="475" spans="1:12" x14ac:dyDescent="0.35">
      <c r="A475" t="s">
        <v>104</v>
      </c>
      <c r="B475" t="s">
        <v>175</v>
      </c>
      <c r="C475" t="s">
        <v>750</v>
      </c>
      <c r="D475">
        <v>106</v>
      </c>
      <c r="F475" t="s">
        <v>4918</v>
      </c>
      <c r="H475" t="s">
        <v>2842</v>
      </c>
      <c r="I475" t="s">
        <v>4871</v>
      </c>
      <c r="K475" t="s">
        <v>6025</v>
      </c>
      <c r="L475" t="s">
        <v>6026</v>
      </c>
    </row>
    <row r="476" spans="1:12" x14ac:dyDescent="0.35">
      <c r="A476" t="s">
        <v>104</v>
      </c>
      <c r="B476" t="s">
        <v>175</v>
      </c>
      <c r="C476" t="s">
        <v>709</v>
      </c>
      <c r="D476">
        <v>258</v>
      </c>
      <c r="F476" t="s">
        <v>5254</v>
      </c>
      <c r="H476" t="s">
        <v>3232</v>
      </c>
      <c r="I476" t="s">
        <v>4885</v>
      </c>
      <c r="K476" t="s">
        <v>6025</v>
      </c>
      <c r="L476" t="s">
        <v>6026</v>
      </c>
    </row>
    <row r="477" spans="1:12" x14ac:dyDescent="0.35">
      <c r="A477" t="s">
        <v>104</v>
      </c>
      <c r="B477" t="s">
        <v>175</v>
      </c>
      <c r="C477" t="s">
        <v>709</v>
      </c>
      <c r="D477">
        <v>108</v>
      </c>
      <c r="F477" t="s">
        <v>4884</v>
      </c>
      <c r="H477" t="s">
        <v>3235</v>
      </c>
      <c r="I477" t="s">
        <v>4885</v>
      </c>
      <c r="K477" t="s">
        <v>6025</v>
      </c>
      <c r="L477" t="s">
        <v>6026</v>
      </c>
    </row>
    <row r="478" spans="1:12" x14ac:dyDescent="0.35">
      <c r="A478" t="s">
        <v>104</v>
      </c>
      <c r="B478" t="s">
        <v>175</v>
      </c>
      <c r="C478" t="s">
        <v>716</v>
      </c>
      <c r="D478">
        <v>129</v>
      </c>
      <c r="F478" t="s">
        <v>4882</v>
      </c>
      <c r="H478" t="s">
        <v>3236</v>
      </c>
      <c r="I478" t="s">
        <v>4885</v>
      </c>
      <c r="K478" t="s">
        <v>6025</v>
      </c>
      <c r="L478" t="s">
        <v>6026</v>
      </c>
    </row>
    <row r="479" spans="1:12" x14ac:dyDescent="0.35">
      <c r="A479" t="s">
        <v>104</v>
      </c>
      <c r="B479" t="s">
        <v>175</v>
      </c>
      <c r="C479" t="s">
        <v>709</v>
      </c>
      <c r="D479">
        <v>113</v>
      </c>
      <c r="F479" t="s">
        <v>2620</v>
      </c>
      <c r="H479" t="s">
        <v>3238</v>
      </c>
      <c r="I479" t="s">
        <v>4885</v>
      </c>
      <c r="K479" t="s">
        <v>6025</v>
      </c>
      <c r="L479" t="s">
        <v>6026</v>
      </c>
    </row>
    <row r="480" spans="1:12" x14ac:dyDescent="0.35">
      <c r="A480" t="s">
        <v>104</v>
      </c>
      <c r="B480" t="s">
        <v>175</v>
      </c>
      <c r="C480" t="s">
        <v>709</v>
      </c>
      <c r="D480">
        <v>219</v>
      </c>
      <c r="F480" t="s">
        <v>5255</v>
      </c>
      <c r="H480" t="s">
        <v>3227</v>
      </c>
      <c r="I480" t="s">
        <v>4885</v>
      </c>
      <c r="K480" t="s">
        <v>6025</v>
      </c>
      <c r="L480" t="s">
        <v>6026</v>
      </c>
    </row>
    <row r="481" spans="1:12" x14ac:dyDescent="0.35">
      <c r="A481" t="s">
        <v>104</v>
      </c>
      <c r="B481" t="s">
        <v>175</v>
      </c>
      <c r="C481" t="s">
        <v>709</v>
      </c>
      <c r="D481">
        <v>208</v>
      </c>
      <c r="F481" t="s">
        <v>5003</v>
      </c>
      <c r="H481" t="s">
        <v>3231</v>
      </c>
      <c r="I481" t="s">
        <v>4885</v>
      </c>
      <c r="K481" t="s">
        <v>6025</v>
      </c>
      <c r="L481" t="s">
        <v>6026</v>
      </c>
    </row>
    <row r="482" spans="1:12" x14ac:dyDescent="0.35">
      <c r="A482" t="s">
        <v>104</v>
      </c>
      <c r="B482" t="s">
        <v>175</v>
      </c>
      <c r="C482" t="s">
        <v>709</v>
      </c>
      <c r="D482">
        <v>124</v>
      </c>
      <c r="F482" t="s">
        <v>4887</v>
      </c>
      <c r="H482" t="s">
        <v>3229</v>
      </c>
      <c r="I482" t="s">
        <v>4885</v>
      </c>
      <c r="K482" t="s">
        <v>6025</v>
      </c>
      <c r="L482" t="s">
        <v>6026</v>
      </c>
    </row>
    <row r="483" spans="1:12" x14ac:dyDescent="0.35">
      <c r="A483" t="s">
        <v>104</v>
      </c>
      <c r="B483" t="s">
        <v>175</v>
      </c>
      <c r="C483" t="s">
        <v>716</v>
      </c>
      <c r="D483">
        <v>137</v>
      </c>
      <c r="F483" t="s">
        <v>4879</v>
      </c>
      <c r="H483" t="s">
        <v>3239</v>
      </c>
      <c r="I483" t="s">
        <v>4885</v>
      </c>
      <c r="K483" t="s">
        <v>6025</v>
      </c>
      <c r="L483" t="s">
        <v>6026</v>
      </c>
    </row>
    <row r="484" spans="1:12" x14ac:dyDescent="0.35">
      <c r="A484" t="s">
        <v>104</v>
      </c>
      <c r="B484" t="s">
        <v>175</v>
      </c>
      <c r="C484" t="s">
        <v>709</v>
      </c>
      <c r="D484">
        <v>166</v>
      </c>
      <c r="F484" t="s">
        <v>4988</v>
      </c>
      <c r="H484" t="s">
        <v>5768</v>
      </c>
      <c r="I484" t="s">
        <v>4885</v>
      </c>
      <c r="K484" t="s">
        <v>6025</v>
      </c>
      <c r="L484" t="s">
        <v>6026</v>
      </c>
    </row>
    <row r="485" spans="1:12" x14ac:dyDescent="0.35">
      <c r="A485" t="s">
        <v>104</v>
      </c>
      <c r="B485" t="s">
        <v>175</v>
      </c>
      <c r="C485" t="s">
        <v>716</v>
      </c>
      <c r="D485">
        <v>135.80000000000001</v>
      </c>
      <c r="F485" t="s">
        <v>5256</v>
      </c>
      <c r="H485" t="s">
        <v>3225</v>
      </c>
      <c r="I485" t="s">
        <v>4872</v>
      </c>
      <c r="K485" t="s">
        <v>6025</v>
      </c>
      <c r="L485" t="s">
        <v>6026</v>
      </c>
    </row>
    <row r="486" spans="1:12" x14ac:dyDescent="0.35">
      <c r="A486" t="s">
        <v>104</v>
      </c>
      <c r="B486" t="s">
        <v>175</v>
      </c>
      <c r="C486" t="s">
        <v>750</v>
      </c>
      <c r="D486">
        <v>109.5</v>
      </c>
      <c r="F486" t="s">
        <v>5257</v>
      </c>
      <c r="H486" t="s">
        <v>2842</v>
      </c>
      <c r="I486" t="s">
        <v>4871</v>
      </c>
      <c r="K486" t="s">
        <v>6025</v>
      </c>
      <c r="L486" t="s">
        <v>6026</v>
      </c>
    </row>
    <row r="487" spans="1:12" x14ac:dyDescent="0.35">
      <c r="A487" t="s">
        <v>104</v>
      </c>
      <c r="B487" t="s">
        <v>175</v>
      </c>
      <c r="C487" t="s">
        <v>750</v>
      </c>
      <c r="D487">
        <v>110.9</v>
      </c>
      <c r="F487" t="s">
        <v>5258</v>
      </c>
      <c r="H487" t="s">
        <v>2842</v>
      </c>
      <c r="I487" t="s">
        <v>4871</v>
      </c>
      <c r="K487" t="s">
        <v>6025</v>
      </c>
      <c r="L487" t="s">
        <v>6026</v>
      </c>
    </row>
    <row r="488" spans="1:12" x14ac:dyDescent="0.35">
      <c r="A488" t="s">
        <v>104</v>
      </c>
      <c r="B488" t="s">
        <v>175</v>
      </c>
      <c r="C488" t="s">
        <v>750</v>
      </c>
      <c r="D488">
        <v>94.57</v>
      </c>
      <c r="F488" t="s">
        <v>5259</v>
      </c>
      <c r="H488" t="s">
        <v>2842</v>
      </c>
      <c r="I488" t="s">
        <v>4871</v>
      </c>
      <c r="K488" t="s">
        <v>6025</v>
      </c>
      <c r="L488" t="s">
        <v>6026</v>
      </c>
    </row>
    <row r="489" spans="1:12" x14ac:dyDescent="0.35">
      <c r="A489" t="s">
        <v>104</v>
      </c>
      <c r="B489" t="s">
        <v>175</v>
      </c>
      <c r="C489" t="s">
        <v>750</v>
      </c>
      <c r="D489">
        <v>95.53</v>
      </c>
      <c r="F489" t="s">
        <v>5260</v>
      </c>
      <c r="H489" t="s">
        <v>2842</v>
      </c>
      <c r="I489" t="s">
        <v>4871</v>
      </c>
      <c r="K489" t="s">
        <v>6025</v>
      </c>
      <c r="L489" t="s">
        <v>6026</v>
      </c>
    </row>
    <row r="490" spans="1:12" x14ac:dyDescent="0.35">
      <c r="A490" t="s">
        <v>104</v>
      </c>
      <c r="B490" t="s">
        <v>175</v>
      </c>
      <c r="C490" t="s">
        <v>750</v>
      </c>
      <c r="D490">
        <v>84.83</v>
      </c>
      <c r="F490" t="s">
        <v>5261</v>
      </c>
      <c r="H490" t="s">
        <v>2842</v>
      </c>
      <c r="I490" t="s">
        <v>4871</v>
      </c>
      <c r="K490" t="s">
        <v>6025</v>
      </c>
      <c r="L490" t="s">
        <v>6026</v>
      </c>
    </row>
    <row r="491" spans="1:12" x14ac:dyDescent="0.35">
      <c r="A491" t="s">
        <v>104</v>
      </c>
      <c r="B491" t="s">
        <v>175</v>
      </c>
      <c r="C491" t="s">
        <v>750</v>
      </c>
      <c r="D491">
        <v>105.3</v>
      </c>
      <c r="F491" t="s">
        <v>5262</v>
      </c>
      <c r="H491" t="s">
        <v>2842</v>
      </c>
      <c r="I491" t="s">
        <v>4871</v>
      </c>
      <c r="K491" t="s">
        <v>6025</v>
      </c>
      <c r="L491" t="s">
        <v>6026</v>
      </c>
    </row>
    <row r="492" spans="1:12" x14ac:dyDescent="0.35">
      <c r="A492" t="s">
        <v>104</v>
      </c>
      <c r="B492" t="s">
        <v>175</v>
      </c>
      <c r="C492" t="s">
        <v>750</v>
      </c>
      <c r="D492">
        <v>122.7</v>
      </c>
      <c r="F492" t="s">
        <v>5263</v>
      </c>
      <c r="H492" t="s">
        <v>2842</v>
      </c>
      <c r="I492" t="s">
        <v>4871</v>
      </c>
      <c r="K492" t="s">
        <v>6025</v>
      </c>
      <c r="L492" t="s">
        <v>6026</v>
      </c>
    </row>
    <row r="493" spans="1:12" x14ac:dyDescent="0.35">
      <c r="A493" t="s">
        <v>104</v>
      </c>
      <c r="B493" t="s">
        <v>175</v>
      </c>
      <c r="C493" t="s">
        <v>750</v>
      </c>
      <c r="D493">
        <v>136.9</v>
      </c>
      <c r="F493" t="s">
        <v>5264</v>
      </c>
      <c r="H493" t="s">
        <v>2842</v>
      </c>
      <c r="I493" t="s">
        <v>4871</v>
      </c>
      <c r="K493" t="s">
        <v>6025</v>
      </c>
      <c r="L493" t="s">
        <v>6026</v>
      </c>
    </row>
    <row r="494" spans="1:12" x14ac:dyDescent="0.35">
      <c r="A494" t="s">
        <v>104</v>
      </c>
      <c r="B494" t="s">
        <v>175</v>
      </c>
      <c r="C494" t="s">
        <v>750</v>
      </c>
      <c r="D494">
        <v>98.03</v>
      </c>
      <c r="F494" t="s">
        <v>5265</v>
      </c>
      <c r="H494" t="s">
        <v>2842</v>
      </c>
      <c r="I494" t="s">
        <v>4871</v>
      </c>
      <c r="K494" t="s">
        <v>6025</v>
      </c>
      <c r="L494" t="s">
        <v>6026</v>
      </c>
    </row>
    <row r="495" spans="1:12" x14ac:dyDescent="0.35">
      <c r="A495" t="s">
        <v>104</v>
      </c>
      <c r="B495" t="s">
        <v>175</v>
      </c>
      <c r="C495" t="s">
        <v>709</v>
      </c>
      <c r="D495">
        <v>34.18</v>
      </c>
      <c r="F495" t="s">
        <v>5266</v>
      </c>
      <c r="H495" t="s">
        <v>3248</v>
      </c>
      <c r="I495" t="s">
        <v>4899</v>
      </c>
      <c r="K495" t="s">
        <v>6025</v>
      </c>
      <c r="L495" t="s">
        <v>6026</v>
      </c>
    </row>
    <row r="496" spans="1:12" x14ac:dyDescent="0.35">
      <c r="A496" t="s">
        <v>104</v>
      </c>
      <c r="B496" t="s">
        <v>175</v>
      </c>
      <c r="C496" t="s">
        <v>716</v>
      </c>
      <c r="D496">
        <v>113.2</v>
      </c>
      <c r="F496" t="s">
        <v>5267</v>
      </c>
      <c r="H496" t="s">
        <v>3248</v>
      </c>
      <c r="I496" t="s">
        <v>4899</v>
      </c>
      <c r="K496" t="s">
        <v>6025</v>
      </c>
      <c r="L496" t="s">
        <v>6026</v>
      </c>
    </row>
    <row r="497" spans="1:12" x14ac:dyDescent="0.35">
      <c r="A497" t="s">
        <v>104</v>
      </c>
      <c r="B497" t="s">
        <v>340</v>
      </c>
      <c r="C497" t="s">
        <v>716</v>
      </c>
      <c r="D497">
        <v>88.3</v>
      </c>
      <c r="F497" t="s">
        <v>5268</v>
      </c>
      <c r="H497" t="s">
        <v>3258</v>
      </c>
      <c r="I497" t="s">
        <v>4863</v>
      </c>
      <c r="K497" t="s">
        <v>6025</v>
      </c>
      <c r="L497" t="s">
        <v>6026</v>
      </c>
    </row>
    <row r="498" spans="1:12" x14ac:dyDescent="0.35">
      <c r="A498" t="s">
        <v>104</v>
      </c>
      <c r="B498" t="s">
        <v>340</v>
      </c>
      <c r="C498" t="s">
        <v>750</v>
      </c>
      <c r="D498">
        <v>91.7</v>
      </c>
      <c r="F498" t="s">
        <v>5269</v>
      </c>
      <c r="H498" t="s">
        <v>2842</v>
      </c>
      <c r="I498" t="s">
        <v>4863</v>
      </c>
      <c r="K498" t="s">
        <v>6025</v>
      </c>
      <c r="L498" t="s">
        <v>6026</v>
      </c>
    </row>
    <row r="499" spans="1:12" x14ac:dyDescent="0.35">
      <c r="A499" t="s">
        <v>107</v>
      </c>
      <c r="B499" t="s">
        <v>178</v>
      </c>
      <c r="C499" t="s">
        <v>166</v>
      </c>
      <c r="D499">
        <v>5.5</v>
      </c>
      <c r="F499" t="s">
        <v>1860</v>
      </c>
      <c r="H499" t="s">
        <v>3274</v>
      </c>
      <c r="I499" t="s">
        <v>4898</v>
      </c>
      <c r="K499" t="s">
        <v>6025</v>
      </c>
      <c r="L499" t="s">
        <v>6026</v>
      </c>
    </row>
    <row r="500" spans="1:12" x14ac:dyDescent="0.35">
      <c r="A500" t="s">
        <v>107</v>
      </c>
      <c r="B500" t="s">
        <v>178</v>
      </c>
      <c r="C500" t="s">
        <v>756</v>
      </c>
      <c r="D500">
        <v>5.5</v>
      </c>
      <c r="F500" t="s">
        <v>1860</v>
      </c>
      <c r="H500" t="s">
        <v>3272</v>
      </c>
      <c r="I500" t="s">
        <v>4898</v>
      </c>
      <c r="K500" t="s">
        <v>6025</v>
      </c>
      <c r="L500" t="s">
        <v>6026</v>
      </c>
    </row>
    <row r="501" spans="1:12" x14ac:dyDescent="0.35">
      <c r="A501" t="s">
        <v>107</v>
      </c>
      <c r="B501" t="s">
        <v>178</v>
      </c>
      <c r="C501" t="s">
        <v>756</v>
      </c>
      <c r="D501">
        <v>3.6</v>
      </c>
      <c r="F501" t="s">
        <v>1391</v>
      </c>
      <c r="H501" t="s">
        <v>3274</v>
      </c>
      <c r="I501" t="s">
        <v>4898</v>
      </c>
      <c r="K501" t="s">
        <v>6025</v>
      </c>
      <c r="L501" t="s">
        <v>6026</v>
      </c>
    </row>
    <row r="502" spans="1:12" x14ac:dyDescent="0.35">
      <c r="A502" t="s">
        <v>107</v>
      </c>
      <c r="B502" t="s">
        <v>178</v>
      </c>
      <c r="C502" t="s">
        <v>756</v>
      </c>
      <c r="D502">
        <v>4</v>
      </c>
      <c r="F502" t="s">
        <v>1379</v>
      </c>
      <c r="H502" t="s">
        <v>3273</v>
      </c>
      <c r="I502" t="s">
        <v>4898</v>
      </c>
      <c r="K502" t="s">
        <v>6025</v>
      </c>
      <c r="L502" t="s">
        <v>6026</v>
      </c>
    </row>
    <row r="503" spans="1:12" x14ac:dyDescent="0.35">
      <c r="A503" t="s">
        <v>107</v>
      </c>
      <c r="B503" t="s">
        <v>178</v>
      </c>
      <c r="C503" t="s">
        <v>166</v>
      </c>
      <c r="D503">
        <v>5.8</v>
      </c>
      <c r="F503" t="s">
        <v>1733</v>
      </c>
      <c r="H503" t="s">
        <v>3272</v>
      </c>
      <c r="I503" t="s">
        <v>4898</v>
      </c>
      <c r="K503" t="s">
        <v>6025</v>
      </c>
      <c r="L503" t="s">
        <v>6026</v>
      </c>
    </row>
    <row r="504" spans="1:12" x14ac:dyDescent="0.35">
      <c r="A504" t="s">
        <v>107</v>
      </c>
      <c r="B504" t="s">
        <v>178</v>
      </c>
      <c r="C504" t="s">
        <v>758</v>
      </c>
      <c r="D504">
        <v>4.5999999999999996</v>
      </c>
      <c r="F504" t="s">
        <v>1468</v>
      </c>
      <c r="H504" t="s">
        <v>3272</v>
      </c>
      <c r="I504" t="s">
        <v>4898</v>
      </c>
      <c r="K504" t="s">
        <v>6025</v>
      </c>
      <c r="L504" t="s">
        <v>6026</v>
      </c>
    </row>
    <row r="505" spans="1:12" x14ac:dyDescent="0.35">
      <c r="A505" t="s">
        <v>107</v>
      </c>
      <c r="B505" t="s">
        <v>178</v>
      </c>
      <c r="C505" t="s">
        <v>166</v>
      </c>
      <c r="D505">
        <v>4.4000000000000004</v>
      </c>
      <c r="F505" t="s">
        <v>1492</v>
      </c>
      <c r="H505" t="s">
        <v>3270</v>
      </c>
      <c r="I505" t="s">
        <v>4898</v>
      </c>
      <c r="K505" t="s">
        <v>6025</v>
      </c>
      <c r="L505" t="s">
        <v>6026</v>
      </c>
    </row>
    <row r="506" spans="1:12" x14ac:dyDescent="0.35">
      <c r="A506" t="s">
        <v>107</v>
      </c>
      <c r="B506" t="s">
        <v>178</v>
      </c>
      <c r="C506" t="s">
        <v>166</v>
      </c>
      <c r="D506">
        <v>6.8</v>
      </c>
      <c r="F506" t="s">
        <v>1381</v>
      </c>
      <c r="H506" t="s">
        <v>3271</v>
      </c>
      <c r="I506" t="s">
        <v>4898</v>
      </c>
      <c r="K506" t="s">
        <v>6025</v>
      </c>
      <c r="L506" t="s">
        <v>6026</v>
      </c>
    </row>
    <row r="507" spans="1:12" x14ac:dyDescent="0.35">
      <c r="A507" t="s">
        <v>107</v>
      </c>
      <c r="B507" t="s">
        <v>178</v>
      </c>
      <c r="C507" t="s">
        <v>756</v>
      </c>
      <c r="D507">
        <v>4.5</v>
      </c>
      <c r="F507" t="s">
        <v>1828</v>
      </c>
      <c r="H507" t="s">
        <v>3271</v>
      </c>
      <c r="I507" t="s">
        <v>4898</v>
      </c>
      <c r="K507" t="s">
        <v>6025</v>
      </c>
      <c r="L507" t="s">
        <v>6026</v>
      </c>
    </row>
    <row r="508" spans="1:12" x14ac:dyDescent="0.35">
      <c r="A508" t="s">
        <v>107</v>
      </c>
      <c r="B508" t="s">
        <v>178</v>
      </c>
      <c r="C508" t="s">
        <v>758</v>
      </c>
      <c r="D508">
        <v>6.1</v>
      </c>
      <c r="F508" t="s">
        <v>1894</v>
      </c>
      <c r="H508" t="s">
        <v>3271</v>
      </c>
      <c r="I508" t="s">
        <v>4898</v>
      </c>
      <c r="K508" t="s">
        <v>6025</v>
      </c>
      <c r="L508" t="s">
        <v>6026</v>
      </c>
    </row>
    <row r="509" spans="1:12" x14ac:dyDescent="0.35">
      <c r="A509" t="s">
        <v>107</v>
      </c>
      <c r="B509" t="s">
        <v>178</v>
      </c>
      <c r="C509" t="s">
        <v>166</v>
      </c>
      <c r="D509">
        <v>6.3</v>
      </c>
      <c r="F509" t="s">
        <v>1965</v>
      </c>
      <c r="H509" t="s">
        <v>3273</v>
      </c>
      <c r="I509" t="s">
        <v>4898</v>
      </c>
      <c r="K509" t="s">
        <v>6025</v>
      </c>
      <c r="L509" t="s">
        <v>6026</v>
      </c>
    </row>
    <row r="510" spans="1:12" x14ac:dyDescent="0.35">
      <c r="A510" t="s">
        <v>107</v>
      </c>
      <c r="B510" t="s">
        <v>178</v>
      </c>
      <c r="C510" t="s">
        <v>758</v>
      </c>
      <c r="D510">
        <v>7.1</v>
      </c>
      <c r="F510" t="s">
        <v>1532</v>
      </c>
      <c r="H510" t="s">
        <v>3273</v>
      </c>
      <c r="I510" t="s">
        <v>4898</v>
      </c>
      <c r="K510" t="s">
        <v>6025</v>
      </c>
      <c r="L510" t="s">
        <v>6026</v>
      </c>
    </row>
    <row r="511" spans="1:12" x14ac:dyDescent="0.35">
      <c r="A511" t="s">
        <v>107</v>
      </c>
      <c r="B511" t="s">
        <v>178</v>
      </c>
      <c r="C511" t="s">
        <v>758</v>
      </c>
      <c r="D511">
        <v>4.7</v>
      </c>
      <c r="F511" t="s">
        <v>1570</v>
      </c>
      <c r="H511" t="s">
        <v>3274</v>
      </c>
      <c r="I511" t="s">
        <v>4898</v>
      </c>
      <c r="K511" t="s">
        <v>6025</v>
      </c>
      <c r="L511" t="s">
        <v>6026</v>
      </c>
    </row>
    <row r="512" spans="1:12" x14ac:dyDescent="0.35">
      <c r="A512" t="s">
        <v>107</v>
      </c>
      <c r="B512" t="s">
        <v>178</v>
      </c>
      <c r="C512" t="s">
        <v>758</v>
      </c>
      <c r="D512">
        <v>4.0999999999999996</v>
      </c>
      <c r="F512" t="s">
        <v>1385</v>
      </c>
      <c r="H512" t="s">
        <v>3270</v>
      </c>
      <c r="I512" t="s">
        <v>4898</v>
      </c>
      <c r="K512" t="s">
        <v>6025</v>
      </c>
      <c r="L512" t="s">
        <v>6026</v>
      </c>
    </row>
    <row r="513" spans="1:12" x14ac:dyDescent="0.35">
      <c r="A513" t="s">
        <v>107</v>
      </c>
      <c r="B513" t="s">
        <v>178</v>
      </c>
      <c r="C513" t="s">
        <v>756</v>
      </c>
      <c r="D513">
        <v>4.0999999999999996</v>
      </c>
      <c r="F513" t="s">
        <v>1385</v>
      </c>
      <c r="H513" t="s">
        <v>3270</v>
      </c>
      <c r="I513" t="s">
        <v>4898</v>
      </c>
      <c r="K513" t="s">
        <v>6025</v>
      </c>
      <c r="L513" t="s">
        <v>6026</v>
      </c>
    </row>
    <row r="514" spans="1:12" x14ac:dyDescent="0.35">
      <c r="A514" t="s">
        <v>107</v>
      </c>
      <c r="B514" t="s">
        <v>354</v>
      </c>
      <c r="C514" t="s">
        <v>166</v>
      </c>
      <c r="D514">
        <v>6.08</v>
      </c>
      <c r="F514" t="s">
        <v>5270</v>
      </c>
      <c r="H514" t="s">
        <v>5769</v>
      </c>
      <c r="I514" t="s">
        <v>1393</v>
      </c>
      <c r="K514" t="s">
        <v>6025</v>
      </c>
      <c r="L514" t="s">
        <v>6026</v>
      </c>
    </row>
    <row r="515" spans="1:12" x14ac:dyDescent="0.35">
      <c r="A515" t="s">
        <v>107</v>
      </c>
      <c r="B515" t="s">
        <v>354</v>
      </c>
      <c r="C515" t="s">
        <v>5052</v>
      </c>
      <c r="D515">
        <v>6.08</v>
      </c>
      <c r="F515" t="s">
        <v>5270</v>
      </c>
      <c r="H515" t="s">
        <v>5769</v>
      </c>
      <c r="I515" t="s">
        <v>1393</v>
      </c>
      <c r="K515" t="s">
        <v>6025</v>
      </c>
      <c r="L515" t="s">
        <v>6026</v>
      </c>
    </row>
    <row r="516" spans="1:12" x14ac:dyDescent="0.35">
      <c r="A516" t="s">
        <v>107</v>
      </c>
      <c r="B516" t="s">
        <v>354</v>
      </c>
      <c r="C516" t="s">
        <v>164</v>
      </c>
      <c r="D516">
        <v>6.08</v>
      </c>
      <c r="F516" t="s">
        <v>5270</v>
      </c>
      <c r="H516" t="s">
        <v>5770</v>
      </c>
      <c r="I516" t="s">
        <v>2258</v>
      </c>
      <c r="K516" t="s">
        <v>6025</v>
      </c>
      <c r="L516" t="s">
        <v>6026</v>
      </c>
    </row>
    <row r="517" spans="1:12" x14ac:dyDescent="0.35">
      <c r="A517" t="s">
        <v>107</v>
      </c>
      <c r="B517" t="s">
        <v>354</v>
      </c>
      <c r="C517" t="s">
        <v>759</v>
      </c>
      <c r="D517">
        <v>6.08</v>
      </c>
      <c r="F517" t="s">
        <v>5270</v>
      </c>
      <c r="H517" t="s">
        <v>3284</v>
      </c>
      <c r="I517" t="s">
        <v>2258</v>
      </c>
      <c r="K517" t="s">
        <v>6025</v>
      </c>
      <c r="L517" t="s">
        <v>6026</v>
      </c>
    </row>
    <row r="518" spans="1:12" x14ac:dyDescent="0.35">
      <c r="A518" t="s">
        <v>107</v>
      </c>
      <c r="B518" t="s">
        <v>354</v>
      </c>
      <c r="C518" t="s">
        <v>166</v>
      </c>
      <c r="D518">
        <v>3.8</v>
      </c>
      <c r="F518" t="s">
        <v>1388</v>
      </c>
      <c r="H518" t="s">
        <v>5771</v>
      </c>
      <c r="I518" t="s">
        <v>1393</v>
      </c>
      <c r="K518" t="s">
        <v>6025</v>
      </c>
      <c r="L518" t="s">
        <v>6026</v>
      </c>
    </row>
    <row r="519" spans="1:12" x14ac:dyDescent="0.35">
      <c r="A519" t="s">
        <v>107</v>
      </c>
      <c r="B519" t="s">
        <v>354</v>
      </c>
      <c r="C519" t="s">
        <v>5053</v>
      </c>
      <c r="D519">
        <v>3.8</v>
      </c>
      <c r="F519" t="s">
        <v>1388</v>
      </c>
      <c r="H519" t="s">
        <v>5771</v>
      </c>
      <c r="I519" t="s">
        <v>1393</v>
      </c>
      <c r="K519" t="s">
        <v>6025</v>
      </c>
      <c r="L519" t="s">
        <v>6026</v>
      </c>
    </row>
    <row r="520" spans="1:12" x14ac:dyDescent="0.35">
      <c r="A520" t="s">
        <v>107</v>
      </c>
      <c r="B520" t="s">
        <v>354</v>
      </c>
      <c r="C520" t="s">
        <v>166</v>
      </c>
      <c r="D520">
        <v>1.5</v>
      </c>
      <c r="F520" t="s">
        <v>1426</v>
      </c>
      <c r="H520" t="s">
        <v>5772</v>
      </c>
      <c r="I520" t="s">
        <v>1393</v>
      </c>
      <c r="K520" t="s">
        <v>6025</v>
      </c>
      <c r="L520" t="s">
        <v>6026</v>
      </c>
    </row>
    <row r="521" spans="1:12" x14ac:dyDescent="0.35">
      <c r="A521" t="s">
        <v>107</v>
      </c>
      <c r="B521" t="s">
        <v>354</v>
      </c>
      <c r="C521" t="s">
        <v>5052</v>
      </c>
      <c r="D521">
        <v>1.5</v>
      </c>
      <c r="F521" t="s">
        <v>1426</v>
      </c>
      <c r="H521" t="s">
        <v>5772</v>
      </c>
      <c r="I521" t="s">
        <v>1393</v>
      </c>
      <c r="K521" t="s">
        <v>6025</v>
      </c>
      <c r="L521" t="s">
        <v>6026</v>
      </c>
    </row>
    <row r="522" spans="1:12" x14ac:dyDescent="0.35">
      <c r="A522" t="s">
        <v>107</v>
      </c>
      <c r="B522" t="s">
        <v>354</v>
      </c>
      <c r="C522" t="s">
        <v>166</v>
      </c>
      <c r="D522">
        <v>0.24</v>
      </c>
      <c r="F522" t="s">
        <v>1488</v>
      </c>
      <c r="H522" t="s">
        <v>5773</v>
      </c>
      <c r="I522" t="s">
        <v>1393</v>
      </c>
      <c r="K522" t="s">
        <v>6025</v>
      </c>
      <c r="L522" t="s">
        <v>6026</v>
      </c>
    </row>
    <row r="523" spans="1:12" x14ac:dyDescent="0.35">
      <c r="A523" t="s">
        <v>107</v>
      </c>
      <c r="B523" t="s">
        <v>354</v>
      </c>
      <c r="C523" t="s">
        <v>164</v>
      </c>
      <c r="D523">
        <v>0.24</v>
      </c>
      <c r="F523" t="s">
        <v>1488</v>
      </c>
      <c r="H523" t="s">
        <v>3297</v>
      </c>
      <c r="I523" t="s">
        <v>2258</v>
      </c>
      <c r="K523" t="s">
        <v>6025</v>
      </c>
      <c r="L523" t="s">
        <v>6026</v>
      </c>
    </row>
    <row r="524" spans="1:12" x14ac:dyDescent="0.35">
      <c r="A524" t="s">
        <v>107</v>
      </c>
      <c r="B524" t="s">
        <v>354</v>
      </c>
      <c r="C524" t="s">
        <v>5052</v>
      </c>
      <c r="D524">
        <v>2.5</v>
      </c>
      <c r="F524" t="s">
        <v>1406</v>
      </c>
      <c r="H524" t="s">
        <v>5771</v>
      </c>
      <c r="I524" t="s">
        <v>1393</v>
      </c>
      <c r="K524" t="s">
        <v>6025</v>
      </c>
      <c r="L524" t="s">
        <v>6026</v>
      </c>
    </row>
    <row r="525" spans="1:12" x14ac:dyDescent="0.35">
      <c r="A525" t="s">
        <v>107</v>
      </c>
      <c r="B525" t="s">
        <v>354</v>
      </c>
      <c r="C525" t="s">
        <v>759</v>
      </c>
      <c r="D525">
        <v>0.59</v>
      </c>
      <c r="F525" t="s">
        <v>1483</v>
      </c>
      <c r="H525" t="s">
        <v>3284</v>
      </c>
      <c r="I525" t="s">
        <v>2258</v>
      </c>
      <c r="K525" t="s">
        <v>6025</v>
      </c>
      <c r="L525" t="s">
        <v>6026</v>
      </c>
    </row>
    <row r="526" spans="1:12" x14ac:dyDescent="0.35">
      <c r="A526" t="s">
        <v>107</v>
      </c>
      <c r="B526" t="s">
        <v>354</v>
      </c>
      <c r="C526" t="s">
        <v>164</v>
      </c>
      <c r="D526">
        <v>0.79</v>
      </c>
      <c r="F526" t="s">
        <v>2224</v>
      </c>
      <c r="H526" t="s">
        <v>3277</v>
      </c>
      <c r="I526" t="s">
        <v>2258</v>
      </c>
      <c r="K526" t="s">
        <v>6025</v>
      </c>
      <c r="L526" t="s">
        <v>6026</v>
      </c>
    </row>
    <row r="527" spans="1:12" x14ac:dyDescent="0.35">
      <c r="A527" t="s">
        <v>107</v>
      </c>
      <c r="B527" t="s">
        <v>354</v>
      </c>
      <c r="C527" t="s">
        <v>5053</v>
      </c>
      <c r="D527">
        <v>0.08</v>
      </c>
      <c r="F527" t="s">
        <v>1402</v>
      </c>
      <c r="H527" t="s">
        <v>5772</v>
      </c>
      <c r="I527" t="s">
        <v>1393</v>
      </c>
      <c r="K527" t="s">
        <v>6025</v>
      </c>
      <c r="L527" t="s">
        <v>6026</v>
      </c>
    </row>
    <row r="528" spans="1:12" x14ac:dyDescent="0.35">
      <c r="A528" t="s">
        <v>107</v>
      </c>
      <c r="B528" t="s">
        <v>354</v>
      </c>
      <c r="C528" t="s">
        <v>5053</v>
      </c>
      <c r="D528">
        <v>7.8E-2</v>
      </c>
      <c r="F528" t="s">
        <v>1649</v>
      </c>
      <c r="H528" t="s">
        <v>5774</v>
      </c>
      <c r="I528" t="s">
        <v>1393</v>
      </c>
      <c r="K528" t="s">
        <v>6025</v>
      </c>
      <c r="L528" t="s">
        <v>6026</v>
      </c>
    </row>
    <row r="529" spans="1:12" x14ac:dyDescent="0.35">
      <c r="A529" t="s">
        <v>107</v>
      </c>
      <c r="B529" t="s">
        <v>354</v>
      </c>
      <c r="C529" t="s">
        <v>166</v>
      </c>
      <c r="D529">
        <v>2.4</v>
      </c>
      <c r="F529" t="s">
        <v>1433</v>
      </c>
      <c r="H529" t="s">
        <v>5771</v>
      </c>
      <c r="I529" t="s">
        <v>1393</v>
      </c>
      <c r="K529" t="s">
        <v>6025</v>
      </c>
      <c r="L529" t="s">
        <v>6026</v>
      </c>
    </row>
    <row r="530" spans="1:12" x14ac:dyDescent="0.35">
      <c r="A530" t="s">
        <v>107</v>
      </c>
      <c r="B530" t="s">
        <v>354</v>
      </c>
      <c r="C530" t="s">
        <v>164</v>
      </c>
      <c r="D530">
        <v>1.2</v>
      </c>
      <c r="F530" t="s">
        <v>1421</v>
      </c>
      <c r="H530" t="s">
        <v>3276</v>
      </c>
      <c r="I530" t="s">
        <v>2258</v>
      </c>
      <c r="K530" t="s">
        <v>6025</v>
      </c>
      <c r="L530" t="s">
        <v>6026</v>
      </c>
    </row>
    <row r="531" spans="1:12" x14ac:dyDescent="0.35">
      <c r="A531" t="s">
        <v>107</v>
      </c>
      <c r="B531" t="s">
        <v>354</v>
      </c>
      <c r="C531" t="s">
        <v>164</v>
      </c>
      <c r="D531">
        <v>3.9</v>
      </c>
      <c r="F531" t="s">
        <v>1410</v>
      </c>
      <c r="H531" t="s">
        <v>5775</v>
      </c>
      <c r="I531" t="s">
        <v>2258</v>
      </c>
      <c r="K531" t="s">
        <v>6025</v>
      </c>
      <c r="L531" t="s">
        <v>6026</v>
      </c>
    </row>
    <row r="532" spans="1:12" x14ac:dyDescent="0.35">
      <c r="A532" t="s">
        <v>107</v>
      </c>
      <c r="B532" t="s">
        <v>354</v>
      </c>
      <c r="C532" t="s">
        <v>164</v>
      </c>
      <c r="D532">
        <v>0.32</v>
      </c>
      <c r="F532" t="s">
        <v>1470</v>
      </c>
      <c r="H532" t="s">
        <v>3284</v>
      </c>
      <c r="I532" t="s">
        <v>2258</v>
      </c>
      <c r="K532" t="s">
        <v>6025</v>
      </c>
      <c r="L532" t="s">
        <v>6026</v>
      </c>
    </row>
    <row r="533" spans="1:12" x14ac:dyDescent="0.35">
      <c r="A533" t="s">
        <v>107</v>
      </c>
      <c r="B533" t="s">
        <v>354</v>
      </c>
      <c r="C533" t="s">
        <v>759</v>
      </c>
      <c r="D533">
        <v>0.14000000000000001</v>
      </c>
      <c r="F533" t="s">
        <v>1361</v>
      </c>
      <c r="H533" t="s">
        <v>5775</v>
      </c>
      <c r="I533" t="s">
        <v>2258</v>
      </c>
      <c r="K533" t="s">
        <v>6025</v>
      </c>
      <c r="L533" t="s">
        <v>6026</v>
      </c>
    </row>
    <row r="534" spans="1:12" x14ac:dyDescent="0.35">
      <c r="A534" t="s">
        <v>107</v>
      </c>
      <c r="B534" t="s">
        <v>354</v>
      </c>
      <c r="C534" t="s">
        <v>166</v>
      </c>
      <c r="D534">
        <v>23</v>
      </c>
      <c r="F534" t="s">
        <v>1851</v>
      </c>
      <c r="H534" t="s">
        <v>5776</v>
      </c>
      <c r="I534" t="s">
        <v>1359</v>
      </c>
      <c r="K534" t="s">
        <v>6025</v>
      </c>
      <c r="L534" t="s">
        <v>6026</v>
      </c>
    </row>
    <row r="535" spans="1:12" x14ac:dyDescent="0.35">
      <c r="A535" t="s">
        <v>107</v>
      </c>
      <c r="B535" t="s">
        <v>354</v>
      </c>
      <c r="C535" t="s">
        <v>758</v>
      </c>
      <c r="D535">
        <v>23</v>
      </c>
      <c r="F535" t="s">
        <v>1851</v>
      </c>
      <c r="H535" t="s">
        <v>5776</v>
      </c>
      <c r="I535" t="s">
        <v>1359</v>
      </c>
      <c r="K535" t="s">
        <v>6025</v>
      </c>
      <c r="L535" t="s">
        <v>6026</v>
      </c>
    </row>
    <row r="536" spans="1:12" x14ac:dyDescent="0.35">
      <c r="A536" t="s">
        <v>107</v>
      </c>
      <c r="B536" t="s">
        <v>354</v>
      </c>
      <c r="C536" t="s">
        <v>761</v>
      </c>
      <c r="D536">
        <v>23</v>
      </c>
      <c r="F536" t="s">
        <v>1851</v>
      </c>
      <c r="H536" t="s">
        <v>5777</v>
      </c>
      <c r="I536" t="s">
        <v>1359</v>
      </c>
      <c r="K536" t="s">
        <v>6025</v>
      </c>
      <c r="L536" t="s">
        <v>6026</v>
      </c>
    </row>
    <row r="537" spans="1:12" x14ac:dyDescent="0.35">
      <c r="A537" t="s">
        <v>107</v>
      </c>
      <c r="B537" t="s">
        <v>354</v>
      </c>
      <c r="C537" t="s">
        <v>164</v>
      </c>
      <c r="D537">
        <v>5.5E-2</v>
      </c>
      <c r="F537" t="s">
        <v>1613</v>
      </c>
      <c r="H537" t="s">
        <v>3279</v>
      </c>
      <c r="I537" t="s">
        <v>2258</v>
      </c>
      <c r="K537" t="s">
        <v>6025</v>
      </c>
      <c r="L537" t="s">
        <v>6026</v>
      </c>
    </row>
    <row r="538" spans="1:12" x14ac:dyDescent="0.35">
      <c r="A538" t="s">
        <v>107</v>
      </c>
      <c r="B538" t="s">
        <v>354</v>
      </c>
      <c r="C538" t="s">
        <v>164</v>
      </c>
      <c r="D538">
        <v>0.61</v>
      </c>
      <c r="F538" t="s">
        <v>1891</v>
      </c>
      <c r="H538" t="s">
        <v>3282</v>
      </c>
      <c r="I538" t="s">
        <v>2258</v>
      </c>
      <c r="K538" t="s">
        <v>6025</v>
      </c>
      <c r="L538" t="s">
        <v>6026</v>
      </c>
    </row>
    <row r="539" spans="1:12" x14ac:dyDescent="0.35">
      <c r="A539" t="s">
        <v>107</v>
      </c>
      <c r="B539" t="s">
        <v>354</v>
      </c>
      <c r="C539" t="s">
        <v>166</v>
      </c>
      <c r="D539">
        <v>0.89</v>
      </c>
      <c r="F539" t="s">
        <v>1840</v>
      </c>
      <c r="H539" t="s">
        <v>5769</v>
      </c>
      <c r="I539" t="s">
        <v>1393</v>
      </c>
      <c r="K539" t="s">
        <v>6025</v>
      </c>
      <c r="L539" t="s">
        <v>6026</v>
      </c>
    </row>
    <row r="540" spans="1:12" x14ac:dyDescent="0.35">
      <c r="A540" t="s">
        <v>107</v>
      </c>
      <c r="B540" t="s">
        <v>354</v>
      </c>
      <c r="C540" t="s">
        <v>5052</v>
      </c>
      <c r="D540">
        <v>0.89</v>
      </c>
      <c r="F540" t="s">
        <v>1840</v>
      </c>
      <c r="H540" t="s">
        <v>5769</v>
      </c>
      <c r="I540" t="s">
        <v>1393</v>
      </c>
      <c r="K540" t="s">
        <v>6025</v>
      </c>
      <c r="L540" t="s">
        <v>6026</v>
      </c>
    </row>
    <row r="541" spans="1:12" x14ac:dyDescent="0.35">
      <c r="A541" t="s">
        <v>107</v>
      </c>
      <c r="B541" t="s">
        <v>354</v>
      </c>
      <c r="C541" t="s">
        <v>166</v>
      </c>
      <c r="D541">
        <v>6.6000000000000003E-2</v>
      </c>
      <c r="F541" t="s">
        <v>1623</v>
      </c>
      <c r="H541" t="s">
        <v>5774</v>
      </c>
      <c r="I541" t="s">
        <v>1393</v>
      </c>
      <c r="K541" t="s">
        <v>6025</v>
      </c>
      <c r="L541" t="s">
        <v>6026</v>
      </c>
    </row>
    <row r="542" spans="1:12" x14ac:dyDescent="0.35">
      <c r="A542" t="s">
        <v>107</v>
      </c>
      <c r="B542" t="s">
        <v>354</v>
      </c>
      <c r="C542" t="s">
        <v>166</v>
      </c>
      <c r="D542">
        <v>5.3E-3</v>
      </c>
      <c r="F542" t="s">
        <v>1842</v>
      </c>
      <c r="H542" t="s">
        <v>5769</v>
      </c>
      <c r="I542" t="s">
        <v>1393</v>
      </c>
      <c r="K542" t="s">
        <v>6025</v>
      </c>
      <c r="L542" t="s">
        <v>6026</v>
      </c>
    </row>
    <row r="543" spans="1:12" x14ac:dyDescent="0.35">
      <c r="A543" t="s">
        <v>107</v>
      </c>
      <c r="B543" t="s">
        <v>354</v>
      </c>
      <c r="C543" t="s">
        <v>5053</v>
      </c>
      <c r="D543">
        <v>6.6E-3</v>
      </c>
      <c r="F543" t="s">
        <v>5271</v>
      </c>
      <c r="H543" t="s">
        <v>5769</v>
      </c>
      <c r="I543" t="s">
        <v>1393</v>
      </c>
      <c r="K543" t="s">
        <v>6025</v>
      </c>
      <c r="L543" t="s">
        <v>6026</v>
      </c>
    </row>
    <row r="544" spans="1:12" x14ac:dyDescent="0.35">
      <c r="A544" t="s">
        <v>107</v>
      </c>
      <c r="B544" t="s">
        <v>354</v>
      </c>
      <c r="C544" t="s">
        <v>5052</v>
      </c>
      <c r="D544">
        <v>8.8999999999999996E-2</v>
      </c>
      <c r="F544" t="s">
        <v>1970</v>
      </c>
      <c r="H544" t="s">
        <v>5774</v>
      </c>
      <c r="I544" t="s">
        <v>1393</v>
      </c>
      <c r="K544" t="s">
        <v>6025</v>
      </c>
      <c r="L544" t="s">
        <v>6026</v>
      </c>
    </row>
    <row r="545" spans="1:12" x14ac:dyDescent="0.35">
      <c r="A545" t="s">
        <v>107</v>
      </c>
      <c r="B545" t="s">
        <v>320</v>
      </c>
      <c r="C545" t="s">
        <v>166</v>
      </c>
      <c r="D545">
        <v>1.9</v>
      </c>
      <c r="F545" t="s">
        <v>1503</v>
      </c>
      <c r="H545" t="s">
        <v>5778</v>
      </c>
      <c r="I545" t="s">
        <v>2393</v>
      </c>
      <c r="K545" t="s">
        <v>6025</v>
      </c>
      <c r="L545" t="s">
        <v>6026</v>
      </c>
    </row>
    <row r="546" spans="1:12" x14ac:dyDescent="0.35">
      <c r="A546" t="s">
        <v>107</v>
      </c>
      <c r="B546" t="s">
        <v>320</v>
      </c>
      <c r="C546" t="s">
        <v>164</v>
      </c>
      <c r="D546">
        <v>1.9</v>
      </c>
      <c r="F546" t="s">
        <v>1503</v>
      </c>
      <c r="H546" t="s">
        <v>5779</v>
      </c>
      <c r="I546" t="s">
        <v>2393</v>
      </c>
      <c r="K546" t="s">
        <v>6025</v>
      </c>
      <c r="L546" t="s">
        <v>6026</v>
      </c>
    </row>
    <row r="547" spans="1:12" x14ac:dyDescent="0.35">
      <c r="A547" t="s">
        <v>107</v>
      </c>
      <c r="B547" t="s">
        <v>320</v>
      </c>
      <c r="C547" t="s">
        <v>690</v>
      </c>
      <c r="D547">
        <v>1.9</v>
      </c>
      <c r="F547" t="s">
        <v>1503</v>
      </c>
      <c r="H547" t="s">
        <v>5779</v>
      </c>
      <c r="I547" t="s">
        <v>2393</v>
      </c>
      <c r="K547" t="s">
        <v>6025</v>
      </c>
      <c r="L547" t="s">
        <v>6026</v>
      </c>
    </row>
    <row r="548" spans="1:12" x14ac:dyDescent="0.35">
      <c r="A548" t="s">
        <v>107</v>
      </c>
      <c r="B548" t="s">
        <v>320</v>
      </c>
      <c r="C548" t="s">
        <v>166</v>
      </c>
      <c r="D548">
        <v>8.1999999999999993</v>
      </c>
      <c r="F548" t="s">
        <v>1527</v>
      </c>
      <c r="H548" t="s">
        <v>5780</v>
      </c>
      <c r="I548" t="s">
        <v>2393</v>
      </c>
      <c r="K548" t="s">
        <v>6025</v>
      </c>
      <c r="L548" t="s">
        <v>6026</v>
      </c>
    </row>
    <row r="549" spans="1:12" x14ac:dyDescent="0.35">
      <c r="A549" t="s">
        <v>107</v>
      </c>
      <c r="B549" t="s">
        <v>320</v>
      </c>
      <c r="C549" t="s">
        <v>164</v>
      </c>
      <c r="D549">
        <v>8.1999999999999993</v>
      </c>
      <c r="F549" t="s">
        <v>1527</v>
      </c>
      <c r="H549" t="s">
        <v>5780</v>
      </c>
      <c r="I549" t="s">
        <v>2393</v>
      </c>
      <c r="K549" t="s">
        <v>6025</v>
      </c>
      <c r="L549" t="s">
        <v>6026</v>
      </c>
    </row>
    <row r="550" spans="1:12" x14ac:dyDescent="0.35">
      <c r="A550" t="s">
        <v>107</v>
      </c>
      <c r="B550" t="s">
        <v>320</v>
      </c>
      <c r="C550" t="s">
        <v>690</v>
      </c>
      <c r="D550">
        <v>8.1999999999999993</v>
      </c>
      <c r="F550" t="s">
        <v>1527</v>
      </c>
      <c r="H550" t="s">
        <v>5780</v>
      </c>
      <c r="I550" t="s">
        <v>2393</v>
      </c>
      <c r="K550" t="s">
        <v>6025</v>
      </c>
      <c r="L550" t="s">
        <v>6026</v>
      </c>
    </row>
    <row r="551" spans="1:12" x14ac:dyDescent="0.35">
      <c r="A551" t="s">
        <v>107</v>
      </c>
      <c r="B551" t="s">
        <v>352</v>
      </c>
      <c r="C551" t="s">
        <v>164</v>
      </c>
      <c r="D551">
        <v>34</v>
      </c>
      <c r="F551" t="s">
        <v>1584</v>
      </c>
      <c r="H551" t="s">
        <v>3323</v>
      </c>
      <c r="I551" t="s">
        <v>4867</v>
      </c>
      <c r="K551" t="s">
        <v>6025</v>
      </c>
      <c r="L551" t="s">
        <v>6026</v>
      </c>
    </row>
    <row r="552" spans="1:12" x14ac:dyDescent="0.35">
      <c r="A552" t="s">
        <v>107</v>
      </c>
      <c r="B552" t="s">
        <v>352</v>
      </c>
      <c r="C552" t="s">
        <v>164</v>
      </c>
      <c r="D552">
        <v>23.8</v>
      </c>
      <c r="F552" t="s">
        <v>1962</v>
      </c>
      <c r="H552" t="s">
        <v>3318</v>
      </c>
      <c r="I552" t="s">
        <v>4867</v>
      </c>
      <c r="K552" t="s">
        <v>6025</v>
      </c>
      <c r="L552" t="s">
        <v>6026</v>
      </c>
    </row>
    <row r="553" spans="1:12" x14ac:dyDescent="0.35">
      <c r="A553" t="s">
        <v>107</v>
      </c>
      <c r="B553" t="s">
        <v>352</v>
      </c>
      <c r="C553" t="s">
        <v>166</v>
      </c>
      <c r="D553">
        <v>30.5</v>
      </c>
      <c r="F553" t="s">
        <v>5272</v>
      </c>
      <c r="H553" t="s">
        <v>3317</v>
      </c>
      <c r="I553" t="s">
        <v>4867</v>
      </c>
      <c r="K553" t="s">
        <v>6025</v>
      </c>
      <c r="L553" t="s">
        <v>6026</v>
      </c>
    </row>
    <row r="554" spans="1:12" x14ac:dyDescent="0.35">
      <c r="A554" t="s">
        <v>107</v>
      </c>
      <c r="B554" t="s">
        <v>352</v>
      </c>
      <c r="C554" t="s">
        <v>164</v>
      </c>
      <c r="D554">
        <v>31.4</v>
      </c>
      <c r="F554" t="s">
        <v>5273</v>
      </c>
      <c r="H554" t="s">
        <v>3320</v>
      </c>
      <c r="I554" t="s">
        <v>4867</v>
      </c>
      <c r="K554" t="s">
        <v>6025</v>
      </c>
      <c r="L554" t="s">
        <v>6026</v>
      </c>
    </row>
    <row r="555" spans="1:12" x14ac:dyDescent="0.35">
      <c r="A555" t="s">
        <v>107</v>
      </c>
      <c r="B555" t="s">
        <v>352</v>
      </c>
      <c r="C555" t="s">
        <v>690</v>
      </c>
      <c r="D555">
        <v>29.2</v>
      </c>
      <c r="F555" t="s">
        <v>2467</v>
      </c>
      <c r="H555" t="s">
        <v>3316</v>
      </c>
      <c r="I555" t="s">
        <v>4867</v>
      </c>
      <c r="K555" t="s">
        <v>6025</v>
      </c>
      <c r="L555" t="s">
        <v>6026</v>
      </c>
    </row>
    <row r="556" spans="1:12" x14ac:dyDescent="0.35">
      <c r="A556" t="s">
        <v>107</v>
      </c>
      <c r="B556" t="s">
        <v>352</v>
      </c>
      <c r="C556" t="s">
        <v>164</v>
      </c>
      <c r="D556">
        <v>31.2</v>
      </c>
      <c r="F556" t="s">
        <v>5274</v>
      </c>
      <c r="H556" t="s">
        <v>3317</v>
      </c>
      <c r="I556" t="s">
        <v>4867</v>
      </c>
      <c r="K556" t="s">
        <v>6025</v>
      </c>
      <c r="L556" t="s">
        <v>6026</v>
      </c>
    </row>
    <row r="557" spans="1:12" x14ac:dyDescent="0.35">
      <c r="A557" t="s">
        <v>107</v>
      </c>
      <c r="B557" t="s">
        <v>352</v>
      </c>
      <c r="C557" t="s">
        <v>166</v>
      </c>
      <c r="D557">
        <v>27.2</v>
      </c>
      <c r="F557" t="s">
        <v>5275</v>
      </c>
      <c r="H557" t="s">
        <v>3316</v>
      </c>
      <c r="I557" t="s">
        <v>4867</v>
      </c>
      <c r="K557" t="s">
        <v>6025</v>
      </c>
      <c r="L557" t="s">
        <v>6026</v>
      </c>
    </row>
    <row r="558" spans="1:12" x14ac:dyDescent="0.35">
      <c r="A558" t="s">
        <v>107</v>
      </c>
      <c r="B558" t="s">
        <v>352</v>
      </c>
      <c r="C558" t="s">
        <v>690</v>
      </c>
      <c r="D558">
        <v>46.6</v>
      </c>
      <c r="F558" t="s">
        <v>5276</v>
      </c>
      <c r="H558" t="s">
        <v>3320</v>
      </c>
      <c r="I558" t="s">
        <v>4867</v>
      </c>
      <c r="K558" t="s">
        <v>6025</v>
      </c>
      <c r="L558" t="s">
        <v>6026</v>
      </c>
    </row>
    <row r="559" spans="1:12" x14ac:dyDescent="0.35">
      <c r="A559" t="s">
        <v>107</v>
      </c>
      <c r="B559" t="s">
        <v>352</v>
      </c>
      <c r="C559" t="s">
        <v>164</v>
      </c>
      <c r="D559">
        <v>22.7</v>
      </c>
      <c r="F559" t="s">
        <v>5277</v>
      </c>
      <c r="H559" t="s">
        <v>3326</v>
      </c>
      <c r="I559" t="s">
        <v>4867</v>
      </c>
      <c r="K559" t="s">
        <v>6025</v>
      </c>
      <c r="L559" t="s">
        <v>6026</v>
      </c>
    </row>
    <row r="560" spans="1:12" x14ac:dyDescent="0.35">
      <c r="A560" t="s">
        <v>107</v>
      </c>
      <c r="B560" t="s">
        <v>352</v>
      </c>
      <c r="C560" t="s">
        <v>166</v>
      </c>
      <c r="D560">
        <v>28.7</v>
      </c>
      <c r="F560" t="s">
        <v>5210</v>
      </c>
      <c r="H560" t="s">
        <v>5781</v>
      </c>
      <c r="I560" t="s">
        <v>4867</v>
      </c>
      <c r="K560" t="s">
        <v>6025</v>
      </c>
      <c r="L560" t="s">
        <v>6026</v>
      </c>
    </row>
    <row r="561" spans="1:12" x14ac:dyDescent="0.35">
      <c r="A561" t="s">
        <v>107</v>
      </c>
      <c r="B561" t="s">
        <v>352</v>
      </c>
      <c r="C561" t="s">
        <v>164</v>
      </c>
      <c r="D561">
        <v>22.1</v>
      </c>
      <c r="F561" t="s">
        <v>5278</v>
      </c>
      <c r="H561" t="s">
        <v>3327</v>
      </c>
      <c r="I561" t="s">
        <v>4867</v>
      </c>
      <c r="K561" t="s">
        <v>6025</v>
      </c>
      <c r="L561" t="s">
        <v>6026</v>
      </c>
    </row>
    <row r="562" spans="1:12" x14ac:dyDescent="0.35">
      <c r="A562" t="s">
        <v>107</v>
      </c>
      <c r="B562" t="s">
        <v>352</v>
      </c>
      <c r="C562" t="s">
        <v>690</v>
      </c>
      <c r="D562">
        <v>31.8</v>
      </c>
      <c r="F562" t="s">
        <v>5279</v>
      </c>
      <c r="H562" t="s">
        <v>3317</v>
      </c>
      <c r="I562" t="s">
        <v>4867</v>
      </c>
      <c r="K562" t="s">
        <v>6025</v>
      </c>
      <c r="L562" t="s">
        <v>6026</v>
      </c>
    </row>
    <row r="563" spans="1:12" x14ac:dyDescent="0.35">
      <c r="A563" t="s">
        <v>107</v>
      </c>
      <c r="B563" t="s">
        <v>352</v>
      </c>
      <c r="C563" t="s">
        <v>690</v>
      </c>
      <c r="D563">
        <v>21.9</v>
      </c>
      <c r="F563" t="s">
        <v>5280</v>
      </c>
      <c r="H563" t="s">
        <v>3326</v>
      </c>
      <c r="I563" t="s">
        <v>4867</v>
      </c>
      <c r="K563" t="s">
        <v>6025</v>
      </c>
      <c r="L563" t="s">
        <v>6026</v>
      </c>
    </row>
    <row r="564" spans="1:12" x14ac:dyDescent="0.35">
      <c r="A564" t="s">
        <v>107</v>
      </c>
      <c r="B564" t="s">
        <v>352</v>
      </c>
      <c r="C564" t="s">
        <v>166</v>
      </c>
      <c r="D564">
        <v>30.1</v>
      </c>
      <c r="F564" t="s">
        <v>5281</v>
      </c>
      <c r="H564" t="s">
        <v>3318</v>
      </c>
      <c r="I564" t="s">
        <v>4867</v>
      </c>
      <c r="K564" t="s">
        <v>6025</v>
      </c>
      <c r="L564" t="s">
        <v>6026</v>
      </c>
    </row>
    <row r="565" spans="1:12" x14ac:dyDescent="0.35">
      <c r="A565" t="s">
        <v>107</v>
      </c>
      <c r="B565" t="s">
        <v>352</v>
      </c>
      <c r="C565" t="s">
        <v>690</v>
      </c>
      <c r="D565">
        <v>22.2</v>
      </c>
      <c r="F565" t="s">
        <v>1873</v>
      </c>
      <c r="H565" t="s">
        <v>3318</v>
      </c>
      <c r="I565" t="s">
        <v>4867</v>
      </c>
      <c r="K565" t="s">
        <v>6025</v>
      </c>
      <c r="L565" t="s">
        <v>6026</v>
      </c>
    </row>
    <row r="566" spans="1:12" x14ac:dyDescent="0.35">
      <c r="A566" t="s">
        <v>107</v>
      </c>
      <c r="B566" t="s">
        <v>352</v>
      </c>
      <c r="C566" t="s">
        <v>166</v>
      </c>
      <c r="D566">
        <v>24.2</v>
      </c>
      <c r="F566" t="s">
        <v>1697</v>
      </c>
      <c r="H566" t="s">
        <v>3326</v>
      </c>
      <c r="I566" t="s">
        <v>4867</v>
      </c>
      <c r="K566" t="s">
        <v>6025</v>
      </c>
      <c r="L566" t="s">
        <v>6026</v>
      </c>
    </row>
    <row r="567" spans="1:12" x14ac:dyDescent="0.35">
      <c r="A567" t="s">
        <v>107</v>
      </c>
      <c r="B567" t="s">
        <v>352</v>
      </c>
      <c r="C567" t="s">
        <v>690</v>
      </c>
      <c r="D567">
        <v>24.2</v>
      </c>
      <c r="F567" t="s">
        <v>1697</v>
      </c>
      <c r="H567" t="s">
        <v>5782</v>
      </c>
      <c r="I567" t="s">
        <v>4867</v>
      </c>
      <c r="K567" t="s">
        <v>6025</v>
      </c>
      <c r="L567" t="s">
        <v>6026</v>
      </c>
    </row>
    <row r="568" spans="1:12" x14ac:dyDescent="0.35">
      <c r="A568" t="s">
        <v>107</v>
      </c>
      <c r="B568" t="s">
        <v>352</v>
      </c>
      <c r="C568" t="s">
        <v>164</v>
      </c>
      <c r="D568">
        <v>30.4</v>
      </c>
      <c r="F568" t="s">
        <v>5282</v>
      </c>
      <c r="H568" t="s">
        <v>3316</v>
      </c>
      <c r="I568" t="s">
        <v>4867</v>
      </c>
      <c r="K568" t="s">
        <v>6025</v>
      </c>
      <c r="L568" t="s">
        <v>6026</v>
      </c>
    </row>
    <row r="569" spans="1:12" x14ac:dyDescent="0.35">
      <c r="A569" t="s">
        <v>107</v>
      </c>
      <c r="B569" t="s">
        <v>352</v>
      </c>
      <c r="C569" t="s">
        <v>166</v>
      </c>
      <c r="D569">
        <v>39.700000000000003</v>
      </c>
      <c r="F569" t="s">
        <v>2305</v>
      </c>
      <c r="H569" t="s">
        <v>3323</v>
      </c>
      <c r="I569" t="s">
        <v>4867</v>
      </c>
      <c r="K569" t="s">
        <v>6025</v>
      </c>
      <c r="L569" t="s">
        <v>6026</v>
      </c>
    </row>
    <row r="570" spans="1:12" x14ac:dyDescent="0.35">
      <c r="A570" t="s">
        <v>107</v>
      </c>
      <c r="B570" t="s">
        <v>352</v>
      </c>
      <c r="C570" t="s">
        <v>690</v>
      </c>
      <c r="D570">
        <v>39.700000000000003</v>
      </c>
      <c r="F570" t="s">
        <v>2305</v>
      </c>
      <c r="H570" t="s">
        <v>3323</v>
      </c>
      <c r="I570" t="s">
        <v>4867</v>
      </c>
      <c r="K570" t="s">
        <v>6025</v>
      </c>
      <c r="L570" t="s">
        <v>6026</v>
      </c>
    </row>
    <row r="571" spans="1:12" x14ac:dyDescent="0.35">
      <c r="A571" t="s">
        <v>107</v>
      </c>
      <c r="B571" t="s">
        <v>352</v>
      </c>
      <c r="C571" t="s">
        <v>166</v>
      </c>
      <c r="D571">
        <v>46.9</v>
      </c>
      <c r="F571" t="s">
        <v>1888</v>
      </c>
      <c r="H571" t="s">
        <v>3320</v>
      </c>
      <c r="I571" t="s">
        <v>4867</v>
      </c>
      <c r="K571" t="s">
        <v>6025</v>
      </c>
      <c r="L571" t="s">
        <v>6026</v>
      </c>
    </row>
    <row r="572" spans="1:12" x14ac:dyDescent="0.35">
      <c r="A572" t="s">
        <v>107</v>
      </c>
      <c r="B572" t="s">
        <v>171</v>
      </c>
      <c r="C572" t="s">
        <v>164</v>
      </c>
      <c r="D572">
        <v>0.5</v>
      </c>
      <c r="F572" t="s">
        <v>1440</v>
      </c>
      <c r="H572" t="s">
        <v>3339</v>
      </c>
      <c r="I572" t="s">
        <v>4903</v>
      </c>
      <c r="K572" t="s">
        <v>6025</v>
      </c>
      <c r="L572" t="s">
        <v>6026</v>
      </c>
    </row>
    <row r="573" spans="1:12" x14ac:dyDescent="0.35">
      <c r="A573" t="s">
        <v>107</v>
      </c>
      <c r="B573" t="s">
        <v>171</v>
      </c>
      <c r="C573" t="s">
        <v>690</v>
      </c>
      <c r="D573">
        <v>0.78</v>
      </c>
      <c r="F573" t="s">
        <v>1442</v>
      </c>
      <c r="H573" t="s">
        <v>3337</v>
      </c>
      <c r="I573" t="s">
        <v>4903</v>
      </c>
      <c r="K573" t="s">
        <v>6025</v>
      </c>
      <c r="L573" t="s">
        <v>6026</v>
      </c>
    </row>
    <row r="574" spans="1:12" x14ac:dyDescent="0.35">
      <c r="A574" t="s">
        <v>107</v>
      </c>
      <c r="B574" t="s">
        <v>171</v>
      </c>
      <c r="C574" t="s">
        <v>164</v>
      </c>
      <c r="D574">
        <v>1.03</v>
      </c>
      <c r="F574" t="s">
        <v>1850</v>
      </c>
      <c r="H574" t="s">
        <v>3342</v>
      </c>
      <c r="I574" t="s">
        <v>4903</v>
      </c>
      <c r="K574" t="s">
        <v>6025</v>
      </c>
      <c r="L574" t="s">
        <v>6026</v>
      </c>
    </row>
    <row r="575" spans="1:12" x14ac:dyDescent="0.35">
      <c r="A575" t="s">
        <v>107</v>
      </c>
      <c r="B575" t="s">
        <v>171</v>
      </c>
      <c r="C575" t="s">
        <v>690</v>
      </c>
      <c r="D575">
        <v>0.45</v>
      </c>
      <c r="F575" t="s">
        <v>1316</v>
      </c>
      <c r="H575" t="s">
        <v>3335</v>
      </c>
      <c r="I575" t="s">
        <v>4903</v>
      </c>
      <c r="K575" t="s">
        <v>6025</v>
      </c>
      <c r="L575" t="s">
        <v>6026</v>
      </c>
    </row>
    <row r="576" spans="1:12" x14ac:dyDescent="0.35">
      <c r="A576" t="s">
        <v>107</v>
      </c>
      <c r="B576" t="s">
        <v>171</v>
      </c>
      <c r="C576" t="s">
        <v>164</v>
      </c>
      <c r="D576">
        <v>0.67</v>
      </c>
      <c r="F576" t="s">
        <v>1478</v>
      </c>
      <c r="H576" t="s">
        <v>3334</v>
      </c>
      <c r="I576" t="s">
        <v>4903</v>
      </c>
      <c r="K576" t="s">
        <v>6025</v>
      </c>
      <c r="L576" t="s">
        <v>6026</v>
      </c>
    </row>
    <row r="577" spans="1:12" x14ac:dyDescent="0.35">
      <c r="A577" t="s">
        <v>107</v>
      </c>
      <c r="B577" t="s">
        <v>171</v>
      </c>
      <c r="C577" t="s">
        <v>166</v>
      </c>
      <c r="D577">
        <v>2.0099999999999998</v>
      </c>
      <c r="F577" t="s">
        <v>1866</v>
      </c>
      <c r="H577" t="s">
        <v>3338</v>
      </c>
      <c r="I577" t="s">
        <v>4903</v>
      </c>
      <c r="K577" t="s">
        <v>6025</v>
      </c>
      <c r="L577" t="s">
        <v>6026</v>
      </c>
    </row>
    <row r="578" spans="1:12" x14ac:dyDescent="0.35">
      <c r="A578" t="s">
        <v>107</v>
      </c>
      <c r="B578" t="s">
        <v>171</v>
      </c>
      <c r="C578" t="s">
        <v>768</v>
      </c>
      <c r="D578">
        <v>1.42</v>
      </c>
      <c r="F578" t="s">
        <v>1865</v>
      </c>
      <c r="H578" t="s">
        <v>3334</v>
      </c>
      <c r="I578" t="s">
        <v>4903</v>
      </c>
      <c r="K578" t="s">
        <v>6025</v>
      </c>
      <c r="L578" t="s">
        <v>6026</v>
      </c>
    </row>
    <row r="579" spans="1:12" x14ac:dyDescent="0.35">
      <c r="A579" t="s">
        <v>107</v>
      </c>
      <c r="B579" t="s">
        <v>171</v>
      </c>
      <c r="C579" t="s">
        <v>690</v>
      </c>
      <c r="D579">
        <v>1.1100000000000001</v>
      </c>
      <c r="F579" t="s">
        <v>2365</v>
      </c>
      <c r="H579" t="s">
        <v>3334</v>
      </c>
      <c r="I579" t="s">
        <v>4903</v>
      </c>
      <c r="K579" t="s">
        <v>6025</v>
      </c>
      <c r="L579" t="s">
        <v>6026</v>
      </c>
    </row>
    <row r="580" spans="1:12" x14ac:dyDescent="0.35">
      <c r="A580" t="s">
        <v>107</v>
      </c>
      <c r="B580" t="s">
        <v>171</v>
      </c>
      <c r="C580" t="s">
        <v>166</v>
      </c>
      <c r="D580">
        <v>0.49</v>
      </c>
      <c r="F580" t="s">
        <v>1724</v>
      </c>
      <c r="H580" t="s">
        <v>3336</v>
      </c>
      <c r="I580" t="s">
        <v>4903</v>
      </c>
      <c r="K580" t="s">
        <v>6025</v>
      </c>
      <c r="L580" t="s">
        <v>6026</v>
      </c>
    </row>
    <row r="581" spans="1:12" x14ac:dyDescent="0.35">
      <c r="A581" t="s">
        <v>107</v>
      </c>
      <c r="B581" t="s">
        <v>171</v>
      </c>
      <c r="C581" t="s">
        <v>166</v>
      </c>
      <c r="D581">
        <v>0.61</v>
      </c>
      <c r="F581" t="s">
        <v>1891</v>
      </c>
      <c r="H581" t="s">
        <v>3333</v>
      </c>
      <c r="I581" t="s">
        <v>4903</v>
      </c>
      <c r="K581" t="s">
        <v>6025</v>
      </c>
      <c r="L581" t="s">
        <v>6026</v>
      </c>
    </row>
    <row r="582" spans="1:12" x14ac:dyDescent="0.35">
      <c r="A582" t="s">
        <v>107</v>
      </c>
      <c r="B582" t="s">
        <v>171</v>
      </c>
      <c r="C582" t="s">
        <v>164</v>
      </c>
      <c r="D582">
        <v>4.97</v>
      </c>
      <c r="F582" t="s">
        <v>5283</v>
      </c>
      <c r="H582" t="s">
        <v>3341</v>
      </c>
      <c r="I582" t="s">
        <v>4903</v>
      </c>
      <c r="K582" t="s">
        <v>6025</v>
      </c>
      <c r="L582" t="s">
        <v>6026</v>
      </c>
    </row>
    <row r="583" spans="1:12" x14ac:dyDescent="0.35">
      <c r="A583" t="s">
        <v>107</v>
      </c>
      <c r="B583" t="s">
        <v>171</v>
      </c>
      <c r="C583" t="s">
        <v>166</v>
      </c>
      <c r="D583">
        <v>3.81</v>
      </c>
      <c r="F583" t="s">
        <v>2598</v>
      </c>
      <c r="H583" t="s">
        <v>3340</v>
      </c>
      <c r="I583" t="s">
        <v>4903</v>
      </c>
      <c r="K583" t="s">
        <v>6025</v>
      </c>
      <c r="L583" t="s">
        <v>6026</v>
      </c>
    </row>
    <row r="584" spans="1:12" x14ac:dyDescent="0.35">
      <c r="A584" t="s">
        <v>107</v>
      </c>
      <c r="B584" t="s">
        <v>171</v>
      </c>
      <c r="C584" t="s">
        <v>690</v>
      </c>
      <c r="D584">
        <v>4.6100000000000003</v>
      </c>
      <c r="F584" t="s">
        <v>5284</v>
      </c>
      <c r="H584" t="s">
        <v>3341</v>
      </c>
      <c r="I584" t="s">
        <v>4903</v>
      </c>
      <c r="K584" t="s">
        <v>6025</v>
      </c>
      <c r="L584" t="s">
        <v>6026</v>
      </c>
    </row>
    <row r="585" spans="1:12" x14ac:dyDescent="0.35">
      <c r="A585" t="s">
        <v>107</v>
      </c>
      <c r="B585" t="s">
        <v>460</v>
      </c>
      <c r="C585" t="s">
        <v>164</v>
      </c>
      <c r="D585">
        <v>7350</v>
      </c>
      <c r="F585" t="s">
        <v>5285</v>
      </c>
      <c r="I585" t="s">
        <v>4876</v>
      </c>
      <c r="K585" t="s">
        <v>6025</v>
      </c>
      <c r="L585" t="s">
        <v>6026</v>
      </c>
    </row>
    <row r="586" spans="1:12" x14ac:dyDescent="0.35">
      <c r="A586" t="s">
        <v>107</v>
      </c>
      <c r="B586" t="s">
        <v>460</v>
      </c>
      <c r="C586" t="s">
        <v>690</v>
      </c>
      <c r="D586">
        <v>7350</v>
      </c>
      <c r="F586" t="s">
        <v>5285</v>
      </c>
      <c r="I586" t="s">
        <v>4876</v>
      </c>
      <c r="K586" t="s">
        <v>6025</v>
      </c>
      <c r="L586" t="s">
        <v>6026</v>
      </c>
    </row>
    <row r="587" spans="1:12" x14ac:dyDescent="0.35">
      <c r="A587" t="s">
        <v>107</v>
      </c>
      <c r="B587" t="s">
        <v>462</v>
      </c>
      <c r="C587" t="s">
        <v>164</v>
      </c>
      <c r="D587">
        <v>7920</v>
      </c>
      <c r="F587" t="s">
        <v>5286</v>
      </c>
      <c r="I587" t="s">
        <v>4876</v>
      </c>
      <c r="K587" t="s">
        <v>6025</v>
      </c>
      <c r="L587" t="s">
        <v>6026</v>
      </c>
    </row>
    <row r="588" spans="1:12" x14ac:dyDescent="0.35">
      <c r="A588" t="s">
        <v>107</v>
      </c>
      <c r="B588" t="s">
        <v>462</v>
      </c>
      <c r="C588" t="s">
        <v>690</v>
      </c>
      <c r="D588">
        <v>7920</v>
      </c>
      <c r="F588" t="s">
        <v>5286</v>
      </c>
      <c r="I588" t="s">
        <v>4876</v>
      </c>
      <c r="K588" t="s">
        <v>6025</v>
      </c>
      <c r="L588" t="s">
        <v>6026</v>
      </c>
    </row>
    <row r="589" spans="1:12" x14ac:dyDescent="0.35">
      <c r="A589" t="s">
        <v>107</v>
      </c>
      <c r="B589" t="s">
        <v>465</v>
      </c>
      <c r="C589" t="s">
        <v>164</v>
      </c>
      <c r="D589">
        <v>24.3</v>
      </c>
      <c r="F589" t="s">
        <v>5287</v>
      </c>
      <c r="H589" t="s">
        <v>3392</v>
      </c>
      <c r="I589" t="s">
        <v>2323</v>
      </c>
      <c r="K589" t="s">
        <v>6025</v>
      </c>
      <c r="L589" t="s">
        <v>6026</v>
      </c>
    </row>
    <row r="590" spans="1:12" x14ac:dyDescent="0.35">
      <c r="A590" t="s">
        <v>107</v>
      </c>
      <c r="B590" t="s">
        <v>465</v>
      </c>
      <c r="C590" t="s">
        <v>758</v>
      </c>
      <c r="D590">
        <v>24.3</v>
      </c>
      <c r="F590" t="s">
        <v>5287</v>
      </c>
      <c r="H590" t="s">
        <v>3391</v>
      </c>
      <c r="I590" t="s">
        <v>2323</v>
      </c>
      <c r="K590" t="s">
        <v>6025</v>
      </c>
      <c r="L590" t="s">
        <v>6026</v>
      </c>
    </row>
    <row r="591" spans="1:12" x14ac:dyDescent="0.35">
      <c r="A591" t="s">
        <v>107</v>
      </c>
      <c r="B591" t="s">
        <v>465</v>
      </c>
      <c r="C591" t="s">
        <v>166</v>
      </c>
      <c r="D591">
        <v>22.4</v>
      </c>
      <c r="F591" t="s">
        <v>5288</v>
      </c>
      <c r="H591" t="s">
        <v>3390</v>
      </c>
      <c r="I591" t="s">
        <v>2323</v>
      </c>
      <c r="K591" t="s">
        <v>6025</v>
      </c>
      <c r="L591" t="s">
        <v>6026</v>
      </c>
    </row>
    <row r="592" spans="1:12" x14ac:dyDescent="0.35">
      <c r="A592" t="s">
        <v>107</v>
      </c>
      <c r="B592" t="s">
        <v>465</v>
      </c>
      <c r="C592" t="s">
        <v>690</v>
      </c>
      <c r="D592">
        <v>25.3</v>
      </c>
      <c r="F592" t="s">
        <v>1882</v>
      </c>
      <c r="H592" t="s">
        <v>3392</v>
      </c>
      <c r="I592" t="s">
        <v>2323</v>
      </c>
      <c r="K592" t="s">
        <v>6025</v>
      </c>
      <c r="L592" t="s">
        <v>6026</v>
      </c>
    </row>
    <row r="593" spans="1:12" x14ac:dyDescent="0.35">
      <c r="A593" t="s">
        <v>107</v>
      </c>
      <c r="B593" t="s">
        <v>465</v>
      </c>
      <c r="C593" t="s">
        <v>756</v>
      </c>
      <c r="D593">
        <v>25.3</v>
      </c>
      <c r="F593" t="s">
        <v>1882</v>
      </c>
      <c r="H593" t="s">
        <v>3391</v>
      </c>
      <c r="I593" t="s">
        <v>2323</v>
      </c>
      <c r="K593" t="s">
        <v>6025</v>
      </c>
      <c r="L593" t="s">
        <v>6026</v>
      </c>
    </row>
    <row r="594" spans="1:12" x14ac:dyDescent="0.35">
      <c r="A594" t="s">
        <v>107</v>
      </c>
      <c r="B594" t="s">
        <v>468</v>
      </c>
      <c r="C594" t="s">
        <v>164</v>
      </c>
      <c r="D594">
        <v>10190</v>
      </c>
      <c r="F594" t="s">
        <v>5289</v>
      </c>
      <c r="I594" t="s">
        <v>4876</v>
      </c>
      <c r="K594" t="s">
        <v>6025</v>
      </c>
      <c r="L594" t="s">
        <v>6026</v>
      </c>
    </row>
    <row r="595" spans="1:12" x14ac:dyDescent="0.35">
      <c r="A595" t="s">
        <v>107</v>
      </c>
      <c r="B595" t="s">
        <v>468</v>
      </c>
      <c r="C595" t="s">
        <v>690</v>
      </c>
      <c r="D595">
        <v>10190</v>
      </c>
      <c r="F595" t="s">
        <v>5289</v>
      </c>
      <c r="I595" t="s">
        <v>4876</v>
      </c>
      <c r="K595" t="s">
        <v>6025</v>
      </c>
      <c r="L595" t="s">
        <v>6026</v>
      </c>
    </row>
    <row r="596" spans="1:12" x14ac:dyDescent="0.35">
      <c r="A596" t="s">
        <v>107</v>
      </c>
      <c r="B596" t="s">
        <v>469</v>
      </c>
      <c r="C596" t="s">
        <v>690</v>
      </c>
      <c r="D596">
        <v>0.01</v>
      </c>
      <c r="F596" t="s">
        <v>1376</v>
      </c>
      <c r="H596" t="s">
        <v>3420</v>
      </c>
      <c r="I596" t="s">
        <v>4889</v>
      </c>
      <c r="K596" t="s">
        <v>6025</v>
      </c>
      <c r="L596" t="s">
        <v>6026</v>
      </c>
    </row>
    <row r="597" spans="1:12" x14ac:dyDescent="0.35">
      <c r="A597" t="s">
        <v>107</v>
      </c>
      <c r="B597" t="s">
        <v>469</v>
      </c>
      <c r="C597" t="s">
        <v>690</v>
      </c>
      <c r="D597">
        <v>2.5000000000000001E-2</v>
      </c>
      <c r="F597" t="s">
        <v>1282</v>
      </c>
      <c r="H597" t="s">
        <v>3418</v>
      </c>
      <c r="I597" t="s">
        <v>4889</v>
      </c>
      <c r="K597" t="s">
        <v>6025</v>
      </c>
      <c r="L597" t="s">
        <v>6026</v>
      </c>
    </row>
    <row r="598" spans="1:12" x14ac:dyDescent="0.35">
      <c r="A598" t="s">
        <v>107</v>
      </c>
      <c r="B598" t="s">
        <v>469</v>
      </c>
      <c r="C598" t="s">
        <v>164</v>
      </c>
      <c r="D598">
        <v>0.127</v>
      </c>
      <c r="F598" t="s">
        <v>2311</v>
      </c>
      <c r="H598" t="s">
        <v>3415</v>
      </c>
      <c r="I598" t="s">
        <v>4889</v>
      </c>
      <c r="K598" t="s">
        <v>6025</v>
      </c>
      <c r="L598" t="s">
        <v>6026</v>
      </c>
    </row>
    <row r="599" spans="1:12" x14ac:dyDescent="0.35">
      <c r="A599" t="s">
        <v>107</v>
      </c>
      <c r="B599" t="s">
        <v>469</v>
      </c>
      <c r="C599" t="s">
        <v>164</v>
      </c>
      <c r="D599">
        <v>0.35</v>
      </c>
      <c r="F599" t="s">
        <v>1294</v>
      </c>
      <c r="H599" t="s">
        <v>3416</v>
      </c>
      <c r="I599" t="s">
        <v>4889</v>
      </c>
      <c r="K599" t="s">
        <v>6025</v>
      </c>
      <c r="L599" t="s">
        <v>6026</v>
      </c>
    </row>
    <row r="600" spans="1:12" x14ac:dyDescent="0.35">
      <c r="A600" t="s">
        <v>107</v>
      </c>
      <c r="B600" t="s">
        <v>469</v>
      </c>
      <c r="C600" t="s">
        <v>690</v>
      </c>
      <c r="D600">
        <v>0.42</v>
      </c>
      <c r="F600" t="s">
        <v>1629</v>
      </c>
      <c r="H600" t="s">
        <v>3416</v>
      </c>
      <c r="I600" t="s">
        <v>4889</v>
      </c>
      <c r="K600" t="s">
        <v>6025</v>
      </c>
      <c r="L600" t="s">
        <v>6026</v>
      </c>
    </row>
    <row r="601" spans="1:12" x14ac:dyDescent="0.35">
      <c r="A601" t="s">
        <v>107</v>
      </c>
      <c r="B601" t="s">
        <v>469</v>
      </c>
      <c r="C601" t="s">
        <v>166</v>
      </c>
      <c r="D601">
        <v>8.0000000000000002E-3</v>
      </c>
      <c r="F601" t="s">
        <v>1801</v>
      </c>
      <c r="H601" t="s">
        <v>3420</v>
      </c>
      <c r="I601" t="s">
        <v>4889</v>
      </c>
      <c r="K601" t="s">
        <v>6025</v>
      </c>
      <c r="L601" t="s">
        <v>6026</v>
      </c>
    </row>
    <row r="602" spans="1:12" x14ac:dyDescent="0.35">
      <c r="A602" t="s">
        <v>107</v>
      </c>
      <c r="B602" t="s">
        <v>469</v>
      </c>
      <c r="C602" t="s">
        <v>164</v>
      </c>
      <c r="D602">
        <v>8.0000000000000002E-3</v>
      </c>
      <c r="F602" t="s">
        <v>1801</v>
      </c>
      <c r="H602" t="s">
        <v>3420</v>
      </c>
      <c r="I602" t="s">
        <v>4889</v>
      </c>
      <c r="K602" t="s">
        <v>6025</v>
      </c>
      <c r="L602" t="s">
        <v>6026</v>
      </c>
    </row>
    <row r="603" spans="1:12" x14ac:dyDescent="0.35">
      <c r="A603" t="s">
        <v>107</v>
      </c>
      <c r="B603" t="s">
        <v>469</v>
      </c>
      <c r="C603" t="s">
        <v>166</v>
      </c>
      <c r="D603">
        <v>3.7999999999999999E-2</v>
      </c>
      <c r="F603" t="s">
        <v>1803</v>
      </c>
      <c r="H603" t="s">
        <v>3418</v>
      </c>
      <c r="I603" t="s">
        <v>4889</v>
      </c>
      <c r="K603" t="s">
        <v>6025</v>
      </c>
      <c r="L603" t="s">
        <v>6026</v>
      </c>
    </row>
    <row r="604" spans="1:12" x14ac:dyDescent="0.35">
      <c r="A604" t="s">
        <v>107</v>
      </c>
      <c r="B604" t="s">
        <v>469</v>
      </c>
      <c r="C604" t="s">
        <v>690</v>
      </c>
      <c r="D604">
        <v>0.13300000000000001</v>
      </c>
      <c r="F604" t="s">
        <v>1539</v>
      </c>
      <c r="H604" t="s">
        <v>3417</v>
      </c>
      <c r="I604" t="s">
        <v>4889</v>
      </c>
      <c r="K604" t="s">
        <v>6025</v>
      </c>
      <c r="L604" t="s">
        <v>6026</v>
      </c>
    </row>
    <row r="605" spans="1:12" x14ac:dyDescent="0.35">
      <c r="A605" t="s">
        <v>107</v>
      </c>
      <c r="B605" t="s">
        <v>469</v>
      </c>
      <c r="C605" t="s">
        <v>690</v>
      </c>
      <c r="D605">
        <v>0.09</v>
      </c>
      <c r="F605" t="s">
        <v>1310</v>
      </c>
      <c r="H605" t="s">
        <v>3415</v>
      </c>
      <c r="I605" t="s">
        <v>4889</v>
      </c>
      <c r="K605" t="s">
        <v>6025</v>
      </c>
      <c r="L605" t="s">
        <v>6026</v>
      </c>
    </row>
    <row r="606" spans="1:12" x14ac:dyDescent="0.35">
      <c r="A606" t="s">
        <v>107</v>
      </c>
      <c r="B606" t="s">
        <v>469</v>
      </c>
      <c r="C606" t="s">
        <v>166</v>
      </c>
      <c r="D606">
        <v>0.13700000000000001</v>
      </c>
      <c r="F606" t="s">
        <v>2344</v>
      </c>
      <c r="H606" t="s">
        <v>3416</v>
      </c>
      <c r="I606" t="s">
        <v>4889</v>
      </c>
      <c r="K606" t="s">
        <v>6025</v>
      </c>
      <c r="L606" t="s">
        <v>6026</v>
      </c>
    </row>
    <row r="607" spans="1:12" x14ac:dyDescent="0.35">
      <c r="A607" t="s">
        <v>107</v>
      </c>
      <c r="B607" t="s">
        <v>469</v>
      </c>
      <c r="C607" t="s">
        <v>164</v>
      </c>
      <c r="D607">
        <v>0.13700000000000001</v>
      </c>
      <c r="F607" t="s">
        <v>2344</v>
      </c>
      <c r="H607" t="s">
        <v>3417</v>
      </c>
      <c r="I607" t="s">
        <v>4889</v>
      </c>
      <c r="K607" t="s">
        <v>6025</v>
      </c>
      <c r="L607" t="s">
        <v>6026</v>
      </c>
    </row>
    <row r="608" spans="1:12" x14ac:dyDescent="0.35">
      <c r="A608" t="s">
        <v>107</v>
      </c>
      <c r="B608" t="s">
        <v>469</v>
      </c>
      <c r="C608" t="s">
        <v>164</v>
      </c>
      <c r="D608">
        <v>4.4999999999999998E-2</v>
      </c>
      <c r="F608" t="s">
        <v>1290</v>
      </c>
      <c r="H608" t="s">
        <v>3418</v>
      </c>
      <c r="I608" t="s">
        <v>4889</v>
      </c>
      <c r="K608" t="s">
        <v>6025</v>
      </c>
      <c r="L608" t="s">
        <v>6026</v>
      </c>
    </row>
    <row r="609" spans="1:12" x14ac:dyDescent="0.35">
      <c r="A609" t="s">
        <v>107</v>
      </c>
      <c r="B609" t="s">
        <v>469</v>
      </c>
      <c r="C609" t="s">
        <v>166</v>
      </c>
      <c r="D609">
        <v>0.22500000000000001</v>
      </c>
      <c r="F609" t="s">
        <v>2370</v>
      </c>
      <c r="H609" t="s">
        <v>3417</v>
      </c>
      <c r="I609" t="s">
        <v>4889</v>
      </c>
      <c r="K609" t="s">
        <v>6025</v>
      </c>
      <c r="L609" t="s">
        <v>6026</v>
      </c>
    </row>
    <row r="610" spans="1:12" x14ac:dyDescent="0.35">
      <c r="A610" t="s">
        <v>107</v>
      </c>
      <c r="B610" t="s">
        <v>469</v>
      </c>
      <c r="C610" t="s">
        <v>166</v>
      </c>
      <c r="D610">
        <v>9.8000000000000004E-2</v>
      </c>
      <c r="F610" t="s">
        <v>1413</v>
      </c>
      <c r="H610" t="s">
        <v>3415</v>
      </c>
      <c r="I610" t="s">
        <v>4889</v>
      </c>
      <c r="K610" t="s">
        <v>6025</v>
      </c>
      <c r="L610" t="s">
        <v>6026</v>
      </c>
    </row>
    <row r="611" spans="1:12" x14ac:dyDescent="0.35">
      <c r="A611" t="s">
        <v>107</v>
      </c>
      <c r="B611" t="s">
        <v>469</v>
      </c>
      <c r="C611" t="s">
        <v>166</v>
      </c>
      <c r="D611">
        <v>0.38200000000000001</v>
      </c>
      <c r="F611" t="s">
        <v>5290</v>
      </c>
      <c r="H611" t="s">
        <v>3419</v>
      </c>
      <c r="I611" t="s">
        <v>4889</v>
      </c>
      <c r="K611" t="s">
        <v>6025</v>
      </c>
      <c r="L611" t="s">
        <v>6026</v>
      </c>
    </row>
    <row r="612" spans="1:12" x14ac:dyDescent="0.35">
      <c r="A612" t="s">
        <v>107</v>
      </c>
      <c r="B612" t="s">
        <v>469</v>
      </c>
      <c r="C612" t="s">
        <v>690</v>
      </c>
      <c r="D612">
        <v>0.33500000000000002</v>
      </c>
      <c r="F612" t="s">
        <v>2061</v>
      </c>
      <c r="H612" t="s">
        <v>3419</v>
      </c>
      <c r="I612" t="s">
        <v>4889</v>
      </c>
      <c r="K612" t="s">
        <v>6025</v>
      </c>
      <c r="L612" t="s">
        <v>6026</v>
      </c>
    </row>
    <row r="613" spans="1:12" x14ac:dyDescent="0.35">
      <c r="A613" t="s">
        <v>107</v>
      </c>
      <c r="B613" t="s">
        <v>469</v>
      </c>
      <c r="C613" t="s">
        <v>164</v>
      </c>
      <c r="D613">
        <v>0.188</v>
      </c>
      <c r="F613" t="s">
        <v>2112</v>
      </c>
      <c r="H613" t="s">
        <v>3419</v>
      </c>
      <c r="I613" t="s">
        <v>4889</v>
      </c>
      <c r="K613" t="s">
        <v>6025</v>
      </c>
      <c r="L613" t="s">
        <v>6026</v>
      </c>
    </row>
    <row r="614" spans="1:12" x14ac:dyDescent="0.35">
      <c r="A614" t="s">
        <v>108</v>
      </c>
      <c r="B614" t="s">
        <v>171</v>
      </c>
      <c r="C614" t="s">
        <v>782</v>
      </c>
      <c r="D614">
        <v>4.0199999999999996</v>
      </c>
      <c r="F614" t="s">
        <v>5291</v>
      </c>
      <c r="H614" t="s">
        <v>3435</v>
      </c>
      <c r="I614" t="s">
        <v>4918</v>
      </c>
      <c r="K614" t="s">
        <v>6025</v>
      </c>
      <c r="L614" t="s">
        <v>6026</v>
      </c>
    </row>
    <row r="615" spans="1:12" x14ac:dyDescent="0.35">
      <c r="A615" t="s">
        <v>108</v>
      </c>
      <c r="B615" t="s">
        <v>171</v>
      </c>
      <c r="C615" t="s">
        <v>166</v>
      </c>
      <c r="D615">
        <v>2.1800000000000002</v>
      </c>
      <c r="F615" t="s">
        <v>1596</v>
      </c>
      <c r="H615" t="s">
        <v>3429</v>
      </c>
      <c r="I615" t="s">
        <v>4918</v>
      </c>
      <c r="K615" t="s">
        <v>6025</v>
      </c>
      <c r="L615" t="s">
        <v>6026</v>
      </c>
    </row>
    <row r="616" spans="1:12" x14ac:dyDescent="0.35">
      <c r="A616" t="s">
        <v>108</v>
      </c>
      <c r="B616" t="s">
        <v>171</v>
      </c>
      <c r="C616" t="s">
        <v>766</v>
      </c>
      <c r="D616">
        <v>3.04</v>
      </c>
      <c r="F616" t="s">
        <v>2222</v>
      </c>
      <c r="H616" t="s">
        <v>3436</v>
      </c>
      <c r="I616" t="s">
        <v>4918</v>
      </c>
      <c r="K616" t="s">
        <v>6025</v>
      </c>
      <c r="L616" t="s">
        <v>6026</v>
      </c>
    </row>
    <row r="617" spans="1:12" x14ac:dyDescent="0.35">
      <c r="A617" t="s">
        <v>108</v>
      </c>
      <c r="B617" t="s">
        <v>171</v>
      </c>
      <c r="C617" t="s">
        <v>166</v>
      </c>
      <c r="D617">
        <v>3.77</v>
      </c>
      <c r="F617" t="s">
        <v>5292</v>
      </c>
      <c r="H617" t="s">
        <v>3436</v>
      </c>
      <c r="I617" t="s">
        <v>4918</v>
      </c>
      <c r="K617" t="s">
        <v>6025</v>
      </c>
      <c r="L617" t="s">
        <v>6026</v>
      </c>
    </row>
    <row r="618" spans="1:12" x14ac:dyDescent="0.35">
      <c r="A618" t="s">
        <v>108</v>
      </c>
      <c r="B618" t="s">
        <v>171</v>
      </c>
      <c r="C618" t="s">
        <v>766</v>
      </c>
      <c r="D618">
        <v>5.22</v>
      </c>
      <c r="F618" t="s">
        <v>2398</v>
      </c>
      <c r="H618" t="s">
        <v>3437</v>
      </c>
      <c r="I618" t="s">
        <v>4918</v>
      </c>
      <c r="K618" t="s">
        <v>6025</v>
      </c>
      <c r="L618" t="s">
        <v>6026</v>
      </c>
    </row>
    <row r="619" spans="1:12" x14ac:dyDescent="0.35">
      <c r="A619" t="s">
        <v>108</v>
      </c>
      <c r="B619" t="s">
        <v>171</v>
      </c>
      <c r="C619" t="s">
        <v>766</v>
      </c>
      <c r="D619">
        <v>2.41</v>
      </c>
      <c r="F619" t="s">
        <v>5293</v>
      </c>
      <c r="H619" t="s">
        <v>3433</v>
      </c>
      <c r="I619" t="s">
        <v>4918</v>
      </c>
      <c r="K619" t="s">
        <v>6025</v>
      </c>
      <c r="L619" t="s">
        <v>6026</v>
      </c>
    </row>
    <row r="620" spans="1:12" x14ac:dyDescent="0.35">
      <c r="A620" t="s">
        <v>108</v>
      </c>
      <c r="B620" t="s">
        <v>171</v>
      </c>
      <c r="C620" t="s">
        <v>166</v>
      </c>
      <c r="D620">
        <v>2.31</v>
      </c>
      <c r="F620" t="s">
        <v>2161</v>
      </c>
      <c r="H620" t="s">
        <v>3430</v>
      </c>
      <c r="I620" t="s">
        <v>4918</v>
      </c>
      <c r="K620" t="s">
        <v>6025</v>
      </c>
      <c r="L620" t="s">
        <v>6026</v>
      </c>
    </row>
    <row r="621" spans="1:12" x14ac:dyDescent="0.35">
      <c r="A621" t="s">
        <v>108</v>
      </c>
      <c r="B621" t="s">
        <v>171</v>
      </c>
      <c r="C621" t="s">
        <v>766</v>
      </c>
      <c r="D621">
        <v>2.96</v>
      </c>
      <c r="F621" t="s">
        <v>1805</v>
      </c>
      <c r="H621" t="s">
        <v>5783</v>
      </c>
      <c r="I621" t="s">
        <v>4918</v>
      </c>
      <c r="K621" t="s">
        <v>6025</v>
      </c>
      <c r="L621" t="s">
        <v>6026</v>
      </c>
    </row>
    <row r="622" spans="1:12" x14ac:dyDescent="0.35">
      <c r="A622" t="s">
        <v>108</v>
      </c>
      <c r="B622" t="s">
        <v>171</v>
      </c>
      <c r="C622" t="s">
        <v>782</v>
      </c>
      <c r="D622">
        <v>3.96</v>
      </c>
      <c r="F622" t="s">
        <v>5294</v>
      </c>
      <c r="H622" t="s">
        <v>3431</v>
      </c>
      <c r="I622" t="s">
        <v>4918</v>
      </c>
      <c r="K622" t="s">
        <v>6025</v>
      </c>
      <c r="L622" t="s">
        <v>6026</v>
      </c>
    </row>
    <row r="623" spans="1:12" x14ac:dyDescent="0.35">
      <c r="A623" t="s">
        <v>108</v>
      </c>
      <c r="B623" t="s">
        <v>171</v>
      </c>
      <c r="C623" t="s">
        <v>782</v>
      </c>
      <c r="D623">
        <v>6.52</v>
      </c>
      <c r="F623" t="s">
        <v>5295</v>
      </c>
      <c r="H623" t="s">
        <v>3432</v>
      </c>
      <c r="I623" t="s">
        <v>4918</v>
      </c>
      <c r="K623" t="s">
        <v>6025</v>
      </c>
      <c r="L623" t="s">
        <v>6026</v>
      </c>
    </row>
    <row r="624" spans="1:12" x14ac:dyDescent="0.35">
      <c r="A624" t="s">
        <v>108</v>
      </c>
      <c r="B624" t="s">
        <v>171</v>
      </c>
      <c r="C624" t="s">
        <v>166</v>
      </c>
      <c r="D624">
        <v>5.36</v>
      </c>
      <c r="F624" t="s">
        <v>5296</v>
      </c>
      <c r="H624" t="s">
        <v>3434</v>
      </c>
      <c r="I624" t="s">
        <v>4918</v>
      </c>
      <c r="K624" t="s">
        <v>6025</v>
      </c>
      <c r="L624" t="s">
        <v>6026</v>
      </c>
    </row>
    <row r="625" spans="1:12" x14ac:dyDescent="0.35">
      <c r="A625" t="s">
        <v>108</v>
      </c>
      <c r="B625" t="s">
        <v>171</v>
      </c>
      <c r="C625" t="s">
        <v>782</v>
      </c>
      <c r="D625">
        <v>3.39</v>
      </c>
      <c r="F625" t="s">
        <v>5297</v>
      </c>
      <c r="H625" t="s">
        <v>3438</v>
      </c>
      <c r="I625" t="s">
        <v>4918</v>
      </c>
      <c r="K625" t="s">
        <v>6025</v>
      </c>
      <c r="L625" t="s">
        <v>6026</v>
      </c>
    </row>
    <row r="626" spans="1:12" x14ac:dyDescent="0.35">
      <c r="A626" t="s">
        <v>108</v>
      </c>
      <c r="B626" t="s">
        <v>465</v>
      </c>
      <c r="C626" t="s">
        <v>166</v>
      </c>
      <c r="D626">
        <v>55</v>
      </c>
      <c r="F626" t="s">
        <v>1369</v>
      </c>
      <c r="H626" t="s">
        <v>3449</v>
      </c>
      <c r="I626" t="s">
        <v>1569</v>
      </c>
      <c r="K626" t="s">
        <v>6025</v>
      </c>
      <c r="L626" t="s">
        <v>6026</v>
      </c>
    </row>
    <row r="627" spans="1:12" x14ac:dyDescent="0.35">
      <c r="A627" t="s">
        <v>108</v>
      </c>
      <c r="B627" t="s">
        <v>465</v>
      </c>
      <c r="C627" t="s">
        <v>778</v>
      </c>
      <c r="D627">
        <v>55</v>
      </c>
      <c r="F627" t="s">
        <v>1369</v>
      </c>
      <c r="H627" t="s">
        <v>3449</v>
      </c>
      <c r="I627" t="s">
        <v>1569</v>
      </c>
      <c r="K627" t="s">
        <v>6025</v>
      </c>
      <c r="L627" t="s">
        <v>6026</v>
      </c>
    </row>
    <row r="628" spans="1:12" x14ac:dyDescent="0.35">
      <c r="A628" t="s">
        <v>108</v>
      </c>
      <c r="B628" t="s">
        <v>465</v>
      </c>
      <c r="C628" t="s">
        <v>783</v>
      </c>
      <c r="D628">
        <v>55</v>
      </c>
      <c r="F628" t="s">
        <v>1369</v>
      </c>
      <c r="H628" t="s">
        <v>3449</v>
      </c>
      <c r="I628" t="s">
        <v>1569</v>
      </c>
      <c r="K628" t="s">
        <v>6025</v>
      </c>
      <c r="L628" t="s">
        <v>6026</v>
      </c>
    </row>
    <row r="629" spans="1:12" x14ac:dyDescent="0.35">
      <c r="A629" t="s">
        <v>108</v>
      </c>
      <c r="B629" t="s">
        <v>465</v>
      </c>
      <c r="C629" t="s">
        <v>166</v>
      </c>
      <c r="D629">
        <v>25.5</v>
      </c>
      <c r="F629" t="s">
        <v>5298</v>
      </c>
      <c r="H629" t="s">
        <v>3450</v>
      </c>
      <c r="I629" t="s">
        <v>1569</v>
      </c>
      <c r="K629" t="s">
        <v>6025</v>
      </c>
      <c r="L629" t="s">
        <v>6026</v>
      </c>
    </row>
    <row r="630" spans="1:12" x14ac:dyDescent="0.35">
      <c r="A630" t="s">
        <v>108</v>
      </c>
      <c r="B630" t="s">
        <v>465</v>
      </c>
      <c r="C630" t="s">
        <v>778</v>
      </c>
      <c r="D630">
        <v>36.299999999999997</v>
      </c>
      <c r="F630" t="s">
        <v>5299</v>
      </c>
      <c r="H630" t="s">
        <v>3450</v>
      </c>
      <c r="I630" t="s">
        <v>1569</v>
      </c>
      <c r="K630" t="s">
        <v>6025</v>
      </c>
      <c r="L630" t="s">
        <v>6026</v>
      </c>
    </row>
    <row r="631" spans="1:12" x14ac:dyDescent="0.35">
      <c r="A631" t="s">
        <v>108</v>
      </c>
      <c r="B631" t="s">
        <v>465</v>
      </c>
      <c r="C631" t="s">
        <v>783</v>
      </c>
      <c r="D631">
        <v>26.9</v>
      </c>
      <c r="F631" t="s">
        <v>2273</v>
      </c>
      <c r="H631" t="s">
        <v>3450</v>
      </c>
      <c r="I631" t="s">
        <v>1569</v>
      </c>
      <c r="K631" t="s">
        <v>6025</v>
      </c>
      <c r="L631" t="s">
        <v>6026</v>
      </c>
    </row>
    <row r="632" spans="1:12" x14ac:dyDescent="0.35">
      <c r="A632" t="s">
        <v>108</v>
      </c>
      <c r="B632" t="s">
        <v>178</v>
      </c>
      <c r="C632" t="s">
        <v>783</v>
      </c>
      <c r="D632">
        <v>6.08</v>
      </c>
      <c r="F632" t="s">
        <v>5270</v>
      </c>
      <c r="H632" t="s">
        <v>3472</v>
      </c>
      <c r="I632" t="s">
        <v>2226</v>
      </c>
      <c r="K632" t="s">
        <v>6025</v>
      </c>
      <c r="L632" t="s">
        <v>6026</v>
      </c>
    </row>
    <row r="633" spans="1:12" x14ac:dyDescent="0.35">
      <c r="A633" t="s">
        <v>108</v>
      </c>
      <c r="B633" t="s">
        <v>178</v>
      </c>
      <c r="C633" t="s">
        <v>166</v>
      </c>
      <c r="D633">
        <v>2.94</v>
      </c>
      <c r="F633" t="s">
        <v>5300</v>
      </c>
      <c r="H633" t="s">
        <v>3488</v>
      </c>
      <c r="I633" t="s">
        <v>2226</v>
      </c>
      <c r="K633" t="s">
        <v>6025</v>
      </c>
      <c r="L633" t="s">
        <v>6026</v>
      </c>
    </row>
    <row r="634" spans="1:12" x14ac:dyDescent="0.35">
      <c r="A634" t="s">
        <v>108</v>
      </c>
      <c r="B634" t="s">
        <v>178</v>
      </c>
      <c r="C634" t="s">
        <v>778</v>
      </c>
      <c r="D634">
        <v>2.94</v>
      </c>
      <c r="F634" t="s">
        <v>5300</v>
      </c>
      <c r="H634" t="s">
        <v>3481</v>
      </c>
      <c r="I634" t="s">
        <v>2226</v>
      </c>
      <c r="K634" t="s">
        <v>6025</v>
      </c>
      <c r="L634" t="s">
        <v>6026</v>
      </c>
    </row>
    <row r="635" spans="1:12" x14ac:dyDescent="0.35">
      <c r="A635" t="s">
        <v>108</v>
      </c>
      <c r="B635" t="s">
        <v>178</v>
      </c>
      <c r="C635" t="s">
        <v>166</v>
      </c>
      <c r="D635">
        <v>3</v>
      </c>
      <c r="F635" t="s">
        <v>1368</v>
      </c>
      <c r="H635" t="s">
        <v>3463</v>
      </c>
      <c r="I635" t="s">
        <v>2226</v>
      </c>
      <c r="K635" t="s">
        <v>6025</v>
      </c>
      <c r="L635" t="s">
        <v>6026</v>
      </c>
    </row>
    <row r="636" spans="1:12" x14ac:dyDescent="0.35">
      <c r="A636" t="s">
        <v>108</v>
      </c>
      <c r="B636" t="s">
        <v>178</v>
      </c>
      <c r="C636" t="s">
        <v>778</v>
      </c>
      <c r="D636">
        <v>3</v>
      </c>
      <c r="F636" t="s">
        <v>1368</v>
      </c>
      <c r="H636" t="s">
        <v>3463</v>
      </c>
      <c r="I636" t="s">
        <v>2226</v>
      </c>
      <c r="K636" t="s">
        <v>6025</v>
      </c>
      <c r="L636" t="s">
        <v>6026</v>
      </c>
    </row>
    <row r="637" spans="1:12" x14ac:dyDescent="0.35">
      <c r="A637" t="s">
        <v>108</v>
      </c>
      <c r="B637" t="s">
        <v>178</v>
      </c>
      <c r="C637" t="s">
        <v>783</v>
      </c>
      <c r="D637">
        <v>3.13</v>
      </c>
      <c r="F637" t="s">
        <v>1736</v>
      </c>
      <c r="H637" t="s">
        <v>3475</v>
      </c>
      <c r="I637" t="s">
        <v>2226</v>
      </c>
      <c r="K637" t="s">
        <v>6025</v>
      </c>
      <c r="L637" t="s">
        <v>6026</v>
      </c>
    </row>
    <row r="638" spans="1:12" x14ac:dyDescent="0.35">
      <c r="A638" t="s">
        <v>108</v>
      </c>
      <c r="B638" t="s">
        <v>178</v>
      </c>
      <c r="C638" t="s">
        <v>166</v>
      </c>
      <c r="D638">
        <v>3.3</v>
      </c>
      <c r="F638" t="s">
        <v>1377</v>
      </c>
      <c r="H638" t="s">
        <v>5784</v>
      </c>
      <c r="I638" t="s">
        <v>2226</v>
      </c>
      <c r="K638" t="s">
        <v>6025</v>
      </c>
      <c r="L638" t="s">
        <v>6026</v>
      </c>
    </row>
    <row r="639" spans="1:12" x14ac:dyDescent="0.35">
      <c r="A639" t="s">
        <v>108</v>
      </c>
      <c r="B639" t="s">
        <v>178</v>
      </c>
      <c r="C639" t="s">
        <v>778</v>
      </c>
      <c r="D639">
        <v>3.3</v>
      </c>
      <c r="F639" t="s">
        <v>1377</v>
      </c>
      <c r="H639" t="s">
        <v>5784</v>
      </c>
      <c r="I639" t="s">
        <v>2226</v>
      </c>
      <c r="K639" t="s">
        <v>6025</v>
      </c>
      <c r="L639" t="s">
        <v>6026</v>
      </c>
    </row>
    <row r="640" spans="1:12" x14ac:dyDescent="0.35">
      <c r="A640" t="s">
        <v>108</v>
      </c>
      <c r="B640" t="s">
        <v>178</v>
      </c>
      <c r="C640" t="s">
        <v>783</v>
      </c>
      <c r="D640">
        <v>3.3</v>
      </c>
      <c r="F640" t="s">
        <v>1377</v>
      </c>
      <c r="H640" t="s">
        <v>3461</v>
      </c>
      <c r="I640" t="s">
        <v>2226</v>
      </c>
      <c r="K640" t="s">
        <v>6025</v>
      </c>
      <c r="L640" t="s">
        <v>6026</v>
      </c>
    </row>
    <row r="641" spans="1:12" x14ac:dyDescent="0.35">
      <c r="A641" t="s">
        <v>108</v>
      </c>
      <c r="B641" t="s">
        <v>178</v>
      </c>
      <c r="C641" t="s">
        <v>166</v>
      </c>
      <c r="D641">
        <v>5.7</v>
      </c>
      <c r="F641" t="s">
        <v>1476</v>
      </c>
      <c r="H641" t="s">
        <v>3471</v>
      </c>
      <c r="I641" t="s">
        <v>2226</v>
      </c>
      <c r="K641" t="s">
        <v>6025</v>
      </c>
      <c r="L641" t="s">
        <v>6026</v>
      </c>
    </row>
    <row r="642" spans="1:12" x14ac:dyDescent="0.35">
      <c r="A642" t="s">
        <v>108</v>
      </c>
      <c r="B642" t="s">
        <v>178</v>
      </c>
      <c r="C642" t="s">
        <v>166</v>
      </c>
      <c r="D642">
        <v>0.17</v>
      </c>
      <c r="F642" t="s">
        <v>1409</v>
      </c>
      <c r="H642" t="s">
        <v>3474</v>
      </c>
      <c r="I642" t="s">
        <v>2226</v>
      </c>
      <c r="K642" t="s">
        <v>6025</v>
      </c>
      <c r="L642" t="s">
        <v>6026</v>
      </c>
    </row>
    <row r="643" spans="1:12" x14ac:dyDescent="0.35">
      <c r="A643" t="s">
        <v>108</v>
      </c>
      <c r="B643" t="s">
        <v>178</v>
      </c>
      <c r="C643" t="s">
        <v>166</v>
      </c>
      <c r="D643">
        <v>0.15</v>
      </c>
      <c r="F643" t="s">
        <v>1269</v>
      </c>
      <c r="H643" t="s">
        <v>3464</v>
      </c>
      <c r="I643" t="s">
        <v>2226</v>
      </c>
      <c r="K643" t="s">
        <v>6025</v>
      </c>
      <c r="L643" t="s">
        <v>6026</v>
      </c>
    </row>
    <row r="644" spans="1:12" x14ac:dyDescent="0.35">
      <c r="A644" t="s">
        <v>108</v>
      </c>
      <c r="B644" t="s">
        <v>178</v>
      </c>
      <c r="C644" t="s">
        <v>778</v>
      </c>
      <c r="D644">
        <v>1.03</v>
      </c>
      <c r="F644" t="s">
        <v>1850</v>
      </c>
      <c r="H644" t="s">
        <v>3487</v>
      </c>
      <c r="I644" t="s">
        <v>2226</v>
      </c>
      <c r="K644" t="s">
        <v>6025</v>
      </c>
      <c r="L644" t="s">
        <v>6026</v>
      </c>
    </row>
    <row r="645" spans="1:12" x14ac:dyDescent="0.35">
      <c r="A645" t="s">
        <v>108</v>
      </c>
      <c r="B645" t="s">
        <v>178</v>
      </c>
      <c r="C645" t="s">
        <v>166</v>
      </c>
      <c r="D645">
        <v>1.46</v>
      </c>
      <c r="F645" t="s">
        <v>1756</v>
      </c>
      <c r="H645" t="s">
        <v>3493</v>
      </c>
      <c r="I645" t="s">
        <v>2226</v>
      </c>
      <c r="K645" t="s">
        <v>6025</v>
      </c>
      <c r="L645" t="s">
        <v>6026</v>
      </c>
    </row>
    <row r="646" spans="1:12" x14ac:dyDescent="0.35">
      <c r="A646" t="s">
        <v>108</v>
      </c>
      <c r="B646" t="s">
        <v>178</v>
      </c>
      <c r="C646" t="s">
        <v>778</v>
      </c>
      <c r="D646">
        <v>0.08</v>
      </c>
      <c r="F646" t="s">
        <v>1402</v>
      </c>
      <c r="H646" t="s">
        <v>3462</v>
      </c>
      <c r="I646" t="s">
        <v>2226</v>
      </c>
      <c r="K646" t="s">
        <v>6025</v>
      </c>
      <c r="L646" t="s">
        <v>6026</v>
      </c>
    </row>
    <row r="647" spans="1:12" x14ac:dyDescent="0.35">
      <c r="A647" t="s">
        <v>108</v>
      </c>
      <c r="B647" t="s">
        <v>178</v>
      </c>
      <c r="C647" t="s">
        <v>166</v>
      </c>
      <c r="D647">
        <v>0.45</v>
      </c>
      <c r="F647" t="s">
        <v>1316</v>
      </c>
      <c r="H647" t="s">
        <v>3482</v>
      </c>
      <c r="I647" t="s">
        <v>2226</v>
      </c>
      <c r="K647" t="s">
        <v>6025</v>
      </c>
      <c r="L647" t="s">
        <v>6026</v>
      </c>
    </row>
    <row r="648" spans="1:12" x14ac:dyDescent="0.35">
      <c r="A648" t="s">
        <v>108</v>
      </c>
      <c r="B648" t="s">
        <v>178</v>
      </c>
      <c r="C648" t="s">
        <v>166</v>
      </c>
      <c r="D648">
        <v>12.1</v>
      </c>
      <c r="F648" t="s">
        <v>2252</v>
      </c>
      <c r="H648" t="s">
        <v>3459</v>
      </c>
      <c r="I648" t="s">
        <v>4861</v>
      </c>
      <c r="K648" t="s">
        <v>6025</v>
      </c>
      <c r="L648" t="s">
        <v>6026</v>
      </c>
    </row>
    <row r="649" spans="1:12" x14ac:dyDescent="0.35">
      <c r="A649" t="s">
        <v>108</v>
      </c>
      <c r="B649" t="s">
        <v>178</v>
      </c>
      <c r="C649" t="s">
        <v>783</v>
      </c>
      <c r="D649">
        <v>7.6999999999999999E-2</v>
      </c>
      <c r="F649" t="s">
        <v>1578</v>
      </c>
      <c r="H649" t="s">
        <v>3467</v>
      </c>
      <c r="I649" t="s">
        <v>2226</v>
      </c>
      <c r="K649" t="s">
        <v>6025</v>
      </c>
      <c r="L649" t="s">
        <v>6026</v>
      </c>
    </row>
    <row r="650" spans="1:12" x14ac:dyDescent="0.35">
      <c r="A650" t="s">
        <v>108</v>
      </c>
      <c r="B650" t="s">
        <v>178</v>
      </c>
      <c r="C650" t="s">
        <v>778</v>
      </c>
      <c r="D650">
        <v>7.2</v>
      </c>
      <c r="F650" t="s">
        <v>1853</v>
      </c>
      <c r="H650" t="s">
        <v>3471</v>
      </c>
      <c r="I650" t="s">
        <v>2226</v>
      </c>
      <c r="K650" t="s">
        <v>6025</v>
      </c>
      <c r="L650" t="s">
        <v>6026</v>
      </c>
    </row>
    <row r="651" spans="1:12" x14ac:dyDescent="0.35">
      <c r="A651" t="s">
        <v>108</v>
      </c>
      <c r="B651" t="s">
        <v>178</v>
      </c>
      <c r="C651" t="s">
        <v>778</v>
      </c>
      <c r="D651">
        <v>12.6</v>
      </c>
      <c r="F651" t="s">
        <v>2028</v>
      </c>
      <c r="H651" t="s">
        <v>3459</v>
      </c>
      <c r="I651" t="s">
        <v>4861</v>
      </c>
      <c r="K651" t="s">
        <v>6025</v>
      </c>
      <c r="L651" t="s">
        <v>6026</v>
      </c>
    </row>
    <row r="652" spans="1:12" x14ac:dyDescent="0.35">
      <c r="A652" t="s">
        <v>108</v>
      </c>
      <c r="B652" t="s">
        <v>178</v>
      </c>
      <c r="C652" t="s">
        <v>783</v>
      </c>
      <c r="D652">
        <v>12.2</v>
      </c>
      <c r="F652" t="s">
        <v>1471</v>
      </c>
      <c r="H652" t="s">
        <v>3469</v>
      </c>
      <c r="I652" t="s">
        <v>4861</v>
      </c>
      <c r="K652" t="s">
        <v>6025</v>
      </c>
      <c r="L652" t="s">
        <v>6026</v>
      </c>
    </row>
    <row r="653" spans="1:12" x14ac:dyDescent="0.35">
      <c r="A653" t="s">
        <v>108</v>
      </c>
      <c r="B653" t="s">
        <v>178</v>
      </c>
      <c r="C653" t="s">
        <v>778</v>
      </c>
      <c r="D653">
        <v>0.37</v>
      </c>
      <c r="F653" t="s">
        <v>1481</v>
      </c>
      <c r="H653" t="s">
        <v>3477</v>
      </c>
      <c r="I653" t="s">
        <v>2226</v>
      </c>
      <c r="K653" t="s">
        <v>6025</v>
      </c>
      <c r="L653" t="s">
        <v>6026</v>
      </c>
    </row>
    <row r="654" spans="1:12" x14ac:dyDescent="0.35">
      <c r="A654" t="s">
        <v>108</v>
      </c>
      <c r="B654" t="s">
        <v>178</v>
      </c>
      <c r="C654" t="s">
        <v>778</v>
      </c>
      <c r="D654">
        <v>1.33</v>
      </c>
      <c r="F654" t="s">
        <v>1443</v>
      </c>
      <c r="H654" t="s">
        <v>3488</v>
      </c>
      <c r="I654" t="s">
        <v>2226</v>
      </c>
      <c r="K654" t="s">
        <v>6025</v>
      </c>
      <c r="L654" t="s">
        <v>6026</v>
      </c>
    </row>
    <row r="655" spans="1:12" x14ac:dyDescent="0.35">
      <c r="A655" t="s">
        <v>108</v>
      </c>
      <c r="B655" t="s">
        <v>178</v>
      </c>
      <c r="C655" t="s">
        <v>778</v>
      </c>
      <c r="D655">
        <v>6.2E-2</v>
      </c>
      <c r="F655" t="s">
        <v>1414</v>
      </c>
      <c r="H655" t="s">
        <v>3465</v>
      </c>
      <c r="I655" t="s">
        <v>2226</v>
      </c>
      <c r="K655" t="s">
        <v>6025</v>
      </c>
      <c r="L655" t="s">
        <v>6026</v>
      </c>
    </row>
    <row r="656" spans="1:12" x14ac:dyDescent="0.35">
      <c r="A656" t="s">
        <v>108</v>
      </c>
      <c r="B656" t="s">
        <v>178</v>
      </c>
      <c r="C656" t="s">
        <v>778</v>
      </c>
      <c r="D656">
        <v>1.08</v>
      </c>
      <c r="F656" t="s">
        <v>1831</v>
      </c>
      <c r="H656" t="s">
        <v>3493</v>
      </c>
      <c r="I656" t="s">
        <v>2226</v>
      </c>
      <c r="K656" t="s">
        <v>6025</v>
      </c>
      <c r="L656" t="s">
        <v>6026</v>
      </c>
    </row>
    <row r="657" spans="1:12" x14ac:dyDescent="0.35">
      <c r="A657" t="s">
        <v>108</v>
      </c>
      <c r="B657" t="s">
        <v>178</v>
      </c>
      <c r="C657" t="s">
        <v>166</v>
      </c>
      <c r="D657">
        <v>0.72</v>
      </c>
      <c r="F657" t="s">
        <v>2401</v>
      </c>
      <c r="H657" t="s">
        <v>3477</v>
      </c>
      <c r="I657" t="s">
        <v>2226</v>
      </c>
      <c r="K657" t="s">
        <v>6025</v>
      </c>
      <c r="L657" t="s">
        <v>6026</v>
      </c>
    </row>
    <row r="658" spans="1:12" x14ac:dyDescent="0.35">
      <c r="A658" t="s">
        <v>108</v>
      </c>
      <c r="B658" t="s">
        <v>178</v>
      </c>
      <c r="C658" t="s">
        <v>778</v>
      </c>
      <c r="D658">
        <v>0.28999999999999998</v>
      </c>
      <c r="F658" t="s">
        <v>1396</v>
      </c>
      <c r="H658" t="s">
        <v>3464</v>
      </c>
      <c r="I658" t="s">
        <v>2226</v>
      </c>
      <c r="K658" t="s">
        <v>6025</v>
      </c>
      <c r="L658" t="s">
        <v>6026</v>
      </c>
    </row>
    <row r="659" spans="1:12" x14ac:dyDescent="0.35">
      <c r="A659" t="s">
        <v>108</v>
      </c>
      <c r="B659" t="s">
        <v>178</v>
      </c>
      <c r="C659" t="s">
        <v>783</v>
      </c>
      <c r="D659">
        <v>0.38300000000000001</v>
      </c>
      <c r="F659" t="s">
        <v>5301</v>
      </c>
      <c r="H659" t="s">
        <v>3484</v>
      </c>
      <c r="I659" t="s">
        <v>2226</v>
      </c>
      <c r="K659" t="s">
        <v>6025</v>
      </c>
      <c r="L659" t="s">
        <v>6026</v>
      </c>
    </row>
    <row r="660" spans="1:12" x14ac:dyDescent="0.35">
      <c r="A660" t="s">
        <v>108</v>
      </c>
      <c r="B660" t="s">
        <v>178</v>
      </c>
      <c r="C660" t="s">
        <v>778</v>
      </c>
      <c r="D660">
        <v>0.22</v>
      </c>
      <c r="F660" t="s">
        <v>1438</v>
      </c>
      <c r="H660" t="s">
        <v>3482</v>
      </c>
      <c r="I660" t="s">
        <v>2226</v>
      </c>
      <c r="K660" t="s">
        <v>6025</v>
      </c>
      <c r="L660" t="s">
        <v>6026</v>
      </c>
    </row>
    <row r="661" spans="1:12" x14ac:dyDescent="0.35">
      <c r="A661" t="s">
        <v>108</v>
      </c>
      <c r="B661" t="s">
        <v>178</v>
      </c>
      <c r="C661" t="s">
        <v>166</v>
      </c>
      <c r="D661">
        <v>7.0999999999999994E-2</v>
      </c>
      <c r="F661" t="s">
        <v>1485</v>
      </c>
      <c r="H661" t="s">
        <v>3465</v>
      </c>
      <c r="I661" t="s">
        <v>2226</v>
      </c>
      <c r="K661" t="s">
        <v>6025</v>
      </c>
      <c r="L661" t="s">
        <v>6026</v>
      </c>
    </row>
    <row r="662" spans="1:12" x14ac:dyDescent="0.35">
      <c r="A662" t="s">
        <v>108</v>
      </c>
      <c r="B662" t="s">
        <v>178</v>
      </c>
      <c r="C662" t="s">
        <v>166</v>
      </c>
      <c r="D662">
        <v>7.9000000000000001E-2</v>
      </c>
      <c r="F662" t="s">
        <v>1730</v>
      </c>
      <c r="H662" t="s">
        <v>5785</v>
      </c>
      <c r="I662" t="s">
        <v>2226</v>
      </c>
      <c r="K662" t="s">
        <v>6025</v>
      </c>
      <c r="L662" t="s">
        <v>6026</v>
      </c>
    </row>
    <row r="663" spans="1:12" x14ac:dyDescent="0.35">
      <c r="A663" t="s">
        <v>108</v>
      </c>
      <c r="B663" t="s">
        <v>178</v>
      </c>
      <c r="C663" t="s">
        <v>783</v>
      </c>
      <c r="D663">
        <v>1.51</v>
      </c>
      <c r="F663" t="s">
        <v>1917</v>
      </c>
      <c r="H663" t="s">
        <v>3490</v>
      </c>
      <c r="I663" t="s">
        <v>2226</v>
      </c>
      <c r="K663" t="s">
        <v>6025</v>
      </c>
      <c r="L663" t="s">
        <v>6026</v>
      </c>
    </row>
    <row r="664" spans="1:12" x14ac:dyDescent="0.35">
      <c r="A664" t="s">
        <v>108</v>
      </c>
      <c r="B664" t="s">
        <v>178</v>
      </c>
      <c r="C664" t="s">
        <v>783</v>
      </c>
      <c r="D664">
        <v>0.158</v>
      </c>
      <c r="F664" t="s">
        <v>2194</v>
      </c>
      <c r="H664" t="s">
        <v>3483</v>
      </c>
      <c r="I664" t="s">
        <v>2226</v>
      </c>
      <c r="K664" t="s">
        <v>6025</v>
      </c>
      <c r="L664" t="s">
        <v>6026</v>
      </c>
    </row>
    <row r="665" spans="1:12" x14ac:dyDescent="0.35">
      <c r="A665" t="s">
        <v>108</v>
      </c>
      <c r="B665" t="s">
        <v>178</v>
      </c>
      <c r="C665" t="s">
        <v>783</v>
      </c>
      <c r="D665">
        <v>1.0999999999999999E-2</v>
      </c>
      <c r="F665" t="s">
        <v>1612</v>
      </c>
      <c r="H665" t="s">
        <v>3491</v>
      </c>
      <c r="I665" t="s">
        <v>2226</v>
      </c>
      <c r="K665" t="s">
        <v>6025</v>
      </c>
      <c r="L665" t="s">
        <v>6026</v>
      </c>
    </row>
    <row r="666" spans="1:12" x14ac:dyDescent="0.35">
      <c r="A666" t="s">
        <v>108</v>
      </c>
      <c r="B666" t="s">
        <v>178</v>
      </c>
      <c r="C666" t="s">
        <v>783</v>
      </c>
      <c r="D666">
        <v>3.25</v>
      </c>
      <c r="F666" t="s">
        <v>5302</v>
      </c>
      <c r="H666" t="s">
        <v>3480</v>
      </c>
      <c r="I666" t="s">
        <v>2226</v>
      </c>
      <c r="K666" t="s">
        <v>6025</v>
      </c>
      <c r="L666" t="s">
        <v>6026</v>
      </c>
    </row>
    <row r="667" spans="1:12" x14ac:dyDescent="0.35">
      <c r="A667" t="s">
        <v>108</v>
      </c>
      <c r="B667" t="s">
        <v>178</v>
      </c>
      <c r="C667" t="s">
        <v>166</v>
      </c>
      <c r="D667">
        <v>0.61</v>
      </c>
      <c r="F667" t="s">
        <v>1891</v>
      </c>
      <c r="H667" t="s">
        <v>3487</v>
      </c>
      <c r="I667" t="s">
        <v>2226</v>
      </c>
      <c r="K667" t="s">
        <v>6025</v>
      </c>
      <c r="L667" t="s">
        <v>6026</v>
      </c>
    </row>
    <row r="668" spans="1:12" x14ac:dyDescent="0.35">
      <c r="A668" t="s">
        <v>108</v>
      </c>
      <c r="B668" t="s">
        <v>178</v>
      </c>
      <c r="C668" t="s">
        <v>783</v>
      </c>
      <c r="D668">
        <v>5.8999999999999997E-2</v>
      </c>
      <c r="F668" t="s">
        <v>1729</v>
      </c>
      <c r="H668" t="s">
        <v>3478</v>
      </c>
      <c r="I668" t="s">
        <v>2226</v>
      </c>
      <c r="K668" t="s">
        <v>6025</v>
      </c>
      <c r="L668" t="s">
        <v>6026</v>
      </c>
    </row>
    <row r="669" spans="1:12" x14ac:dyDescent="0.35">
      <c r="A669" t="s">
        <v>108</v>
      </c>
      <c r="B669" t="s">
        <v>178</v>
      </c>
      <c r="C669" t="s">
        <v>783</v>
      </c>
      <c r="D669">
        <v>0.84199999999999997</v>
      </c>
      <c r="F669" t="s">
        <v>5303</v>
      </c>
      <c r="H669" t="s">
        <v>3495</v>
      </c>
      <c r="I669" t="s">
        <v>2226</v>
      </c>
      <c r="K669" t="s">
        <v>6025</v>
      </c>
      <c r="L669" t="s">
        <v>6026</v>
      </c>
    </row>
    <row r="670" spans="1:12" x14ac:dyDescent="0.35">
      <c r="A670" t="s">
        <v>108</v>
      </c>
      <c r="B670" t="s">
        <v>178</v>
      </c>
      <c r="C670" t="s">
        <v>778</v>
      </c>
      <c r="D670">
        <v>0.157</v>
      </c>
      <c r="F670" t="s">
        <v>1818</v>
      </c>
      <c r="H670" t="s">
        <v>3468</v>
      </c>
      <c r="I670" t="s">
        <v>2226</v>
      </c>
      <c r="K670" t="s">
        <v>6025</v>
      </c>
      <c r="L670" t="s">
        <v>6026</v>
      </c>
    </row>
    <row r="671" spans="1:12" x14ac:dyDescent="0.35">
      <c r="A671" t="s">
        <v>108</v>
      </c>
      <c r="B671" t="s">
        <v>178</v>
      </c>
      <c r="C671" t="s">
        <v>783</v>
      </c>
      <c r="D671">
        <v>0.97299999999999998</v>
      </c>
      <c r="F671" t="s">
        <v>5304</v>
      </c>
      <c r="H671" t="s">
        <v>3472</v>
      </c>
      <c r="I671" t="s">
        <v>2226</v>
      </c>
      <c r="K671" t="s">
        <v>6025</v>
      </c>
      <c r="L671" t="s">
        <v>6026</v>
      </c>
    </row>
    <row r="672" spans="1:12" x14ac:dyDescent="0.35">
      <c r="A672" t="s">
        <v>108</v>
      </c>
      <c r="B672" t="s">
        <v>178</v>
      </c>
      <c r="C672" t="s">
        <v>783</v>
      </c>
      <c r="D672">
        <v>5.3170000000000002</v>
      </c>
      <c r="F672" t="s">
        <v>5305</v>
      </c>
      <c r="H672" t="s">
        <v>3461</v>
      </c>
      <c r="I672" t="s">
        <v>2226</v>
      </c>
      <c r="K672" t="s">
        <v>6025</v>
      </c>
      <c r="L672" t="s">
        <v>6026</v>
      </c>
    </row>
    <row r="673" spans="1:12" x14ac:dyDescent="0.35">
      <c r="A673" t="s">
        <v>108</v>
      </c>
      <c r="B673" t="s">
        <v>178</v>
      </c>
      <c r="C673" t="s">
        <v>783</v>
      </c>
      <c r="D673">
        <v>3.5169999999999999</v>
      </c>
      <c r="F673" t="s">
        <v>5306</v>
      </c>
      <c r="H673" t="s">
        <v>3466</v>
      </c>
      <c r="I673" t="s">
        <v>2226</v>
      </c>
      <c r="K673" t="s">
        <v>6025</v>
      </c>
      <c r="L673" t="s">
        <v>6026</v>
      </c>
    </row>
    <row r="674" spans="1:12" x14ac:dyDescent="0.35">
      <c r="A674" t="s">
        <v>108</v>
      </c>
      <c r="B674" t="s">
        <v>178</v>
      </c>
      <c r="C674" t="s">
        <v>166</v>
      </c>
      <c r="D674">
        <v>5.0830000000000002</v>
      </c>
      <c r="F674" t="s">
        <v>5307</v>
      </c>
      <c r="H674" t="s">
        <v>3486</v>
      </c>
      <c r="I674" t="s">
        <v>2226</v>
      </c>
      <c r="K674" t="s">
        <v>6025</v>
      </c>
      <c r="L674" t="s">
        <v>6026</v>
      </c>
    </row>
    <row r="675" spans="1:12" x14ac:dyDescent="0.35">
      <c r="A675" t="s">
        <v>108</v>
      </c>
      <c r="B675" t="s">
        <v>178</v>
      </c>
      <c r="C675" t="s">
        <v>778</v>
      </c>
      <c r="D675">
        <v>5.1829999999999998</v>
      </c>
      <c r="F675" t="s">
        <v>5308</v>
      </c>
      <c r="H675" t="s">
        <v>3486</v>
      </c>
      <c r="I675" t="s">
        <v>2226</v>
      </c>
      <c r="K675" t="s">
        <v>6025</v>
      </c>
      <c r="L675" t="s">
        <v>6026</v>
      </c>
    </row>
    <row r="676" spans="1:12" x14ac:dyDescent="0.35">
      <c r="A676" t="s">
        <v>108</v>
      </c>
      <c r="B676" t="s">
        <v>178</v>
      </c>
      <c r="C676" t="s">
        <v>166</v>
      </c>
      <c r="D676">
        <v>3.1829999999999998</v>
      </c>
      <c r="F676" t="s">
        <v>5309</v>
      </c>
      <c r="H676" t="s">
        <v>5786</v>
      </c>
      <c r="I676" t="s">
        <v>2226</v>
      </c>
      <c r="K676" t="s">
        <v>6025</v>
      </c>
      <c r="L676" t="s">
        <v>6026</v>
      </c>
    </row>
    <row r="677" spans="1:12" x14ac:dyDescent="0.35">
      <c r="A677" t="s">
        <v>108</v>
      </c>
      <c r="B677" t="s">
        <v>178</v>
      </c>
      <c r="C677" t="s">
        <v>778</v>
      </c>
      <c r="D677">
        <v>2.5830000000000002</v>
      </c>
      <c r="F677" t="s">
        <v>5310</v>
      </c>
      <c r="H677" t="s">
        <v>5786</v>
      </c>
      <c r="I677" t="s">
        <v>2226</v>
      </c>
      <c r="K677" t="s">
        <v>6025</v>
      </c>
      <c r="L677" t="s">
        <v>6026</v>
      </c>
    </row>
    <row r="678" spans="1:12" x14ac:dyDescent="0.35">
      <c r="A678" t="s">
        <v>108</v>
      </c>
      <c r="B678" t="s">
        <v>178</v>
      </c>
      <c r="C678" t="s">
        <v>783</v>
      </c>
      <c r="D678">
        <v>1.4850000000000001</v>
      </c>
      <c r="F678" t="s">
        <v>5311</v>
      </c>
      <c r="H678" t="s">
        <v>3489</v>
      </c>
      <c r="I678" t="s">
        <v>2226</v>
      </c>
      <c r="K678" t="s">
        <v>6025</v>
      </c>
      <c r="L678" t="s">
        <v>6026</v>
      </c>
    </row>
    <row r="679" spans="1:12" x14ac:dyDescent="0.35">
      <c r="A679" t="s">
        <v>108</v>
      </c>
      <c r="B679" t="s">
        <v>178</v>
      </c>
      <c r="C679" t="s">
        <v>166</v>
      </c>
      <c r="D679">
        <v>1.593</v>
      </c>
      <c r="F679" t="s">
        <v>5312</v>
      </c>
      <c r="H679" t="s">
        <v>3479</v>
      </c>
      <c r="I679" t="s">
        <v>2226</v>
      </c>
      <c r="K679" t="s">
        <v>6025</v>
      </c>
      <c r="L679" t="s">
        <v>6026</v>
      </c>
    </row>
    <row r="680" spans="1:12" x14ac:dyDescent="0.35">
      <c r="A680" t="s">
        <v>108</v>
      </c>
      <c r="B680" t="s">
        <v>178</v>
      </c>
      <c r="C680" t="s">
        <v>783</v>
      </c>
      <c r="D680">
        <v>3.8170000000000002</v>
      </c>
      <c r="F680" t="s">
        <v>5313</v>
      </c>
      <c r="H680" t="s">
        <v>3475</v>
      </c>
      <c r="I680" t="s">
        <v>2226</v>
      </c>
      <c r="K680" t="s">
        <v>6025</v>
      </c>
      <c r="L680" t="s">
        <v>6026</v>
      </c>
    </row>
    <row r="681" spans="1:12" x14ac:dyDescent="0.35">
      <c r="A681" t="s">
        <v>108</v>
      </c>
      <c r="B681" t="s">
        <v>178</v>
      </c>
      <c r="C681" t="s">
        <v>166</v>
      </c>
      <c r="D681">
        <v>2.1829999999999998</v>
      </c>
      <c r="F681" t="s">
        <v>5314</v>
      </c>
      <c r="H681" t="s">
        <v>3470</v>
      </c>
      <c r="I681" t="s">
        <v>2226</v>
      </c>
      <c r="K681" t="s">
        <v>6025</v>
      </c>
      <c r="L681" t="s">
        <v>6026</v>
      </c>
    </row>
    <row r="682" spans="1:12" x14ac:dyDescent="0.35">
      <c r="A682" t="s">
        <v>108</v>
      </c>
      <c r="B682" t="s">
        <v>178</v>
      </c>
      <c r="C682" t="s">
        <v>778</v>
      </c>
      <c r="D682">
        <v>2.4670000000000001</v>
      </c>
      <c r="F682" t="s">
        <v>5315</v>
      </c>
      <c r="H682" t="s">
        <v>3470</v>
      </c>
      <c r="I682" t="s">
        <v>2226</v>
      </c>
      <c r="K682" t="s">
        <v>6025</v>
      </c>
      <c r="L682" t="s">
        <v>6026</v>
      </c>
    </row>
    <row r="683" spans="1:12" x14ac:dyDescent="0.35">
      <c r="A683" t="s">
        <v>108</v>
      </c>
      <c r="B683" t="s">
        <v>469</v>
      </c>
      <c r="C683" t="s">
        <v>166</v>
      </c>
      <c r="D683">
        <v>5.4</v>
      </c>
      <c r="F683" t="s">
        <v>1384</v>
      </c>
      <c r="H683" t="s">
        <v>3503</v>
      </c>
      <c r="I683" t="s">
        <v>4891</v>
      </c>
      <c r="K683" t="s">
        <v>6025</v>
      </c>
      <c r="L683" t="s">
        <v>6026</v>
      </c>
    </row>
    <row r="684" spans="1:12" x14ac:dyDescent="0.35">
      <c r="A684" t="s">
        <v>108</v>
      </c>
      <c r="B684" t="s">
        <v>469</v>
      </c>
      <c r="C684" t="s">
        <v>766</v>
      </c>
      <c r="D684">
        <v>4.22</v>
      </c>
      <c r="F684" t="s">
        <v>5316</v>
      </c>
      <c r="H684" t="s">
        <v>3503</v>
      </c>
      <c r="I684" t="s">
        <v>4891</v>
      </c>
      <c r="K684" t="s">
        <v>6025</v>
      </c>
      <c r="L684" t="s">
        <v>6026</v>
      </c>
    </row>
    <row r="685" spans="1:12" x14ac:dyDescent="0.35">
      <c r="A685" t="s">
        <v>108</v>
      </c>
      <c r="B685" t="s">
        <v>469</v>
      </c>
      <c r="C685" t="s">
        <v>782</v>
      </c>
      <c r="D685">
        <v>4.62</v>
      </c>
      <c r="F685" t="s">
        <v>1728</v>
      </c>
      <c r="H685" t="s">
        <v>3504</v>
      </c>
      <c r="I685" t="s">
        <v>4891</v>
      </c>
      <c r="K685" t="s">
        <v>6025</v>
      </c>
      <c r="L685" t="s">
        <v>6026</v>
      </c>
    </row>
    <row r="686" spans="1:12" x14ac:dyDescent="0.35">
      <c r="A686" t="s">
        <v>108</v>
      </c>
      <c r="B686" t="s">
        <v>175</v>
      </c>
      <c r="C686" t="s">
        <v>766</v>
      </c>
      <c r="D686">
        <v>1.6</v>
      </c>
      <c r="F686" t="s">
        <v>1328</v>
      </c>
      <c r="H686" t="s">
        <v>3525</v>
      </c>
      <c r="I686" t="s">
        <v>4883</v>
      </c>
      <c r="K686" t="s">
        <v>6025</v>
      </c>
      <c r="L686" t="s">
        <v>6026</v>
      </c>
    </row>
    <row r="687" spans="1:12" x14ac:dyDescent="0.35">
      <c r="A687" t="s">
        <v>108</v>
      </c>
      <c r="B687" t="s">
        <v>175</v>
      </c>
      <c r="C687" t="s">
        <v>782</v>
      </c>
      <c r="D687">
        <v>1.6</v>
      </c>
      <c r="F687" t="s">
        <v>1328</v>
      </c>
      <c r="H687" t="s">
        <v>3525</v>
      </c>
      <c r="I687" t="s">
        <v>4883</v>
      </c>
      <c r="K687" t="s">
        <v>6025</v>
      </c>
      <c r="L687" t="s">
        <v>6026</v>
      </c>
    </row>
    <row r="688" spans="1:12" x14ac:dyDescent="0.35">
      <c r="A688" t="s">
        <v>108</v>
      </c>
      <c r="B688" t="s">
        <v>175</v>
      </c>
      <c r="C688" t="s">
        <v>766</v>
      </c>
      <c r="D688">
        <v>1.17</v>
      </c>
      <c r="F688" t="s">
        <v>2635</v>
      </c>
      <c r="H688" t="s">
        <v>3520</v>
      </c>
      <c r="I688" t="s">
        <v>4883</v>
      </c>
      <c r="K688" t="s">
        <v>6025</v>
      </c>
      <c r="L688" t="s">
        <v>6026</v>
      </c>
    </row>
    <row r="689" spans="1:12" x14ac:dyDescent="0.35">
      <c r="A689" t="s">
        <v>108</v>
      </c>
      <c r="B689" t="s">
        <v>175</v>
      </c>
      <c r="C689" t="s">
        <v>782</v>
      </c>
      <c r="D689">
        <v>1.17</v>
      </c>
      <c r="F689" t="s">
        <v>2635</v>
      </c>
      <c r="H689" t="s">
        <v>3512</v>
      </c>
      <c r="I689" t="s">
        <v>4883</v>
      </c>
      <c r="K689" t="s">
        <v>6025</v>
      </c>
      <c r="L689" t="s">
        <v>6026</v>
      </c>
    </row>
    <row r="690" spans="1:12" x14ac:dyDescent="0.35">
      <c r="A690" t="s">
        <v>108</v>
      </c>
      <c r="B690" t="s">
        <v>175</v>
      </c>
      <c r="C690" t="s">
        <v>769</v>
      </c>
      <c r="D690">
        <v>6.5</v>
      </c>
      <c r="F690" t="s">
        <v>1419</v>
      </c>
      <c r="H690" t="s">
        <v>3516</v>
      </c>
      <c r="I690" t="s">
        <v>1359</v>
      </c>
      <c r="K690" t="s">
        <v>6025</v>
      </c>
      <c r="L690" t="s">
        <v>6026</v>
      </c>
    </row>
    <row r="691" spans="1:12" x14ac:dyDescent="0.35">
      <c r="A691" t="s">
        <v>108</v>
      </c>
      <c r="B691" t="s">
        <v>175</v>
      </c>
      <c r="C691" t="s">
        <v>769</v>
      </c>
      <c r="D691">
        <v>8.0000000000000002E-3</v>
      </c>
      <c r="F691" t="s">
        <v>1801</v>
      </c>
      <c r="H691" t="s">
        <v>5787</v>
      </c>
      <c r="I691" t="s">
        <v>1359</v>
      </c>
      <c r="K691" t="s">
        <v>6025</v>
      </c>
      <c r="L691" t="s">
        <v>6026</v>
      </c>
    </row>
    <row r="692" spans="1:12" x14ac:dyDescent="0.35">
      <c r="A692" t="s">
        <v>108</v>
      </c>
      <c r="B692" t="s">
        <v>175</v>
      </c>
      <c r="C692" t="s">
        <v>769</v>
      </c>
      <c r="D692">
        <v>3.0000000000000001E-3</v>
      </c>
      <c r="F692" t="s">
        <v>1279</v>
      </c>
      <c r="H692" t="s">
        <v>5788</v>
      </c>
      <c r="I692" t="s">
        <v>1359</v>
      </c>
      <c r="K692" t="s">
        <v>6025</v>
      </c>
      <c r="L692" t="s">
        <v>6026</v>
      </c>
    </row>
    <row r="693" spans="1:12" x14ac:dyDescent="0.35">
      <c r="A693" t="s">
        <v>108</v>
      </c>
      <c r="B693" t="s">
        <v>175</v>
      </c>
      <c r="C693" t="s">
        <v>769</v>
      </c>
      <c r="D693">
        <v>1.4999999999999999E-2</v>
      </c>
      <c r="F693" t="s">
        <v>1336</v>
      </c>
      <c r="H693" t="s">
        <v>5789</v>
      </c>
      <c r="I693" t="s">
        <v>1359</v>
      </c>
      <c r="K693" t="s">
        <v>6025</v>
      </c>
      <c r="L693" t="s">
        <v>6026</v>
      </c>
    </row>
    <row r="694" spans="1:12" x14ac:dyDescent="0.35">
      <c r="A694" t="s">
        <v>108</v>
      </c>
      <c r="B694" t="s">
        <v>175</v>
      </c>
      <c r="C694" t="s">
        <v>769</v>
      </c>
      <c r="D694">
        <v>7.0000000000000001E-3</v>
      </c>
      <c r="F694" t="s">
        <v>1261</v>
      </c>
      <c r="H694" t="s">
        <v>5790</v>
      </c>
      <c r="I694" t="s">
        <v>1359</v>
      </c>
      <c r="K694" t="s">
        <v>6025</v>
      </c>
      <c r="L694" t="s">
        <v>6026</v>
      </c>
    </row>
    <row r="695" spans="1:12" x14ac:dyDescent="0.35">
      <c r="A695" t="s">
        <v>108</v>
      </c>
      <c r="B695" t="s">
        <v>175</v>
      </c>
      <c r="C695" t="s">
        <v>769</v>
      </c>
      <c r="D695">
        <v>0.42299999999999999</v>
      </c>
      <c r="F695" t="s">
        <v>5317</v>
      </c>
      <c r="H695" t="s">
        <v>3511</v>
      </c>
      <c r="I695" t="s">
        <v>1359</v>
      </c>
      <c r="K695" t="s">
        <v>6025</v>
      </c>
      <c r="L695" t="s">
        <v>6026</v>
      </c>
    </row>
    <row r="696" spans="1:12" x14ac:dyDescent="0.35">
      <c r="A696" t="s">
        <v>108</v>
      </c>
      <c r="B696" t="s">
        <v>175</v>
      </c>
      <c r="C696" t="s">
        <v>766</v>
      </c>
      <c r="D696">
        <v>2.31</v>
      </c>
      <c r="F696" t="s">
        <v>2161</v>
      </c>
      <c r="H696" t="s">
        <v>3518</v>
      </c>
      <c r="I696" t="s">
        <v>4883</v>
      </c>
      <c r="K696" t="s">
        <v>6025</v>
      </c>
      <c r="L696" t="s">
        <v>6026</v>
      </c>
    </row>
    <row r="697" spans="1:12" x14ac:dyDescent="0.35">
      <c r="A697" t="s">
        <v>108</v>
      </c>
      <c r="B697" t="s">
        <v>175</v>
      </c>
      <c r="C697" t="s">
        <v>782</v>
      </c>
      <c r="D697">
        <v>2.31</v>
      </c>
      <c r="F697" t="s">
        <v>2161</v>
      </c>
      <c r="H697" t="s">
        <v>3524</v>
      </c>
      <c r="I697" t="s">
        <v>4883</v>
      </c>
      <c r="K697" t="s">
        <v>6025</v>
      </c>
      <c r="L697" t="s">
        <v>6026</v>
      </c>
    </row>
    <row r="698" spans="1:12" x14ac:dyDescent="0.35">
      <c r="A698" t="s">
        <v>108</v>
      </c>
      <c r="B698" t="s">
        <v>175</v>
      </c>
      <c r="C698" t="s">
        <v>769</v>
      </c>
      <c r="D698">
        <v>0.33600000000000002</v>
      </c>
      <c r="F698" t="s">
        <v>5318</v>
      </c>
      <c r="H698" t="s">
        <v>3510</v>
      </c>
      <c r="I698" t="s">
        <v>1359</v>
      </c>
      <c r="K698" t="s">
        <v>6025</v>
      </c>
      <c r="L698" t="s">
        <v>6026</v>
      </c>
    </row>
    <row r="699" spans="1:12" x14ac:dyDescent="0.35">
      <c r="A699" t="s">
        <v>108</v>
      </c>
      <c r="B699" t="s">
        <v>175</v>
      </c>
      <c r="C699" t="s">
        <v>766</v>
      </c>
      <c r="D699">
        <v>15.68</v>
      </c>
      <c r="F699" t="s">
        <v>5319</v>
      </c>
      <c r="H699" t="s">
        <v>3515</v>
      </c>
      <c r="I699" t="s">
        <v>4883</v>
      </c>
      <c r="K699" t="s">
        <v>6025</v>
      </c>
      <c r="L699" t="s">
        <v>6026</v>
      </c>
    </row>
    <row r="700" spans="1:12" x14ac:dyDescent="0.35">
      <c r="A700" t="s">
        <v>108</v>
      </c>
      <c r="B700" t="s">
        <v>175</v>
      </c>
      <c r="C700" t="s">
        <v>782</v>
      </c>
      <c r="D700">
        <v>15.68</v>
      </c>
      <c r="F700" t="s">
        <v>5319</v>
      </c>
      <c r="H700" t="s">
        <v>3514</v>
      </c>
      <c r="I700" t="s">
        <v>4883</v>
      </c>
      <c r="K700" t="s">
        <v>6025</v>
      </c>
      <c r="L700" t="s">
        <v>6026</v>
      </c>
    </row>
    <row r="701" spans="1:12" x14ac:dyDescent="0.35">
      <c r="A701" t="s">
        <v>108</v>
      </c>
      <c r="B701" t="s">
        <v>472</v>
      </c>
      <c r="C701" t="s">
        <v>166</v>
      </c>
      <c r="D701">
        <v>0.87</v>
      </c>
      <c r="F701" t="s">
        <v>1897</v>
      </c>
      <c r="H701" t="s">
        <v>3428</v>
      </c>
      <c r="I701" t="s">
        <v>2330</v>
      </c>
      <c r="K701" t="s">
        <v>6025</v>
      </c>
      <c r="L701" t="s">
        <v>6026</v>
      </c>
    </row>
    <row r="702" spans="1:12" x14ac:dyDescent="0.35">
      <c r="A702" t="s">
        <v>108</v>
      </c>
      <c r="B702" t="s">
        <v>472</v>
      </c>
      <c r="C702" t="s">
        <v>166</v>
      </c>
      <c r="D702">
        <v>2.42</v>
      </c>
      <c r="F702" t="s">
        <v>2634</v>
      </c>
      <c r="H702" t="s">
        <v>5791</v>
      </c>
      <c r="I702" t="s">
        <v>2330</v>
      </c>
      <c r="K702" t="s">
        <v>6025</v>
      </c>
      <c r="L702" t="s">
        <v>6026</v>
      </c>
    </row>
    <row r="703" spans="1:12" x14ac:dyDescent="0.35">
      <c r="A703" t="s">
        <v>108</v>
      </c>
      <c r="B703" t="s">
        <v>472</v>
      </c>
      <c r="C703" t="s">
        <v>166</v>
      </c>
      <c r="D703">
        <v>5.32</v>
      </c>
      <c r="F703" t="s">
        <v>5320</v>
      </c>
      <c r="H703" t="s">
        <v>5792</v>
      </c>
      <c r="I703" t="s">
        <v>2330</v>
      </c>
      <c r="K703" t="s">
        <v>6025</v>
      </c>
      <c r="L703" t="s">
        <v>6026</v>
      </c>
    </row>
    <row r="704" spans="1:12" x14ac:dyDescent="0.35">
      <c r="A704" t="s">
        <v>108</v>
      </c>
      <c r="B704" t="s">
        <v>472</v>
      </c>
      <c r="C704" t="s">
        <v>166</v>
      </c>
      <c r="D704">
        <v>1.85</v>
      </c>
      <c r="F704" t="s">
        <v>1998</v>
      </c>
      <c r="H704" t="s">
        <v>5793</v>
      </c>
      <c r="I704" t="s">
        <v>2330</v>
      </c>
      <c r="K704" t="s">
        <v>6025</v>
      </c>
      <c r="L704" t="s">
        <v>6026</v>
      </c>
    </row>
    <row r="705" spans="1:12" x14ac:dyDescent="0.35">
      <c r="A705" t="s">
        <v>108</v>
      </c>
      <c r="B705" t="s">
        <v>472</v>
      </c>
      <c r="C705" t="s">
        <v>166</v>
      </c>
      <c r="D705">
        <v>4.99</v>
      </c>
      <c r="F705" t="s">
        <v>5321</v>
      </c>
      <c r="H705" t="s">
        <v>3530</v>
      </c>
      <c r="I705" t="s">
        <v>2330</v>
      </c>
      <c r="K705" t="s">
        <v>6025</v>
      </c>
      <c r="L705" t="s">
        <v>6026</v>
      </c>
    </row>
    <row r="706" spans="1:12" x14ac:dyDescent="0.35">
      <c r="A706" t="s">
        <v>108</v>
      </c>
      <c r="B706" t="s">
        <v>472</v>
      </c>
      <c r="C706" t="s">
        <v>166</v>
      </c>
      <c r="D706">
        <v>4.72</v>
      </c>
      <c r="F706" t="s">
        <v>1698</v>
      </c>
      <c r="H706" t="s">
        <v>3528</v>
      </c>
      <c r="I706" t="s">
        <v>2330</v>
      </c>
      <c r="K706" t="s">
        <v>6025</v>
      </c>
      <c r="L706" t="s">
        <v>6026</v>
      </c>
    </row>
    <row r="707" spans="1:12" x14ac:dyDescent="0.35">
      <c r="A707" t="s">
        <v>108</v>
      </c>
      <c r="B707" t="s">
        <v>327</v>
      </c>
      <c r="C707" t="s">
        <v>785</v>
      </c>
      <c r="D707">
        <v>21.7</v>
      </c>
      <c r="F707" t="s">
        <v>5322</v>
      </c>
      <c r="H707" t="s">
        <v>5794</v>
      </c>
      <c r="I707" t="s">
        <v>4921</v>
      </c>
      <c r="K707" t="s">
        <v>6025</v>
      </c>
      <c r="L707" t="s">
        <v>6026</v>
      </c>
    </row>
    <row r="708" spans="1:12" x14ac:dyDescent="0.35">
      <c r="A708" t="s">
        <v>108</v>
      </c>
      <c r="B708" t="s">
        <v>327</v>
      </c>
      <c r="C708" t="s">
        <v>778</v>
      </c>
      <c r="D708">
        <v>5.1999999999999998E-2</v>
      </c>
      <c r="F708" t="s">
        <v>1529</v>
      </c>
      <c r="H708" t="s">
        <v>5795</v>
      </c>
      <c r="I708" t="s">
        <v>4896</v>
      </c>
      <c r="K708" t="s">
        <v>6025</v>
      </c>
      <c r="L708" t="s">
        <v>6026</v>
      </c>
    </row>
    <row r="709" spans="1:12" x14ac:dyDescent="0.35">
      <c r="A709" t="s">
        <v>108</v>
      </c>
      <c r="B709" t="s">
        <v>327</v>
      </c>
      <c r="C709" t="s">
        <v>785</v>
      </c>
      <c r="D709">
        <v>17.399999999999999</v>
      </c>
      <c r="F709" t="s">
        <v>1472</v>
      </c>
      <c r="H709" t="s">
        <v>3540</v>
      </c>
      <c r="I709" t="s">
        <v>4921</v>
      </c>
      <c r="K709" t="s">
        <v>6025</v>
      </c>
      <c r="L709" t="s">
        <v>6026</v>
      </c>
    </row>
    <row r="710" spans="1:12" x14ac:dyDescent="0.35">
      <c r="A710" t="s">
        <v>108</v>
      </c>
      <c r="B710" t="s">
        <v>327</v>
      </c>
      <c r="C710" t="s">
        <v>778</v>
      </c>
      <c r="D710">
        <v>0.13300000000000001</v>
      </c>
      <c r="F710" t="s">
        <v>1539</v>
      </c>
      <c r="H710" t="s">
        <v>3543</v>
      </c>
      <c r="I710" t="s">
        <v>4896</v>
      </c>
      <c r="K710" t="s">
        <v>6025</v>
      </c>
      <c r="L710" t="s">
        <v>6026</v>
      </c>
    </row>
    <row r="711" spans="1:12" x14ac:dyDescent="0.35">
      <c r="A711" t="s">
        <v>108</v>
      </c>
      <c r="B711" t="s">
        <v>327</v>
      </c>
      <c r="C711" t="s">
        <v>785</v>
      </c>
      <c r="D711">
        <v>16.399999999999999</v>
      </c>
      <c r="F711" t="s">
        <v>5323</v>
      </c>
      <c r="H711" t="s">
        <v>3544</v>
      </c>
      <c r="I711" t="s">
        <v>4921</v>
      </c>
      <c r="K711" t="s">
        <v>6025</v>
      </c>
      <c r="L711" t="s">
        <v>6026</v>
      </c>
    </row>
    <row r="712" spans="1:12" x14ac:dyDescent="0.35">
      <c r="A712" t="s">
        <v>108</v>
      </c>
      <c r="B712" t="s">
        <v>327</v>
      </c>
      <c r="C712" t="s">
        <v>785</v>
      </c>
      <c r="D712">
        <v>18.899999999999999</v>
      </c>
      <c r="F712" t="s">
        <v>5324</v>
      </c>
      <c r="H712" t="s">
        <v>3542</v>
      </c>
      <c r="I712" t="s">
        <v>4921</v>
      </c>
      <c r="K712" t="s">
        <v>6025</v>
      </c>
      <c r="L712" t="s">
        <v>6026</v>
      </c>
    </row>
    <row r="713" spans="1:12" x14ac:dyDescent="0.35">
      <c r="A713" t="s">
        <v>108</v>
      </c>
      <c r="B713" t="s">
        <v>327</v>
      </c>
      <c r="C713" t="s">
        <v>785</v>
      </c>
      <c r="D713">
        <v>19.5</v>
      </c>
      <c r="F713" t="s">
        <v>5252</v>
      </c>
      <c r="H713" t="s">
        <v>5796</v>
      </c>
      <c r="I713" t="s">
        <v>4921</v>
      </c>
      <c r="K713" t="s">
        <v>6025</v>
      </c>
      <c r="L713" t="s">
        <v>6026</v>
      </c>
    </row>
    <row r="714" spans="1:12" x14ac:dyDescent="0.35">
      <c r="A714" t="s">
        <v>108</v>
      </c>
      <c r="B714" t="s">
        <v>327</v>
      </c>
      <c r="C714" t="s">
        <v>778</v>
      </c>
      <c r="D714">
        <v>18.8</v>
      </c>
      <c r="F714" t="s">
        <v>2256</v>
      </c>
      <c r="H714" t="s">
        <v>3537</v>
      </c>
      <c r="I714" t="s">
        <v>4896</v>
      </c>
      <c r="K714" t="s">
        <v>6025</v>
      </c>
      <c r="L714" t="s">
        <v>6026</v>
      </c>
    </row>
    <row r="715" spans="1:12" x14ac:dyDescent="0.35">
      <c r="A715" t="s">
        <v>108</v>
      </c>
      <c r="B715" t="s">
        <v>327</v>
      </c>
      <c r="C715" t="s">
        <v>785</v>
      </c>
      <c r="D715">
        <v>13.6</v>
      </c>
      <c r="F715" t="s">
        <v>2351</v>
      </c>
      <c r="H715" t="s">
        <v>3539</v>
      </c>
      <c r="I715" t="s">
        <v>4921</v>
      </c>
      <c r="K715" t="s">
        <v>6025</v>
      </c>
      <c r="L715" t="s">
        <v>6026</v>
      </c>
    </row>
    <row r="716" spans="1:12" x14ac:dyDescent="0.35">
      <c r="A716" t="s">
        <v>108</v>
      </c>
      <c r="B716" t="s">
        <v>327</v>
      </c>
      <c r="C716" t="s">
        <v>778</v>
      </c>
      <c r="D716">
        <v>2.36</v>
      </c>
      <c r="F716" t="s">
        <v>5325</v>
      </c>
      <c r="H716" t="s">
        <v>3538</v>
      </c>
      <c r="I716" t="s">
        <v>4896</v>
      </c>
      <c r="K716" t="s">
        <v>6025</v>
      </c>
      <c r="L716" t="s">
        <v>6026</v>
      </c>
    </row>
    <row r="717" spans="1:12" x14ac:dyDescent="0.35">
      <c r="A717" t="s">
        <v>108</v>
      </c>
      <c r="B717" t="s">
        <v>328</v>
      </c>
      <c r="C717" t="s">
        <v>166</v>
      </c>
      <c r="D717">
        <v>13</v>
      </c>
      <c r="F717" t="s">
        <v>1454</v>
      </c>
      <c r="H717" t="s">
        <v>3549</v>
      </c>
      <c r="I717" t="s">
        <v>1394</v>
      </c>
      <c r="K717" t="s">
        <v>6025</v>
      </c>
      <c r="L717" t="s">
        <v>6026</v>
      </c>
    </row>
    <row r="718" spans="1:12" x14ac:dyDescent="0.35">
      <c r="A718" t="s">
        <v>108</v>
      </c>
      <c r="B718" t="s">
        <v>328</v>
      </c>
      <c r="C718" t="s">
        <v>766</v>
      </c>
      <c r="D718">
        <v>13</v>
      </c>
      <c r="F718" t="s">
        <v>1454</v>
      </c>
      <c r="H718" t="s">
        <v>3549</v>
      </c>
      <c r="I718" t="s">
        <v>1394</v>
      </c>
      <c r="K718" t="s">
        <v>6025</v>
      </c>
      <c r="L718" t="s">
        <v>6026</v>
      </c>
    </row>
    <row r="719" spans="1:12" x14ac:dyDescent="0.35">
      <c r="A719" t="s">
        <v>108</v>
      </c>
      <c r="B719" t="s">
        <v>328</v>
      </c>
      <c r="C719" t="s">
        <v>786</v>
      </c>
      <c r="D719">
        <v>13</v>
      </c>
      <c r="F719" t="s">
        <v>1454</v>
      </c>
      <c r="H719" t="s">
        <v>5797</v>
      </c>
      <c r="I719" t="s">
        <v>1394</v>
      </c>
      <c r="K719" t="s">
        <v>6025</v>
      </c>
      <c r="L719" t="s">
        <v>6026</v>
      </c>
    </row>
    <row r="720" spans="1:12" x14ac:dyDescent="0.35">
      <c r="A720" t="s">
        <v>109</v>
      </c>
      <c r="B720" t="s">
        <v>480</v>
      </c>
      <c r="C720" t="s">
        <v>794</v>
      </c>
      <c r="D720">
        <v>0.8</v>
      </c>
      <c r="F720" t="s">
        <v>1319</v>
      </c>
      <c r="H720" t="s">
        <v>3557</v>
      </c>
      <c r="I720" t="s">
        <v>2226</v>
      </c>
      <c r="K720" t="s">
        <v>6025</v>
      </c>
      <c r="L720" t="s">
        <v>6026</v>
      </c>
    </row>
    <row r="721" spans="1:12" x14ac:dyDescent="0.35">
      <c r="A721" t="s">
        <v>109</v>
      </c>
      <c r="B721" t="s">
        <v>480</v>
      </c>
      <c r="C721" t="s">
        <v>792</v>
      </c>
      <c r="D721">
        <v>5.7</v>
      </c>
      <c r="F721" t="s">
        <v>1476</v>
      </c>
      <c r="H721" t="s">
        <v>3553</v>
      </c>
      <c r="I721" t="s">
        <v>2226</v>
      </c>
      <c r="K721" t="s">
        <v>6025</v>
      </c>
      <c r="L721" t="s">
        <v>6026</v>
      </c>
    </row>
    <row r="722" spans="1:12" x14ac:dyDescent="0.35">
      <c r="A722" t="s">
        <v>109</v>
      </c>
      <c r="B722" t="s">
        <v>480</v>
      </c>
      <c r="C722" t="s">
        <v>790</v>
      </c>
      <c r="D722">
        <v>25.3</v>
      </c>
      <c r="F722" t="s">
        <v>1882</v>
      </c>
      <c r="H722" t="s">
        <v>3557</v>
      </c>
      <c r="I722" t="s">
        <v>2226</v>
      </c>
      <c r="K722" t="s">
        <v>6025</v>
      </c>
      <c r="L722" t="s">
        <v>6026</v>
      </c>
    </row>
    <row r="723" spans="1:12" x14ac:dyDescent="0.35">
      <c r="A723" t="s">
        <v>109</v>
      </c>
      <c r="B723" t="s">
        <v>480</v>
      </c>
      <c r="C723" t="s">
        <v>792</v>
      </c>
      <c r="D723">
        <v>44.03</v>
      </c>
      <c r="F723" t="s">
        <v>5326</v>
      </c>
      <c r="H723" t="s">
        <v>3553</v>
      </c>
      <c r="I723" t="s">
        <v>2226</v>
      </c>
      <c r="K723" t="s">
        <v>6025</v>
      </c>
      <c r="L723" t="s">
        <v>6026</v>
      </c>
    </row>
    <row r="724" spans="1:12" x14ac:dyDescent="0.35">
      <c r="A724" t="s">
        <v>109</v>
      </c>
      <c r="B724" t="s">
        <v>480</v>
      </c>
      <c r="C724" t="s">
        <v>794</v>
      </c>
      <c r="D724">
        <v>35.78</v>
      </c>
      <c r="F724" t="s">
        <v>5327</v>
      </c>
      <c r="H724" t="s">
        <v>3557</v>
      </c>
      <c r="I724" t="s">
        <v>2226</v>
      </c>
      <c r="K724" t="s">
        <v>6025</v>
      </c>
      <c r="L724" t="s">
        <v>6026</v>
      </c>
    </row>
    <row r="725" spans="1:12" x14ac:dyDescent="0.35">
      <c r="A725" t="s">
        <v>109</v>
      </c>
      <c r="B725" t="s">
        <v>175</v>
      </c>
      <c r="C725" t="s">
        <v>167</v>
      </c>
      <c r="D725">
        <v>4.8</v>
      </c>
      <c r="F725" t="s">
        <v>1567</v>
      </c>
      <c r="H725" t="s">
        <v>3565</v>
      </c>
      <c r="I725" t="s">
        <v>4923</v>
      </c>
      <c r="K725" t="s">
        <v>6025</v>
      </c>
      <c r="L725" t="s">
        <v>6026</v>
      </c>
    </row>
    <row r="726" spans="1:12" x14ac:dyDescent="0.35">
      <c r="A726" t="s">
        <v>109</v>
      </c>
      <c r="B726" t="s">
        <v>175</v>
      </c>
      <c r="C726" t="s">
        <v>167</v>
      </c>
      <c r="D726">
        <v>683</v>
      </c>
      <c r="F726" t="s">
        <v>5232</v>
      </c>
      <c r="H726" t="s">
        <v>3563</v>
      </c>
      <c r="I726" t="s">
        <v>4923</v>
      </c>
      <c r="K726" t="s">
        <v>6025</v>
      </c>
      <c r="L726" t="s">
        <v>6026</v>
      </c>
    </row>
    <row r="727" spans="1:12" x14ac:dyDescent="0.35">
      <c r="A727" t="s">
        <v>109</v>
      </c>
      <c r="B727" t="s">
        <v>175</v>
      </c>
      <c r="C727" t="s">
        <v>792</v>
      </c>
      <c r="D727">
        <v>4.7</v>
      </c>
      <c r="F727" t="s">
        <v>1570</v>
      </c>
      <c r="H727" t="s">
        <v>5798</v>
      </c>
      <c r="I727" t="s">
        <v>4923</v>
      </c>
      <c r="K727" t="s">
        <v>6025</v>
      </c>
      <c r="L727" t="s">
        <v>6026</v>
      </c>
    </row>
    <row r="728" spans="1:12" x14ac:dyDescent="0.35">
      <c r="A728" t="s">
        <v>109</v>
      </c>
      <c r="B728" t="s">
        <v>175</v>
      </c>
      <c r="C728" t="s">
        <v>792</v>
      </c>
      <c r="D728">
        <v>727.8</v>
      </c>
      <c r="F728" t="s">
        <v>5328</v>
      </c>
      <c r="H728" t="s">
        <v>3562</v>
      </c>
      <c r="I728" t="s">
        <v>4923</v>
      </c>
      <c r="K728" t="s">
        <v>6025</v>
      </c>
      <c r="L728" t="s">
        <v>6026</v>
      </c>
    </row>
    <row r="729" spans="1:12" x14ac:dyDescent="0.35">
      <c r="A729" t="s">
        <v>109</v>
      </c>
      <c r="B729" t="s">
        <v>175</v>
      </c>
      <c r="C729" t="s">
        <v>792</v>
      </c>
      <c r="D729">
        <v>670</v>
      </c>
      <c r="F729" t="s">
        <v>5115</v>
      </c>
      <c r="H729" t="s">
        <v>5799</v>
      </c>
      <c r="I729" t="s">
        <v>4869</v>
      </c>
      <c r="K729" t="s">
        <v>6025</v>
      </c>
      <c r="L729" t="s">
        <v>6026</v>
      </c>
    </row>
    <row r="730" spans="1:12" x14ac:dyDescent="0.35">
      <c r="A730" t="s">
        <v>109</v>
      </c>
      <c r="B730" t="s">
        <v>175</v>
      </c>
      <c r="C730" t="s">
        <v>793</v>
      </c>
      <c r="D730">
        <v>19.5</v>
      </c>
      <c r="F730" t="s">
        <v>5252</v>
      </c>
      <c r="H730" t="s">
        <v>3566</v>
      </c>
      <c r="I730" t="s">
        <v>2330</v>
      </c>
      <c r="K730" t="s">
        <v>6025</v>
      </c>
      <c r="L730" t="s">
        <v>6026</v>
      </c>
    </row>
    <row r="731" spans="1:12" x14ac:dyDescent="0.35">
      <c r="A731" t="s">
        <v>109</v>
      </c>
      <c r="B731" t="s">
        <v>175</v>
      </c>
      <c r="C731" t="s">
        <v>793</v>
      </c>
      <c r="D731">
        <v>24.5</v>
      </c>
      <c r="F731" t="s">
        <v>5182</v>
      </c>
      <c r="H731" t="s">
        <v>3568</v>
      </c>
      <c r="I731" t="s">
        <v>2330</v>
      </c>
      <c r="K731" t="s">
        <v>6025</v>
      </c>
      <c r="L731" t="s">
        <v>6026</v>
      </c>
    </row>
    <row r="732" spans="1:12" x14ac:dyDescent="0.35">
      <c r="A732" t="s">
        <v>109</v>
      </c>
      <c r="B732" t="s">
        <v>175</v>
      </c>
      <c r="C732" t="s">
        <v>792</v>
      </c>
      <c r="D732">
        <v>560</v>
      </c>
      <c r="F732" t="s">
        <v>2410</v>
      </c>
      <c r="H732" t="s">
        <v>5800</v>
      </c>
      <c r="I732" t="s">
        <v>4869</v>
      </c>
      <c r="K732" t="s">
        <v>6025</v>
      </c>
      <c r="L732" t="s">
        <v>6026</v>
      </c>
    </row>
    <row r="733" spans="1:12" x14ac:dyDescent="0.35">
      <c r="A733" t="s">
        <v>109</v>
      </c>
      <c r="B733" t="s">
        <v>175</v>
      </c>
      <c r="C733" t="s">
        <v>793</v>
      </c>
      <c r="D733">
        <v>293.3</v>
      </c>
      <c r="F733" t="s">
        <v>5329</v>
      </c>
      <c r="H733" t="s">
        <v>3577</v>
      </c>
      <c r="I733" t="s">
        <v>4869</v>
      </c>
      <c r="K733" t="s">
        <v>6025</v>
      </c>
      <c r="L733" t="s">
        <v>6026</v>
      </c>
    </row>
    <row r="734" spans="1:12" x14ac:dyDescent="0.35">
      <c r="A734" t="s">
        <v>109</v>
      </c>
      <c r="B734" t="s">
        <v>175</v>
      </c>
      <c r="C734" t="s">
        <v>792</v>
      </c>
      <c r="D734">
        <v>20.83</v>
      </c>
      <c r="F734" t="s">
        <v>5330</v>
      </c>
      <c r="H734" t="s">
        <v>5801</v>
      </c>
      <c r="I734" t="s">
        <v>2330</v>
      </c>
      <c r="K734" t="s">
        <v>6025</v>
      </c>
      <c r="L734" t="s">
        <v>6026</v>
      </c>
    </row>
    <row r="735" spans="1:12" x14ac:dyDescent="0.35">
      <c r="A735" t="s">
        <v>109</v>
      </c>
      <c r="B735" t="s">
        <v>175</v>
      </c>
      <c r="C735" t="s">
        <v>792</v>
      </c>
      <c r="D735">
        <v>445</v>
      </c>
      <c r="F735" t="s">
        <v>5331</v>
      </c>
      <c r="H735" t="s">
        <v>3573</v>
      </c>
      <c r="I735" t="s">
        <v>4869</v>
      </c>
      <c r="K735" t="s">
        <v>6025</v>
      </c>
      <c r="L735" t="s">
        <v>6026</v>
      </c>
    </row>
    <row r="736" spans="1:12" x14ac:dyDescent="0.35">
      <c r="A736" t="s">
        <v>109</v>
      </c>
      <c r="B736" t="s">
        <v>175</v>
      </c>
      <c r="C736" t="s">
        <v>792</v>
      </c>
      <c r="D736">
        <v>316.7</v>
      </c>
      <c r="F736" t="s">
        <v>5332</v>
      </c>
      <c r="H736" t="s">
        <v>5802</v>
      </c>
      <c r="I736" t="s">
        <v>4869</v>
      </c>
      <c r="K736" t="s">
        <v>6025</v>
      </c>
      <c r="L736" t="s">
        <v>6026</v>
      </c>
    </row>
    <row r="737" spans="1:12" x14ac:dyDescent="0.35">
      <c r="A737" t="s">
        <v>109</v>
      </c>
      <c r="B737" t="s">
        <v>175</v>
      </c>
      <c r="C737" t="s">
        <v>793</v>
      </c>
      <c r="D737">
        <v>14.48</v>
      </c>
      <c r="F737" t="s">
        <v>5333</v>
      </c>
      <c r="H737" t="s">
        <v>3567</v>
      </c>
      <c r="I737" t="s">
        <v>2330</v>
      </c>
      <c r="K737" t="s">
        <v>6025</v>
      </c>
      <c r="L737" t="s">
        <v>6026</v>
      </c>
    </row>
    <row r="738" spans="1:12" x14ac:dyDescent="0.35">
      <c r="A738" t="s">
        <v>109</v>
      </c>
      <c r="B738" t="s">
        <v>175</v>
      </c>
      <c r="C738" t="s">
        <v>792</v>
      </c>
      <c r="D738">
        <v>10.55</v>
      </c>
      <c r="F738" t="s">
        <v>5334</v>
      </c>
      <c r="H738" t="s">
        <v>5803</v>
      </c>
      <c r="I738" t="s">
        <v>2330</v>
      </c>
      <c r="K738" t="s">
        <v>6025</v>
      </c>
      <c r="L738" t="s">
        <v>6026</v>
      </c>
    </row>
    <row r="739" spans="1:12" x14ac:dyDescent="0.35">
      <c r="A739" t="s">
        <v>109</v>
      </c>
      <c r="B739" t="s">
        <v>175</v>
      </c>
      <c r="C739" t="s">
        <v>792</v>
      </c>
      <c r="D739">
        <v>16.02</v>
      </c>
      <c r="F739" t="s">
        <v>5335</v>
      </c>
      <c r="H739" t="s">
        <v>5804</v>
      </c>
      <c r="I739" t="s">
        <v>2330</v>
      </c>
      <c r="K739" t="s">
        <v>6025</v>
      </c>
      <c r="L739" t="s">
        <v>6026</v>
      </c>
    </row>
    <row r="740" spans="1:12" x14ac:dyDescent="0.35">
      <c r="A740" t="s">
        <v>109</v>
      </c>
      <c r="B740" t="s">
        <v>175</v>
      </c>
      <c r="C740" t="s">
        <v>793</v>
      </c>
      <c r="D740">
        <v>221.7</v>
      </c>
      <c r="F740" t="s">
        <v>5336</v>
      </c>
      <c r="H740" t="s">
        <v>3575</v>
      </c>
      <c r="I740" t="s">
        <v>4869</v>
      </c>
      <c r="K740" t="s">
        <v>6025</v>
      </c>
      <c r="L740" t="s">
        <v>6026</v>
      </c>
    </row>
    <row r="741" spans="1:12" x14ac:dyDescent="0.35">
      <c r="A741" t="s">
        <v>109</v>
      </c>
      <c r="B741" t="s">
        <v>175</v>
      </c>
      <c r="C741" t="s">
        <v>793</v>
      </c>
      <c r="D741">
        <v>361.7</v>
      </c>
      <c r="F741" t="s">
        <v>5337</v>
      </c>
      <c r="H741" t="s">
        <v>3574</v>
      </c>
      <c r="I741" t="s">
        <v>4869</v>
      </c>
      <c r="K741" t="s">
        <v>6025</v>
      </c>
      <c r="L741" t="s">
        <v>6026</v>
      </c>
    </row>
    <row r="742" spans="1:12" x14ac:dyDescent="0.35">
      <c r="A742" t="s">
        <v>109</v>
      </c>
      <c r="B742" t="s">
        <v>175</v>
      </c>
      <c r="C742" t="s">
        <v>793</v>
      </c>
      <c r="D742">
        <v>408.3</v>
      </c>
      <c r="F742" t="s">
        <v>5338</v>
      </c>
      <c r="H742" t="s">
        <v>5805</v>
      </c>
      <c r="I742" t="s">
        <v>4869</v>
      </c>
      <c r="K742" t="s">
        <v>6025</v>
      </c>
      <c r="L742" t="s">
        <v>6026</v>
      </c>
    </row>
    <row r="743" spans="1:12" x14ac:dyDescent="0.35">
      <c r="A743" t="s">
        <v>111</v>
      </c>
      <c r="B743" t="s">
        <v>335</v>
      </c>
      <c r="C743" t="s">
        <v>824</v>
      </c>
      <c r="D743">
        <v>3.5</v>
      </c>
      <c r="F743" t="s">
        <v>1451</v>
      </c>
      <c r="H743" t="s">
        <v>3588</v>
      </c>
      <c r="I743" t="s">
        <v>4861</v>
      </c>
      <c r="K743" t="s">
        <v>6025</v>
      </c>
      <c r="L743" t="s">
        <v>6026</v>
      </c>
    </row>
    <row r="744" spans="1:12" x14ac:dyDescent="0.35">
      <c r="A744" t="s">
        <v>111</v>
      </c>
      <c r="B744" t="s">
        <v>335</v>
      </c>
      <c r="C744" t="s">
        <v>820</v>
      </c>
      <c r="D744">
        <v>15</v>
      </c>
      <c r="F744" t="s">
        <v>1489</v>
      </c>
      <c r="H744" t="s">
        <v>3587</v>
      </c>
      <c r="I744" t="s">
        <v>4861</v>
      </c>
      <c r="K744" t="s">
        <v>6025</v>
      </c>
      <c r="L744" t="s">
        <v>6026</v>
      </c>
    </row>
    <row r="745" spans="1:12" x14ac:dyDescent="0.35">
      <c r="A745" t="s">
        <v>111</v>
      </c>
      <c r="B745" t="s">
        <v>335</v>
      </c>
      <c r="C745" t="s">
        <v>815</v>
      </c>
      <c r="D745">
        <v>10</v>
      </c>
      <c r="F745" t="s">
        <v>1533</v>
      </c>
      <c r="H745" t="s">
        <v>3587</v>
      </c>
      <c r="I745" t="s">
        <v>4861</v>
      </c>
      <c r="K745" t="s">
        <v>6025</v>
      </c>
      <c r="L745" t="s">
        <v>6026</v>
      </c>
    </row>
    <row r="746" spans="1:12" x14ac:dyDescent="0.35">
      <c r="A746" t="s">
        <v>111</v>
      </c>
      <c r="B746" t="s">
        <v>335</v>
      </c>
      <c r="C746" t="s">
        <v>823</v>
      </c>
      <c r="D746">
        <v>0.01</v>
      </c>
      <c r="F746" t="s">
        <v>1376</v>
      </c>
      <c r="H746" t="s">
        <v>3588</v>
      </c>
      <c r="I746" t="s">
        <v>4861</v>
      </c>
      <c r="K746" t="s">
        <v>6025</v>
      </c>
      <c r="L746" t="s">
        <v>6026</v>
      </c>
    </row>
    <row r="747" spans="1:12" x14ac:dyDescent="0.35">
      <c r="A747" t="s">
        <v>111</v>
      </c>
      <c r="B747" t="s">
        <v>335</v>
      </c>
      <c r="C747" t="s">
        <v>817</v>
      </c>
      <c r="D747">
        <v>17</v>
      </c>
      <c r="F747" t="s">
        <v>1383</v>
      </c>
      <c r="H747" t="s">
        <v>3587</v>
      </c>
      <c r="I747" t="s">
        <v>4861</v>
      </c>
      <c r="K747" t="s">
        <v>6025</v>
      </c>
      <c r="L747" t="s">
        <v>6026</v>
      </c>
    </row>
    <row r="748" spans="1:12" x14ac:dyDescent="0.35">
      <c r="A748" t="s">
        <v>111</v>
      </c>
      <c r="B748" t="s">
        <v>335</v>
      </c>
      <c r="C748" t="s">
        <v>830</v>
      </c>
      <c r="D748">
        <v>17</v>
      </c>
      <c r="F748" t="s">
        <v>1383</v>
      </c>
      <c r="H748" t="s">
        <v>3587</v>
      </c>
      <c r="I748" t="s">
        <v>4861</v>
      </c>
      <c r="K748" t="s">
        <v>6025</v>
      </c>
      <c r="L748" t="s">
        <v>6026</v>
      </c>
    </row>
    <row r="749" spans="1:12" x14ac:dyDescent="0.35">
      <c r="A749" t="s">
        <v>111</v>
      </c>
      <c r="B749" t="s">
        <v>335</v>
      </c>
      <c r="C749" t="s">
        <v>819</v>
      </c>
      <c r="D749">
        <v>17</v>
      </c>
      <c r="F749" t="s">
        <v>1383</v>
      </c>
      <c r="H749" t="s">
        <v>3587</v>
      </c>
      <c r="I749" t="s">
        <v>4861</v>
      </c>
      <c r="K749" t="s">
        <v>6025</v>
      </c>
      <c r="L749" t="s">
        <v>6026</v>
      </c>
    </row>
    <row r="750" spans="1:12" x14ac:dyDescent="0.35">
      <c r="A750" t="s">
        <v>111</v>
      </c>
      <c r="B750" t="s">
        <v>335</v>
      </c>
      <c r="C750" t="s">
        <v>863</v>
      </c>
      <c r="D750">
        <v>20</v>
      </c>
      <c r="F750" t="s">
        <v>1458</v>
      </c>
      <c r="H750" t="s">
        <v>3587</v>
      </c>
      <c r="I750" t="s">
        <v>4861</v>
      </c>
      <c r="K750" t="s">
        <v>6025</v>
      </c>
      <c r="L750" t="s">
        <v>6026</v>
      </c>
    </row>
    <row r="751" spans="1:12" x14ac:dyDescent="0.35">
      <c r="A751" t="s">
        <v>111</v>
      </c>
      <c r="B751" t="s">
        <v>335</v>
      </c>
      <c r="C751" t="s">
        <v>827</v>
      </c>
      <c r="D751">
        <v>20</v>
      </c>
      <c r="F751" t="s">
        <v>1458</v>
      </c>
      <c r="H751" t="s">
        <v>3587</v>
      </c>
      <c r="I751" t="s">
        <v>4861</v>
      </c>
      <c r="K751" t="s">
        <v>6025</v>
      </c>
      <c r="L751" t="s">
        <v>6026</v>
      </c>
    </row>
    <row r="752" spans="1:12" x14ac:dyDescent="0.35">
      <c r="A752" t="s">
        <v>111</v>
      </c>
      <c r="B752" t="s">
        <v>335</v>
      </c>
      <c r="C752" t="s">
        <v>825</v>
      </c>
      <c r="D752">
        <v>25</v>
      </c>
      <c r="F752" t="s">
        <v>1387</v>
      </c>
      <c r="H752" t="s">
        <v>3587</v>
      </c>
      <c r="I752" t="s">
        <v>4861</v>
      </c>
      <c r="K752" t="s">
        <v>6025</v>
      </c>
      <c r="L752" t="s">
        <v>6026</v>
      </c>
    </row>
    <row r="753" spans="1:12" x14ac:dyDescent="0.35">
      <c r="A753" t="s">
        <v>111</v>
      </c>
      <c r="B753" t="s">
        <v>335</v>
      </c>
      <c r="C753" t="s">
        <v>818</v>
      </c>
      <c r="D753">
        <v>0.08</v>
      </c>
      <c r="F753" t="s">
        <v>1402</v>
      </c>
      <c r="H753" t="s">
        <v>3588</v>
      </c>
      <c r="I753" t="s">
        <v>4861</v>
      </c>
      <c r="K753" t="s">
        <v>6025</v>
      </c>
      <c r="L753" t="s">
        <v>6026</v>
      </c>
    </row>
    <row r="754" spans="1:12" x14ac:dyDescent="0.35">
      <c r="A754" t="s">
        <v>111</v>
      </c>
      <c r="B754" t="s">
        <v>335</v>
      </c>
      <c r="C754" t="s">
        <v>829</v>
      </c>
      <c r="D754">
        <v>14</v>
      </c>
      <c r="F754" t="s">
        <v>1467</v>
      </c>
      <c r="H754" t="s">
        <v>3587</v>
      </c>
      <c r="I754" t="s">
        <v>4861</v>
      </c>
      <c r="K754" t="s">
        <v>6025</v>
      </c>
      <c r="L754" t="s">
        <v>6026</v>
      </c>
    </row>
    <row r="755" spans="1:12" x14ac:dyDescent="0.35">
      <c r="A755" t="s">
        <v>111</v>
      </c>
      <c r="B755" t="s">
        <v>335</v>
      </c>
      <c r="C755" t="s">
        <v>816</v>
      </c>
      <c r="D755">
        <v>13</v>
      </c>
      <c r="F755" t="s">
        <v>1454</v>
      </c>
      <c r="H755" t="s">
        <v>3587</v>
      </c>
      <c r="I755" t="s">
        <v>4861</v>
      </c>
      <c r="K755" t="s">
        <v>6025</v>
      </c>
      <c r="L755" t="s">
        <v>6026</v>
      </c>
    </row>
    <row r="756" spans="1:12" x14ac:dyDescent="0.35">
      <c r="A756" t="s">
        <v>111</v>
      </c>
      <c r="B756" t="s">
        <v>335</v>
      </c>
      <c r="C756" t="s">
        <v>827</v>
      </c>
      <c r="D756">
        <v>6.8</v>
      </c>
      <c r="F756" t="s">
        <v>1381</v>
      </c>
      <c r="H756" t="s">
        <v>3588</v>
      </c>
      <c r="I756" t="s">
        <v>4861</v>
      </c>
      <c r="K756" t="s">
        <v>6025</v>
      </c>
      <c r="L756" t="s">
        <v>6026</v>
      </c>
    </row>
    <row r="757" spans="1:12" x14ac:dyDescent="0.35">
      <c r="A757" t="s">
        <v>111</v>
      </c>
      <c r="B757" t="s">
        <v>335</v>
      </c>
      <c r="C757" t="s">
        <v>831</v>
      </c>
      <c r="D757">
        <v>7.0000000000000007E-2</v>
      </c>
      <c r="F757" t="s">
        <v>1456</v>
      </c>
      <c r="H757" t="s">
        <v>3588</v>
      </c>
      <c r="I757" t="s">
        <v>4861</v>
      </c>
      <c r="K757" t="s">
        <v>6025</v>
      </c>
      <c r="L757" t="s">
        <v>6026</v>
      </c>
    </row>
    <row r="758" spans="1:12" x14ac:dyDescent="0.35">
      <c r="A758" t="s">
        <v>111</v>
      </c>
      <c r="B758" t="s">
        <v>335</v>
      </c>
      <c r="C758" t="s">
        <v>829</v>
      </c>
      <c r="D758">
        <v>6.3</v>
      </c>
      <c r="F758" t="s">
        <v>1965</v>
      </c>
      <c r="H758" t="s">
        <v>3588</v>
      </c>
      <c r="I758" t="s">
        <v>4861</v>
      </c>
      <c r="K758" t="s">
        <v>6025</v>
      </c>
      <c r="L758" t="s">
        <v>6026</v>
      </c>
    </row>
    <row r="759" spans="1:12" x14ac:dyDescent="0.35">
      <c r="A759" t="s">
        <v>111</v>
      </c>
      <c r="B759" t="s">
        <v>335</v>
      </c>
      <c r="C759" t="s">
        <v>822</v>
      </c>
      <c r="D759">
        <v>11</v>
      </c>
      <c r="F759" t="s">
        <v>1841</v>
      </c>
      <c r="H759" t="s">
        <v>3587</v>
      </c>
      <c r="I759" t="s">
        <v>4861</v>
      </c>
      <c r="K759" t="s">
        <v>6025</v>
      </c>
      <c r="L759" t="s">
        <v>6026</v>
      </c>
    </row>
    <row r="760" spans="1:12" x14ac:dyDescent="0.35">
      <c r="A760" t="s">
        <v>111</v>
      </c>
      <c r="B760" t="s">
        <v>335</v>
      </c>
      <c r="C760" t="s">
        <v>826</v>
      </c>
      <c r="D760">
        <v>24</v>
      </c>
      <c r="F760" t="s">
        <v>1839</v>
      </c>
      <c r="H760" t="s">
        <v>3587</v>
      </c>
      <c r="I760" t="s">
        <v>4861</v>
      </c>
      <c r="K760" t="s">
        <v>6025</v>
      </c>
      <c r="L760" t="s">
        <v>6026</v>
      </c>
    </row>
    <row r="761" spans="1:12" x14ac:dyDescent="0.35">
      <c r="A761" t="s">
        <v>111</v>
      </c>
      <c r="B761" t="s">
        <v>335</v>
      </c>
      <c r="C761" t="s">
        <v>828</v>
      </c>
      <c r="D761">
        <v>23</v>
      </c>
      <c r="F761" t="s">
        <v>1851</v>
      </c>
      <c r="H761" t="s">
        <v>3587</v>
      </c>
      <c r="I761" t="s">
        <v>4861</v>
      </c>
      <c r="K761" t="s">
        <v>6025</v>
      </c>
      <c r="L761" t="s">
        <v>6026</v>
      </c>
    </row>
    <row r="762" spans="1:12" x14ac:dyDescent="0.35">
      <c r="A762" t="s">
        <v>111</v>
      </c>
      <c r="B762" t="s">
        <v>335</v>
      </c>
      <c r="C762" t="s">
        <v>821</v>
      </c>
      <c r="D762">
        <v>23</v>
      </c>
      <c r="F762" t="s">
        <v>1851</v>
      </c>
      <c r="H762" t="s">
        <v>3587</v>
      </c>
      <c r="I762" t="s">
        <v>4861</v>
      </c>
      <c r="K762" t="s">
        <v>6025</v>
      </c>
      <c r="L762" t="s">
        <v>6026</v>
      </c>
    </row>
    <row r="763" spans="1:12" x14ac:dyDescent="0.35">
      <c r="A763" t="s">
        <v>111</v>
      </c>
      <c r="B763" t="s">
        <v>335</v>
      </c>
      <c r="C763" t="s">
        <v>814</v>
      </c>
      <c r="D763">
        <v>32</v>
      </c>
      <c r="F763" t="s">
        <v>1461</v>
      </c>
      <c r="H763" t="s">
        <v>3587</v>
      </c>
      <c r="I763" t="s">
        <v>4861</v>
      </c>
      <c r="K763" t="s">
        <v>6025</v>
      </c>
      <c r="L763" t="s">
        <v>6026</v>
      </c>
    </row>
    <row r="764" spans="1:12" x14ac:dyDescent="0.35">
      <c r="A764" t="s">
        <v>111</v>
      </c>
      <c r="B764" t="s">
        <v>335</v>
      </c>
      <c r="C764" t="s">
        <v>800</v>
      </c>
      <c r="D764">
        <v>0.51</v>
      </c>
      <c r="F764" t="s">
        <v>1418</v>
      </c>
      <c r="H764" t="s">
        <v>3587</v>
      </c>
      <c r="I764" t="s">
        <v>4861</v>
      </c>
      <c r="K764" t="s">
        <v>6025</v>
      </c>
      <c r="L764" t="s">
        <v>6026</v>
      </c>
    </row>
    <row r="765" spans="1:12" x14ac:dyDescent="0.35">
      <c r="A765" t="s">
        <v>111</v>
      </c>
      <c r="B765" t="s">
        <v>489</v>
      </c>
      <c r="C765" t="s">
        <v>817</v>
      </c>
      <c r="D765">
        <v>6.5000000000000002E-2</v>
      </c>
      <c r="F765" t="s">
        <v>1455</v>
      </c>
      <c r="H765" t="s">
        <v>3593</v>
      </c>
      <c r="I765" t="s">
        <v>4904</v>
      </c>
      <c r="K765" t="s">
        <v>6025</v>
      </c>
      <c r="L765" t="s">
        <v>6026</v>
      </c>
    </row>
    <row r="766" spans="1:12" x14ac:dyDescent="0.35">
      <c r="A766" t="s">
        <v>111</v>
      </c>
      <c r="B766" t="s">
        <v>489</v>
      </c>
      <c r="C766" t="s">
        <v>817</v>
      </c>
      <c r="D766">
        <v>6.3E-2</v>
      </c>
      <c r="F766" t="s">
        <v>2017</v>
      </c>
      <c r="H766" t="s">
        <v>3594</v>
      </c>
      <c r="I766" t="s">
        <v>4904</v>
      </c>
      <c r="K766" t="s">
        <v>6025</v>
      </c>
      <c r="L766" t="s">
        <v>6026</v>
      </c>
    </row>
    <row r="767" spans="1:12" x14ac:dyDescent="0.35">
      <c r="A767" t="s">
        <v>111</v>
      </c>
      <c r="B767" t="s">
        <v>489</v>
      </c>
      <c r="C767" t="s">
        <v>800</v>
      </c>
      <c r="D767">
        <v>4.8300000000000003E-2</v>
      </c>
      <c r="F767" t="s">
        <v>5339</v>
      </c>
      <c r="H767" t="s">
        <v>3594</v>
      </c>
      <c r="I767" t="s">
        <v>4904</v>
      </c>
      <c r="K767" t="s">
        <v>6025</v>
      </c>
      <c r="L767" t="s">
        <v>6026</v>
      </c>
    </row>
    <row r="768" spans="1:12" x14ac:dyDescent="0.35">
      <c r="A768" t="s">
        <v>111</v>
      </c>
      <c r="B768" t="s">
        <v>489</v>
      </c>
      <c r="C768" t="s">
        <v>800</v>
      </c>
      <c r="D768">
        <v>4.1669999999999999E-2</v>
      </c>
      <c r="F768" t="s">
        <v>5340</v>
      </c>
      <c r="H768" t="s">
        <v>3593</v>
      </c>
      <c r="I768" t="s">
        <v>4904</v>
      </c>
      <c r="K768" t="s">
        <v>6025</v>
      </c>
      <c r="L768" t="s">
        <v>6026</v>
      </c>
    </row>
    <row r="769" spans="1:12" x14ac:dyDescent="0.35">
      <c r="A769" t="s">
        <v>111</v>
      </c>
      <c r="B769" t="s">
        <v>491</v>
      </c>
      <c r="C769" t="s">
        <v>843</v>
      </c>
      <c r="D769">
        <v>18</v>
      </c>
      <c r="F769" t="s">
        <v>1389</v>
      </c>
      <c r="H769" t="s">
        <v>3596</v>
      </c>
      <c r="I769" t="s">
        <v>4885</v>
      </c>
      <c r="K769" t="s">
        <v>6025</v>
      </c>
      <c r="L769" t="s">
        <v>6026</v>
      </c>
    </row>
    <row r="770" spans="1:12" x14ac:dyDescent="0.35">
      <c r="A770" t="s">
        <v>111</v>
      </c>
      <c r="B770" t="s">
        <v>491</v>
      </c>
      <c r="C770" t="s">
        <v>5054</v>
      </c>
      <c r="D770">
        <v>6</v>
      </c>
      <c r="F770" t="s">
        <v>1766</v>
      </c>
      <c r="H770" t="s">
        <v>3596</v>
      </c>
      <c r="I770" t="s">
        <v>4885</v>
      </c>
      <c r="K770" t="s">
        <v>6025</v>
      </c>
      <c r="L770" t="s">
        <v>6026</v>
      </c>
    </row>
    <row r="771" spans="1:12" x14ac:dyDescent="0.35">
      <c r="A771" t="s">
        <v>111</v>
      </c>
      <c r="B771" t="s">
        <v>491</v>
      </c>
      <c r="C771" t="s">
        <v>959</v>
      </c>
      <c r="D771">
        <v>5</v>
      </c>
      <c r="F771" t="s">
        <v>1477</v>
      </c>
      <c r="H771" t="s">
        <v>3596</v>
      </c>
      <c r="I771" t="s">
        <v>4885</v>
      </c>
      <c r="K771" t="s">
        <v>6025</v>
      </c>
      <c r="L771" t="s">
        <v>6026</v>
      </c>
    </row>
    <row r="772" spans="1:12" x14ac:dyDescent="0.35">
      <c r="A772" t="s">
        <v>111</v>
      </c>
      <c r="B772" t="s">
        <v>491</v>
      </c>
      <c r="C772" t="s">
        <v>1037</v>
      </c>
      <c r="D772">
        <v>5</v>
      </c>
      <c r="F772" t="s">
        <v>1477</v>
      </c>
      <c r="H772" t="s">
        <v>3596</v>
      </c>
      <c r="I772" t="s">
        <v>4885</v>
      </c>
      <c r="K772" t="s">
        <v>6025</v>
      </c>
      <c r="L772" t="s">
        <v>6026</v>
      </c>
    </row>
    <row r="773" spans="1:12" x14ac:dyDescent="0.35">
      <c r="A773" t="s">
        <v>111</v>
      </c>
      <c r="B773" t="s">
        <v>491</v>
      </c>
      <c r="C773" t="s">
        <v>844</v>
      </c>
      <c r="D773">
        <v>183</v>
      </c>
      <c r="F773" t="s">
        <v>5004</v>
      </c>
      <c r="H773" t="s">
        <v>3596</v>
      </c>
      <c r="I773" t="s">
        <v>4885</v>
      </c>
      <c r="K773" t="s">
        <v>6025</v>
      </c>
      <c r="L773" t="s">
        <v>6026</v>
      </c>
    </row>
    <row r="774" spans="1:12" x14ac:dyDescent="0.35">
      <c r="A774" t="s">
        <v>111</v>
      </c>
      <c r="B774" t="s">
        <v>491</v>
      </c>
      <c r="C774" t="s">
        <v>845</v>
      </c>
      <c r="D774">
        <v>149</v>
      </c>
      <c r="F774" t="s">
        <v>5023</v>
      </c>
      <c r="H774" t="s">
        <v>3596</v>
      </c>
      <c r="I774" t="s">
        <v>4885</v>
      </c>
      <c r="K774" t="s">
        <v>6025</v>
      </c>
      <c r="L774" t="s">
        <v>6026</v>
      </c>
    </row>
    <row r="775" spans="1:12" x14ac:dyDescent="0.35">
      <c r="A775" t="s">
        <v>111</v>
      </c>
      <c r="B775" t="s">
        <v>491</v>
      </c>
      <c r="C775" t="s">
        <v>847</v>
      </c>
      <c r="D775">
        <v>26</v>
      </c>
      <c r="F775" t="s">
        <v>1518</v>
      </c>
      <c r="H775" t="s">
        <v>3596</v>
      </c>
      <c r="I775" t="s">
        <v>4885</v>
      </c>
      <c r="K775" t="s">
        <v>6025</v>
      </c>
      <c r="L775" t="s">
        <v>6026</v>
      </c>
    </row>
    <row r="776" spans="1:12" x14ac:dyDescent="0.35">
      <c r="A776" t="s">
        <v>111</v>
      </c>
      <c r="B776" t="s">
        <v>491</v>
      </c>
      <c r="C776" t="s">
        <v>846</v>
      </c>
      <c r="D776">
        <v>86</v>
      </c>
      <c r="F776" t="s">
        <v>4892</v>
      </c>
      <c r="H776" t="s">
        <v>3596</v>
      </c>
      <c r="I776" t="s">
        <v>4885</v>
      </c>
      <c r="K776" t="s">
        <v>6025</v>
      </c>
      <c r="L776" t="s">
        <v>6026</v>
      </c>
    </row>
    <row r="777" spans="1:12" x14ac:dyDescent="0.35">
      <c r="A777" t="s">
        <v>111</v>
      </c>
      <c r="B777" t="s">
        <v>491</v>
      </c>
      <c r="C777" t="s">
        <v>848</v>
      </c>
      <c r="D777">
        <v>86</v>
      </c>
      <c r="F777" t="s">
        <v>4892</v>
      </c>
      <c r="H777" t="s">
        <v>3596</v>
      </c>
      <c r="I777" t="s">
        <v>4885</v>
      </c>
      <c r="K777" t="s">
        <v>6025</v>
      </c>
      <c r="L777" t="s">
        <v>6026</v>
      </c>
    </row>
    <row r="778" spans="1:12" x14ac:dyDescent="0.35">
      <c r="A778" t="s">
        <v>111</v>
      </c>
      <c r="B778" t="s">
        <v>491</v>
      </c>
      <c r="C778" t="s">
        <v>841</v>
      </c>
      <c r="D778">
        <v>106</v>
      </c>
      <c r="F778" t="s">
        <v>4918</v>
      </c>
      <c r="H778" t="s">
        <v>3596</v>
      </c>
      <c r="I778" t="s">
        <v>4885</v>
      </c>
      <c r="K778" t="s">
        <v>6025</v>
      </c>
      <c r="L778" t="s">
        <v>6026</v>
      </c>
    </row>
    <row r="779" spans="1:12" x14ac:dyDescent="0.35">
      <c r="A779" t="s">
        <v>111</v>
      </c>
      <c r="B779" t="s">
        <v>491</v>
      </c>
      <c r="C779" t="s">
        <v>838</v>
      </c>
      <c r="D779">
        <v>177</v>
      </c>
      <c r="F779" t="s">
        <v>4905</v>
      </c>
      <c r="H779" t="s">
        <v>3426</v>
      </c>
      <c r="I779" t="s">
        <v>4885</v>
      </c>
      <c r="K779" t="s">
        <v>6025</v>
      </c>
      <c r="L779" t="s">
        <v>6026</v>
      </c>
    </row>
    <row r="780" spans="1:12" x14ac:dyDescent="0.35">
      <c r="A780" t="s">
        <v>111</v>
      </c>
      <c r="B780" t="s">
        <v>491</v>
      </c>
      <c r="C780" t="s">
        <v>842</v>
      </c>
      <c r="D780">
        <v>80</v>
      </c>
      <c r="F780" t="s">
        <v>1705</v>
      </c>
      <c r="H780" t="s">
        <v>3596</v>
      </c>
      <c r="I780" t="s">
        <v>4885</v>
      </c>
      <c r="K780" t="s">
        <v>6025</v>
      </c>
      <c r="L780" t="s">
        <v>6026</v>
      </c>
    </row>
    <row r="781" spans="1:12" x14ac:dyDescent="0.35">
      <c r="A781" t="s">
        <v>111</v>
      </c>
      <c r="B781" t="s">
        <v>491</v>
      </c>
      <c r="C781" t="s">
        <v>720</v>
      </c>
      <c r="D781">
        <v>129</v>
      </c>
      <c r="F781" t="s">
        <v>4882</v>
      </c>
      <c r="H781" t="s">
        <v>3596</v>
      </c>
      <c r="I781" t="s">
        <v>4885</v>
      </c>
      <c r="K781" t="s">
        <v>6025</v>
      </c>
      <c r="L781" t="s">
        <v>6026</v>
      </c>
    </row>
    <row r="782" spans="1:12" x14ac:dyDescent="0.35">
      <c r="A782" t="s">
        <v>111</v>
      </c>
      <c r="B782" t="s">
        <v>491</v>
      </c>
      <c r="C782" t="s">
        <v>837</v>
      </c>
      <c r="D782">
        <v>129</v>
      </c>
      <c r="F782" t="s">
        <v>4882</v>
      </c>
      <c r="H782" t="s">
        <v>3596</v>
      </c>
      <c r="I782" t="s">
        <v>4885</v>
      </c>
      <c r="K782" t="s">
        <v>6025</v>
      </c>
      <c r="L782" t="s">
        <v>6026</v>
      </c>
    </row>
    <row r="783" spans="1:12" x14ac:dyDescent="0.35">
      <c r="A783" t="s">
        <v>111</v>
      </c>
      <c r="B783" t="s">
        <v>491</v>
      </c>
      <c r="C783" t="s">
        <v>840</v>
      </c>
      <c r="D783">
        <v>123</v>
      </c>
      <c r="F783" t="s">
        <v>5002</v>
      </c>
      <c r="H783" t="s">
        <v>2842</v>
      </c>
      <c r="I783" t="s">
        <v>4885</v>
      </c>
      <c r="K783" t="s">
        <v>6025</v>
      </c>
      <c r="L783" t="s">
        <v>6026</v>
      </c>
    </row>
    <row r="784" spans="1:12" x14ac:dyDescent="0.35">
      <c r="A784" t="s">
        <v>111</v>
      </c>
      <c r="B784" t="s">
        <v>491</v>
      </c>
      <c r="C784" t="s">
        <v>716</v>
      </c>
      <c r="D784">
        <v>243</v>
      </c>
      <c r="F784" t="s">
        <v>5341</v>
      </c>
      <c r="H784" t="s">
        <v>3596</v>
      </c>
      <c r="I784" t="s">
        <v>4885</v>
      </c>
      <c r="K784" t="s">
        <v>6025</v>
      </c>
      <c r="L784" t="s">
        <v>6026</v>
      </c>
    </row>
    <row r="785" spans="1:12" x14ac:dyDescent="0.35">
      <c r="A785" t="s">
        <v>111</v>
      </c>
      <c r="B785" t="s">
        <v>491</v>
      </c>
      <c r="C785" t="s">
        <v>839</v>
      </c>
      <c r="D785">
        <v>243</v>
      </c>
      <c r="F785" t="s">
        <v>5341</v>
      </c>
      <c r="H785" t="s">
        <v>3596</v>
      </c>
      <c r="I785" t="s">
        <v>4885</v>
      </c>
      <c r="K785" t="s">
        <v>6025</v>
      </c>
      <c r="L785" t="s">
        <v>6026</v>
      </c>
    </row>
    <row r="786" spans="1:12" x14ac:dyDescent="0.35">
      <c r="A786" t="s">
        <v>111</v>
      </c>
      <c r="B786" t="s">
        <v>491</v>
      </c>
      <c r="C786" t="s">
        <v>836</v>
      </c>
      <c r="D786">
        <v>609</v>
      </c>
      <c r="F786" t="s">
        <v>5342</v>
      </c>
      <c r="H786" t="s">
        <v>3596</v>
      </c>
      <c r="I786" t="s">
        <v>4885</v>
      </c>
      <c r="K786" t="s">
        <v>6025</v>
      </c>
      <c r="L786" t="s">
        <v>6026</v>
      </c>
    </row>
    <row r="787" spans="1:12" x14ac:dyDescent="0.35">
      <c r="A787" t="s">
        <v>111</v>
      </c>
      <c r="B787" t="s">
        <v>493</v>
      </c>
      <c r="C787" t="s">
        <v>708</v>
      </c>
      <c r="D787">
        <v>120</v>
      </c>
      <c r="F787" t="s">
        <v>2329</v>
      </c>
      <c r="H787" t="s">
        <v>3600</v>
      </c>
      <c r="I787" t="s">
        <v>4863</v>
      </c>
      <c r="K787" t="s">
        <v>6025</v>
      </c>
      <c r="L787" t="s">
        <v>6026</v>
      </c>
    </row>
    <row r="788" spans="1:12" x14ac:dyDescent="0.35">
      <c r="A788" t="s">
        <v>111</v>
      </c>
      <c r="B788" t="s">
        <v>493</v>
      </c>
      <c r="C788" t="s">
        <v>708</v>
      </c>
      <c r="D788">
        <v>64</v>
      </c>
      <c r="F788" t="s">
        <v>2393</v>
      </c>
      <c r="H788" t="s">
        <v>3601</v>
      </c>
      <c r="I788" t="s">
        <v>4863</v>
      </c>
      <c r="K788" t="s">
        <v>6025</v>
      </c>
      <c r="L788" t="s">
        <v>6026</v>
      </c>
    </row>
    <row r="789" spans="1:12" x14ac:dyDescent="0.35">
      <c r="A789" t="s">
        <v>111</v>
      </c>
      <c r="B789" t="s">
        <v>493</v>
      </c>
      <c r="C789" t="s">
        <v>720</v>
      </c>
      <c r="D789">
        <v>870</v>
      </c>
      <c r="F789" t="s">
        <v>1702</v>
      </c>
      <c r="H789" t="s">
        <v>3605</v>
      </c>
      <c r="I789" t="s">
        <v>4863</v>
      </c>
      <c r="K789" t="s">
        <v>6025</v>
      </c>
      <c r="L789" t="s">
        <v>6026</v>
      </c>
    </row>
    <row r="790" spans="1:12" x14ac:dyDescent="0.35">
      <c r="A790" t="s">
        <v>111</v>
      </c>
      <c r="B790" t="s">
        <v>175</v>
      </c>
      <c r="C790" t="s">
        <v>804</v>
      </c>
      <c r="D790">
        <v>0.55000000000000004</v>
      </c>
      <c r="F790" t="s">
        <v>1432</v>
      </c>
      <c r="H790" t="s">
        <v>3611</v>
      </c>
      <c r="I790" t="s">
        <v>2330</v>
      </c>
      <c r="K790" t="s">
        <v>6025</v>
      </c>
      <c r="L790" t="s">
        <v>6026</v>
      </c>
    </row>
    <row r="791" spans="1:12" x14ac:dyDescent="0.35">
      <c r="A791" t="s">
        <v>111</v>
      </c>
      <c r="B791" t="s">
        <v>175</v>
      </c>
      <c r="C791" t="s">
        <v>800</v>
      </c>
      <c r="D791">
        <v>0.3</v>
      </c>
      <c r="F791" t="s">
        <v>1401</v>
      </c>
      <c r="H791" t="s">
        <v>3621</v>
      </c>
      <c r="I791" t="s">
        <v>1571</v>
      </c>
      <c r="K791" t="s">
        <v>6025</v>
      </c>
      <c r="L791" t="s">
        <v>6026</v>
      </c>
    </row>
    <row r="792" spans="1:12" x14ac:dyDescent="0.35">
      <c r="A792" t="s">
        <v>111</v>
      </c>
      <c r="B792" t="s">
        <v>175</v>
      </c>
      <c r="C792" t="s">
        <v>829</v>
      </c>
      <c r="D792">
        <v>0.3</v>
      </c>
      <c r="F792" t="s">
        <v>1401</v>
      </c>
      <c r="H792" t="s">
        <v>3618</v>
      </c>
      <c r="I792" t="s">
        <v>2330</v>
      </c>
      <c r="K792" t="s">
        <v>6025</v>
      </c>
      <c r="L792" t="s">
        <v>6026</v>
      </c>
    </row>
    <row r="793" spans="1:12" x14ac:dyDescent="0.35">
      <c r="A793" t="s">
        <v>111</v>
      </c>
      <c r="B793" t="s">
        <v>175</v>
      </c>
      <c r="C793" t="s">
        <v>817</v>
      </c>
      <c r="D793">
        <v>0.3</v>
      </c>
      <c r="F793" t="s">
        <v>1401</v>
      </c>
      <c r="H793" t="s">
        <v>5806</v>
      </c>
      <c r="I793" t="s">
        <v>2330</v>
      </c>
      <c r="K793" t="s">
        <v>6025</v>
      </c>
      <c r="L793" t="s">
        <v>6026</v>
      </c>
    </row>
    <row r="794" spans="1:12" x14ac:dyDescent="0.35">
      <c r="A794" t="s">
        <v>111</v>
      </c>
      <c r="B794" t="s">
        <v>175</v>
      </c>
      <c r="C794" t="s">
        <v>829</v>
      </c>
      <c r="D794">
        <v>0.17</v>
      </c>
      <c r="F794" t="s">
        <v>1409</v>
      </c>
      <c r="H794" t="s">
        <v>5807</v>
      </c>
      <c r="I794" t="s">
        <v>2330</v>
      </c>
      <c r="K794" t="s">
        <v>6025</v>
      </c>
      <c r="L794" t="s">
        <v>6026</v>
      </c>
    </row>
    <row r="795" spans="1:12" x14ac:dyDescent="0.35">
      <c r="A795" t="s">
        <v>111</v>
      </c>
      <c r="B795" t="s">
        <v>175</v>
      </c>
      <c r="C795" t="s">
        <v>800</v>
      </c>
      <c r="D795">
        <v>0.19</v>
      </c>
      <c r="F795" t="s">
        <v>1538</v>
      </c>
      <c r="H795" t="s">
        <v>3627</v>
      </c>
      <c r="I795" t="s">
        <v>1571</v>
      </c>
      <c r="K795" t="s">
        <v>6025</v>
      </c>
      <c r="L795" t="s">
        <v>6026</v>
      </c>
    </row>
    <row r="796" spans="1:12" x14ac:dyDescent="0.35">
      <c r="A796" t="s">
        <v>111</v>
      </c>
      <c r="B796" t="s">
        <v>175</v>
      </c>
      <c r="C796" t="s">
        <v>873</v>
      </c>
      <c r="D796">
        <v>1</v>
      </c>
      <c r="F796" t="s">
        <v>1317</v>
      </c>
      <c r="H796" t="s">
        <v>3634</v>
      </c>
      <c r="I796" t="s">
        <v>2330</v>
      </c>
      <c r="K796" t="s">
        <v>6025</v>
      </c>
      <c r="L796" t="s">
        <v>6026</v>
      </c>
    </row>
    <row r="797" spans="1:12" x14ac:dyDescent="0.35">
      <c r="A797" t="s">
        <v>111</v>
      </c>
      <c r="B797" t="s">
        <v>175</v>
      </c>
      <c r="C797" t="s">
        <v>866</v>
      </c>
      <c r="D797">
        <v>0.21</v>
      </c>
      <c r="F797" t="s">
        <v>1572</v>
      </c>
      <c r="H797" t="s">
        <v>3621</v>
      </c>
      <c r="I797" t="s">
        <v>1571</v>
      </c>
      <c r="K797" t="s">
        <v>6025</v>
      </c>
      <c r="L797" t="s">
        <v>6026</v>
      </c>
    </row>
    <row r="798" spans="1:12" x14ac:dyDescent="0.35">
      <c r="A798" t="s">
        <v>111</v>
      </c>
      <c r="B798" t="s">
        <v>175</v>
      </c>
      <c r="C798" t="s">
        <v>720</v>
      </c>
      <c r="D798">
        <v>23.8</v>
      </c>
      <c r="F798" t="s">
        <v>1962</v>
      </c>
      <c r="H798" t="s">
        <v>3614</v>
      </c>
      <c r="I798" t="s">
        <v>4925</v>
      </c>
      <c r="K798" t="s">
        <v>6025</v>
      </c>
      <c r="L798" t="s">
        <v>6026</v>
      </c>
    </row>
    <row r="799" spans="1:12" x14ac:dyDescent="0.35">
      <c r="A799" t="s">
        <v>111</v>
      </c>
      <c r="B799" t="s">
        <v>175</v>
      </c>
      <c r="C799" t="s">
        <v>866</v>
      </c>
      <c r="D799">
        <v>0.15</v>
      </c>
      <c r="F799" t="s">
        <v>1269</v>
      </c>
      <c r="H799" t="s">
        <v>3627</v>
      </c>
      <c r="I799" t="s">
        <v>1571</v>
      </c>
      <c r="K799" t="s">
        <v>6025</v>
      </c>
      <c r="L799" t="s">
        <v>6026</v>
      </c>
    </row>
    <row r="800" spans="1:12" x14ac:dyDescent="0.35">
      <c r="A800" t="s">
        <v>111</v>
      </c>
      <c r="B800" t="s">
        <v>175</v>
      </c>
      <c r="C800" t="s">
        <v>868</v>
      </c>
      <c r="D800">
        <v>1.67</v>
      </c>
      <c r="F800" t="s">
        <v>1974</v>
      </c>
      <c r="H800" t="s">
        <v>3612</v>
      </c>
      <c r="I800" t="s">
        <v>2330</v>
      </c>
      <c r="K800" t="s">
        <v>6025</v>
      </c>
      <c r="L800" t="s">
        <v>6026</v>
      </c>
    </row>
    <row r="801" spans="1:12" x14ac:dyDescent="0.35">
      <c r="A801" t="s">
        <v>111</v>
      </c>
      <c r="B801" t="s">
        <v>175</v>
      </c>
      <c r="C801" t="s">
        <v>805</v>
      </c>
      <c r="D801">
        <v>1.27</v>
      </c>
      <c r="F801" t="s">
        <v>1364</v>
      </c>
      <c r="H801" t="s">
        <v>3612</v>
      </c>
      <c r="I801" t="s">
        <v>2330</v>
      </c>
      <c r="K801" t="s">
        <v>6025</v>
      </c>
      <c r="L801" t="s">
        <v>6026</v>
      </c>
    </row>
    <row r="802" spans="1:12" x14ac:dyDescent="0.35">
      <c r="A802" t="s">
        <v>111</v>
      </c>
      <c r="B802" t="s">
        <v>175</v>
      </c>
      <c r="C802" t="s">
        <v>800</v>
      </c>
      <c r="D802">
        <v>0.28000000000000003</v>
      </c>
      <c r="F802" t="s">
        <v>1732</v>
      </c>
      <c r="H802" t="s">
        <v>5808</v>
      </c>
      <c r="I802" t="s">
        <v>2330</v>
      </c>
      <c r="K802" t="s">
        <v>6025</v>
      </c>
      <c r="L802" t="s">
        <v>6026</v>
      </c>
    </row>
    <row r="803" spans="1:12" x14ac:dyDescent="0.35">
      <c r="A803" t="s">
        <v>111</v>
      </c>
      <c r="B803" t="s">
        <v>175</v>
      </c>
      <c r="C803" t="s">
        <v>804</v>
      </c>
      <c r="D803">
        <v>0.28000000000000003</v>
      </c>
      <c r="F803" t="s">
        <v>1732</v>
      </c>
      <c r="H803" t="s">
        <v>3625</v>
      </c>
      <c r="I803" t="s">
        <v>2330</v>
      </c>
      <c r="K803" t="s">
        <v>6025</v>
      </c>
      <c r="L803" t="s">
        <v>6026</v>
      </c>
    </row>
    <row r="804" spans="1:12" x14ac:dyDescent="0.35">
      <c r="A804" t="s">
        <v>111</v>
      </c>
      <c r="B804" t="s">
        <v>175</v>
      </c>
      <c r="C804" t="s">
        <v>868</v>
      </c>
      <c r="D804">
        <v>0.38</v>
      </c>
      <c r="F804" t="s">
        <v>1624</v>
      </c>
      <c r="H804" t="s">
        <v>3618</v>
      </c>
      <c r="I804" t="s">
        <v>2330</v>
      </c>
      <c r="K804" t="s">
        <v>6025</v>
      </c>
      <c r="L804" t="s">
        <v>6026</v>
      </c>
    </row>
    <row r="805" spans="1:12" x14ac:dyDescent="0.35">
      <c r="A805" t="s">
        <v>111</v>
      </c>
      <c r="B805" t="s">
        <v>175</v>
      </c>
      <c r="C805" t="s">
        <v>817</v>
      </c>
      <c r="D805">
        <v>1.2</v>
      </c>
      <c r="F805" t="s">
        <v>1421</v>
      </c>
      <c r="H805" t="s">
        <v>3613</v>
      </c>
      <c r="I805" t="s">
        <v>2330</v>
      </c>
      <c r="K805" t="s">
        <v>6025</v>
      </c>
      <c r="L805" t="s">
        <v>6026</v>
      </c>
    </row>
    <row r="806" spans="1:12" x14ac:dyDescent="0.35">
      <c r="A806" t="s">
        <v>111</v>
      </c>
      <c r="B806" t="s">
        <v>175</v>
      </c>
      <c r="C806" t="s">
        <v>800</v>
      </c>
      <c r="D806">
        <v>0.32</v>
      </c>
      <c r="F806" t="s">
        <v>1470</v>
      </c>
      <c r="H806" t="s">
        <v>5809</v>
      </c>
      <c r="I806" t="s">
        <v>2330</v>
      </c>
      <c r="K806" t="s">
        <v>6025</v>
      </c>
      <c r="L806" t="s">
        <v>6026</v>
      </c>
    </row>
    <row r="807" spans="1:12" x14ac:dyDescent="0.35">
      <c r="A807" t="s">
        <v>111</v>
      </c>
      <c r="B807" t="s">
        <v>175</v>
      </c>
      <c r="C807" t="s">
        <v>826</v>
      </c>
      <c r="D807">
        <v>0.32</v>
      </c>
      <c r="F807" t="s">
        <v>1470</v>
      </c>
      <c r="H807" t="s">
        <v>5806</v>
      </c>
      <c r="I807" t="s">
        <v>2330</v>
      </c>
      <c r="K807" t="s">
        <v>6025</v>
      </c>
      <c r="L807" t="s">
        <v>6026</v>
      </c>
    </row>
    <row r="808" spans="1:12" x14ac:dyDescent="0.35">
      <c r="A808" t="s">
        <v>111</v>
      </c>
      <c r="B808" t="s">
        <v>175</v>
      </c>
      <c r="C808" t="s">
        <v>800</v>
      </c>
      <c r="D808">
        <v>0.68</v>
      </c>
      <c r="F808" t="s">
        <v>1735</v>
      </c>
      <c r="H808" t="s">
        <v>3613</v>
      </c>
      <c r="I808" t="s">
        <v>2330</v>
      </c>
      <c r="K808" t="s">
        <v>6025</v>
      </c>
      <c r="L808" t="s">
        <v>6026</v>
      </c>
    </row>
    <row r="809" spans="1:12" x14ac:dyDescent="0.35">
      <c r="A809" t="s">
        <v>111</v>
      </c>
      <c r="B809" t="s">
        <v>175</v>
      </c>
      <c r="C809" t="s">
        <v>863</v>
      </c>
      <c r="D809">
        <v>6.7</v>
      </c>
      <c r="F809" t="s">
        <v>1520</v>
      </c>
      <c r="H809" t="s">
        <v>5806</v>
      </c>
      <c r="I809" t="s">
        <v>2330</v>
      </c>
      <c r="K809" t="s">
        <v>6025</v>
      </c>
      <c r="L809" t="s">
        <v>6026</v>
      </c>
    </row>
    <row r="810" spans="1:12" x14ac:dyDescent="0.35">
      <c r="A810" t="s">
        <v>111</v>
      </c>
      <c r="B810" t="s">
        <v>175</v>
      </c>
      <c r="C810" t="s">
        <v>864</v>
      </c>
      <c r="D810">
        <v>6.7</v>
      </c>
      <c r="F810" t="s">
        <v>1520</v>
      </c>
      <c r="H810" t="s">
        <v>3607</v>
      </c>
      <c r="I810" t="s">
        <v>2330</v>
      </c>
      <c r="K810" t="s">
        <v>6025</v>
      </c>
      <c r="L810" t="s">
        <v>6026</v>
      </c>
    </row>
    <row r="811" spans="1:12" x14ac:dyDescent="0.35">
      <c r="A811" t="s">
        <v>111</v>
      </c>
      <c r="B811" t="s">
        <v>175</v>
      </c>
      <c r="C811" t="s">
        <v>870</v>
      </c>
      <c r="D811">
        <v>30.5</v>
      </c>
      <c r="F811" t="s">
        <v>5272</v>
      </c>
      <c r="H811" t="s">
        <v>3614</v>
      </c>
      <c r="I811" t="s">
        <v>4925</v>
      </c>
      <c r="K811" t="s">
        <v>6025</v>
      </c>
      <c r="L811" t="s">
        <v>6026</v>
      </c>
    </row>
    <row r="812" spans="1:12" x14ac:dyDescent="0.35">
      <c r="A812" t="s">
        <v>111</v>
      </c>
      <c r="B812" t="s">
        <v>175</v>
      </c>
      <c r="C812" t="s">
        <v>866</v>
      </c>
      <c r="D812">
        <v>0.18</v>
      </c>
      <c r="F812" t="s">
        <v>1531</v>
      </c>
      <c r="H812" t="s">
        <v>3606</v>
      </c>
      <c r="I812" t="s">
        <v>1571</v>
      </c>
      <c r="K812" t="s">
        <v>6025</v>
      </c>
      <c r="L812" t="s">
        <v>6026</v>
      </c>
    </row>
    <row r="813" spans="1:12" x14ac:dyDescent="0.35">
      <c r="A813" t="s">
        <v>111</v>
      </c>
      <c r="B813" t="s">
        <v>175</v>
      </c>
      <c r="C813" t="s">
        <v>804</v>
      </c>
      <c r="D813">
        <v>0.25</v>
      </c>
      <c r="F813" t="s">
        <v>1403</v>
      </c>
      <c r="H813" t="s">
        <v>5806</v>
      </c>
      <c r="I813" t="s">
        <v>2330</v>
      </c>
      <c r="K813" t="s">
        <v>6025</v>
      </c>
      <c r="L813" t="s">
        <v>6026</v>
      </c>
    </row>
    <row r="814" spans="1:12" x14ac:dyDescent="0.35">
      <c r="A814" t="s">
        <v>111</v>
      </c>
      <c r="B814" t="s">
        <v>175</v>
      </c>
      <c r="C814" t="s">
        <v>817</v>
      </c>
      <c r="D814">
        <v>0.25</v>
      </c>
      <c r="F814" t="s">
        <v>1403</v>
      </c>
      <c r="H814" t="s">
        <v>3625</v>
      </c>
      <c r="I814" t="s">
        <v>2330</v>
      </c>
      <c r="K814" t="s">
        <v>6025</v>
      </c>
      <c r="L814" t="s">
        <v>6026</v>
      </c>
    </row>
    <row r="815" spans="1:12" x14ac:dyDescent="0.35">
      <c r="A815" t="s">
        <v>111</v>
      </c>
      <c r="B815" t="s">
        <v>175</v>
      </c>
      <c r="C815" t="s">
        <v>865</v>
      </c>
      <c r="D815">
        <v>66.7</v>
      </c>
      <c r="F815" t="s">
        <v>5343</v>
      </c>
      <c r="H815" t="s">
        <v>3615</v>
      </c>
      <c r="I815" t="s">
        <v>4926</v>
      </c>
      <c r="K815" t="s">
        <v>6025</v>
      </c>
      <c r="L815" t="s">
        <v>6026</v>
      </c>
    </row>
    <row r="816" spans="1:12" x14ac:dyDescent="0.35">
      <c r="A816" t="s">
        <v>111</v>
      </c>
      <c r="B816" t="s">
        <v>175</v>
      </c>
      <c r="C816" t="s">
        <v>826</v>
      </c>
      <c r="D816">
        <v>5.13</v>
      </c>
      <c r="F816" t="s">
        <v>5344</v>
      </c>
      <c r="H816" t="s">
        <v>3613</v>
      </c>
      <c r="I816" t="s">
        <v>2330</v>
      </c>
      <c r="K816" t="s">
        <v>6025</v>
      </c>
      <c r="L816" t="s">
        <v>6026</v>
      </c>
    </row>
    <row r="817" spans="1:12" x14ac:dyDescent="0.35">
      <c r="A817" t="s">
        <v>111</v>
      </c>
      <c r="B817" t="s">
        <v>175</v>
      </c>
      <c r="C817" t="s">
        <v>863</v>
      </c>
      <c r="D817">
        <v>5.25</v>
      </c>
      <c r="F817" t="s">
        <v>5345</v>
      </c>
      <c r="H817" t="s">
        <v>5810</v>
      </c>
      <c r="I817" t="s">
        <v>4854</v>
      </c>
      <c r="K817" t="s">
        <v>6025</v>
      </c>
      <c r="L817" t="s">
        <v>6026</v>
      </c>
    </row>
    <row r="818" spans="1:12" x14ac:dyDescent="0.35">
      <c r="A818" t="s">
        <v>111</v>
      </c>
      <c r="B818" t="s">
        <v>175</v>
      </c>
      <c r="C818" t="s">
        <v>805</v>
      </c>
      <c r="D818">
        <v>1.94</v>
      </c>
      <c r="F818" t="s">
        <v>1989</v>
      </c>
      <c r="H818" t="s">
        <v>3621</v>
      </c>
      <c r="I818" t="s">
        <v>1571</v>
      </c>
      <c r="K818" t="s">
        <v>6025</v>
      </c>
      <c r="L818" t="s">
        <v>6026</v>
      </c>
    </row>
    <row r="819" spans="1:12" x14ac:dyDescent="0.35">
      <c r="A819" t="s">
        <v>111</v>
      </c>
      <c r="B819" t="s">
        <v>175</v>
      </c>
      <c r="C819" t="s">
        <v>805</v>
      </c>
      <c r="D819">
        <v>1.19</v>
      </c>
      <c r="F819" t="s">
        <v>2480</v>
      </c>
      <c r="H819" t="s">
        <v>3627</v>
      </c>
      <c r="I819" t="s">
        <v>1571</v>
      </c>
      <c r="K819" t="s">
        <v>6025</v>
      </c>
      <c r="L819" t="s">
        <v>6026</v>
      </c>
    </row>
    <row r="820" spans="1:12" x14ac:dyDescent="0.35">
      <c r="A820" t="s">
        <v>111</v>
      </c>
      <c r="B820" t="s">
        <v>175</v>
      </c>
      <c r="C820" t="s">
        <v>826</v>
      </c>
      <c r="D820">
        <v>1.52</v>
      </c>
      <c r="F820" t="s">
        <v>5346</v>
      </c>
      <c r="H820" t="s">
        <v>3625</v>
      </c>
      <c r="I820" t="s">
        <v>2330</v>
      </c>
      <c r="K820" t="s">
        <v>6025</v>
      </c>
      <c r="L820" t="s">
        <v>6026</v>
      </c>
    </row>
    <row r="821" spans="1:12" x14ac:dyDescent="0.35">
      <c r="A821" t="s">
        <v>111</v>
      </c>
      <c r="B821" t="s">
        <v>175</v>
      </c>
      <c r="C821" t="s">
        <v>800</v>
      </c>
      <c r="D821">
        <v>0.33</v>
      </c>
      <c r="F821" t="s">
        <v>1397</v>
      </c>
      <c r="H821" t="s">
        <v>3606</v>
      </c>
      <c r="I821" t="s">
        <v>1571</v>
      </c>
      <c r="K821" t="s">
        <v>6025</v>
      </c>
      <c r="L821" t="s">
        <v>6026</v>
      </c>
    </row>
    <row r="822" spans="1:12" x14ac:dyDescent="0.35">
      <c r="A822" t="s">
        <v>111</v>
      </c>
      <c r="B822" t="s">
        <v>175</v>
      </c>
      <c r="C822" t="s">
        <v>805</v>
      </c>
      <c r="D822">
        <v>0.48</v>
      </c>
      <c r="F822" t="s">
        <v>1508</v>
      </c>
      <c r="H822" t="s">
        <v>3625</v>
      </c>
      <c r="I822" t="s">
        <v>2330</v>
      </c>
      <c r="K822" t="s">
        <v>6025</v>
      </c>
      <c r="L822" t="s">
        <v>6026</v>
      </c>
    </row>
    <row r="823" spans="1:12" x14ac:dyDescent="0.35">
      <c r="A823" t="s">
        <v>111</v>
      </c>
      <c r="B823" t="s">
        <v>175</v>
      </c>
      <c r="C823" t="s">
        <v>867</v>
      </c>
      <c r="D823">
        <v>2.62</v>
      </c>
      <c r="F823" t="s">
        <v>5347</v>
      </c>
      <c r="H823" t="s">
        <v>3617</v>
      </c>
      <c r="I823" t="s">
        <v>4854</v>
      </c>
      <c r="K823" t="s">
        <v>6025</v>
      </c>
      <c r="L823" t="s">
        <v>6026</v>
      </c>
    </row>
    <row r="824" spans="1:12" x14ac:dyDescent="0.35">
      <c r="A824" t="s">
        <v>111</v>
      </c>
      <c r="B824" t="s">
        <v>175</v>
      </c>
      <c r="C824" t="s">
        <v>871</v>
      </c>
      <c r="D824">
        <v>30.8</v>
      </c>
      <c r="F824" t="s">
        <v>5195</v>
      </c>
      <c r="H824" t="s">
        <v>3614</v>
      </c>
      <c r="I824" t="s">
        <v>4925</v>
      </c>
      <c r="K824" t="s">
        <v>6025</v>
      </c>
      <c r="L824" t="s">
        <v>6026</v>
      </c>
    </row>
    <row r="825" spans="1:12" x14ac:dyDescent="0.35">
      <c r="A825" t="s">
        <v>111</v>
      </c>
      <c r="B825" t="s">
        <v>175</v>
      </c>
      <c r="C825" t="s">
        <v>872</v>
      </c>
      <c r="D825">
        <v>30.8</v>
      </c>
      <c r="F825" t="s">
        <v>5195</v>
      </c>
      <c r="H825" t="s">
        <v>3615</v>
      </c>
      <c r="I825" t="s">
        <v>4926</v>
      </c>
      <c r="K825" t="s">
        <v>6025</v>
      </c>
      <c r="L825" t="s">
        <v>6026</v>
      </c>
    </row>
    <row r="826" spans="1:12" x14ac:dyDescent="0.35">
      <c r="A826" t="s">
        <v>111</v>
      </c>
      <c r="B826" t="s">
        <v>175</v>
      </c>
      <c r="C826" t="s">
        <v>863</v>
      </c>
      <c r="D826">
        <v>36.200000000000003</v>
      </c>
      <c r="F826" t="s">
        <v>5348</v>
      </c>
      <c r="H826" t="s">
        <v>3619</v>
      </c>
      <c r="I826" t="s">
        <v>4854</v>
      </c>
      <c r="K826" t="s">
        <v>6025</v>
      </c>
      <c r="L826" t="s">
        <v>6026</v>
      </c>
    </row>
    <row r="827" spans="1:12" x14ac:dyDescent="0.35">
      <c r="A827" t="s">
        <v>111</v>
      </c>
      <c r="B827" t="s">
        <v>175</v>
      </c>
      <c r="C827" t="s">
        <v>863</v>
      </c>
      <c r="D827">
        <v>3.57</v>
      </c>
      <c r="F827" t="s">
        <v>1935</v>
      </c>
      <c r="H827" t="s">
        <v>3610</v>
      </c>
      <c r="I827" t="s">
        <v>2330</v>
      </c>
      <c r="K827" t="s">
        <v>6025</v>
      </c>
      <c r="L827" t="s">
        <v>6026</v>
      </c>
    </row>
    <row r="828" spans="1:12" x14ac:dyDescent="0.35">
      <c r="A828" t="s">
        <v>111</v>
      </c>
      <c r="B828" t="s">
        <v>175</v>
      </c>
      <c r="C828" t="s">
        <v>867</v>
      </c>
      <c r="D828">
        <v>2.02</v>
      </c>
      <c r="F828" t="s">
        <v>5349</v>
      </c>
      <c r="H828" t="s">
        <v>3619</v>
      </c>
      <c r="I828" t="s">
        <v>4854</v>
      </c>
      <c r="K828" t="s">
        <v>6025</v>
      </c>
      <c r="L828" t="s">
        <v>6026</v>
      </c>
    </row>
    <row r="829" spans="1:12" x14ac:dyDescent="0.35">
      <c r="A829" t="s">
        <v>111</v>
      </c>
      <c r="B829" t="s">
        <v>175</v>
      </c>
      <c r="C829" t="s">
        <v>805</v>
      </c>
      <c r="D829">
        <v>2.02</v>
      </c>
      <c r="F829" t="s">
        <v>5349</v>
      </c>
      <c r="H829" t="s">
        <v>3606</v>
      </c>
      <c r="I829" t="s">
        <v>1571</v>
      </c>
      <c r="K829" t="s">
        <v>6025</v>
      </c>
      <c r="L829" t="s">
        <v>6026</v>
      </c>
    </row>
    <row r="830" spans="1:12" x14ac:dyDescent="0.35">
      <c r="A830" t="s">
        <v>111</v>
      </c>
      <c r="B830" t="s">
        <v>175</v>
      </c>
      <c r="C830" t="s">
        <v>873</v>
      </c>
      <c r="D830">
        <v>2.02</v>
      </c>
      <c r="F830" t="s">
        <v>5349</v>
      </c>
      <c r="H830" t="s">
        <v>3634</v>
      </c>
      <c r="I830" t="s">
        <v>2330</v>
      </c>
      <c r="K830" t="s">
        <v>6025</v>
      </c>
      <c r="L830" t="s">
        <v>6026</v>
      </c>
    </row>
    <row r="831" spans="1:12" x14ac:dyDescent="0.35">
      <c r="A831" t="s">
        <v>111</v>
      </c>
      <c r="B831" t="s">
        <v>175</v>
      </c>
      <c r="C831" t="s">
        <v>864</v>
      </c>
      <c r="D831">
        <v>3.47</v>
      </c>
      <c r="F831" t="s">
        <v>5350</v>
      </c>
      <c r="H831" t="s">
        <v>3611</v>
      </c>
      <c r="I831" t="s">
        <v>2330</v>
      </c>
      <c r="K831" t="s">
        <v>6025</v>
      </c>
      <c r="L831" t="s">
        <v>6026</v>
      </c>
    </row>
    <row r="832" spans="1:12" x14ac:dyDescent="0.35">
      <c r="A832" t="s">
        <v>111</v>
      </c>
      <c r="B832" t="s">
        <v>175</v>
      </c>
      <c r="C832" t="s">
        <v>866</v>
      </c>
      <c r="D832">
        <v>1.03E-2</v>
      </c>
      <c r="F832" t="s">
        <v>1815</v>
      </c>
      <c r="I832" t="s">
        <v>2334</v>
      </c>
      <c r="K832" t="s">
        <v>6025</v>
      </c>
      <c r="L832" t="s">
        <v>6026</v>
      </c>
    </row>
    <row r="833" spans="1:12" x14ac:dyDescent="0.35">
      <c r="A833" t="s">
        <v>111</v>
      </c>
      <c r="B833" t="s">
        <v>175</v>
      </c>
      <c r="C833" t="s">
        <v>863</v>
      </c>
      <c r="D833">
        <v>9.77</v>
      </c>
      <c r="F833" t="s">
        <v>5351</v>
      </c>
      <c r="H833" t="s">
        <v>3625</v>
      </c>
      <c r="I833" t="s">
        <v>2330</v>
      </c>
      <c r="K833" t="s">
        <v>6025</v>
      </c>
      <c r="L833" t="s">
        <v>6026</v>
      </c>
    </row>
    <row r="834" spans="1:12" x14ac:dyDescent="0.35">
      <c r="A834" t="s">
        <v>111</v>
      </c>
      <c r="B834" t="s">
        <v>175</v>
      </c>
      <c r="C834" t="s">
        <v>829</v>
      </c>
      <c r="D834">
        <v>9.77</v>
      </c>
      <c r="F834" t="s">
        <v>5351</v>
      </c>
      <c r="H834" t="s">
        <v>5811</v>
      </c>
      <c r="I834" t="s">
        <v>2330</v>
      </c>
      <c r="K834" t="s">
        <v>6025</v>
      </c>
      <c r="L834" t="s">
        <v>6026</v>
      </c>
    </row>
    <row r="835" spans="1:12" x14ac:dyDescent="0.35">
      <c r="A835" t="s">
        <v>111</v>
      </c>
      <c r="B835" t="s">
        <v>175</v>
      </c>
      <c r="C835" t="s">
        <v>869</v>
      </c>
      <c r="D835">
        <v>190.8</v>
      </c>
      <c r="F835" t="s">
        <v>5352</v>
      </c>
      <c r="H835" t="s">
        <v>3614</v>
      </c>
      <c r="I835" t="s">
        <v>4925</v>
      </c>
      <c r="K835" t="s">
        <v>6025</v>
      </c>
      <c r="L835" t="s">
        <v>6026</v>
      </c>
    </row>
    <row r="836" spans="1:12" x14ac:dyDescent="0.35">
      <c r="A836" t="s">
        <v>111</v>
      </c>
      <c r="B836" t="s">
        <v>175</v>
      </c>
      <c r="C836" t="s">
        <v>817</v>
      </c>
      <c r="D836">
        <v>1.2E-2</v>
      </c>
      <c r="F836" t="s">
        <v>1280</v>
      </c>
      <c r="H836" t="s">
        <v>3636</v>
      </c>
      <c r="I836" t="s">
        <v>4927</v>
      </c>
      <c r="K836" t="s">
        <v>6025</v>
      </c>
      <c r="L836" t="s">
        <v>6026</v>
      </c>
    </row>
    <row r="837" spans="1:12" x14ac:dyDescent="0.35">
      <c r="A837" t="s">
        <v>111</v>
      </c>
      <c r="B837" t="s">
        <v>175</v>
      </c>
      <c r="C837" t="s">
        <v>867</v>
      </c>
      <c r="D837">
        <v>5.05</v>
      </c>
      <c r="F837" t="s">
        <v>5353</v>
      </c>
      <c r="H837" t="s">
        <v>3648</v>
      </c>
      <c r="I837" t="s">
        <v>4854</v>
      </c>
      <c r="K837" t="s">
        <v>6025</v>
      </c>
      <c r="L837" t="s">
        <v>6026</v>
      </c>
    </row>
    <row r="838" spans="1:12" x14ac:dyDescent="0.35">
      <c r="A838" t="s">
        <v>111</v>
      </c>
      <c r="B838" t="s">
        <v>175</v>
      </c>
      <c r="C838" t="s">
        <v>835</v>
      </c>
      <c r="D838">
        <v>9.7999999999999997E-3</v>
      </c>
      <c r="F838" t="s">
        <v>5354</v>
      </c>
      <c r="H838" t="s">
        <v>3636</v>
      </c>
      <c r="I838" t="s">
        <v>4927</v>
      </c>
      <c r="K838" t="s">
        <v>6025</v>
      </c>
      <c r="L838" t="s">
        <v>6026</v>
      </c>
    </row>
    <row r="839" spans="1:12" x14ac:dyDescent="0.35">
      <c r="A839" t="s">
        <v>111</v>
      </c>
      <c r="B839" t="s">
        <v>175</v>
      </c>
      <c r="C839" t="s">
        <v>867</v>
      </c>
      <c r="D839">
        <v>10.83</v>
      </c>
      <c r="F839" t="s">
        <v>5355</v>
      </c>
      <c r="H839" t="s">
        <v>3641</v>
      </c>
      <c r="I839" t="s">
        <v>4854</v>
      </c>
      <c r="K839" t="s">
        <v>6025</v>
      </c>
      <c r="L839" t="s">
        <v>6026</v>
      </c>
    </row>
    <row r="840" spans="1:12" x14ac:dyDescent="0.35">
      <c r="A840" t="s">
        <v>111</v>
      </c>
      <c r="B840" t="s">
        <v>175</v>
      </c>
      <c r="C840" t="s">
        <v>800</v>
      </c>
      <c r="D840">
        <v>9.1999999999999998E-3</v>
      </c>
      <c r="F840" t="s">
        <v>1854</v>
      </c>
      <c r="H840" t="s">
        <v>3636</v>
      </c>
      <c r="I840" t="s">
        <v>4927</v>
      </c>
      <c r="K840" t="s">
        <v>6025</v>
      </c>
      <c r="L840" t="s">
        <v>6026</v>
      </c>
    </row>
    <row r="841" spans="1:12" x14ac:dyDescent="0.35">
      <c r="A841" t="s">
        <v>111</v>
      </c>
      <c r="B841" t="s">
        <v>175</v>
      </c>
      <c r="C841" t="s">
        <v>867</v>
      </c>
      <c r="D841">
        <v>20.45</v>
      </c>
      <c r="F841" t="s">
        <v>2445</v>
      </c>
      <c r="H841" t="s">
        <v>3646</v>
      </c>
      <c r="I841" t="s">
        <v>4854</v>
      </c>
      <c r="K841" t="s">
        <v>6025</v>
      </c>
      <c r="L841" t="s">
        <v>6026</v>
      </c>
    </row>
    <row r="842" spans="1:12" x14ac:dyDescent="0.35">
      <c r="A842" t="s">
        <v>111</v>
      </c>
      <c r="B842" t="s">
        <v>494</v>
      </c>
      <c r="C842" t="s">
        <v>874</v>
      </c>
      <c r="D842">
        <v>2.3199999999999998</v>
      </c>
      <c r="F842" t="s">
        <v>5356</v>
      </c>
      <c r="H842" t="s">
        <v>3669</v>
      </c>
      <c r="I842" t="s">
        <v>1752</v>
      </c>
      <c r="K842" t="s">
        <v>6025</v>
      </c>
      <c r="L842" t="s">
        <v>6026</v>
      </c>
    </row>
    <row r="843" spans="1:12" x14ac:dyDescent="0.35">
      <c r="A843" t="s">
        <v>111</v>
      </c>
      <c r="B843" t="s">
        <v>494</v>
      </c>
      <c r="C843" t="s">
        <v>874</v>
      </c>
      <c r="D843">
        <v>1.95</v>
      </c>
      <c r="F843" t="s">
        <v>1525</v>
      </c>
      <c r="H843" t="s">
        <v>3668</v>
      </c>
      <c r="I843" t="s">
        <v>1752</v>
      </c>
      <c r="K843" t="s">
        <v>6025</v>
      </c>
      <c r="L843" t="s">
        <v>6026</v>
      </c>
    </row>
    <row r="844" spans="1:12" x14ac:dyDescent="0.35">
      <c r="A844" t="s">
        <v>111</v>
      </c>
      <c r="B844" t="s">
        <v>494</v>
      </c>
      <c r="C844" t="s">
        <v>708</v>
      </c>
      <c r="D844">
        <v>1.1299999999999999</v>
      </c>
      <c r="F844" t="s">
        <v>2013</v>
      </c>
      <c r="H844" t="s">
        <v>3663</v>
      </c>
      <c r="I844" t="s">
        <v>4919</v>
      </c>
      <c r="K844" t="s">
        <v>6025</v>
      </c>
      <c r="L844" t="s">
        <v>6026</v>
      </c>
    </row>
    <row r="845" spans="1:12" x14ac:dyDescent="0.35">
      <c r="A845" t="s">
        <v>111</v>
      </c>
      <c r="B845" t="s">
        <v>494</v>
      </c>
      <c r="C845" t="s">
        <v>874</v>
      </c>
      <c r="D845">
        <v>1.1299999999999999</v>
      </c>
      <c r="F845" t="s">
        <v>2013</v>
      </c>
      <c r="H845" t="s">
        <v>3676</v>
      </c>
      <c r="I845" t="s">
        <v>1705</v>
      </c>
      <c r="K845" t="s">
        <v>6025</v>
      </c>
      <c r="L845" t="s">
        <v>6026</v>
      </c>
    </row>
    <row r="846" spans="1:12" x14ac:dyDescent="0.35">
      <c r="A846" t="s">
        <v>111</v>
      </c>
      <c r="B846" t="s">
        <v>494</v>
      </c>
      <c r="C846" t="s">
        <v>720</v>
      </c>
      <c r="D846">
        <v>1.48</v>
      </c>
      <c r="F846" t="s">
        <v>1365</v>
      </c>
      <c r="H846" t="s">
        <v>3654</v>
      </c>
      <c r="I846" t="s">
        <v>4919</v>
      </c>
      <c r="K846" t="s">
        <v>6025</v>
      </c>
      <c r="L846" t="s">
        <v>6026</v>
      </c>
    </row>
    <row r="847" spans="1:12" x14ac:dyDescent="0.35">
      <c r="A847" t="s">
        <v>111</v>
      </c>
      <c r="B847" t="s">
        <v>494</v>
      </c>
      <c r="C847" t="s">
        <v>874</v>
      </c>
      <c r="D847">
        <v>1.48</v>
      </c>
      <c r="F847" t="s">
        <v>1365</v>
      </c>
      <c r="H847" t="s">
        <v>3655</v>
      </c>
      <c r="I847" t="s">
        <v>1752</v>
      </c>
      <c r="K847" t="s">
        <v>6025</v>
      </c>
      <c r="L847" t="s">
        <v>6026</v>
      </c>
    </row>
    <row r="848" spans="1:12" x14ac:dyDescent="0.35">
      <c r="A848" t="s">
        <v>111</v>
      </c>
      <c r="B848" t="s">
        <v>494</v>
      </c>
      <c r="C848" t="s">
        <v>874</v>
      </c>
      <c r="D848">
        <v>6.58</v>
      </c>
      <c r="F848" t="s">
        <v>5357</v>
      </c>
      <c r="H848" t="s">
        <v>3665</v>
      </c>
      <c r="I848" t="s">
        <v>1752</v>
      </c>
      <c r="K848" t="s">
        <v>6025</v>
      </c>
      <c r="L848" t="s">
        <v>6026</v>
      </c>
    </row>
    <row r="849" spans="1:12" x14ac:dyDescent="0.35">
      <c r="A849" t="s">
        <v>111</v>
      </c>
      <c r="B849" t="s">
        <v>494</v>
      </c>
      <c r="C849" t="s">
        <v>720</v>
      </c>
      <c r="D849">
        <v>1.21</v>
      </c>
      <c r="F849" t="s">
        <v>1938</v>
      </c>
      <c r="H849" t="s">
        <v>3660</v>
      </c>
      <c r="I849" t="s">
        <v>4919</v>
      </c>
      <c r="K849" t="s">
        <v>6025</v>
      </c>
      <c r="L849" t="s">
        <v>6026</v>
      </c>
    </row>
    <row r="850" spans="1:12" x14ac:dyDescent="0.35">
      <c r="A850" t="s">
        <v>111</v>
      </c>
      <c r="B850" t="s">
        <v>494</v>
      </c>
      <c r="C850" t="s">
        <v>874</v>
      </c>
      <c r="D850">
        <v>1.21</v>
      </c>
      <c r="F850" t="s">
        <v>1938</v>
      </c>
      <c r="H850" t="s">
        <v>3677</v>
      </c>
      <c r="I850" t="s">
        <v>1752</v>
      </c>
      <c r="K850" t="s">
        <v>6025</v>
      </c>
      <c r="L850" t="s">
        <v>6026</v>
      </c>
    </row>
    <row r="851" spans="1:12" x14ac:dyDescent="0.35">
      <c r="A851" t="s">
        <v>111</v>
      </c>
      <c r="B851" t="s">
        <v>494</v>
      </c>
      <c r="C851" t="s">
        <v>874</v>
      </c>
      <c r="D851">
        <v>2.23</v>
      </c>
      <c r="F851" t="s">
        <v>5358</v>
      </c>
      <c r="H851" t="s">
        <v>3673</v>
      </c>
      <c r="I851" t="s">
        <v>1752</v>
      </c>
      <c r="K851" t="s">
        <v>6025</v>
      </c>
      <c r="L851" t="s">
        <v>6026</v>
      </c>
    </row>
    <row r="852" spans="1:12" x14ac:dyDescent="0.35">
      <c r="A852" t="s">
        <v>111</v>
      </c>
      <c r="B852" t="s">
        <v>494</v>
      </c>
      <c r="C852" t="s">
        <v>708</v>
      </c>
      <c r="D852">
        <v>1.22</v>
      </c>
      <c r="F852" t="s">
        <v>1959</v>
      </c>
      <c r="H852" t="s">
        <v>3656</v>
      </c>
      <c r="I852" t="s">
        <v>4919</v>
      </c>
      <c r="K852" t="s">
        <v>6025</v>
      </c>
      <c r="L852" t="s">
        <v>6026</v>
      </c>
    </row>
    <row r="853" spans="1:12" x14ac:dyDescent="0.35">
      <c r="A853" t="s">
        <v>111</v>
      </c>
      <c r="B853" t="s">
        <v>494</v>
      </c>
      <c r="C853" t="s">
        <v>874</v>
      </c>
      <c r="D853">
        <v>1.22</v>
      </c>
      <c r="F853" t="s">
        <v>1959</v>
      </c>
      <c r="H853" t="s">
        <v>3674</v>
      </c>
      <c r="I853" t="s">
        <v>1705</v>
      </c>
      <c r="K853" t="s">
        <v>6025</v>
      </c>
      <c r="L853" t="s">
        <v>6026</v>
      </c>
    </row>
    <row r="854" spans="1:12" x14ac:dyDescent="0.35">
      <c r="A854" t="s">
        <v>111</v>
      </c>
      <c r="B854" t="s">
        <v>494</v>
      </c>
      <c r="C854" t="s">
        <v>874</v>
      </c>
      <c r="D854">
        <v>2.35</v>
      </c>
      <c r="F854" t="s">
        <v>2482</v>
      </c>
      <c r="H854" t="s">
        <v>3653</v>
      </c>
      <c r="I854" t="s">
        <v>1752</v>
      </c>
      <c r="K854" t="s">
        <v>6025</v>
      </c>
      <c r="L854" t="s">
        <v>6026</v>
      </c>
    </row>
    <row r="855" spans="1:12" x14ac:dyDescent="0.35">
      <c r="A855" t="s">
        <v>111</v>
      </c>
      <c r="B855" t="s">
        <v>494</v>
      </c>
      <c r="C855" t="s">
        <v>874</v>
      </c>
      <c r="D855">
        <v>6.63</v>
      </c>
      <c r="F855" t="s">
        <v>5359</v>
      </c>
      <c r="H855" t="s">
        <v>3672</v>
      </c>
      <c r="I855" t="s">
        <v>1752</v>
      </c>
      <c r="K855" t="s">
        <v>6025</v>
      </c>
      <c r="L855" t="s">
        <v>6026</v>
      </c>
    </row>
    <row r="856" spans="1:12" x14ac:dyDescent="0.35">
      <c r="A856" t="s">
        <v>111</v>
      </c>
      <c r="B856" t="s">
        <v>494</v>
      </c>
      <c r="C856" t="s">
        <v>720</v>
      </c>
      <c r="D856">
        <v>1.39</v>
      </c>
      <c r="F856" t="s">
        <v>2294</v>
      </c>
      <c r="H856" t="s">
        <v>3658</v>
      </c>
      <c r="I856" t="s">
        <v>4919</v>
      </c>
      <c r="K856" t="s">
        <v>6025</v>
      </c>
      <c r="L856" t="s">
        <v>6026</v>
      </c>
    </row>
    <row r="857" spans="1:12" x14ac:dyDescent="0.35">
      <c r="A857" t="s">
        <v>111</v>
      </c>
      <c r="B857" t="s">
        <v>494</v>
      </c>
      <c r="C857" t="s">
        <v>874</v>
      </c>
      <c r="D857">
        <v>1.39</v>
      </c>
      <c r="F857" t="s">
        <v>2294</v>
      </c>
      <c r="H857" t="s">
        <v>3659</v>
      </c>
      <c r="I857" t="s">
        <v>1705</v>
      </c>
      <c r="K857" t="s">
        <v>6025</v>
      </c>
      <c r="L857" t="s">
        <v>6026</v>
      </c>
    </row>
    <row r="858" spans="1:12" x14ac:dyDescent="0.35">
      <c r="A858" t="s">
        <v>111</v>
      </c>
      <c r="B858" t="s">
        <v>494</v>
      </c>
      <c r="C858" t="s">
        <v>874</v>
      </c>
      <c r="D858">
        <v>1.72</v>
      </c>
      <c r="F858" t="s">
        <v>5360</v>
      </c>
      <c r="H858" t="s">
        <v>3671</v>
      </c>
      <c r="I858" t="s">
        <v>1752</v>
      </c>
      <c r="K858" t="s">
        <v>6025</v>
      </c>
      <c r="L858" t="s">
        <v>6026</v>
      </c>
    </row>
    <row r="859" spans="1:12" x14ac:dyDescent="0.35">
      <c r="A859" t="s">
        <v>111</v>
      </c>
      <c r="B859" t="s">
        <v>494</v>
      </c>
      <c r="C859" t="s">
        <v>708</v>
      </c>
      <c r="D859">
        <v>1.24</v>
      </c>
      <c r="F859" t="s">
        <v>2008</v>
      </c>
      <c r="H859" t="s">
        <v>3658</v>
      </c>
      <c r="I859" t="s">
        <v>4919</v>
      </c>
      <c r="K859" t="s">
        <v>6025</v>
      </c>
      <c r="L859" t="s">
        <v>6026</v>
      </c>
    </row>
    <row r="860" spans="1:12" x14ac:dyDescent="0.35">
      <c r="A860" t="s">
        <v>111</v>
      </c>
      <c r="B860" t="s">
        <v>494</v>
      </c>
      <c r="C860" t="s">
        <v>874</v>
      </c>
      <c r="D860">
        <v>1.24</v>
      </c>
      <c r="F860" t="s">
        <v>2008</v>
      </c>
      <c r="H860" t="s">
        <v>3675</v>
      </c>
      <c r="I860" t="s">
        <v>1705</v>
      </c>
      <c r="K860" t="s">
        <v>6025</v>
      </c>
      <c r="L860" t="s">
        <v>6026</v>
      </c>
    </row>
    <row r="861" spans="1:12" x14ac:dyDescent="0.35">
      <c r="A861" t="s">
        <v>111</v>
      </c>
      <c r="B861" t="s">
        <v>494</v>
      </c>
      <c r="C861" t="s">
        <v>708</v>
      </c>
      <c r="D861">
        <v>1.32</v>
      </c>
      <c r="F861" t="s">
        <v>5361</v>
      </c>
      <c r="H861" t="s">
        <v>3654</v>
      </c>
      <c r="I861" t="s">
        <v>4919</v>
      </c>
      <c r="K861" t="s">
        <v>6025</v>
      </c>
      <c r="L861" t="s">
        <v>6026</v>
      </c>
    </row>
    <row r="862" spans="1:12" x14ac:dyDescent="0.35">
      <c r="A862" t="s">
        <v>111</v>
      </c>
      <c r="B862" t="s">
        <v>494</v>
      </c>
      <c r="C862" t="s">
        <v>874</v>
      </c>
      <c r="D862">
        <v>1.32</v>
      </c>
      <c r="F862" t="s">
        <v>5361</v>
      </c>
      <c r="H862" t="s">
        <v>3662</v>
      </c>
      <c r="I862" t="s">
        <v>1752</v>
      </c>
      <c r="K862" t="s">
        <v>6025</v>
      </c>
      <c r="L862" t="s">
        <v>6026</v>
      </c>
    </row>
    <row r="863" spans="1:12" x14ac:dyDescent="0.35">
      <c r="A863" t="s">
        <v>111</v>
      </c>
      <c r="B863" t="s">
        <v>494</v>
      </c>
      <c r="C863" t="s">
        <v>720</v>
      </c>
      <c r="D863">
        <v>1.36</v>
      </c>
      <c r="F863" t="s">
        <v>5362</v>
      </c>
      <c r="H863" t="s">
        <v>3663</v>
      </c>
      <c r="I863" t="s">
        <v>4919</v>
      </c>
      <c r="K863" t="s">
        <v>6025</v>
      </c>
      <c r="L863" t="s">
        <v>6026</v>
      </c>
    </row>
    <row r="864" spans="1:12" x14ac:dyDescent="0.35">
      <c r="A864" t="s">
        <v>111</v>
      </c>
      <c r="B864" t="s">
        <v>494</v>
      </c>
      <c r="C864" t="s">
        <v>874</v>
      </c>
      <c r="D864">
        <v>1.36</v>
      </c>
      <c r="F864" t="s">
        <v>5362</v>
      </c>
      <c r="H864" t="s">
        <v>3664</v>
      </c>
      <c r="I864" t="s">
        <v>1705</v>
      </c>
      <c r="K864" t="s">
        <v>6025</v>
      </c>
      <c r="L864" t="s">
        <v>6026</v>
      </c>
    </row>
    <row r="865" spans="1:12" x14ac:dyDescent="0.35">
      <c r="A865" t="s">
        <v>111</v>
      </c>
      <c r="B865" t="s">
        <v>494</v>
      </c>
      <c r="C865" t="s">
        <v>708</v>
      </c>
      <c r="D865">
        <v>1.26</v>
      </c>
      <c r="F865" t="s">
        <v>2020</v>
      </c>
      <c r="H865" t="s">
        <v>3660</v>
      </c>
      <c r="I865" t="s">
        <v>4919</v>
      </c>
      <c r="K865" t="s">
        <v>6025</v>
      </c>
      <c r="L865" t="s">
        <v>6026</v>
      </c>
    </row>
    <row r="866" spans="1:12" x14ac:dyDescent="0.35">
      <c r="A866" t="s">
        <v>111</v>
      </c>
      <c r="B866" t="s">
        <v>494</v>
      </c>
      <c r="C866" t="s">
        <v>874</v>
      </c>
      <c r="D866">
        <v>1.26</v>
      </c>
      <c r="F866" t="s">
        <v>2020</v>
      </c>
      <c r="H866" t="s">
        <v>3661</v>
      </c>
      <c r="I866" t="s">
        <v>1752</v>
      </c>
      <c r="K866" t="s">
        <v>6025</v>
      </c>
      <c r="L866" t="s">
        <v>6026</v>
      </c>
    </row>
    <row r="867" spans="1:12" x14ac:dyDescent="0.35">
      <c r="A867" t="s">
        <v>111</v>
      </c>
      <c r="B867" t="s">
        <v>494</v>
      </c>
      <c r="C867" t="s">
        <v>720</v>
      </c>
      <c r="D867">
        <v>1.34</v>
      </c>
      <c r="F867" t="s">
        <v>1355</v>
      </c>
      <c r="H867" t="s">
        <v>3656</v>
      </c>
      <c r="I867" t="s">
        <v>4919</v>
      </c>
      <c r="K867" t="s">
        <v>6025</v>
      </c>
      <c r="L867" t="s">
        <v>6026</v>
      </c>
    </row>
    <row r="868" spans="1:12" x14ac:dyDescent="0.35">
      <c r="A868" t="s">
        <v>111</v>
      </c>
      <c r="B868" t="s">
        <v>494</v>
      </c>
      <c r="C868" t="s">
        <v>874</v>
      </c>
      <c r="D868">
        <v>1.34</v>
      </c>
      <c r="F868" t="s">
        <v>1355</v>
      </c>
      <c r="H868" t="s">
        <v>3657</v>
      </c>
      <c r="I868" t="s">
        <v>1705</v>
      </c>
      <c r="K868" t="s">
        <v>6025</v>
      </c>
      <c r="L868" t="s">
        <v>6026</v>
      </c>
    </row>
    <row r="869" spans="1:12" x14ac:dyDescent="0.35">
      <c r="A869" t="s">
        <v>111</v>
      </c>
      <c r="B869" t="s">
        <v>494</v>
      </c>
      <c r="C869" t="s">
        <v>874</v>
      </c>
      <c r="D869">
        <v>6.37</v>
      </c>
      <c r="F869" t="s">
        <v>5363</v>
      </c>
      <c r="H869" t="s">
        <v>3670</v>
      </c>
      <c r="I869" t="s">
        <v>1752</v>
      </c>
      <c r="K869" t="s">
        <v>6025</v>
      </c>
      <c r="L869" t="s">
        <v>6026</v>
      </c>
    </row>
    <row r="870" spans="1:12" x14ac:dyDescent="0.35">
      <c r="A870" t="s">
        <v>111</v>
      </c>
      <c r="B870" t="s">
        <v>494</v>
      </c>
      <c r="C870" t="s">
        <v>874</v>
      </c>
      <c r="D870">
        <v>6.76</v>
      </c>
      <c r="F870" t="s">
        <v>2599</v>
      </c>
      <c r="H870" t="s">
        <v>3667</v>
      </c>
      <c r="I870" t="s">
        <v>1752</v>
      </c>
      <c r="K870" t="s">
        <v>6025</v>
      </c>
      <c r="L870" t="s">
        <v>6026</v>
      </c>
    </row>
    <row r="871" spans="1:12" x14ac:dyDescent="0.35">
      <c r="A871" t="s">
        <v>111</v>
      </c>
      <c r="B871" t="s">
        <v>494</v>
      </c>
      <c r="C871" t="s">
        <v>874</v>
      </c>
      <c r="D871">
        <v>6.54</v>
      </c>
      <c r="F871" t="s">
        <v>5364</v>
      </c>
      <c r="H871" t="s">
        <v>3666</v>
      </c>
      <c r="I871" t="s">
        <v>1752</v>
      </c>
      <c r="K871" t="s">
        <v>6025</v>
      </c>
      <c r="L871" t="s">
        <v>6026</v>
      </c>
    </row>
    <row r="872" spans="1:12" x14ac:dyDescent="0.35">
      <c r="A872" t="s">
        <v>111</v>
      </c>
      <c r="B872" t="s">
        <v>179</v>
      </c>
      <c r="C872" t="s">
        <v>817</v>
      </c>
      <c r="D872">
        <v>0.183</v>
      </c>
      <c r="F872" t="s">
        <v>2629</v>
      </c>
      <c r="H872" t="s">
        <v>3679</v>
      </c>
      <c r="I872" t="s">
        <v>4904</v>
      </c>
      <c r="K872" t="s">
        <v>6025</v>
      </c>
      <c r="L872" t="s">
        <v>6026</v>
      </c>
    </row>
    <row r="873" spans="1:12" x14ac:dyDescent="0.35">
      <c r="A873" t="s">
        <v>111</v>
      </c>
      <c r="B873" t="s">
        <v>179</v>
      </c>
      <c r="C873" t="s">
        <v>817</v>
      </c>
      <c r="D873">
        <v>0.23</v>
      </c>
      <c r="F873" t="s">
        <v>1362</v>
      </c>
      <c r="H873" t="s">
        <v>3678</v>
      </c>
      <c r="I873" t="s">
        <v>4904</v>
      </c>
      <c r="K873" t="s">
        <v>6025</v>
      </c>
      <c r="L873" t="s">
        <v>6026</v>
      </c>
    </row>
    <row r="874" spans="1:12" x14ac:dyDescent="0.35">
      <c r="A874" t="s">
        <v>111</v>
      </c>
      <c r="B874" t="s">
        <v>489</v>
      </c>
      <c r="C874" t="s">
        <v>835</v>
      </c>
      <c r="D874">
        <v>0.3</v>
      </c>
      <c r="F874" t="s">
        <v>1401</v>
      </c>
      <c r="H874" t="s">
        <v>3683</v>
      </c>
      <c r="I874" t="s">
        <v>2323</v>
      </c>
      <c r="K874" t="s">
        <v>6025</v>
      </c>
      <c r="L874" t="s">
        <v>6026</v>
      </c>
    </row>
    <row r="875" spans="1:12" x14ac:dyDescent="0.35">
      <c r="A875" t="s">
        <v>111</v>
      </c>
      <c r="B875" t="s">
        <v>489</v>
      </c>
      <c r="C875" t="s">
        <v>817</v>
      </c>
      <c r="D875">
        <v>1.03</v>
      </c>
      <c r="F875" t="s">
        <v>1850</v>
      </c>
      <c r="H875" t="s">
        <v>5812</v>
      </c>
      <c r="I875" t="s">
        <v>2323</v>
      </c>
      <c r="K875" t="s">
        <v>6025</v>
      </c>
      <c r="L875" t="s">
        <v>6026</v>
      </c>
    </row>
    <row r="876" spans="1:12" x14ac:dyDescent="0.35">
      <c r="A876" t="s">
        <v>111</v>
      </c>
      <c r="B876" t="s">
        <v>489</v>
      </c>
      <c r="C876" t="s">
        <v>829</v>
      </c>
      <c r="D876">
        <v>0.58299999999999996</v>
      </c>
      <c r="F876" t="s">
        <v>5365</v>
      </c>
      <c r="H876" t="s">
        <v>3682</v>
      </c>
      <c r="I876" t="s">
        <v>2323</v>
      </c>
      <c r="K876" t="s">
        <v>6025</v>
      </c>
      <c r="L876" t="s">
        <v>6026</v>
      </c>
    </row>
    <row r="877" spans="1:12" x14ac:dyDescent="0.35">
      <c r="A877" t="s">
        <v>111</v>
      </c>
      <c r="B877" t="s">
        <v>489</v>
      </c>
      <c r="C877" t="s">
        <v>817</v>
      </c>
      <c r="D877">
        <v>1.9670000000000001</v>
      </c>
      <c r="F877" t="s">
        <v>5366</v>
      </c>
      <c r="H877" t="s">
        <v>3684</v>
      </c>
      <c r="I877" t="s">
        <v>2323</v>
      </c>
      <c r="K877" t="s">
        <v>6025</v>
      </c>
      <c r="L877" t="s">
        <v>6026</v>
      </c>
    </row>
    <row r="878" spans="1:12" x14ac:dyDescent="0.35">
      <c r="A878" t="s">
        <v>111</v>
      </c>
      <c r="B878" t="s">
        <v>489</v>
      </c>
      <c r="C878" t="s">
        <v>835</v>
      </c>
      <c r="D878">
        <v>1.087</v>
      </c>
      <c r="F878" t="s">
        <v>5367</v>
      </c>
      <c r="H878" t="s">
        <v>3684</v>
      </c>
      <c r="I878" t="s">
        <v>2323</v>
      </c>
      <c r="K878" t="s">
        <v>6025</v>
      </c>
      <c r="L878" t="s">
        <v>6026</v>
      </c>
    </row>
    <row r="879" spans="1:12" x14ac:dyDescent="0.35">
      <c r="A879" t="s">
        <v>111</v>
      </c>
      <c r="B879" t="s">
        <v>489</v>
      </c>
      <c r="C879" t="s">
        <v>829</v>
      </c>
      <c r="D879">
        <v>1.2250000000000001</v>
      </c>
      <c r="F879" t="s">
        <v>5368</v>
      </c>
      <c r="H879" t="s">
        <v>3685</v>
      </c>
      <c r="I879" t="s">
        <v>2323</v>
      </c>
      <c r="K879" t="s">
        <v>6025</v>
      </c>
      <c r="L879" t="s">
        <v>6026</v>
      </c>
    </row>
    <row r="880" spans="1:12" x14ac:dyDescent="0.35">
      <c r="A880" t="s">
        <v>111</v>
      </c>
      <c r="B880" t="s">
        <v>489</v>
      </c>
      <c r="C880" t="s">
        <v>817</v>
      </c>
      <c r="D880">
        <v>5.2999999999999999E-2</v>
      </c>
      <c r="F880" t="s">
        <v>1739</v>
      </c>
      <c r="H880" t="s">
        <v>3687</v>
      </c>
      <c r="I880" t="s">
        <v>2323</v>
      </c>
      <c r="K880" t="s">
        <v>6025</v>
      </c>
      <c r="L880" t="s">
        <v>6026</v>
      </c>
    </row>
    <row r="881" spans="1:12" x14ac:dyDescent="0.35">
      <c r="A881" t="s">
        <v>111</v>
      </c>
      <c r="B881" t="s">
        <v>489</v>
      </c>
      <c r="C881" t="s">
        <v>835</v>
      </c>
      <c r="D881">
        <v>2.8299999999999999E-2</v>
      </c>
      <c r="F881" t="s">
        <v>2246</v>
      </c>
      <c r="H881" t="s">
        <v>3687</v>
      </c>
      <c r="I881" t="s">
        <v>2323</v>
      </c>
      <c r="K881" t="s">
        <v>6025</v>
      </c>
      <c r="L881" t="s">
        <v>6026</v>
      </c>
    </row>
    <row r="882" spans="1:12" x14ac:dyDescent="0.35">
      <c r="A882" t="s">
        <v>111</v>
      </c>
      <c r="B882" t="s">
        <v>489</v>
      </c>
      <c r="C882" t="s">
        <v>829</v>
      </c>
      <c r="D882">
        <v>0.51670000000000005</v>
      </c>
      <c r="F882" t="s">
        <v>5369</v>
      </c>
      <c r="H882" t="s">
        <v>3686</v>
      </c>
      <c r="I882" t="s">
        <v>2323</v>
      </c>
      <c r="K882" t="s">
        <v>6025</v>
      </c>
      <c r="L882" t="s">
        <v>6026</v>
      </c>
    </row>
    <row r="883" spans="1:12" x14ac:dyDescent="0.35">
      <c r="A883" t="s">
        <v>111</v>
      </c>
      <c r="B883" t="s">
        <v>380</v>
      </c>
      <c r="C883" t="s">
        <v>800</v>
      </c>
      <c r="D883">
        <v>0.15</v>
      </c>
      <c r="F883" t="s">
        <v>1269</v>
      </c>
      <c r="H883" t="s">
        <v>3689</v>
      </c>
      <c r="I883" t="s">
        <v>4928</v>
      </c>
      <c r="K883" t="s">
        <v>6025</v>
      </c>
      <c r="L883" t="s">
        <v>6026</v>
      </c>
    </row>
    <row r="884" spans="1:12" x14ac:dyDescent="0.35">
      <c r="A884" t="s">
        <v>111</v>
      </c>
      <c r="B884" t="s">
        <v>380</v>
      </c>
      <c r="C884" t="s">
        <v>876</v>
      </c>
      <c r="D884">
        <v>2.7E-4</v>
      </c>
      <c r="F884" t="s">
        <v>2452</v>
      </c>
      <c r="H884" t="s">
        <v>3690</v>
      </c>
      <c r="I884" t="s">
        <v>4928</v>
      </c>
      <c r="K884" t="s">
        <v>6025</v>
      </c>
      <c r="L884" t="s">
        <v>6026</v>
      </c>
    </row>
    <row r="885" spans="1:12" x14ac:dyDescent="0.35">
      <c r="A885" t="s">
        <v>111</v>
      </c>
      <c r="B885" t="s">
        <v>380</v>
      </c>
      <c r="C885" t="s">
        <v>875</v>
      </c>
      <c r="D885">
        <v>2.89</v>
      </c>
      <c r="F885" t="s">
        <v>5370</v>
      </c>
      <c r="H885" t="s">
        <v>3688</v>
      </c>
      <c r="I885" t="s">
        <v>4928</v>
      </c>
      <c r="K885" t="s">
        <v>6025</v>
      </c>
      <c r="L885" t="s">
        <v>6026</v>
      </c>
    </row>
    <row r="886" spans="1:12" x14ac:dyDescent="0.35">
      <c r="A886" t="s">
        <v>111</v>
      </c>
      <c r="B886" t="s">
        <v>490</v>
      </c>
      <c r="C886" t="s">
        <v>169</v>
      </c>
      <c r="D886">
        <v>23.8</v>
      </c>
      <c r="F886" t="s">
        <v>1962</v>
      </c>
      <c r="H886" t="s">
        <v>3691</v>
      </c>
      <c r="I886" t="s">
        <v>4892</v>
      </c>
      <c r="K886" t="s">
        <v>6025</v>
      </c>
      <c r="L886" t="s">
        <v>6026</v>
      </c>
    </row>
    <row r="887" spans="1:12" x14ac:dyDescent="0.35">
      <c r="A887" t="s">
        <v>111</v>
      </c>
      <c r="B887" t="s">
        <v>490</v>
      </c>
      <c r="C887" t="s">
        <v>828</v>
      </c>
      <c r="D887">
        <v>10.7</v>
      </c>
      <c r="F887" t="s">
        <v>5371</v>
      </c>
      <c r="H887" t="s">
        <v>3691</v>
      </c>
      <c r="I887" t="s">
        <v>4892</v>
      </c>
      <c r="K887" t="s">
        <v>6025</v>
      </c>
      <c r="L887" t="s">
        <v>6026</v>
      </c>
    </row>
    <row r="888" spans="1:12" x14ac:dyDescent="0.35">
      <c r="A888" t="s">
        <v>111</v>
      </c>
      <c r="B888" t="s">
        <v>319</v>
      </c>
      <c r="C888" t="s">
        <v>879</v>
      </c>
      <c r="D888">
        <v>12.5</v>
      </c>
      <c r="F888" t="s">
        <v>5183</v>
      </c>
      <c r="H888" t="s">
        <v>3692</v>
      </c>
      <c r="I888" t="s">
        <v>4907</v>
      </c>
      <c r="K888" t="s">
        <v>6025</v>
      </c>
      <c r="L888" t="s">
        <v>6026</v>
      </c>
    </row>
    <row r="889" spans="1:12" x14ac:dyDescent="0.35">
      <c r="A889" t="s">
        <v>111</v>
      </c>
      <c r="B889" t="s">
        <v>319</v>
      </c>
      <c r="C889" t="s">
        <v>878</v>
      </c>
      <c r="D889">
        <v>11.2</v>
      </c>
      <c r="F889" t="s">
        <v>1880</v>
      </c>
      <c r="H889" t="s">
        <v>5813</v>
      </c>
      <c r="I889" t="s">
        <v>4907</v>
      </c>
      <c r="K889" t="s">
        <v>6025</v>
      </c>
      <c r="L889" t="s">
        <v>6026</v>
      </c>
    </row>
    <row r="890" spans="1:12" x14ac:dyDescent="0.35">
      <c r="A890" t="s">
        <v>111</v>
      </c>
      <c r="B890" t="s">
        <v>319</v>
      </c>
      <c r="C890" t="s">
        <v>877</v>
      </c>
      <c r="D890">
        <v>16.399999999999999</v>
      </c>
      <c r="F890" t="s">
        <v>5323</v>
      </c>
      <c r="H890" t="s">
        <v>5813</v>
      </c>
      <c r="I890" t="s">
        <v>4907</v>
      </c>
      <c r="K890" t="s">
        <v>6025</v>
      </c>
      <c r="L890" t="s">
        <v>6026</v>
      </c>
    </row>
    <row r="891" spans="1:12" x14ac:dyDescent="0.35">
      <c r="A891" t="s">
        <v>111</v>
      </c>
      <c r="B891" t="s">
        <v>329</v>
      </c>
      <c r="C891" t="s">
        <v>800</v>
      </c>
      <c r="D891">
        <v>4.17</v>
      </c>
      <c r="F891" t="s">
        <v>1980</v>
      </c>
      <c r="H891" t="s">
        <v>3694</v>
      </c>
      <c r="I891" t="s">
        <v>4928</v>
      </c>
      <c r="K891" t="s">
        <v>6025</v>
      </c>
      <c r="L891" t="s">
        <v>6026</v>
      </c>
    </row>
    <row r="892" spans="1:12" x14ac:dyDescent="0.35">
      <c r="A892" t="s">
        <v>111</v>
      </c>
      <c r="B892" t="s">
        <v>329</v>
      </c>
      <c r="C892" t="s">
        <v>875</v>
      </c>
      <c r="D892">
        <v>2.72</v>
      </c>
      <c r="F892" t="s">
        <v>5372</v>
      </c>
      <c r="H892" t="s">
        <v>3688</v>
      </c>
      <c r="I892" t="s">
        <v>4928</v>
      </c>
      <c r="K892" t="s">
        <v>6025</v>
      </c>
      <c r="L892" t="s">
        <v>6026</v>
      </c>
    </row>
    <row r="893" spans="1:12" x14ac:dyDescent="0.35">
      <c r="A893" t="s">
        <v>111</v>
      </c>
      <c r="B893" t="s">
        <v>329</v>
      </c>
      <c r="C893" t="s">
        <v>876</v>
      </c>
      <c r="D893">
        <v>6.2E-4</v>
      </c>
      <c r="F893" t="s">
        <v>5373</v>
      </c>
      <c r="H893" t="s">
        <v>3690</v>
      </c>
      <c r="I893" t="s">
        <v>4928</v>
      </c>
      <c r="K893" t="s">
        <v>6025</v>
      </c>
      <c r="L893" t="s">
        <v>6026</v>
      </c>
    </row>
    <row r="894" spans="1:12" x14ac:dyDescent="0.35">
      <c r="A894" t="s">
        <v>111</v>
      </c>
      <c r="B894" t="s">
        <v>490</v>
      </c>
      <c r="C894" t="s">
        <v>828</v>
      </c>
      <c r="D894">
        <v>36.700000000000003</v>
      </c>
      <c r="F894" t="s">
        <v>5207</v>
      </c>
      <c r="H894" t="s">
        <v>3695</v>
      </c>
      <c r="I894" t="s">
        <v>4892</v>
      </c>
      <c r="K894" t="s">
        <v>6025</v>
      </c>
      <c r="L894" t="s">
        <v>6026</v>
      </c>
    </row>
    <row r="895" spans="1:12" x14ac:dyDescent="0.35">
      <c r="A895" t="s">
        <v>111</v>
      </c>
      <c r="B895" t="s">
        <v>490</v>
      </c>
      <c r="C895" t="s">
        <v>880</v>
      </c>
      <c r="D895">
        <v>39.299999999999997</v>
      </c>
      <c r="F895" t="s">
        <v>5374</v>
      </c>
      <c r="H895" t="s">
        <v>3695</v>
      </c>
      <c r="I895" t="s">
        <v>4892</v>
      </c>
      <c r="K895" t="s">
        <v>6025</v>
      </c>
      <c r="L895" t="s">
        <v>6026</v>
      </c>
    </row>
    <row r="896" spans="1:12" x14ac:dyDescent="0.35">
      <c r="A896" t="s">
        <v>111</v>
      </c>
      <c r="B896" t="s">
        <v>495</v>
      </c>
      <c r="C896" t="s">
        <v>881</v>
      </c>
      <c r="D896">
        <v>4</v>
      </c>
      <c r="F896" t="s">
        <v>1379</v>
      </c>
      <c r="H896" t="s">
        <v>3696</v>
      </c>
      <c r="I896" t="s">
        <v>4929</v>
      </c>
      <c r="K896" t="s">
        <v>6025</v>
      </c>
      <c r="L896" t="s">
        <v>6026</v>
      </c>
    </row>
    <row r="897" spans="1:12" x14ac:dyDescent="0.35">
      <c r="A897" t="s">
        <v>111</v>
      </c>
      <c r="B897" t="s">
        <v>495</v>
      </c>
      <c r="C897" t="s">
        <v>720</v>
      </c>
      <c r="D897">
        <v>3.67</v>
      </c>
      <c r="F897" t="s">
        <v>5375</v>
      </c>
      <c r="H897" t="s">
        <v>3696</v>
      </c>
      <c r="I897" t="s">
        <v>4929</v>
      </c>
      <c r="K897" t="s">
        <v>6025</v>
      </c>
      <c r="L897" t="s">
        <v>6026</v>
      </c>
    </row>
    <row r="898" spans="1:12" x14ac:dyDescent="0.35">
      <c r="A898" t="s">
        <v>111</v>
      </c>
      <c r="B898" t="s">
        <v>495</v>
      </c>
      <c r="C898" t="s">
        <v>881</v>
      </c>
      <c r="D898">
        <v>2.5</v>
      </c>
      <c r="F898" t="s">
        <v>1406</v>
      </c>
      <c r="H898" t="s">
        <v>3697</v>
      </c>
      <c r="I898" t="s">
        <v>4929</v>
      </c>
      <c r="K898" t="s">
        <v>6025</v>
      </c>
      <c r="L898" t="s">
        <v>6026</v>
      </c>
    </row>
    <row r="899" spans="1:12" x14ac:dyDescent="0.35">
      <c r="A899" t="s">
        <v>111</v>
      </c>
      <c r="B899" t="s">
        <v>495</v>
      </c>
      <c r="C899" t="s">
        <v>720</v>
      </c>
      <c r="D899">
        <v>2.67</v>
      </c>
      <c r="F899" t="s">
        <v>2475</v>
      </c>
      <c r="H899" t="s">
        <v>3697</v>
      </c>
      <c r="I899" t="s">
        <v>4929</v>
      </c>
      <c r="K899" t="s">
        <v>6025</v>
      </c>
      <c r="L899" t="s">
        <v>6026</v>
      </c>
    </row>
    <row r="900" spans="1:12" x14ac:dyDescent="0.35">
      <c r="A900" t="s">
        <v>111</v>
      </c>
      <c r="B900" t="s">
        <v>335</v>
      </c>
      <c r="C900" t="s">
        <v>800</v>
      </c>
      <c r="D900">
        <v>1.1200000000000001</v>
      </c>
      <c r="F900" t="s">
        <v>1788</v>
      </c>
      <c r="H900" t="s">
        <v>3698</v>
      </c>
      <c r="I900" t="s">
        <v>4855</v>
      </c>
      <c r="K900" t="s">
        <v>6025</v>
      </c>
      <c r="L900" t="s">
        <v>6026</v>
      </c>
    </row>
    <row r="901" spans="1:12" x14ac:dyDescent="0.35">
      <c r="A901" t="s">
        <v>111</v>
      </c>
      <c r="B901" t="s">
        <v>335</v>
      </c>
      <c r="C901" t="s">
        <v>805</v>
      </c>
      <c r="D901">
        <v>1.1200000000000001</v>
      </c>
      <c r="F901" t="s">
        <v>1788</v>
      </c>
      <c r="H901" t="s">
        <v>3698</v>
      </c>
      <c r="I901" t="s">
        <v>4855</v>
      </c>
      <c r="K901" t="s">
        <v>6025</v>
      </c>
      <c r="L901" t="s">
        <v>6026</v>
      </c>
    </row>
    <row r="902" spans="1:12" x14ac:dyDescent="0.35">
      <c r="A902" t="s">
        <v>111</v>
      </c>
      <c r="B902" t="s">
        <v>335</v>
      </c>
      <c r="C902" t="s">
        <v>805</v>
      </c>
      <c r="D902">
        <v>3.52</v>
      </c>
      <c r="F902" t="s">
        <v>5376</v>
      </c>
      <c r="H902" t="s">
        <v>3699</v>
      </c>
      <c r="I902" t="s">
        <v>4855</v>
      </c>
      <c r="K902" t="s">
        <v>6025</v>
      </c>
      <c r="L902" t="s">
        <v>6026</v>
      </c>
    </row>
    <row r="903" spans="1:12" x14ac:dyDescent="0.35">
      <c r="A903" t="s">
        <v>111</v>
      </c>
      <c r="B903" t="s">
        <v>335</v>
      </c>
      <c r="C903" t="s">
        <v>800</v>
      </c>
      <c r="D903">
        <v>8.48</v>
      </c>
      <c r="F903" t="s">
        <v>5377</v>
      </c>
      <c r="H903" t="s">
        <v>3699</v>
      </c>
      <c r="I903" t="s">
        <v>4855</v>
      </c>
      <c r="K903" t="s">
        <v>6025</v>
      </c>
      <c r="L903" t="s">
        <v>6026</v>
      </c>
    </row>
    <row r="904" spans="1:12" x14ac:dyDescent="0.35">
      <c r="A904" t="s">
        <v>111</v>
      </c>
      <c r="B904" t="s">
        <v>496</v>
      </c>
      <c r="C904" t="s">
        <v>882</v>
      </c>
      <c r="D904">
        <v>2.5</v>
      </c>
      <c r="F904" t="s">
        <v>1406</v>
      </c>
      <c r="H904" t="s">
        <v>3700</v>
      </c>
      <c r="I904" t="s">
        <v>4930</v>
      </c>
      <c r="K904" t="s">
        <v>6025</v>
      </c>
      <c r="L904" t="s">
        <v>6026</v>
      </c>
    </row>
    <row r="905" spans="1:12" x14ac:dyDescent="0.35">
      <c r="A905" t="s">
        <v>111</v>
      </c>
      <c r="B905" t="s">
        <v>496</v>
      </c>
      <c r="C905" t="s">
        <v>856</v>
      </c>
      <c r="D905">
        <v>1.05</v>
      </c>
      <c r="F905" t="s">
        <v>1717</v>
      </c>
      <c r="H905" t="s">
        <v>3700</v>
      </c>
      <c r="I905" t="s">
        <v>4930</v>
      </c>
      <c r="K905" t="s">
        <v>6025</v>
      </c>
      <c r="L905" t="s">
        <v>6026</v>
      </c>
    </row>
    <row r="906" spans="1:12" x14ac:dyDescent="0.35">
      <c r="A906" t="s">
        <v>111</v>
      </c>
      <c r="B906" t="s">
        <v>496</v>
      </c>
      <c r="C906" t="s">
        <v>863</v>
      </c>
      <c r="D906">
        <v>1.27</v>
      </c>
      <c r="F906" t="s">
        <v>1364</v>
      </c>
      <c r="H906" t="s">
        <v>3700</v>
      </c>
      <c r="I906" t="s">
        <v>4930</v>
      </c>
      <c r="K906" t="s">
        <v>6025</v>
      </c>
      <c r="L906" t="s">
        <v>6026</v>
      </c>
    </row>
    <row r="907" spans="1:12" x14ac:dyDescent="0.35">
      <c r="A907" t="s">
        <v>111</v>
      </c>
      <c r="B907" t="s">
        <v>329</v>
      </c>
      <c r="C907" t="s">
        <v>885</v>
      </c>
      <c r="D907">
        <v>0.6</v>
      </c>
      <c r="F907" t="s">
        <v>1519</v>
      </c>
      <c r="H907" t="s">
        <v>3701</v>
      </c>
      <c r="I907" t="s">
        <v>1353</v>
      </c>
      <c r="K907" t="s">
        <v>6025</v>
      </c>
      <c r="L907" t="s">
        <v>6026</v>
      </c>
    </row>
    <row r="908" spans="1:12" x14ac:dyDescent="0.35">
      <c r="A908" t="s">
        <v>111</v>
      </c>
      <c r="B908" t="s">
        <v>329</v>
      </c>
      <c r="C908" t="s">
        <v>884</v>
      </c>
      <c r="D908">
        <v>0.45</v>
      </c>
      <c r="F908" t="s">
        <v>1316</v>
      </c>
      <c r="H908" t="s">
        <v>3701</v>
      </c>
      <c r="I908" t="s">
        <v>1353</v>
      </c>
      <c r="K908" t="s">
        <v>6025</v>
      </c>
      <c r="L908" t="s">
        <v>6026</v>
      </c>
    </row>
    <row r="909" spans="1:12" x14ac:dyDescent="0.35">
      <c r="A909" t="s">
        <v>111</v>
      </c>
      <c r="B909" t="s">
        <v>329</v>
      </c>
      <c r="C909" t="s">
        <v>883</v>
      </c>
      <c r="D909">
        <v>0.68</v>
      </c>
      <c r="F909" t="s">
        <v>1735</v>
      </c>
      <c r="H909" t="s">
        <v>3701</v>
      </c>
      <c r="I909" t="s">
        <v>1353</v>
      </c>
      <c r="K909" t="s">
        <v>6025</v>
      </c>
      <c r="L909" t="s">
        <v>6026</v>
      </c>
    </row>
    <row r="910" spans="1:12" x14ac:dyDescent="0.35">
      <c r="A910" t="s">
        <v>111</v>
      </c>
      <c r="B910" t="s">
        <v>329</v>
      </c>
      <c r="C910" t="s">
        <v>853</v>
      </c>
      <c r="D910">
        <v>0.18</v>
      </c>
      <c r="F910" t="s">
        <v>1531</v>
      </c>
      <c r="H910" t="s">
        <v>3701</v>
      </c>
      <c r="I910" t="s">
        <v>1353</v>
      </c>
      <c r="K910" t="s">
        <v>6025</v>
      </c>
      <c r="L910" t="s">
        <v>6026</v>
      </c>
    </row>
    <row r="911" spans="1:12" x14ac:dyDescent="0.35">
      <c r="A911" t="s">
        <v>111</v>
      </c>
      <c r="B911" t="s">
        <v>329</v>
      </c>
      <c r="C911" t="s">
        <v>863</v>
      </c>
      <c r="D911">
        <v>2.33</v>
      </c>
      <c r="F911" t="s">
        <v>2478</v>
      </c>
      <c r="H911" t="s">
        <v>3701</v>
      </c>
      <c r="I911" t="s">
        <v>1353</v>
      </c>
      <c r="K911" t="s">
        <v>6025</v>
      </c>
      <c r="L911" t="s">
        <v>6026</v>
      </c>
    </row>
    <row r="912" spans="1:12" x14ac:dyDescent="0.35">
      <c r="A912" t="s">
        <v>111</v>
      </c>
      <c r="B912" t="s">
        <v>329</v>
      </c>
      <c r="C912" t="s">
        <v>882</v>
      </c>
      <c r="D912">
        <v>3.28</v>
      </c>
      <c r="F912" t="s">
        <v>5378</v>
      </c>
      <c r="H912" t="s">
        <v>3701</v>
      </c>
      <c r="I912" t="s">
        <v>1353</v>
      </c>
      <c r="K912" t="s">
        <v>6025</v>
      </c>
      <c r="L912" t="s">
        <v>6026</v>
      </c>
    </row>
    <row r="913" spans="1:12" x14ac:dyDescent="0.35">
      <c r="A913" t="s">
        <v>111</v>
      </c>
      <c r="B913" t="s">
        <v>329</v>
      </c>
      <c r="C913" t="s">
        <v>835</v>
      </c>
      <c r="D913">
        <v>3.48</v>
      </c>
      <c r="F913" t="s">
        <v>5379</v>
      </c>
      <c r="H913" t="s">
        <v>3701</v>
      </c>
      <c r="I913" t="s">
        <v>1353</v>
      </c>
      <c r="K913" t="s">
        <v>6025</v>
      </c>
      <c r="L913" t="s">
        <v>6026</v>
      </c>
    </row>
    <row r="914" spans="1:12" x14ac:dyDescent="0.35">
      <c r="A914" t="s">
        <v>111</v>
      </c>
      <c r="B914" t="s">
        <v>329</v>
      </c>
      <c r="C914" t="s">
        <v>800</v>
      </c>
      <c r="D914">
        <v>0.27</v>
      </c>
      <c r="F914" t="s">
        <v>1738</v>
      </c>
      <c r="H914" t="s">
        <v>3701</v>
      </c>
      <c r="I914" t="s">
        <v>1353</v>
      </c>
      <c r="K914" t="s">
        <v>6025</v>
      </c>
      <c r="L914" t="s">
        <v>6026</v>
      </c>
    </row>
    <row r="915" spans="1:12" x14ac:dyDescent="0.35">
      <c r="A915" t="s">
        <v>111</v>
      </c>
      <c r="B915" t="s">
        <v>329</v>
      </c>
      <c r="C915" t="s">
        <v>829</v>
      </c>
      <c r="D915">
        <v>2.5499999999999998</v>
      </c>
      <c r="F915" t="s">
        <v>5380</v>
      </c>
      <c r="H915" t="s">
        <v>3701</v>
      </c>
      <c r="I915" t="s">
        <v>1353</v>
      </c>
      <c r="K915" t="s">
        <v>6025</v>
      </c>
      <c r="L915" t="s">
        <v>6026</v>
      </c>
    </row>
    <row r="916" spans="1:12" x14ac:dyDescent="0.35">
      <c r="A916" t="s">
        <v>111</v>
      </c>
      <c r="B916" t="s">
        <v>320</v>
      </c>
      <c r="C916" t="s">
        <v>720</v>
      </c>
      <c r="D916">
        <v>3.5999999999999997E-2</v>
      </c>
      <c r="F916" t="s">
        <v>1837</v>
      </c>
      <c r="H916" t="s">
        <v>3702</v>
      </c>
      <c r="I916" t="s">
        <v>4931</v>
      </c>
      <c r="K916" t="s">
        <v>6025</v>
      </c>
      <c r="L916" t="s">
        <v>6026</v>
      </c>
    </row>
    <row r="917" spans="1:12" x14ac:dyDescent="0.35">
      <c r="A917" t="s">
        <v>111</v>
      </c>
      <c r="B917" t="s">
        <v>320</v>
      </c>
      <c r="C917" t="s">
        <v>866</v>
      </c>
      <c r="D917">
        <v>1.4999999999999999E-2</v>
      </c>
      <c r="F917" t="s">
        <v>1336</v>
      </c>
      <c r="H917" t="s">
        <v>3702</v>
      </c>
      <c r="I917" t="s">
        <v>4931</v>
      </c>
      <c r="K917" t="s">
        <v>6025</v>
      </c>
      <c r="L917" t="s">
        <v>6026</v>
      </c>
    </row>
    <row r="918" spans="1:12" x14ac:dyDescent="0.35">
      <c r="A918" t="s">
        <v>111</v>
      </c>
      <c r="B918" t="s">
        <v>320</v>
      </c>
      <c r="C918" t="s">
        <v>866</v>
      </c>
      <c r="D918">
        <v>1.4E-3</v>
      </c>
      <c r="F918" t="s">
        <v>1278</v>
      </c>
      <c r="H918" t="s">
        <v>5814</v>
      </c>
      <c r="I918" t="s">
        <v>4931</v>
      </c>
      <c r="K918" t="s">
        <v>6025</v>
      </c>
      <c r="L918" t="s">
        <v>6026</v>
      </c>
    </row>
    <row r="919" spans="1:12" x14ac:dyDescent="0.35">
      <c r="A919" t="s">
        <v>111</v>
      </c>
      <c r="B919" t="s">
        <v>320</v>
      </c>
      <c r="C919" t="s">
        <v>720</v>
      </c>
      <c r="D919">
        <v>1E-4</v>
      </c>
      <c r="F919" t="s">
        <v>1289</v>
      </c>
      <c r="H919" t="s">
        <v>3703</v>
      </c>
      <c r="I919" t="s">
        <v>4931</v>
      </c>
      <c r="K919" t="s">
        <v>6025</v>
      </c>
      <c r="L919" t="s">
        <v>6026</v>
      </c>
    </row>
    <row r="920" spans="1:12" x14ac:dyDescent="0.35">
      <c r="A920" t="s">
        <v>111</v>
      </c>
      <c r="B920" t="s">
        <v>175</v>
      </c>
      <c r="C920" t="s">
        <v>883</v>
      </c>
      <c r="D920">
        <v>18</v>
      </c>
      <c r="F920" t="s">
        <v>1389</v>
      </c>
      <c r="H920" t="s">
        <v>3708</v>
      </c>
      <c r="I920" t="s">
        <v>2052</v>
      </c>
      <c r="K920" t="s">
        <v>6025</v>
      </c>
      <c r="L920" t="s">
        <v>6026</v>
      </c>
    </row>
    <row r="921" spans="1:12" x14ac:dyDescent="0.35">
      <c r="A921" t="s">
        <v>111</v>
      </c>
      <c r="B921" t="s">
        <v>175</v>
      </c>
      <c r="C921" t="s">
        <v>800</v>
      </c>
      <c r="D921">
        <v>110</v>
      </c>
      <c r="F921" t="s">
        <v>2331</v>
      </c>
      <c r="H921" t="s">
        <v>3707</v>
      </c>
      <c r="I921" t="s">
        <v>2052</v>
      </c>
      <c r="K921" t="s">
        <v>6025</v>
      </c>
      <c r="L921" t="s">
        <v>6026</v>
      </c>
    </row>
    <row r="922" spans="1:12" x14ac:dyDescent="0.35">
      <c r="A922" t="s">
        <v>111</v>
      </c>
      <c r="B922" t="s">
        <v>175</v>
      </c>
      <c r="C922" t="s">
        <v>720</v>
      </c>
      <c r="D922">
        <v>16.3</v>
      </c>
      <c r="F922" t="s">
        <v>5381</v>
      </c>
      <c r="H922" t="s">
        <v>5815</v>
      </c>
      <c r="I922" t="s">
        <v>1359</v>
      </c>
      <c r="K922" t="s">
        <v>6025</v>
      </c>
      <c r="L922" t="s">
        <v>6026</v>
      </c>
    </row>
    <row r="923" spans="1:12" x14ac:dyDescent="0.35">
      <c r="A923" t="s">
        <v>111</v>
      </c>
      <c r="B923" t="s">
        <v>175</v>
      </c>
      <c r="C923" t="s">
        <v>883</v>
      </c>
      <c r="D923">
        <v>25</v>
      </c>
      <c r="F923" t="s">
        <v>1387</v>
      </c>
      <c r="H923" t="s">
        <v>3707</v>
      </c>
      <c r="I923" t="s">
        <v>2052</v>
      </c>
      <c r="K923" t="s">
        <v>6025</v>
      </c>
      <c r="L923" t="s">
        <v>6026</v>
      </c>
    </row>
    <row r="924" spans="1:12" x14ac:dyDescent="0.35">
      <c r="A924" t="s">
        <v>111</v>
      </c>
      <c r="B924" t="s">
        <v>175</v>
      </c>
      <c r="C924" t="s">
        <v>720</v>
      </c>
      <c r="D924">
        <v>26.7</v>
      </c>
      <c r="F924" t="s">
        <v>2374</v>
      </c>
      <c r="H924" t="s">
        <v>5816</v>
      </c>
      <c r="I924" t="s">
        <v>1359</v>
      </c>
      <c r="K924" t="s">
        <v>6025</v>
      </c>
      <c r="L924" t="s">
        <v>6026</v>
      </c>
    </row>
    <row r="925" spans="1:12" x14ac:dyDescent="0.35">
      <c r="A925" t="s">
        <v>111</v>
      </c>
      <c r="B925" t="s">
        <v>175</v>
      </c>
      <c r="C925" t="s">
        <v>895</v>
      </c>
      <c r="D925">
        <v>8.6</v>
      </c>
      <c r="F925" t="s">
        <v>5382</v>
      </c>
      <c r="H925" t="s">
        <v>3713</v>
      </c>
      <c r="I925" t="s">
        <v>1943</v>
      </c>
      <c r="K925" t="s">
        <v>6025</v>
      </c>
      <c r="L925" t="s">
        <v>6026</v>
      </c>
    </row>
    <row r="926" spans="1:12" x14ac:dyDescent="0.35">
      <c r="A926" t="s">
        <v>111</v>
      </c>
      <c r="B926" t="s">
        <v>175</v>
      </c>
      <c r="C926" t="s">
        <v>800</v>
      </c>
      <c r="D926">
        <v>20.5</v>
      </c>
      <c r="F926" t="s">
        <v>5383</v>
      </c>
      <c r="H926" t="s">
        <v>3711</v>
      </c>
      <c r="I926" t="s">
        <v>1359</v>
      </c>
      <c r="K926" t="s">
        <v>6025</v>
      </c>
      <c r="L926" t="s">
        <v>6026</v>
      </c>
    </row>
    <row r="927" spans="1:12" x14ac:dyDescent="0.35">
      <c r="A927" t="s">
        <v>111</v>
      </c>
      <c r="B927" t="s">
        <v>175</v>
      </c>
      <c r="C927" t="s">
        <v>805</v>
      </c>
      <c r="D927">
        <v>61</v>
      </c>
      <c r="F927" t="s">
        <v>2052</v>
      </c>
      <c r="H927" t="s">
        <v>3708</v>
      </c>
      <c r="I927" t="s">
        <v>2052</v>
      </c>
      <c r="K927" t="s">
        <v>6025</v>
      </c>
      <c r="L927" t="s">
        <v>6026</v>
      </c>
    </row>
    <row r="928" spans="1:12" x14ac:dyDescent="0.35">
      <c r="A928" t="s">
        <v>111</v>
      </c>
      <c r="B928" t="s">
        <v>175</v>
      </c>
      <c r="C928" t="s">
        <v>720</v>
      </c>
      <c r="D928">
        <v>149</v>
      </c>
      <c r="F928" t="s">
        <v>5023</v>
      </c>
      <c r="H928" t="s">
        <v>3708</v>
      </c>
      <c r="I928" t="s">
        <v>2052</v>
      </c>
      <c r="K928" t="s">
        <v>6025</v>
      </c>
      <c r="L928" t="s">
        <v>6026</v>
      </c>
    </row>
    <row r="929" spans="1:12" x14ac:dyDescent="0.35">
      <c r="A929" t="s">
        <v>111</v>
      </c>
      <c r="B929" t="s">
        <v>175</v>
      </c>
      <c r="C929" t="s">
        <v>720</v>
      </c>
      <c r="D929">
        <v>179</v>
      </c>
      <c r="F929" t="s">
        <v>5007</v>
      </c>
      <c r="H929" t="s">
        <v>3707</v>
      </c>
      <c r="I929" t="s">
        <v>2052</v>
      </c>
      <c r="K929" t="s">
        <v>6025</v>
      </c>
      <c r="L929" t="s">
        <v>6026</v>
      </c>
    </row>
    <row r="930" spans="1:12" x14ac:dyDescent="0.35">
      <c r="A930" t="s">
        <v>111</v>
      </c>
      <c r="B930" t="s">
        <v>175</v>
      </c>
      <c r="C930" t="s">
        <v>800</v>
      </c>
      <c r="D930">
        <v>85</v>
      </c>
      <c r="F930" t="s">
        <v>2326</v>
      </c>
      <c r="H930" t="s">
        <v>3708</v>
      </c>
      <c r="I930" t="s">
        <v>2052</v>
      </c>
      <c r="K930" t="s">
        <v>6025</v>
      </c>
      <c r="L930" t="s">
        <v>6026</v>
      </c>
    </row>
    <row r="931" spans="1:12" x14ac:dyDescent="0.35">
      <c r="A931" t="s">
        <v>111</v>
      </c>
      <c r="B931" t="s">
        <v>175</v>
      </c>
      <c r="C931" t="s">
        <v>894</v>
      </c>
      <c r="D931">
        <v>220</v>
      </c>
      <c r="F931" t="s">
        <v>2210</v>
      </c>
      <c r="H931" t="s">
        <v>3705</v>
      </c>
      <c r="I931" t="s">
        <v>1943</v>
      </c>
      <c r="K931" t="s">
        <v>6025</v>
      </c>
      <c r="L931" t="s">
        <v>6026</v>
      </c>
    </row>
    <row r="932" spans="1:12" x14ac:dyDescent="0.35">
      <c r="A932" t="s">
        <v>111</v>
      </c>
      <c r="B932" t="s">
        <v>175</v>
      </c>
      <c r="C932" t="s">
        <v>800</v>
      </c>
      <c r="D932">
        <v>246</v>
      </c>
      <c r="F932" t="s">
        <v>4975</v>
      </c>
      <c r="H932" t="s">
        <v>3705</v>
      </c>
      <c r="I932" t="s">
        <v>1943</v>
      </c>
      <c r="K932" t="s">
        <v>6025</v>
      </c>
      <c r="L932" t="s">
        <v>6026</v>
      </c>
    </row>
    <row r="933" spans="1:12" x14ac:dyDescent="0.35">
      <c r="A933" t="s">
        <v>111</v>
      </c>
      <c r="B933" t="s">
        <v>175</v>
      </c>
      <c r="C933" t="s">
        <v>800</v>
      </c>
      <c r="D933">
        <v>1.0999999999999999E-2</v>
      </c>
      <c r="F933" t="s">
        <v>1612</v>
      </c>
      <c r="H933" t="s">
        <v>3720</v>
      </c>
      <c r="I933" t="s">
        <v>4904</v>
      </c>
      <c r="K933" t="s">
        <v>6025</v>
      </c>
      <c r="L933" t="s">
        <v>6026</v>
      </c>
    </row>
    <row r="934" spans="1:12" x14ac:dyDescent="0.35">
      <c r="A934" t="s">
        <v>111</v>
      </c>
      <c r="B934" t="s">
        <v>175</v>
      </c>
      <c r="C934" t="s">
        <v>805</v>
      </c>
      <c r="D934">
        <v>91</v>
      </c>
      <c r="F934" t="s">
        <v>4928</v>
      </c>
      <c r="H934" t="s">
        <v>3707</v>
      </c>
      <c r="I934" t="s">
        <v>2052</v>
      </c>
      <c r="K934" t="s">
        <v>6025</v>
      </c>
      <c r="L934" t="s">
        <v>6026</v>
      </c>
    </row>
    <row r="935" spans="1:12" x14ac:dyDescent="0.35">
      <c r="A935" t="s">
        <v>111</v>
      </c>
      <c r="B935" t="s">
        <v>175</v>
      </c>
      <c r="C935" t="s">
        <v>893</v>
      </c>
      <c r="D935">
        <v>6.75</v>
      </c>
      <c r="F935" t="s">
        <v>5384</v>
      </c>
      <c r="H935" t="s">
        <v>3710</v>
      </c>
      <c r="I935" t="s">
        <v>4932</v>
      </c>
      <c r="K935" t="s">
        <v>6025</v>
      </c>
      <c r="L935" t="s">
        <v>6026</v>
      </c>
    </row>
    <row r="936" spans="1:12" x14ac:dyDescent="0.35">
      <c r="A936" t="s">
        <v>111</v>
      </c>
      <c r="B936" t="s">
        <v>175</v>
      </c>
      <c r="C936" t="s">
        <v>800</v>
      </c>
      <c r="D936">
        <v>9.9</v>
      </c>
      <c r="F936" t="s">
        <v>1392</v>
      </c>
      <c r="H936" t="s">
        <v>3714</v>
      </c>
      <c r="I936" t="s">
        <v>1359</v>
      </c>
      <c r="K936" t="s">
        <v>6025</v>
      </c>
      <c r="L936" t="s">
        <v>6026</v>
      </c>
    </row>
    <row r="937" spans="1:12" x14ac:dyDescent="0.35">
      <c r="A937" t="s">
        <v>111</v>
      </c>
      <c r="B937" t="s">
        <v>175</v>
      </c>
      <c r="C937" t="s">
        <v>817</v>
      </c>
      <c r="D937">
        <v>1.03E-2</v>
      </c>
      <c r="F937" t="s">
        <v>1815</v>
      </c>
      <c r="H937" t="s">
        <v>3720</v>
      </c>
      <c r="I937" t="s">
        <v>4904</v>
      </c>
      <c r="K937" t="s">
        <v>6025</v>
      </c>
      <c r="L937" t="s">
        <v>6026</v>
      </c>
    </row>
    <row r="938" spans="1:12" x14ac:dyDescent="0.35">
      <c r="A938" t="s">
        <v>111</v>
      </c>
      <c r="B938" t="s">
        <v>175</v>
      </c>
      <c r="C938" t="s">
        <v>800</v>
      </c>
      <c r="D938">
        <v>1.217E-2</v>
      </c>
      <c r="F938" t="s">
        <v>5385</v>
      </c>
      <c r="H938" t="s">
        <v>3721</v>
      </c>
      <c r="I938" t="s">
        <v>4904</v>
      </c>
      <c r="K938" t="s">
        <v>6025</v>
      </c>
      <c r="L938" t="s">
        <v>6026</v>
      </c>
    </row>
    <row r="939" spans="1:12" x14ac:dyDescent="0.35">
      <c r="A939" t="s">
        <v>111</v>
      </c>
      <c r="B939" t="s">
        <v>175</v>
      </c>
      <c r="C939" t="s">
        <v>817</v>
      </c>
      <c r="D939">
        <v>9.1669999999999998E-3</v>
      </c>
      <c r="F939" t="s">
        <v>5386</v>
      </c>
      <c r="H939" t="s">
        <v>3721</v>
      </c>
      <c r="I939" t="s">
        <v>4904</v>
      </c>
      <c r="K939" t="s">
        <v>6025</v>
      </c>
      <c r="L939" t="s">
        <v>6026</v>
      </c>
    </row>
    <row r="940" spans="1:12" x14ac:dyDescent="0.35">
      <c r="A940" t="s">
        <v>236</v>
      </c>
      <c r="B940" t="s">
        <v>378</v>
      </c>
      <c r="C940" t="s">
        <v>720</v>
      </c>
      <c r="D940">
        <v>0.5</v>
      </c>
      <c r="F940" t="s">
        <v>1440</v>
      </c>
      <c r="H940" t="s">
        <v>5817</v>
      </c>
      <c r="I940" t="s">
        <v>1354</v>
      </c>
      <c r="K940" t="s">
        <v>6025</v>
      </c>
      <c r="L940" t="s">
        <v>6026</v>
      </c>
    </row>
    <row r="941" spans="1:12" x14ac:dyDescent="0.35">
      <c r="A941" t="s">
        <v>236</v>
      </c>
      <c r="B941" t="s">
        <v>378</v>
      </c>
      <c r="C941" t="s">
        <v>708</v>
      </c>
      <c r="D941">
        <v>1.6E-2</v>
      </c>
      <c r="F941" t="s">
        <v>1614</v>
      </c>
      <c r="H941" t="s">
        <v>3739</v>
      </c>
      <c r="I941" t="s">
        <v>1354</v>
      </c>
      <c r="K941" t="s">
        <v>6025</v>
      </c>
      <c r="L941" t="s">
        <v>6026</v>
      </c>
    </row>
    <row r="942" spans="1:12" x14ac:dyDescent="0.35">
      <c r="A942" t="s">
        <v>236</v>
      </c>
      <c r="B942" t="s">
        <v>378</v>
      </c>
      <c r="C942" t="s">
        <v>708</v>
      </c>
      <c r="D942">
        <v>7</v>
      </c>
      <c r="F942" t="s">
        <v>1335</v>
      </c>
      <c r="H942" t="s">
        <v>3737</v>
      </c>
      <c r="I942" t="s">
        <v>1354</v>
      </c>
      <c r="K942" t="s">
        <v>6025</v>
      </c>
      <c r="L942" t="s">
        <v>6026</v>
      </c>
    </row>
    <row r="943" spans="1:12" x14ac:dyDescent="0.35">
      <c r="A943" t="s">
        <v>236</v>
      </c>
      <c r="B943" t="s">
        <v>378</v>
      </c>
      <c r="C943" t="s">
        <v>720</v>
      </c>
      <c r="D943">
        <v>1.7</v>
      </c>
      <c r="F943" t="s">
        <v>1416</v>
      </c>
      <c r="H943" t="s">
        <v>3739</v>
      </c>
      <c r="I943" t="s">
        <v>1354</v>
      </c>
      <c r="K943" t="s">
        <v>6025</v>
      </c>
      <c r="L943" t="s">
        <v>6026</v>
      </c>
    </row>
    <row r="944" spans="1:12" x14ac:dyDescent="0.35">
      <c r="A944" t="s">
        <v>236</v>
      </c>
      <c r="B944" t="s">
        <v>378</v>
      </c>
      <c r="C944" t="s">
        <v>708</v>
      </c>
      <c r="D944">
        <v>89</v>
      </c>
      <c r="F944" t="s">
        <v>4854</v>
      </c>
      <c r="H944" t="s">
        <v>5818</v>
      </c>
      <c r="I944" t="s">
        <v>1354</v>
      </c>
      <c r="K944" t="s">
        <v>6025</v>
      </c>
      <c r="L944" t="s">
        <v>6026</v>
      </c>
    </row>
    <row r="945" spans="1:12" x14ac:dyDescent="0.35">
      <c r="A945" t="s">
        <v>236</v>
      </c>
      <c r="B945" t="s">
        <v>378</v>
      </c>
      <c r="C945" t="s">
        <v>720</v>
      </c>
      <c r="D945">
        <v>9.3000000000000007</v>
      </c>
      <c r="F945" t="s">
        <v>1535</v>
      </c>
      <c r="H945" t="s">
        <v>3734</v>
      </c>
      <c r="I945" t="s">
        <v>1354</v>
      </c>
      <c r="K945" t="s">
        <v>6025</v>
      </c>
      <c r="L945" t="s">
        <v>6026</v>
      </c>
    </row>
    <row r="946" spans="1:12" x14ac:dyDescent="0.35">
      <c r="A946" t="s">
        <v>236</v>
      </c>
      <c r="B946" t="s">
        <v>378</v>
      </c>
      <c r="C946" t="s">
        <v>720</v>
      </c>
      <c r="D946">
        <v>0.45</v>
      </c>
      <c r="F946" t="s">
        <v>1316</v>
      </c>
      <c r="H946" t="s">
        <v>5819</v>
      </c>
      <c r="I946" t="s">
        <v>1354</v>
      </c>
      <c r="K946" t="s">
        <v>6025</v>
      </c>
      <c r="L946" t="s">
        <v>6026</v>
      </c>
    </row>
    <row r="947" spans="1:12" x14ac:dyDescent="0.35">
      <c r="A947" t="s">
        <v>236</v>
      </c>
      <c r="B947" t="s">
        <v>378</v>
      </c>
      <c r="C947" t="s">
        <v>720</v>
      </c>
      <c r="D947">
        <v>183</v>
      </c>
      <c r="F947" t="s">
        <v>5004</v>
      </c>
      <c r="H947" t="s">
        <v>3744</v>
      </c>
      <c r="I947" t="s">
        <v>1354</v>
      </c>
      <c r="K947" t="s">
        <v>6025</v>
      </c>
      <c r="L947" t="s">
        <v>6026</v>
      </c>
    </row>
    <row r="948" spans="1:12" x14ac:dyDescent="0.35">
      <c r="A948" t="s">
        <v>236</v>
      </c>
      <c r="B948" t="s">
        <v>378</v>
      </c>
      <c r="C948" t="s">
        <v>720</v>
      </c>
      <c r="D948">
        <v>6.5</v>
      </c>
      <c r="F948" t="s">
        <v>1419</v>
      </c>
      <c r="H948" t="s">
        <v>5818</v>
      </c>
      <c r="I948" t="s">
        <v>1354</v>
      </c>
      <c r="K948" t="s">
        <v>6025</v>
      </c>
      <c r="L948" t="s">
        <v>6026</v>
      </c>
    </row>
    <row r="949" spans="1:12" x14ac:dyDescent="0.35">
      <c r="A949" t="s">
        <v>236</v>
      </c>
      <c r="B949" t="s">
        <v>378</v>
      </c>
      <c r="C949" t="s">
        <v>720</v>
      </c>
      <c r="D949">
        <v>0.83</v>
      </c>
      <c r="F949" t="s">
        <v>1734</v>
      </c>
      <c r="H949" t="s">
        <v>5820</v>
      </c>
      <c r="I949" t="s">
        <v>1354</v>
      </c>
      <c r="K949" t="s">
        <v>6025</v>
      </c>
      <c r="L949" t="s">
        <v>6026</v>
      </c>
    </row>
    <row r="950" spans="1:12" x14ac:dyDescent="0.35">
      <c r="A950" t="s">
        <v>236</v>
      </c>
      <c r="B950" t="s">
        <v>378</v>
      </c>
      <c r="C950" t="s">
        <v>720</v>
      </c>
      <c r="D950">
        <v>0.43</v>
      </c>
      <c r="F950" t="s">
        <v>1441</v>
      </c>
      <c r="H950" t="s">
        <v>5821</v>
      </c>
      <c r="I950" t="s">
        <v>1354</v>
      </c>
      <c r="K950" t="s">
        <v>6025</v>
      </c>
      <c r="L950" t="s">
        <v>6026</v>
      </c>
    </row>
    <row r="951" spans="1:12" x14ac:dyDescent="0.35">
      <c r="A951" t="s">
        <v>236</v>
      </c>
      <c r="B951" t="s">
        <v>378</v>
      </c>
      <c r="C951" t="s">
        <v>708</v>
      </c>
      <c r="D951">
        <v>32</v>
      </c>
      <c r="F951" t="s">
        <v>1461</v>
      </c>
      <c r="H951" t="s">
        <v>3744</v>
      </c>
      <c r="I951" t="s">
        <v>1354</v>
      </c>
      <c r="K951" t="s">
        <v>6025</v>
      </c>
      <c r="L951" t="s">
        <v>6026</v>
      </c>
    </row>
    <row r="952" spans="1:12" x14ac:dyDescent="0.35">
      <c r="A952" t="s">
        <v>236</v>
      </c>
      <c r="B952" t="s">
        <v>378</v>
      </c>
      <c r="C952" t="s">
        <v>720</v>
      </c>
      <c r="D952">
        <v>5.67</v>
      </c>
      <c r="F952" t="s">
        <v>5387</v>
      </c>
      <c r="H952" t="s">
        <v>3737</v>
      </c>
      <c r="I952" t="s">
        <v>1354</v>
      </c>
      <c r="K952" t="s">
        <v>6025</v>
      </c>
      <c r="L952" t="s">
        <v>6026</v>
      </c>
    </row>
    <row r="953" spans="1:12" x14ac:dyDescent="0.35">
      <c r="A953" t="s">
        <v>236</v>
      </c>
      <c r="B953" t="s">
        <v>378</v>
      </c>
      <c r="C953" t="s">
        <v>708</v>
      </c>
      <c r="D953">
        <v>156</v>
      </c>
      <c r="F953" t="s">
        <v>4865</v>
      </c>
      <c r="H953" t="s">
        <v>5822</v>
      </c>
      <c r="I953" t="s">
        <v>1354</v>
      </c>
      <c r="K953" t="s">
        <v>6025</v>
      </c>
      <c r="L953" t="s">
        <v>6026</v>
      </c>
    </row>
    <row r="954" spans="1:12" x14ac:dyDescent="0.35">
      <c r="A954" t="s">
        <v>236</v>
      </c>
      <c r="B954" t="s">
        <v>378</v>
      </c>
      <c r="C954" t="s">
        <v>720</v>
      </c>
      <c r="D954">
        <v>9.83</v>
      </c>
      <c r="F954" t="s">
        <v>5388</v>
      </c>
      <c r="H954" t="s">
        <v>5822</v>
      </c>
      <c r="I954" t="s">
        <v>1354</v>
      </c>
      <c r="K954" t="s">
        <v>6025</v>
      </c>
      <c r="L954" t="s">
        <v>6026</v>
      </c>
    </row>
    <row r="955" spans="1:12" x14ac:dyDescent="0.35">
      <c r="A955" t="s">
        <v>236</v>
      </c>
      <c r="B955" t="s">
        <v>378</v>
      </c>
      <c r="C955" t="s">
        <v>720</v>
      </c>
      <c r="D955">
        <v>132.19999999999999</v>
      </c>
      <c r="F955" t="s">
        <v>5389</v>
      </c>
      <c r="H955" t="s">
        <v>3739</v>
      </c>
      <c r="I955" t="s">
        <v>1354</v>
      </c>
      <c r="K955" t="s">
        <v>6025</v>
      </c>
      <c r="L955" t="s">
        <v>6026</v>
      </c>
    </row>
    <row r="956" spans="1:12" x14ac:dyDescent="0.35">
      <c r="A956" t="s">
        <v>236</v>
      </c>
      <c r="B956" t="s">
        <v>378</v>
      </c>
      <c r="C956" t="s">
        <v>720</v>
      </c>
      <c r="D956">
        <v>362.8</v>
      </c>
      <c r="F956" t="s">
        <v>5390</v>
      </c>
      <c r="H956" t="s">
        <v>3734</v>
      </c>
      <c r="I956" t="s">
        <v>1354</v>
      </c>
      <c r="K956" t="s">
        <v>6025</v>
      </c>
      <c r="L956" t="s">
        <v>6026</v>
      </c>
    </row>
    <row r="957" spans="1:12" x14ac:dyDescent="0.35">
      <c r="A957" t="s">
        <v>236</v>
      </c>
      <c r="B957" t="s">
        <v>378</v>
      </c>
      <c r="C957" t="s">
        <v>708</v>
      </c>
      <c r="D957">
        <v>46.83</v>
      </c>
      <c r="F957" t="s">
        <v>5391</v>
      </c>
      <c r="H957" t="s">
        <v>3739</v>
      </c>
      <c r="I957" t="s">
        <v>1354</v>
      </c>
      <c r="K957" t="s">
        <v>6025</v>
      </c>
      <c r="L957" t="s">
        <v>6026</v>
      </c>
    </row>
    <row r="958" spans="1:12" x14ac:dyDescent="0.35">
      <c r="A958" t="s">
        <v>236</v>
      </c>
      <c r="B958" t="s">
        <v>378</v>
      </c>
      <c r="C958" t="s">
        <v>708</v>
      </c>
      <c r="D958">
        <v>37.83</v>
      </c>
      <c r="F958" t="s">
        <v>5392</v>
      </c>
      <c r="H958" t="s">
        <v>3734</v>
      </c>
      <c r="I958" t="s">
        <v>1354</v>
      </c>
      <c r="K958" t="s">
        <v>6025</v>
      </c>
      <c r="L958" t="s">
        <v>6026</v>
      </c>
    </row>
    <row r="959" spans="1:12" x14ac:dyDescent="0.35">
      <c r="A959" t="s">
        <v>236</v>
      </c>
      <c r="B959" t="s">
        <v>378</v>
      </c>
      <c r="C959" t="s">
        <v>708</v>
      </c>
      <c r="D959">
        <v>105.2</v>
      </c>
      <c r="F959" t="s">
        <v>5393</v>
      </c>
      <c r="H959" t="s">
        <v>5818</v>
      </c>
      <c r="I959" t="s">
        <v>1354</v>
      </c>
      <c r="K959" t="s">
        <v>6025</v>
      </c>
      <c r="L959" t="s">
        <v>6026</v>
      </c>
    </row>
    <row r="960" spans="1:12" x14ac:dyDescent="0.35">
      <c r="A960" t="s">
        <v>236</v>
      </c>
      <c r="B960" t="s">
        <v>497</v>
      </c>
      <c r="C960" t="s">
        <v>910</v>
      </c>
      <c r="D960">
        <v>27.7</v>
      </c>
      <c r="F960" t="s">
        <v>5394</v>
      </c>
      <c r="H960" t="s">
        <v>3745</v>
      </c>
      <c r="I960" t="s">
        <v>1394</v>
      </c>
      <c r="K960" t="s">
        <v>6025</v>
      </c>
      <c r="L960" t="s">
        <v>6026</v>
      </c>
    </row>
    <row r="961" spans="1:12" x14ac:dyDescent="0.35">
      <c r="A961" t="s">
        <v>236</v>
      </c>
      <c r="B961" t="s">
        <v>497</v>
      </c>
      <c r="C961" t="s">
        <v>917</v>
      </c>
      <c r="D961">
        <v>13.9</v>
      </c>
      <c r="F961" t="s">
        <v>1879</v>
      </c>
      <c r="H961" t="s">
        <v>3746</v>
      </c>
      <c r="I961" t="s">
        <v>1394</v>
      </c>
      <c r="K961" t="s">
        <v>6025</v>
      </c>
      <c r="L961" t="s">
        <v>6026</v>
      </c>
    </row>
    <row r="962" spans="1:12" x14ac:dyDescent="0.35">
      <c r="A962" t="s">
        <v>236</v>
      </c>
      <c r="B962" t="s">
        <v>497</v>
      </c>
      <c r="C962" t="s">
        <v>918</v>
      </c>
      <c r="D962">
        <v>29.3</v>
      </c>
      <c r="F962" t="s">
        <v>5395</v>
      </c>
      <c r="H962" t="s">
        <v>3745</v>
      </c>
      <c r="I962" t="s">
        <v>1394</v>
      </c>
      <c r="K962" t="s">
        <v>6025</v>
      </c>
      <c r="L962" t="s">
        <v>6026</v>
      </c>
    </row>
    <row r="963" spans="1:12" x14ac:dyDescent="0.35">
      <c r="A963" t="s">
        <v>236</v>
      </c>
      <c r="B963" t="s">
        <v>497</v>
      </c>
      <c r="C963" t="s">
        <v>912</v>
      </c>
      <c r="D963">
        <v>21.1</v>
      </c>
      <c r="F963" t="s">
        <v>5137</v>
      </c>
      <c r="H963" t="s">
        <v>3746</v>
      </c>
      <c r="I963" t="s">
        <v>1394</v>
      </c>
      <c r="K963" t="s">
        <v>6025</v>
      </c>
      <c r="L963" t="s">
        <v>6026</v>
      </c>
    </row>
    <row r="964" spans="1:12" x14ac:dyDescent="0.35">
      <c r="A964" t="s">
        <v>236</v>
      </c>
      <c r="B964" t="s">
        <v>497</v>
      </c>
      <c r="C964" t="s">
        <v>911</v>
      </c>
      <c r="D964">
        <v>22.8</v>
      </c>
      <c r="F964" t="s">
        <v>5396</v>
      </c>
      <c r="H964" t="s">
        <v>3745</v>
      </c>
      <c r="I964" t="s">
        <v>1394</v>
      </c>
      <c r="K964" t="s">
        <v>6025</v>
      </c>
      <c r="L964" t="s">
        <v>6026</v>
      </c>
    </row>
    <row r="965" spans="1:12" x14ac:dyDescent="0.35">
      <c r="A965" t="s">
        <v>236</v>
      </c>
      <c r="B965" t="s">
        <v>497</v>
      </c>
      <c r="C965" t="s">
        <v>916</v>
      </c>
      <c r="D965">
        <v>59.8</v>
      </c>
      <c r="F965" t="s">
        <v>5397</v>
      </c>
      <c r="H965" t="s">
        <v>3747</v>
      </c>
      <c r="I965" t="s">
        <v>1394</v>
      </c>
      <c r="K965" t="s">
        <v>6025</v>
      </c>
      <c r="L965" t="s">
        <v>6026</v>
      </c>
    </row>
    <row r="966" spans="1:12" x14ac:dyDescent="0.35">
      <c r="A966" t="s">
        <v>236</v>
      </c>
      <c r="B966" t="s">
        <v>497</v>
      </c>
      <c r="C966" t="s">
        <v>915</v>
      </c>
      <c r="D966">
        <v>25.65</v>
      </c>
      <c r="F966" t="s">
        <v>5398</v>
      </c>
      <c r="H966" t="s">
        <v>5823</v>
      </c>
      <c r="I966" t="s">
        <v>1394</v>
      </c>
      <c r="K966" t="s">
        <v>6025</v>
      </c>
      <c r="L966" t="s">
        <v>6026</v>
      </c>
    </row>
    <row r="967" spans="1:12" x14ac:dyDescent="0.35">
      <c r="A967" t="s">
        <v>236</v>
      </c>
      <c r="B967" t="s">
        <v>497</v>
      </c>
      <c r="C967" t="s">
        <v>913</v>
      </c>
      <c r="D967">
        <v>16.18</v>
      </c>
      <c r="F967" t="s">
        <v>5399</v>
      </c>
      <c r="H967" t="s">
        <v>3745</v>
      </c>
      <c r="I967" t="s">
        <v>1394</v>
      </c>
      <c r="K967" t="s">
        <v>6025</v>
      </c>
      <c r="L967" t="s">
        <v>6026</v>
      </c>
    </row>
    <row r="968" spans="1:12" x14ac:dyDescent="0.35">
      <c r="A968" t="s">
        <v>236</v>
      </c>
      <c r="B968" t="s">
        <v>497</v>
      </c>
      <c r="C968" t="s">
        <v>914</v>
      </c>
      <c r="D968">
        <v>122.4</v>
      </c>
      <c r="F968" t="s">
        <v>5400</v>
      </c>
      <c r="H968" t="s">
        <v>3745</v>
      </c>
      <c r="I968" t="s">
        <v>1394</v>
      </c>
      <c r="K968" t="s">
        <v>6025</v>
      </c>
      <c r="L968" t="s">
        <v>6026</v>
      </c>
    </row>
    <row r="969" spans="1:12" x14ac:dyDescent="0.35">
      <c r="A969" t="s">
        <v>236</v>
      </c>
      <c r="B969" t="s">
        <v>356</v>
      </c>
      <c r="C969" t="s">
        <v>923</v>
      </c>
      <c r="D969">
        <v>3.5</v>
      </c>
      <c r="F969" t="s">
        <v>1451</v>
      </c>
      <c r="H969" t="s">
        <v>3750</v>
      </c>
      <c r="I969" t="s">
        <v>1841</v>
      </c>
      <c r="K969" t="s">
        <v>6025</v>
      </c>
      <c r="L969" t="s">
        <v>6026</v>
      </c>
    </row>
    <row r="970" spans="1:12" x14ac:dyDescent="0.35">
      <c r="A970" t="s">
        <v>236</v>
      </c>
      <c r="B970" t="s">
        <v>356</v>
      </c>
      <c r="C970" t="s">
        <v>923</v>
      </c>
      <c r="D970">
        <v>0.4</v>
      </c>
      <c r="F970" t="s">
        <v>1315</v>
      </c>
      <c r="H970" t="s">
        <v>3750</v>
      </c>
      <c r="I970" t="s">
        <v>1841</v>
      </c>
      <c r="K970" t="s">
        <v>6025</v>
      </c>
      <c r="L970" t="s">
        <v>6026</v>
      </c>
    </row>
    <row r="971" spans="1:12" x14ac:dyDescent="0.35">
      <c r="A971" t="s">
        <v>236</v>
      </c>
      <c r="B971" t="s">
        <v>356</v>
      </c>
      <c r="C971" t="s">
        <v>921</v>
      </c>
      <c r="D971">
        <v>1.5</v>
      </c>
      <c r="F971" t="s">
        <v>1426</v>
      </c>
      <c r="H971" t="s">
        <v>3750</v>
      </c>
      <c r="I971" t="s">
        <v>1841</v>
      </c>
      <c r="K971" t="s">
        <v>6025</v>
      </c>
      <c r="L971" t="s">
        <v>6026</v>
      </c>
    </row>
    <row r="972" spans="1:12" x14ac:dyDescent="0.35">
      <c r="A972" t="s">
        <v>236</v>
      </c>
      <c r="B972" t="s">
        <v>356</v>
      </c>
      <c r="C972" t="s">
        <v>922</v>
      </c>
      <c r="D972">
        <v>1.3</v>
      </c>
      <c r="F972" t="s">
        <v>1358</v>
      </c>
      <c r="H972" t="s">
        <v>3750</v>
      </c>
      <c r="I972" t="s">
        <v>1841</v>
      </c>
      <c r="K972" t="s">
        <v>6025</v>
      </c>
      <c r="L972" t="s">
        <v>6026</v>
      </c>
    </row>
    <row r="973" spans="1:12" x14ac:dyDescent="0.35">
      <c r="A973" t="s">
        <v>236</v>
      </c>
      <c r="B973" t="s">
        <v>356</v>
      </c>
      <c r="C973" t="s">
        <v>921</v>
      </c>
      <c r="D973">
        <v>1.3</v>
      </c>
      <c r="F973" t="s">
        <v>1358</v>
      </c>
      <c r="H973" t="s">
        <v>3750</v>
      </c>
      <c r="I973" t="s">
        <v>1841</v>
      </c>
      <c r="K973" t="s">
        <v>6025</v>
      </c>
      <c r="L973" t="s">
        <v>6026</v>
      </c>
    </row>
    <row r="974" spans="1:12" x14ac:dyDescent="0.35">
      <c r="A974" t="s">
        <v>236</v>
      </c>
      <c r="B974" t="s">
        <v>356</v>
      </c>
      <c r="C974" t="s">
        <v>922</v>
      </c>
      <c r="D974">
        <v>3.1</v>
      </c>
      <c r="F974" t="s">
        <v>1374</v>
      </c>
      <c r="H974" t="s">
        <v>3750</v>
      </c>
      <c r="I974" t="s">
        <v>1841</v>
      </c>
      <c r="K974" t="s">
        <v>6025</v>
      </c>
      <c r="L974" t="s">
        <v>6026</v>
      </c>
    </row>
    <row r="975" spans="1:12" x14ac:dyDescent="0.35">
      <c r="A975" t="s">
        <v>236</v>
      </c>
      <c r="B975" t="s">
        <v>5041</v>
      </c>
      <c r="C975" t="s">
        <v>5055</v>
      </c>
      <c r="D975">
        <v>4.8000000000000001E-2</v>
      </c>
      <c r="F975" t="s">
        <v>1434</v>
      </c>
      <c r="H975" t="s">
        <v>5824</v>
      </c>
      <c r="I975" t="s">
        <v>1526</v>
      </c>
      <c r="K975" t="s">
        <v>6025</v>
      </c>
      <c r="L975" t="s">
        <v>6026</v>
      </c>
    </row>
    <row r="976" spans="1:12" x14ac:dyDescent="0.35">
      <c r="A976" t="s">
        <v>236</v>
      </c>
      <c r="B976" t="s">
        <v>499</v>
      </c>
      <c r="C976" t="s">
        <v>708</v>
      </c>
      <c r="D976">
        <v>6</v>
      </c>
      <c r="F976" t="s">
        <v>1766</v>
      </c>
      <c r="H976" t="s">
        <v>3761</v>
      </c>
      <c r="I976" t="s">
        <v>1383</v>
      </c>
      <c r="K976" t="s">
        <v>6025</v>
      </c>
      <c r="L976" t="s">
        <v>6026</v>
      </c>
    </row>
    <row r="977" spans="1:12" x14ac:dyDescent="0.35">
      <c r="A977" t="s">
        <v>236</v>
      </c>
      <c r="B977" t="s">
        <v>499</v>
      </c>
      <c r="C977" t="s">
        <v>720</v>
      </c>
      <c r="D977">
        <v>12.75</v>
      </c>
      <c r="F977" t="s">
        <v>5401</v>
      </c>
      <c r="H977" t="s">
        <v>3761</v>
      </c>
      <c r="I977" t="s">
        <v>1383</v>
      </c>
      <c r="K977" t="s">
        <v>6025</v>
      </c>
      <c r="L977" t="s">
        <v>6026</v>
      </c>
    </row>
    <row r="978" spans="1:12" x14ac:dyDescent="0.35">
      <c r="A978" t="s">
        <v>113</v>
      </c>
      <c r="B978" t="s">
        <v>454</v>
      </c>
      <c r="C978" t="s">
        <v>932</v>
      </c>
      <c r="D978">
        <v>23.43</v>
      </c>
      <c r="F978" t="s">
        <v>5402</v>
      </c>
      <c r="H978" t="s">
        <v>3769</v>
      </c>
      <c r="I978" t="s">
        <v>4934</v>
      </c>
      <c r="K978" t="s">
        <v>6025</v>
      </c>
      <c r="L978" t="s">
        <v>6026</v>
      </c>
    </row>
    <row r="979" spans="1:12" x14ac:dyDescent="0.35">
      <c r="A979" t="s">
        <v>113</v>
      </c>
      <c r="B979" t="s">
        <v>454</v>
      </c>
      <c r="C979" t="s">
        <v>720</v>
      </c>
      <c r="D979">
        <v>29.28</v>
      </c>
      <c r="F979" t="s">
        <v>5403</v>
      </c>
      <c r="H979" t="s">
        <v>3770</v>
      </c>
      <c r="I979" t="s">
        <v>4934</v>
      </c>
      <c r="K979" t="s">
        <v>6025</v>
      </c>
      <c r="L979" t="s">
        <v>6026</v>
      </c>
    </row>
    <row r="980" spans="1:12" x14ac:dyDescent="0.35">
      <c r="A980" t="s">
        <v>113</v>
      </c>
      <c r="B980" t="s">
        <v>500</v>
      </c>
      <c r="C980" t="s">
        <v>720</v>
      </c>
      <c r="D980">
        <v>0.08</v>
      </c>
      <c r="F980" t="s">
        <v>1402</v>
      </c>
      <c r="H980" t="s">
        <v>3771</v>
      </c>
      <c r="I980" t="s">
        <v>4935</v>
      </c>
      <c r="K980" t="s">
        <v>6025</v>
      </c>
      <c r="L980" t="s">
        <v>6026</v>
      </c>
    </row>
    <row r="981" spans="1:12" x14ac:dyDescent="0.35">
      <c r="A981" t="s">
        <v>113</v>
      </c>
      <c r="B981" t="s">
        <v>500</v>
      </c>
      <c r="C981" t="s">
        <v>932</v>
      </c>
      <c r="D981">
        <v>7.5999999999999998E-2</v>
      </c>
      <c r="F981" t="s">
        <v>2107</v>
      </c>
      <c r="H981" t="s">
        <v>3771</v>
      </c>
      <c r="I981" t="s">
        <v>4935</v>
      </c>
      <c r="K981" t="s">
        <v>6025</v>
      </c>
      <c r="L981" t="s">
        <v>6026</v>
      </c>
    </row>
    <row r="982" spans="1:12" x14ac:dyDescent="0.35">
      <c r="A982" t="s">
        <v>113</v>
      </c>
      <c r="B982" t="s">
        <v>454</v>
      </c>
      <c r="C982" t="s">
        <v>932</v>
      </c>
      <c r="D982">
        <v>9.94</v>
      </c>
      <c r="F982" t="s">
        <v>5404</v>
      </c>
      <c r="H982" t="s">
        <v>3772</v>
      </c>
      <c r="I982" t="s">
        <v>4934</v>
      </c>
      <c r="K982" t="s">
        <v>6025</v>
      </c>
      <c r="L982" t="s">
        <v>6026</v>
      </c>
    </row>
    <row r="983" spans="1:12" x14ac:dyDescent="0.35">
      <c r="A983" t="s">
        <v>113</v>
      </c>
      <c r="B983" t="s">
        <v>454</v>
      </c>
      <c r="C983" t="s">
        <v>720</v>
      </c>
      <c r="D983">
        <v>14.08</v>
      </c>
      <c r="F983" t="s">
        <v>5405</v>
      </c>
      <c r="H983" t="s">
        <v>3773</v>
      </c>
      <c r="I983" t="s">
        <v>4934</v>
      </c>
      <c r="K983" t="s">
        <v>6025</v>
      </c>
      <c r="L983" t="s">
        <v>6026</v>
      </c>
    </row>
    <row r="984" spans="1:12" x14ac:dyDescent="0.35">
      <c r="A984" t="s">
        <v>113</v>
      </c>
      <c r="B984" t="s">
        <v>454</v>
      </c>
      <c r="C984" t="s">
        <v>720</v>
      </c>
      <c r="D984">
        <v>13.55</v>
      </c>
      <c r="F984" t="s">
        <v>5406</v>
      </c>
      <c r="H984" t="s">
        <v>3774</v>
      </c>
      <c r="I984" t="s">
        <v>4934</v>
      </c>
      <c r="K984" t="s">
        <v>6025</v>
      </c>
      <c r="L984" t="s">
        <v>6026</v>
      </c>
    </row>
    <row r="985" spans="1:12" x14ac:dyDescent="0.35">
      <c r="A985" t="s">
        <v>113</v>
      </c>
      <c r="B985" t="s">
        <v>454</v>
      </c>
      <c r="C985" t="s">
        <v>932</v>
      </c>
      <c r="D985">
        <v>19.57</v>
      </c>
      <c r="F985" t="s">
        <v>5407</v>
      </c>
      <c r="H985" t="s">
        <v>5825</v>
      </c>
      <c r="I985" t="s">
        <v>4934</v>
      </c>
      <c r="K985" t="s">
        <v>6025</v>
      </c>
      <c r="L985" t="s">
        <v>6026</v>
      </c>
    </row>
    <row r="986" spans="1:12" x14ac:dyDescent="0.35">
      <c r="A986" t="s">
        <v>113</v>
      </c>
      <c r="B986" t="s">
        <v>501</v>
      </c>
      <c r="C986" t="s">
        <v>720</v>
      </c>
      <c r="D986">
        <v>95.78</v>
      </c>
      <c r="F986" t="s">
        <v>5408</v>
      </c>
      <c r="H986" t="s">
        <v>3776</v>
      </c>
      <c r="I986" t="s">
        <v>4936</v>
      </c>
      <c r="K986" t="s">
        <v>6025</v>
      </c>
      <c r="L986" t="s">
        <v>6026</v>
      </c>
    </row>
    <row r="987" spans="1:12" x14ac:dyDescent="0.35">
      <c r="A987" t="s">
        <v>113</v>
      </c>
      <c r="B987" t="s">
        <v>501</v>
      </c>
      <c r="C987" t="s">
        <v>932</v>
      </c>
      <c r="D987">
        <v>95.78</v>
      </c>
      <c r="F987" t="s">
        <v>5408</v>
      </c>
      <c r="H987" t="s">
        <v>3776</v>
      </c>
      <c r="I987" t="s">
        <v>4936</v>
      </c>
      <c r="K987" t="s">
        <v>6025</v>
      </c>
      <c r="L987" t="s">
        <v>6026</v>
      </c>
    </row>
    <row r="988" spans="1:12" x14ac:dyDescent="0.35">
      <c r="A988" t="s">
        <v>113</v>
      </c>
      <c r="B988" t="s">
        <v>5042</v>
      </c>
      <c r="C988" t="s">
        <v>931</v>
      </c>
      <c r="D988">
        <v>317</v>
      </c>
      <c r="F988" t="s">
        <v>5409</v>
      </c>
      <c r="I988" t="s">
        <v>4871</v>
      </c>
      <c r="K988" t="s">
        <v>6025</v>
      </c>
      <c r="L988" t="s">
        <v>6026</v>
      </c>
    </row>
    <row r="989" spans="1:12" x14ac:dyDescent="0.35">
      <c r="A989" t="s">
        <v>113</v>
      </c>
      <c r="B989" t="s">
        <v>377</v>
      </c>
      <c r="C989" t="s">
        <v>5056</v>
      </c>
      <c r="D989">
        <v>1.1000000000000001</v>
      </c>
      <c r="F989" t="s">
        <v>1505</v>
      </c>
      <c r="H989" t="s">
        <v>5826</v>
      </c>
      <c r="I989" t="s">
        <v>5023</v>
      </c>
      <c r="K989" t="s">
        <v>6025</v>
      </c>
      <c r="L989" t="s">
        <v>6026</v>
      </c>
    </row>
    <row r="990" spans="1:12" x14ac:dyDescent="0.35">
      <c r="A990" t="s">
        <v>113</v>
      </c>
      <c r="B990" t="s">
        <v>377</v>
      </c>
      <c r="C990" t="s">
        <v>5057</v>
      </c>
      <c r="D990">
        <v>0.3</v>
      </c>
      <c r="F990" t="s">
        <v>1401</v>
      </c>
      <c r="H990" t="s">
        <v>5826</v>
      </c>
      <c r="I990" t="s">
        <v>5023</v>
      </c>
      <c r="K990" t="s">
        <v>6025</v>
      </c>
      <c r="L990" t="s">
        <v>6026</v>
      </c>
    </row>
    <row r="991" spans="1:12" x14ac:dyDescent="0.35">
      <c r="A991" t="s">
        <v>113</v>
      </c>
      <c r="B991" t="s">
        <v>377</v>
      </c>
      <c r="C991" t="s">
        <v>5058</v>
      </c>
      <c r="D991">
        <v>0.1</v>
      </c>
      <c r="F991" t="s">
        <v>1309</v>
      </c>
      <c r="H991" t="s">
        <v>5827</v>
      </c>
      <c r="I991" t="s">
        <v>5023</v>
      </c>
      <c r="K991" t="s">
        <v>6025</v>
      </c>
      <c r="L991" t="s">
        <v>6026</v>
      </c>
    </row>
    <row r="992" spans="1:12" x14ac:dyDescent="0.35">
      <c r="A992" t="s">
        <v>113</v>
      </c>
      <c r="B992" t="s">
        <v>377</v>
      </c>
      <c r="C992" t="s">
        <v>5059</v>
      </c>
      <c r="D992">
        <v>0.1</v>
      </c>
      <c r="F992" t="s">
        <v>1309</v>
      </c>
      <c r="H992" t="s">
        <v>5828</v>
      </c>
      <c r="I992" t="s">
        <v>5023</v>
      </c>
      <c r="K992" t="s">
        <v>6025</v>
      </c>
      <c r="L992" t="s">
        <v>6026</v>
      </c>
    </row>
    <row r="993" spans="1:12" x14ac:dyDescent="0.35">
      <c r="A993" t="s">
        <v>113</v>
      </c>
      <c r="B993" t="s">
        <v>377</v>
      </c>
      <c r="C993" t="s">
        <v>5060</v>
      </c>
      <c r="D993">
        <v>0.2</v>
      </c>
      <c r="F993" t="s">
        <v>1371</v>
      </c>
      <c r="H993" t="s">
        <v>5826</v>
      </c>
      <c r="I993" t="s">
        <v>5023</v>
      </c>
      <c r="K993" t="s">
        <v>6025</v>
      </c>
      <c r="L993" t="s">
        <v>6026</v>
      </c>
    </row>
    <row r="994" spans="1:12" x14ac:dyDescent="0.35">
      <c r="A994" t="s">
        <v>113</v>
      </c>
      <c r="B994" t="s">
        <v>377</v>
      </c>
      <c r="C994" t="s">
        <v>804</v>
      </c>
      <c r="D994">
        <v>1</v>
      </c>
      <c r="F994" t="s">
        <v>1317</v>
      </c>
      <c r="H994" t="s">
        <v>5829</v>
      </c>
      <c r="I994" t="s">
        <v>5023</v>
      </c>
      <c r="K994" t="s">
        <v>6025</v>
      </c>
      <c r="L994" t="s">
        <v>6026</v>
      </c>
    </row>
    <row r="995" spans="1:12" x14ac:dyDescent="0.35">
      <c r="A995" t="s">
        <v>113</v>
      </c>
      <c r="B995" t="s">
        <v>377</v>
      </c>
      <c r="C995" t="s">
        <v>5061</v>
      </c>
      <c r="D995">
        <v>7</v>
      </c>
      <c r="F995" t="s">
        <v>1335</v>
      </c>
      <c r="H995" t="s">
        <v>5827</v>
      </c>
      <c r="I995" t="s">
        <v>5023</v>
      </c>
      <c r="K995" t="s">
        <v>6025</v>
      </c>
      <c r="L995" t="s">
        <v>6026</v>
      </c>
    </row>
    <row r="996" spans="1:12" x14ac:dyDescent="0.35">
      <c r="A996" t="s">
        <v>113</v>
      </c>
      <c r="B996" t="s">
        <v>377</v>
      </c>
      <c r="C996" t="s">
        <v>932</v>
      </c>
      <c r="D996">
        <v>120</v>
      </c>
      <c r="F996" t="s">
        <v>2329</v>
      </c>
      <c r="H996" t="s">
        <v>3795</v>
      </c>
      <c r="I996" t="s">
        <v>1966</v>
      </c>
      <c r="K996" t="s">
        <v>6025</v>
      </c>
      <c r="L996" t="s">
        <v>6026</v>
      </c>
    </row>
    <row r="997" spans="1:12" x14ac:dyDescent="0.35">
      <c r="A997" t="s">
        <v>113</v>
      </c>
      <c r="B997" t="s">
        <v>377</v>
      </c>
      <c r="C997" t="s">
        <v>932</v>
      </c>
      <c r="D997">
        <v>2</v>
      </c>
      <c r="F997" t="s">
        <v>1372</v>
      </c>
      <c r="H997" t="s">
        <v>5830</v>
      </c>
      <c r="I997" t="s">
        <v>1966</v>
      </c>
      <c r="K997" t="s">
        <v>6025</v>
      </c>
      <c r="L997" t="s">
        <v>6026</v>
      </c>
    </row>
    <row r="998" spans="1:12" x14ac:dyDescent="0.35">
      <c r="A998" t="s">
        <v>113</v>
      </c>
      <c r="B998" t="s">
        <v>377</v>
      </c>
      <c r="C998" t="s">
        <v>5062</v>
      </c>
      <c r="D998">
        <v>5.5</v>
      </c>
      <c r="F998" t="s">
        <v>1860</v>
      </c>
      <c r="H998" t="s">
        <v>5826</v>
      </c>
      <c r="I998" t="s">
        <v>5023</v>
      </c>
      <c r="K998" t="s">
        <v>6025</v>
      </c>
      <c r="L998" t="s">
        <v>6026</v>
      </c>
    </row>
    <row r="999" spans="1:12" x14ac:dyDescent="0.35">
      <c r="A999" t="s">
        <v>113</v>
      </c>
      <c r="B999" t="s">
        <v>377</v>
      </c>
      <c r="C999" t="s">
        <v>940</v>
      </c>
      <c r="D999">
        <v>0.08</v>
      </c>
      <c r="F999" t="s">
        <v>1402</v>
      </c>
      <c r="H999" t="s">
        <v>3796</v>
      </c>
      <c r="I999" t="s">
        <v>4897</v>
      </c>
      <c r="K999" t="s">
        <v>6025</v>
      </c>
      <c r="L999" t="s">
        <v>6026</v>
      </c>
    </row>
    <row r="1000" spans="1:12" x14ac:dyDescent="0.35">
      <c r="A1000" t="s">
        <v>113</v>
      </c>
      <c r="B1000" t="s">
        <v>377</v>
      </c>
      <c r="C1000" t="s">
        <v>5063</v>
      </c>
      <c r="D1000">
        <v>5</v>
      </c>
      <c r="F1000" t="s">
        <v>1477</v>
      </c>
      <c r="H1000" t="s">
        <v>5828</v>
      </c>
      <c r="I1000" t="s">
        <v>5023</v>
      </c>
      <c r="K1000" t="s">
        <v>6025</v>
      </c>
      <c r="L1000" t="s">
        <v>6026</v>
      </c>
    </row>
    <row r="1001" spans="1:12" x14ac:dyDescent="0.35">
      <c r="A1001" t="s">
        <v>113</v>
      </c>
      <c r="B1001" t="s">
        <v>377</v>
      </c>
      <c r="C1001" t="s">
        <v>5064</v>
      </c>
      <c r="D1001">
        <v>0.11</v>
      </c>
      <c r="F1001" t="s">
        <v>1295</v>
      </c>
      <c r="H1001" t="s">
        <v>5827</v>
      </c>
      <c r="I1001" t="s">
        <v>5023</v>
      </c>
      <c r="K1001" t="s">
        <v>6025</v>
      </c>
      <c r="L1001" t="s">
        <v>6026</v>
      </c>
    </row>
    <row r="1002" spans="1:12" x14ac:dyDescent="0.35">
      <c r="A1002" t="s">
        <v>113</v>
      </c>
      <c r="B1002" t="s">
        <v>377</v>
      </c>
      <c r="C1002" t="s">
        <v>937</v>
      </c>
      <c r="D1002">
        <v>1.55</v>
      </c>
      <c r="F1002" t="s">
        <v>1726</v>
      </c>
      <c r="H1002" t="s">
        <v>3796</v>
      </c>
      <c r="I1002" t="s">
        <v>4897</v>
      </c>
      <c r="K1002" t="s">
        <v>6025</v>
      </c>
      <c r="L1002" t="s">
        <v>6026</v>
      </c>
    </row>
    <row r="1003" spans="1:12" x14ac:dyDescent="0.35">
      <c r="A1003" t="s">
        <v>113</v>
      </c>
      <c r="B1003" t="s">
        <v>377</v>
      </c>
      <c r="C1003" t="s">
        <v>941</v>
      </c>
      <c r="D1003">
        <v>0.35</v>
      </c>
      <c r="F1003" t="s">
        <v>1294</v>
      </c>
      <c r="H1003" t="s">
        <v>3796</v>
      </c>
      <c r="I1003" t="s">
        <v>4897</v>
      </c>
      <c r="K1003" t="s">
        <v>6025</v>
      </c>
      <c r="L1003" t="s">
        <v>6026</v>
      </c>
    </row>
    <row r="1004" spans="1:12" x14ac:dyDescent="0.35">
      <c r="A1004" t="s">
        <v>113</v>
      </c>
      <c r="B1004" t="s">
        <v>377</v>
      </c>
      <c r="C1004" t="s">
        <v>5065</v>
      </c>
      <c r="D1004">
        <v>0.14000000000000001</v>
      </c>
      <c r="F1004" t="s">
        <v>1361</v>
      </c>
      <c r="H1004" t="s">
        <v>5826</v>
      </c>
      <c r="I1004" t="s">
        <v>5023</v>
      </c>
      <c r="K1004" t="s">
        <v>6025</v>
      </c>
      <c r="L1004" t="s">
        <v>6026</v>
      </c>
    </row>
    <row r="1005" spans="1:12" x14ac:dyDescent="0.35">
      <c r="A1005" t="s">
        <v>113</v>
      </c>
      <c r="B1005" t="s">
        <v>377</v>
      </c>
      <c r="C1005" t="s">
        <v>938</v>
      </c>
      <c r="D1005">
        <v>0.39</v>
      </c>
      <c r="F1005" t="s">
        <v>1422</v>
      </c>
      <c r="H1005" t="s">
        <v>3796</v>
      </c>
      <c r="I1005" t="s">
        <v>4897</v>
      </c>
      <c r="K1005" t="s">
        <v>6025</v>
      </c>
      <c r="L1005" t="s">
        <v>6026</v>
      </c>
    </row>
    <row r="1006" spans="1:12" x14ac:dyDescent="0.35">
      <c r="A1006" t="s">
        <v>113</v>
      </c>
      <c r="B1006" t="s">
        <v>377</v>
      </c>
      <c r="C1006" t="s">
        <v>5066</v>
      </c>
      <c r="D1006">
        <v>0.22</v>
      </c>
      <c r="F1006" t="s">
        <v>1438</v>
      </c>
      <c r="H1006" t="s">
        <v>5826</v>
      </c>
      <c r="I1006" t="s">
        <v>5023</v>
      </c>
      <c r="K1006" t="s">
        <v>6025</v>
      </c>
      <c r="L1006" t="s">
        <v>6026</v>
      </c>
    </row>
    <row r="1007" spans="1:12" x14ac:dyDescent="0.35">
      <c r="A1007" t="s">
        <v>113</v>
      </c>
      <c r="B1007" t="s">
        <v>508</v>
      </c>
      <c r="C1007" t="s">
        <v>931</v>
      </c>
      <c r="D1007">
        <v>0.19</v>
      </c>
      <c r="F1007" t="s">
        <v>1538</v>
      </c>
      <c r="H1007" t="s">
        <v>5831</v>
      </c>
      <c r="I1007" t="s">
        <v>2325</v>
      </c>
      <c r="K1007" t="s">
        <v>6025</v>
      </c>
      <c r="L1007" t="s">
        <v>6026</v>
      </c>
    </row>
    <row r="1008" spans="1:12" x14ac:dyDescent="0.35">
      <c r="A1008" t="s">
        <v>113</v>
      </c>
      <c r="B1008" t="s">
        <v>508</v>
      </c>
      <c r="C1008" t="s">
        <v>942</v>
      </c>
      <c r="D1008">
        <v>16</v>
      </c>
      <c r="F1008" t="s">
        <v>1526</v>
      </c>
      <c r="H1008" t="s">
        <v>3804</v>
      </c>
      <c r="I1008" t="s">
        <v>2325</v>
      </c>
      <c r="K1008" t="s">
        <v>6025</v>
      </c>
      <c r="L1008" t="s">
        <v>6026</v>
      </c>
    </row>
    <row r="1009" spans="1:12" x14ac:dyDescent="0.35">
      <c r="A1009" t="s">
        <v>113</v>
      </c>
      <c r="B1009" t="s">
        <v>508</v>
      </c>
      <c r="C1009" t="s">
        <v>942</v>
      </c>
      <c r="D1009">
        <v>1.2</v>
      </c>
      <c r="F1009" t="s">
        <v>1421</v>
      </c>
      <c r="H1009" t="s">
        <v>3804</v>
      </c>
      <c r="I1009" t="s">
        <v>2325</v>
      </c>
      <c r="K1009" t="s">
        <v>6025</v>
      </c>
      <c r="L1009" t="s">
        <v>6026</v>
      </c>
    </row>
    <row r="1010" spans="1:12" x14ac:dyDescent="0.35">
      <c r="A1010" t="s">
        <v>113</v>
      </c>
      <c r="B1010" t="s">
        <v>512</v>
      </c>
      <c r="C1010" t="s">
        <v>720</v>
      </c>
      <c r="D1010">
        <v>367</v>
      </c>
      <c r="F1010" t="s">
        <v>5410</v>
      </c>
      <c r="H1010" t="s">
        <v>3808</v>
      </c>
      <c r="I1010" t="s">
        <v>2052</v>
      </c>
      <c r="K1010" t="s">
        <v>6025</v>
      </c>
      <c r="L1010" t="s">
        <v>6026</v>
      </c>
    </row>
    <row r="1011" spans="1:12" x14ac:dyDescent="0.35">
      <c r="A1011" t="s">
        <v>113</v>
      </c>
      <c r="B1011" t="s">
        <v>512</v>
      </c>
      <c r="C1011" t="s">
        <v>708</v>
      </c>
      <c r="D1011">
        <v>38</v>
      </c>
      <c r="F1011" t="s">
        <v>1707</v>
      </c>
      <c r="H1011" t="s">
        <v>3808</v>
      </c>
      <c r="I1011" t="s">
        <v>2052</v>
      </c>
      <c r="K1011" t="s">
        <v>6025</v>
      </c>
      <c r="L1011" t="s">
        <v>6026</v>
      </c>
    </row>
    <row r="1012" spans="1:12" x14ac:dyDescent="0.35">
      <c r="A1012" t="s">
        <v>113</v>
      </c>
      <c r="B1012" t="s">
        <v>400</v>
      </c>
      <c r="C1012" t="s">
        <v>932</v>
      </c>
      <c r="D1012">
        <v>50.14</v>
      </c>
      <c r="F1012" t="s">
        <v>5411</v>
      </c>
      <c r="H1012" t="s">
        <v>3811</v>
      </c>
      <c r="I1012" t="s">
        <v>4886</v>
      </c>
      <c r="K1012" t="s">
        <v>6025</v>
      </c>
      <c r="L1012" t="s">
        <v>6026</v>
      </c>
    </row>
    <row r="1013" spans="1:12" x14ac:dyDescent="0.35">
      <c r="A1013" t="s">
        <v>113</v>
      </c>
      <c r="B1013" t="s">
        <v>400</v>
      </c>
      <c r="C1013" t="s">
        <v>720</v>
      </c>
      <c r="D1013">
        <v>53.72</v>
      </c>
      <c r="F1013" t="s">
        <v>5412</v>
      </c>
      <c r="H1013" t="s">
        <v>3810</v>
      </c>
      <c r="I1013" t="s">
        <v>4886</v>
      </c>
      <c r="K1013" t="s">
        <v>6025</v>
      </c>
      <c r="L1013" t="s">
        <v>6026</v>
      </c>
    </row>
    <row r="1014" spans="1:12" x14ac:dyDescent="0.35">
      <c r="A1014" t="s">
        <v>113</v>
      </c>
      <c r="B1014" t="s">
        <v>353</v>
      </c>
      <c r="C1014" t="s">
        <v>945</v>
      </c>
      <c r="D1014">
        <v>85</v>
      </c>
      <c r="F1014" t="s">
        <v>2326</v>
      </c>
      <c r="H1014" t="s">
        <v>3831</v>
      </c>
      <c r="I1014" t="s">
        <v>4928</v>
      </c>
      <c r="K1014" t="s">
        <v>6025</v>
      </c>
      <c r="L1014" t="s">
        <v>6026</v>
      </c>
    </row>
    <row r="1015" spans="1:12" x14ac:dyDescent="0.35">
      <c r="A1015" t="s">
        <v>113</v>
      </c>
      <c r="B1015" t="s">
        <v>353</v>
      </c>
      <c r="C1015" t="s">
        <v>931</v>
      </c>
      <c r="D1015">
        <v>733.3</v>
      </c>
      <c r="F1015" t="s">
        <v>5413</v>
      </c>
      <c r="H1015" t="s">
        <v>3826</v>
      </c>
      <c r="I1015" t="s">
        <v>4928</v>
      </c>
      <c r="K1015" t="s">
        <v>6025</v>
      </c>
      <c r="L1015" t="s">
        <v>6026</v>
      </c>
    </row>
    <row r="1016" spans="1:12" x14ac:dyDescent="0.35">
      <c r="A1016" t="s">
        <v>113</v>
      </c>
      <c r="B1016" t="s">
        <v>353</v>
      </c>
      <c r="C1016" t="s">
        <v>945</v>
      </c>
      <c r="D1016">
        <v>101.7</v>
      </c>
      <c r="F1016" t="s">
        <v>5414</v>
      </c>
      <c r="H1016" t="s">
        <v>3826</v>
      </c>
      <c r="I1016" t="s">
        <v>4928</v>
      </c>
      <c r="K1016" t="s">
        <v>6025</v>
      </c>
      <c r="L1016" t="s">
        <v>6026</v>
      </c>
    </row>
    <row r="1017" spans="1:12" x14ac:dyDescent="0.35">
      <c r="A1017" t="s">
        <v>113</v>
      </c>
      <c r="B1017" t="s">
        <v>353</v>
      </c>
      <c r="C1017" t="s">
        <v>931</v>
      </c>
      <c r="D1017">
        <v>538.29999999999995</v>
      </c>
      <c r="F1017" t="s">
        <v>5415</v>
      </c>
      <c r="H1017" t="s">
        <v>3831</v>
      </c>
      <c r="I1017" t="s">
        <v>4928</v>
      </c>
      <c r="K1017" t="s">
        <v>6025</v>
      </c>
      <c r="L1017" t="s">
        <v>6026</v>
      </c>
    </row>
    <row r="1018" spans="1:12" x14ac:dyDescent="0.35">
      <c r="A1018" t="s">
        <v>113</v>
      </c>
      <c r="B1018" t="s">
        <v>353</v>
      </c>
      <c r="C1018" t="s">
        <v>932</v>
      </c>
      <c r="D1018">
        <v>548.70000000000005</v>
      </c>
      <c r="F1018" t="s">
        <v>5416</v>
      </c>
      <c r="H1018" t="s">
        <v>5832</v>
      </c>
      <c r="I1018" t="s">
        <v>4946</v>
      </c>
      <c r="K1018" t="s">
        <v>6025</v>
      </c>
      <c r="L1018" t="s">
        <v>6026</v>
      </c>
    </row>
    <row r="1019" spans="1:12" x14ac:dyDescent="0.35">
      <c r="A1019" t="s">
        <v>113</v>
      </c>
      <c r="B1019" t="s">
        <v>353</v>
      </c>
      <c r="C1019" t="s">
        <v>946</v>
      </c>
      <c r="D1019">
        <v>405.8</v>
      </c>
      <c r="F1019" t="s">
        <v>5417</v>
      </c>
      <c r="H1019" t="s">
        <v>5833</v>
      </c>
      <c r="I1019" t="s">
        <v>4946</v>
      </c>
      <c r="K1019" t="s">
        <v>6025</v>
      </c>
      <c r="L1019" t="s">
        <v>6026</v>
      </c>
    </row>
    <row r="1020" spans="1:12" x14ac:dyDescent="0.35">
      <c r="A1020" t="s">
        <v>113</v>
      </c>
      <c r="B1020" t="s">
        <v>525</v>
      </c>
      <c r="C1020" t="s">
        <v>720</v>
      </c>
      <c r="D1020">
        <v>700</v>
      </c>
      <c r="F1020" t="s">
        <v>5418</v>
      </c>
      <c r="H1020" t="s">
        <v>3841</v>
      </c>
      <c r="I1020" t="s">
        <v>4949</v>
      </c>
      <c r="K1020" t="s">
        <v>6025</v>
      </c>
      <c r="L1020" t="s">
        <v>6026</v>
      </c>
    </row>
    <row r="1021" spans="1:12" x14ac:dyDescent="0.35">
      <c r="A1021" t="s">
        <v>113</v>
      </c>
      <c r="B1021" t="s">
        <v>525</v>
      </c>
      <c r="C1021" t="s">
        <v>720</v>
      </c>
      <c r="D1021">
        <v>217</v>
      </c>
      <c r="F1021" t="s">
        <v>4956</v>
      </c>
      <c r="H1021" t="s">
        <v>5834</v>
      </c>
      <c r="I1021" t="s">
        <v>4949</v>
      </c>
      <c r="K1021" t="s">
        <v>6025</v>
      </c>
      <c r="L1021" t="s">
        <v>6026</v>
      </c>
    </row>
    <row r="1022" spans="1:12" x14ac:dyDescent="0.35">
      <c r="A1022" t="s">
        <v>113</v>
      </c>
      <c r="B1022" t="s">
        <v>460</v>
      </c>
      <c r="C1022" t="s">
        <v>708</v>
      </c>
      <c r="D1022">
        <v>32.5</v>
      </c>
      <c r="F1022" t="s">
        <v>5419</v>
      </c>
      <c r="I1022" t="s">
        <v>1551</v>
      </c>
      <c r="K1022" t="s">
        <v>6025</v>
      </c>
      <c r="L1022" t="s">
        <v>6026</v>
      </c>
    </row>
    <row r="1023" spans="1:12" x14ac:dyDescent="0.35">
      <c r="A1023" t="s">
        <v>113</v>
      </c>
      <c r="B1023" t="s">
        <v>460</v>
      </c>
      <c r="C1023" t="s">
        <v>720</v>
      </c>
      <c r="D1023">
        <v>37.5</v>
      </c>
      <c r="F1023" t="s">
        <v>1887</v>
      </c>
      <c r="I1023" t="s">
        <v>1551</v>
      </c>
      <c r="K1023" t="s">
        <v>6025</v>
      </c>
      <c r="L1023" t="s">
        <v>6026</v>
      </c>
    </row>
    <row r="1024" spans="1:12" x14ac:dyDescent="0.35">
      <c r="A1024" t="s">
        <v>113</v>
      </c>
      <c r="B1024" t="s">
        <v>175</v>
      </c>
      <c r="C1024" t="s">
        <v>950</v>
      </c>
      <c r="D1024">
        <v>2.6</v>
      </c>
      <c r="F1024" t="s">
        <v>1428</v>
      </c>
      <c r="H1024" t="s">
        <v>3851</v>
      </c>
      <c r="I1024" t="s">
        <v>4872</v>
      </c>
      <c r="K1024" t="s">
        <v>6025</v>
      </c>
      <c r="L1024" t="s">
        <v>6026</v>
      </c>
    </row>
    <row r="1025" spans="1:12" x14ac:dyDescent="0.35">
      <c r="A1025" t="s">
        <v>113</v>
      </c>
      <c r="B1025" t="s">
        <v>175</v>
      </c>
      <c r="C1025" t="s">
        <v>941</v>
      </c>
      <c r="D1025">
        <v>0.34</v>
      </c>
      <c r="F1025" t="s">
        <v>1327</v>
      </c>
      <c r="H1025" t="s">
        <v>3853</v>
      </c>
      <c r="I1025" t="s">
        <v>4897</v>
      </c>
      <c r="K1025" t="s">
        <v>6025</v>
      </c>
      <c r="L1025" t="s">
        <v>6026</v>
      </c>
    </row>
    <row r="1026" spans="1:12" x14ac:dyDescent="0.35">
      <c r="A1026" t="s">
        <v>113</v>
      </c>
      <c r="B1026" t="s">
        <v>175</v>
      </c>
      <c r="C1026" t="s">
        <v>949</v>
      </c>
      <c r="D1026">
        <v>0.34</v>
      </c>
      <c r="F1026" t="s">
        <v>1327</v>
      </c>
      <c r="H1026" t="s">
        <v>3849</v>
      </c>
      <c r="I1026" t="s">
        <v>4872</v>
      </c>
      <c r="K1026" t="s">
        <v>6025</v>
      </c>
      <c r="L1026" t="s">
        <v>6026</v>
      </c>
    </row>
    <row r="1027" spans="1:12" x14ac:dyDescent="0.35">
      <c r="A1027" t="s">
        <v>113</v>
      </c>
      <c r="B1027" t="s">
        <v>175</v>
      </c>
      <c r="C1027" t="s">
        <v>945</v>
      </c>
      <c r="D1027">
        <v>0.16</v>
      </c>
      <c r="F1027" t="s">
        <v>1573</v>
      </c>
      <c r="H1027" t="s">
        <v>3856</v>
      </c>
      <c r="I1027" t="s">
        <v>4928</v>
      </c>
      <c r="K1027" t="s">
        <v>6025</v>
      </c>
      <c r="L1027" t="s">
        <v>6026</v>
      </c>
    </row>
    <row r="1028" spans="1:12" x14ac:dyDescent="0.35">
      <c r="A1028" t="s">
        <v>113</v>
      </c>
      <c r="B1028" t="s">
        <v>175</v>
      </c>
      <c r="C1028" t="s">
        <v>947</v>
      </c>
      <c r="D1028">
        <v>0.16</v>
      </c>
      <c r="F1028" t="s">
        <v>1573</v>
      </c>
      <c r="I1028" t="s">
        <v>4872</v>
      </c>
      <c r="K1028" t="s">
        <v>6025</v>
      </c>
      <c r="L1028" t="s">
        <v>6026</v>
      </c>
    </row>
    <row r="1029" spans="1:12" x14ac:dyDescent="0.35">
      <c r="A1029" t="s">
        <v>113</v>
      </c>
      <c r="B1029" t="s">
        <v>175</v>
      </c>
      <c r="C1029" t="s">
        <v>940</v>
      </c>
      <c r="D1029">
        <v>0.11</v>
      </c>
      <c r="F1029" t="s">
        <v>1295</v>
      </c>
      <c r="H1029" t="s">
        <v>3853</v>
      </c>
      <c r="I1029" t="s">
        <v>4897</v>
      </c>
      <c r="K1029" t="s">
        <v>6025</v>
      </c>
      <c r="L1029" t="s">
        <v>6026</v>
      </c>
    </row>
    <row r="1030" spans="1:12" x14ac:dyDescent="0.35">
      <c r="A1030" t="s">
        <v>113</v>
      </c>
      <c r="B1030" t="s">
        <v>175</v>
      </c>
      <c r="C1030" t="s">
        <v>938</v>
      </c>
      <c r="D1030">
        <v>0.13</v>
      </c>
      <c r="F1030" t="s">
        <v>1466</v>
      </c>
      <c r="H1030" t="s">
        <v>3853</v>
      </c>
      <c r="I1030" t="s">
        <v>4897</v>
      </c>
      <c r="K1030" t="s">
        <v>6025</v>
      </c>
      <c r="L1030" t="s">
        <v>6026</v>
      </c>
    </row>
    <row r="1031" spans="1:12" x14ac:dyDescent="0.35">
      <c r="A1031" t="s">
        <v>113</v>
      </c>
      <c r="B1031" t="s">
        <v>175</v>
      </c>
      <c r="C1031" t="s">
        <v>932</v>
      </c>
      <c r="D1031">
        <v>48.3</v>
      </c>
      <c r="F1031" t="s">
        <v>5420</v>
      </c>
      <c r="H1031" t="s">
        <v>5835</v>
      </c>
      <c r="I1031" t="s">
        <v>1372</v>
      </c>
      <c r="K1031" t="s">
        <v>6025</v>
      </c>
      <c r="L1031" t="s">
        <v>6026</v>
      </c>
    </row>
    <row r="1032" spans="1:12" x14ac:dyDescent="0.35">
      <c r="A1032" t="s">
        <v>113</v>
      </c>
      <c r="B1032" t="s">
        <v>175</v>
      </c>
      <c r="C1032" t="s">
        <v>937</v>
      </c>
      <c r="D1032">
        <v>2.23</v>
      </c>
      <c r="F1032" t="s">
        <v>5358</v>
      </c>
      <c r="H1032" t="s">
        <v>3853</v>
      </c>
      <c r="I1032" t="s">
        <v>4897</v>
      </c>
      <c r="K1032" t="s">
        <v>6025</v>
      </c>
      <c r="L1032" t="s">
        <v>6026</v>
      </c>
    </row>
    <row r="1033" spans="1:12" x14ac:dyDescent="0.35">
      <c r="A1033" t="s">
        <v>113</v>
      </c>
      <c r="B1033" t="s">
        <v>175</v>
      </c>
      <c r="C1033" t="s">
        <v>949</v>
      </c>
      <c r="D1033">
        <v>1.47</v>
      </c>
      <c r="F1033" t="s">
        <v>1521</v>
      </c>
      <c r="H1033" t="s">
        <v>3849</v>
      </c>
      <c r="I1033" t="s">
        <v>4872</v>
      </c>
      <c r="K1033" t="s">
        <v>6025</v>
      </c>
      <c r="L1033" t="s">
        <v>6026</v>
      </c>
    </row>
    <row r="1034" spans="1:12" x14ac:dyDescent="0.35">
      <c r="A1034" t="s">
        <v>113</v>
      </c>
      <c r="B1034" t="s">
        <v>175</v>
      </c>
      <c r="C1034" t="s">
        <v>800</v>
      </c>
      <c r="D1034">
        <v>0.16</v>
      </c>
      <c r="F1034" t="s">
        <v>1573</v>
      </c>
      <c r="H1034" t="s">
        <v>5836</v>
      </c>
      <c r="I1034" t="s">
        <v>4897</v>
      </c>
      <c r="K1034" t="s">
        <v>6025</v>
      </c>
      <c r="L1034" t="s">
        <v>6026</v>
      </c>
    </row>
    <row r="1035" spans="1:12" x14ac:dyDescent="0.35">
      <c r="A1035" t="s">
        <v>113</v>
      </c>
      <c r="B1035" t="s">
        <v>175</v>
      </c>
      <c r="C1035" t="s">
        <v>939</v>
      </c>
      <c r="D1035">
        <v>0.35</v>
      </c>
      <c r="F1035" t="s">
        <v>1294</v>
      </c>
      <c r="H1035" t="s">
        <v>5836</v>
      </c>
      <c r="I1035" t="s">
        <v>4897</v>
      </c>
      <c r="K1035" t="s">
        <v>6025</v>
      </c>
      <c r="L1035" t="s">
        <v>6026</v>
      </c>
    </row>
    <row r="1036" spans="1:12" x14ac:dyDescent="0.35">
      <c r="A1036" t="s">
        <v>113</v>
      </c>
      <c r="B1036" t="s">
        <v>175</v>
      </c>
      <c r="C1036" t="s">
        <v>804</v>
      </c>
      <c r="D1036">
        <v>1.08</v>
      </c>
      <c r="F1036" t="s">
        <v>1831</v>
      </c>
      <c r="H1036" t="s">
        <v>5836</v>
      </c>
      <c r="I1036" t="s">
        <v>4897</v>
      </c>
      <c r="K1036" t="s">
        <v>6025</v>
      </c>
      <c r="L1036" t="s">
        <v>6026</v>
      </c>
    </row>
    <row r="1037" spans="1:12" x14ac:dyDescent="0.35">
      <c r="A1037" t="s">
        <v>113</v>
      </c>
      <c r="B1037" t="s">
        <v>175</v>
      </c>
      <c r="C1037" t="s">
        <v>931</v>
      </c>
      <c r="D1037">
        <v>210</v>
      </c>
      <c r="F1037" t="s">
        <v>2403</v>
      </c>
      <c r="H1037" t="s">
        <v>3856</v>
      </c>
      <c r="I1037" t="s">
        <v>4928</v>
      </c>
      <c r="K1037" t="s">
        <v>6025</v>
      </c>
      <c r="L1037" t="s">
        <v>6026</v>
      </c>
    </row>
    <row r="1038" spans="1:12" x14ac:dyDescent="0.35">
      <c r="A1038" t="s">
        <v>113</v>
      </c>
      <c r="B1038" t="s">
        <v>175</v>
      </c>
      <c r="C1038" t="s">
        <v>932</v>
      </c>
      <c r="D1038">
        <v>5</v>
      </c>
      <c r="F1038" t="s">
        <v>1477</v>
      </c>
      <c r="H1038" t="s">
        <v>5837</v>
      </c>
      <c r="I1038" t="s">
        <v>1966</v>
      </c>
      <c r="K1038" t="s">
        <v>6025</v>
      </c>
      <c r="L1038" t="s">
        <v>6026</v>
      </c>
    </row>
    <row r="1039" spans="1:12" x14ac:dyDescent="0.35">
      <c r="A1039" t="s">
        <v>113</v>
      </c>
      <c r="B1039" t="s">
        <v>175</v>
      </c>
      <c r="C1039" t="s">
        <v>945</v>
      </c>
      <c r="D1039">
        <v>20.8</v>
      </c>
      <c r="F1039" t="s">
        <v>5421</v>
      </c>
      <c r="H1039" t="s">
        <v>3859</v>
      </c>
      <c r="I1039" t="s">
        <v>1752</v>
      </c>
      <c r="K1039" t="s">
        <v>6025</v>
      </c>
      <c r="L1039" t="s">
        <v>6026</v>
      </c>
    </row>
    <row r="1040" spans="1:12" x14ac:dyDescent="0.35">
      <c r="A1040" t="s">
        <v>113</v>
      </c>
      <c r="B1040" t="s">
        <v>175</v>
      </c>
      <c r="C1040" t="s">
        <v>932</v>
      </c>
      <c r="D1040">
        <v>165</v>
      </c>
      <c r="F1040" t="s">
        <v>4993</v>
      </c>
      <c r="H1040" t="s">
        <v>3861</v>
      </c>
      <c r="I1040" t="s">
        <v>1966</v>
      </c>
      <c r="K1040" t="s">
        <v>6025</v>
      </c>
      <c r="L1040" t="s">
        <v>6026</v>
      </c>
    </row>
    <row r="1041" spans="1:12" x14ac:dyDescent="0.35">
      <c r="A1041" t="s">
        <v>113</v>
      </c>
      <c r="B1041" t="s">
        <v>317</v>
      </c>
      <c r="C1041" t="s">
        <v>720</v>
      </c>
      <c r="D1041">
        <v>900</v>
      </c>
      <c r="F1041" t="s">
        <v>5422</v>
      </c>
      <c r="H1041" t="s">
        <v>3863</v>
      </c>
      <c r="I1041" t="s">
        <v>4951</v>
      </c>
      <c r="K1041" t="s">
        <v>6025</v>
      </c>
      <c r="L1041" t="s">
        <v>6026</v>
      </c>
    </row>
    <row r="1042" spans="1:12" x14ac:dyDescent="0.35">
      <c r="A1042" t="s">
        <v>113</v>
      </c>
      <c r="B1042" t="s">
        <v>317</v>
      </c>
      <c r="C1042" t="s">
        <v>720</v>
      </c>
      <c r="D1042">
        <v>463.3</v>
      </c>
      <c r="F1042" t="s">
        <v>5423</v>
      </c>
      <c r="H1042" t="s">
        <v>3862</v>
      </c>
      <c r="I1042" t="s">
        <v>4951</v>
      </c>
      <c r="K1042" t="s">
        <v>6025</v>
      </c>
      <c r="L1042" t="s">
        <v>6026</v>
      </c>
    </row>
    <row r="1043" spans="1:12" x14ac:dyDescent="0.35">
      <c r="A1043" t="s">
        <v>113</v>
      </c>
      <c r="B1043" t="s">
        <v>529</v>
      </c>
      <c r="C1043" t="s">
        <v>932</v>
      </c>
      <c r="D1043">
        <v>2.95</v>
      </c>
      <c r="F1043" t="s">
        <v>2278</v>
      </c>
      <c r="H1043" t="s">
        <v>3871</v>
      </c>
      <c r="I1043" t="s">
        <v>4953</v>
      </c>
      <c r="K1043" t="s">
        <v>6025</v>
      </c>
      <c r="L1043" t="s">
        <v>6026</v>
      </c>
    </row>
    <row r="1044" spans="1:12" x14ac:dyDescent="0.35">
      <c r="A1044" t="s">
        <v>116</v>
      </c>
      <c r="B1044" t="s">
        <v>328</v>
      </c>
      <c r="C1044" t="s">
        <v>955</v>
      </c>
      <c r="D1044">
        <v>0.83299999999999996</v>
      </c>
      <c r="F1044" t="s">
        <v>5424</v>
      </c>
      <c r="H1044" t="s">
        <v>3872</v>
      </c>
      <c r="I1044" t="s">
        <v>2253</v>
      </c>
      <c r="K1044" t="s">
        <v>6025</v>
      </c>
      <c r="L1044" t="s">
        <v>6026</v>
      </c>
    </row>
    <row r="1045" spans="1:12" x14ac:dyDescent="0.35">
      <c r="A1045" t="s">
        <v>116</v>
      </c>
      <c r="B1045" t="s">
        <v>328</v>
      </c>
      <c r="C1045" t="s">
        <v>961</v>
      </c>
      <c r="D1045">
        <v>1</v>
      </c>
      <c r="F1045" t="s">
        <v>1317</v>
      </c>
      <c r="H1045" t="s">
        <v>3872</v>
      </c>
      <c r="I1045" t="s">
        <v>2253</v>
      </c>
      <c r="K1045" t="s">
        <v>6025</v>
      </c>
      <c r="L1045" t="s">
        <v>6026</v>
      </c>
    </row>
    <row r="1046" spans="1:12" x14ac:dyDescent="0.35">
      <c r="A1046" t="s">
        <v>116</v>
      </c>
      <c r="B1046" t="s">
        <v>328</v>
      </c>
      <c r="C1046" t="s">
        <v>951</v>
      </c>
      <c r="D1046">
        <v>1</v>
      </c>
      <c r="F1046" t="s">
        <v>1317</v>
      </c>
      <c r="H1046" t="s">
        <v>3872</v>
      </c>
      <c r="I1046" t="s">
        <v>2253</v>
      </c>
      <c r="K1046" t="s">
        <v>6025</v>
      </c>
      <c r="L1046" t="s">
        <v>6026</v>
      </c>
    </row>
    <row r="1047" spans="1:12" x14ac:dyDescent="0.35">
      <c r="A1047" t="s">
        <v>116</v>
      </c>
      <c r="B1047" t="s">
        <v>328</v>
      </c>
      <c r="C1047" t="s">
        <v>952</v>
      </c>
      <c r="D1047">
        <v>1</v>
      </c>
      <c r="F1047" t="s">
        <v>1317</v>
      </c>
      <c r="H1047" t="s">
        <v>3872</v>
      </c>
      <c r="I1047" t="s">
        <v>2253</v>
      </c>
      <c r="K1047" t="s">
        <v>6025</v>
      </c>
      <c r="L1047" t="s">
        <v>6026</v>
      </c>
    </row>
    <row r="1048" spans="1:12" x14ac:dyDescent="0.35">
      <c r="A1048" t="s">
        <v>116</v>
      </c>
      <c r="B1048" t="s">
        <v>328</v>
      </c>
      <c r="C1048" t="s">
        <v>959</v>
      </c>
      <c r="D1048">
        <v>1.5</v>
      </c>
      <c r="F1048" t="s">
        <v>1426</v>
      </c>
      <c r="H1048" t="s">
        <v>3872</v>
      </c>
      <c r="I1048" t="s">
        <v>2253</v>
      </c>
      <c r="K1048" t="s">
        <v>6025</v>
      </c>
      <c r="L1048" t="s">
        <v>6026</v>
      </c>
    </row>
    <row r="1049" spans="1:12" x14ac:dyDescent="0.35">
      <c r="A1049" t="s">
        <v>116</v>
      </c>
      <c r="B1049" t="s">
        <v>328</v>
      </c>
      <c r="C1049" t="s">
        <v>963</v>
      </c>
      <c r="D1049">
        <v>1.17</v>
      </c>
      <c r="F1049" t="s">
        <v>2635</v>
      </c>
      <c r="H1049" t="s">
        <v>3872</v>
      </c>
      <c r="I1049" t="s">
        <v>2253</v>
      </c>
      <c r="K1049" t="s">
        <v>6025</v>
      </c>
      <c r="L1049" t="s">
        <v>6026</v>
      </c>
    </row>
    <row r="1050" spans="1:12" x14ac:dyDescent="0.35">
      <c r="A1050" t="s">
        <v>116</v>
      </c>
      <c r="B1050" t="s">
        <v>328</v>
      </c>
      <c r="C1050" t="s">
        <v>957</v>
      </c>
      <c r="D1050">
        <v>20</v>
      </c>
      <c r="F1050" t="s">
        <v>1458</v>
      </c>
      <c r="H1050" t="s">
        <v>3883</v>
      </c>
      <c r="I1050" t="s">
        <v>2253</v>
      </c>
      <c r="K1050" t="s">
        <v>6025</v>
      </c>
      <c r="L1050" t="s">
        <v>6026</v>
      </c>
    </row>
    <row r="1051" spans="1:12" x14ac:dyDescent="0.35">
      <c r="A1051" t="s">
        <v>116</v>
      </c>
      <c r="B1051" t="s">
        <v>328</v>
      </c>
      <c r="C1051" t="s">
        <v>964</v>
      </c>
      <c r="D1051">
        <v>1.67</v>
      </c>
      <c r="F1051" t="s">
        <v>1974</v>
      </c>
      <c r="H1051" t="s">
        <v>3872</v>
      </c>
      <c r="I1051" t="s">
        <v>2253</v>
      </c>
      <c r="K1051" t="s">
        <v>6025</v>
      </c>
      <c r="L1051" t="s">
        <v>6026</v>
      </c>
    </row>
    <row r="1052" spans="1:12" x14ac:dyDescent="0.35">
      <c r="A1052" t="s">
        <v>116</v>
      </c>
      <c r="B1052" t="s">
        <v>328</v>
      </c>
      <c r="C1052" t="s">
        <v>957</v>
      </c>
      <c r="D1052">
        <v>3.83</v>
      </c>
      <c r="F1052" t="s">
        <v>5425</v>
      </c>
      <c r="H1052" t="s">
        <v>5838</v>
      </c>
      <c r="I1052" t="s">
        <v>2253</v>
      </c>
      <c r="K1052" t="s">
        <v>6025</v>
      </c>
      <c r="L1052" t="s">
        <v>6026</v>
      </c>
    </row>
    <row r="1053" spans="1:12" x14ac:dyDescent="0.35">
      <c r="A1053" t="s">
        <v>116</v>
      </c>
      <c r="B1053" t="s">
        <v>328</v>
      </c>
      <c r="C1053" t="s">
        <v>957</v>
      </c>
      <c r="D1053">
        <v>1.27</v>
      </c>
      <c r="F1053" t="s">
        <v>1364</v>
      </c>
      <c r="H1053" t="s">
        <v>3872</v>
      </c>
      <c r="I1053" t="s">
        <v>2253</v>
      </c>
      <c r="K1053" t="s">
        <v>6025</v>
      </c>
      <c r="L1053" t="s">
        <v>6026</v>
      </c>
    </row>
    <row r="1054" spans="1:12" x14ac:dyDescent="0.35">
      <c r="A1054" t="s">
        <v>116</v>
      </c>
      <c r="B1054" t="s">
        <v>328</v>
      </c>
      <c r="C1054" t="s">
        <v>964</v>
      </c>
      <c r="D1054">
        <v>5.83</v>
      </c>
      <c r="F1054" t="s">
        <v>5426</v>
      </c>
      <c r="H1054" t="s">
        <v>3891</v>
      </c>
      <c r="I1054" t="s">
        <v>2253</v>
      </c>
      <c r="K1054" t="s">
        <v>6025</v>
      </c>
      <c r="L1054" t="s">
        <v>6026</v>
      </c>
    </row>
    <row r="1055" spans="1:12" x14ac:dyDescent="0.35">
      <c r="A1055" t="s">
        <v>116</v>
      </c>
      <c r="B1055" t="s">
        <v>328</v>
      </c>
      <c r="C1055" t="s">
        <v>952</v>
      </c>
      <c r="D1055">
        <v>2.33</v>
      </c>
      <c r="F1055" t="s">
        <v>2478</v>
      </c>
      <c r="H1055" t="s">
        <v>3891</v>
      </c>
      <c r="I1055" t="s">
        <v>2253</v>
      </c>
      <c r="K1055" t="s">
        <v>6025</v>
      </c>
      <c r="L1055" t="s">
        <v>6026</v>
      </c>
    </row>
    <row r="1056" spans="1:12" x14ac:dyDescent="0.35">
      <c r="A1056" t="s">
        <v>116</v>
      </c>
      <c r="B1056" t="s">
        <v>328</v>
      </c>
      <c r="C1056" t="s">
        <v>959</v>
      </c>
      <c r="D1056">
        <v>0.38300000000000001</v>
      </c>
      <c r="F1056" t="s">
        <v>5301</v>
      </c>
      <c r="H1056" t="s">
        <v>3891</v>
      </c>
      <c r="I1056" t="s">
        <v>2253</v>
      </c>
      <c r="K1056" t="s">
        <v>6025</v>
      </c>
      <c r="L1056" t="s">
        <v>6026</v>
      </c>
    </row>
    <row r="1057" spans="1:12" x14ac:dyDescent="0.35">
      <c r="A1057" t="s">
        <v>116</v>
      </c>
      <c r="B1057" t="s">
        <v>328</v>
      </c>
      <c r="C1057" t="s">
        <v>964</v>
      </c>
      <c r="D1057">
        <v>213</v>
      </c>
      <c r="F1057" t="s">
        <v>5427</v>
      </c>
      <c r="H1057" t="s">
        <v>3883</v>
      </c>
      <c r="I1057" t="s">
        <v>2253</v>
      </c>
      <c r="K1057" t="s">
        <v>6025</v>
      </c>
      <c r="L1057" t="s">
        <v>6026</v>
      </c>
    </row>
    <row r="1058" spans="1:12" x14ac:dyDescent="0.35">
      <c r="A1058" t="s">
        <v>116</v>
      </c>
      <c r="B1058" t="s">
        <v>328</v>
      </c>
      <c r="C1058" t="s">
        <v>963</v>
      </c>
      <c r="D1058">
        <v>3.53</v>
      </c>
      <c r="F1058" t="s">
        <v>2000</v>
      </c>
      <c r="H1058" t="s">
        <v>3891</v>
      </c>
      <c r="I1058" t="s">
        <v>2253</v>
      </c>
      <c r="K1058" t="s">
        <v>6025</v>
      </c>
      <c r="L1058" t="s">
        <v>6026</v>
      </c>
    </row>
    <row r="1059" spans="1:12" x14ac:dyDescent="0.35">
      <c r="A1059" t="s">
        <v>116</v>
      </c>
      <c r="B1059" t="s">
        <v>328</v>
      </c>
      <c r="C1059" t="s">
        <v>955</v>
      </c>
      <c r="D1059">
        <v>48.8</v>
      </c>
      <c r="F1059" t="s">
        <v>5428</v>
      </c>
      <c r="H1059" t="s">
        <v>3883</v>
      </c>
      <c r="I1059" t="s">
        <v>2253</v>
      </c>
      <c r="K1059" t="s">
        <v>6025</v>
      </c>
      <c r="L1059" t="s">
        <v>6026</v>
      </c>
    </row>
    <row r="1060" spans="1:12" x14ac:dyDescent="0.35">
      <c r="A1060" t="s">
        <v>116</v>
      </c>
      <c r="B1060" t="s">
        <v>328</v>
      </c>
      <c r="C1060" t="s">
        <v>963</v>
      </c>
      <c r="D1060">
        <v>48.8</v>
      </c>
      <c r="F1060" t="s">
        <v>5428</v>
      </c>
      <c r="H1060" t="s">
        <v>3883</v>
      </c>
      <c r="I1060" t="s">
        <v>2253</v>
      </c>
      <c r="K1060" t="s">
        <v>6025</v>
      </c>
      <c r="L1060" t="s">
        <v>6026</v>
      </c>
    </row>
    <row r="1061" spans="1:12" x14ac:dyDescent="0.35">
      <c r="A1061" t="s">
        <v>116</v>
      </c>
      <c r="B1061" t="s">
        <v>328</v>
      </c>
      <c r="C1061" t="s">
        <v>952</v>
      </c>
      <c r="D1061">
        <v>60.8</v>
      </c>
      <c r="F1061" t="s">
        <v>5429</v>
      </c>
      <c r="H1061" t="s">
        <v>3883</v>
      </c>
      <c r="I1061" t="s">
        <v>2253</v>
      </c>
      <c r="K1061" t="s">
        <v>6025</v>
      </c>
      <c r="L1061" t="s">
        <v>6026</v>
      </c>
    </row>
    <row r="1062" spans="1:12" x14ac:dyDescent="0.35">
      <c r="A1062" t="s">
        <v>116</v>
      </c>
      <c r="B1062" t="s">
        <v>328</v>
      </c>
      <c r="C1062" t="s">
        <v>961</v>
      </c>
      <c r="D1062">
        <v>62.7</v>
      </c>
      <c r="F1062" t="s">
        <v>5430</v>
      </c>
      <c r="H1062" t="s">
        <v>3883</v>
      </c>
      <c r="I1062" t="s">
        <v>2253</v>
      </c>
      <c r="K1062" t="s">
        <v>6025</v>
      </c>
      <c r="L1062" t="s">
        <v>6026</v>
      </c>
    </row>
    <row r="1063" spans="1:12" x14ac:dyDescent="0.35">
      <c r="A1063" t="s">
        <v>116</v>
      </c>
      <c r="B1063" t="s">
        <v>328</v>
      </c>
      <c r="C1063" t="s">
        <v>951</v>
      </c>
      <c r="D1063">
        <v>89.7</v>
      </c>
      <c r="F1063" t="s">
        <v>5431</v>
      </c>
      <c r="H1063" t="s">
        <v>3883</v>
      </c>
      <c r="I1063" t="s">
        <v>2253</v>
      </c>
      <c r="K1063" t="s">
        <v>6025</v>
      </c>
      <c r="L1063" t="s">
        <v>6026</v>
      </c>
    </row>
    <row r="1064" spans="1:12" x14ac:dyDescent="0.35">
      <c r="A1064" t="s">
        <v>116</v>
      </c>
      <c r="B1064" t="s">
        <v>328</v>
      </c>
      <c r="C1064" t="s">
        <v>959</v>
      </c>
      <c r="D1064">
        <v>1.75</v>
      </c>
      <c r="F1064" t="s">
        <v>1523</v>
      </c>
      <c r="H1064" t="s">
        <v>5839</v>
      </c>
      <c r="I1064" t="s">
        <v>4983</v>
      </c>
      <c r="K1064" t="s">
        <v>6025</v>
      </c>
      <c r="L1064" t="s">
        <v>6026</v>
      </c>
    </row>
    <row r="1065" spans="1:12" x14ac:dyDescent="0.35">
      <c r="A1065" t="s">
        <v>116</v>
      </c>
      <c r="B1065" t="s">
        <v>530</v>
      </c>
      <c r="C1065" t="s">
        <v>961</v>
      </c>
      <c r="D1065">
        <v>8.5999999999999998E-4</v>
      </c>
      <c r="F1065" t="s">
        <v>5432</v>
      </c>
      <c r="I1065" t="s">
        <v>4949</v>
      </c>
      <c r="K1065" t="s">
        <v>6025</v>
      </c>
      <c r="L1065" t="s">
        <v>6026</v>
      </c>
    </row>
    <row r="1066" spans="1:12" x14ac:dyDescent="0.35">
      <c r="A1066" t="s">
        <v>116</v>
      </c>
      <c r="B1066" t="s">
        <v>341</v>
      </c>
      <c r="C1066" t="s">
        <v>709</v>
      </c>
      <c r="D1066">
        <v>0.52</v>
      </c>
      <c r="F1066" t="s">
        <v>2037</v>
      </c>
      <c r="H1066" t="s">
        <v>3909</v>
      </c>
      <c r="I1066" t="s">
        <v>2403</v>
      </c>
      <c r="K1066" t="s">
        <v>6025</v>
      </c>
      <c r="L1066" t="s">
        <v>6026</v>
      </c>
    </row>
    <row r="1067" spans="1:12" x14ac:dyDescent="0.35">
      <c r="A1067" t="s">
        <v>116</v>
      </c>
      <c r="B1067" t="s">
        <v>341</v>
      </c>
      <c r="C1067" t="s">
        <v>983</v>
      </c>
      <c r="D1067">
        <v>1.1000000000000001</v>
      </c>
      <c r="F1067" t="s">
        <v>1505</v>
      </c>
      <c r="H1067" t="s">
        <v>3426</v>
      </c>
      <c r="I1067" t="s">
        <v>2403</v>
      </c>
      <c r="K1067" t="s">
        <v>6025</v>
      </c>
      <c r="L1067" t="s">
        <v>6026</v>
      </c>
    </row>
    <row r="1068" spans="1:12" x14ac:dyDescent="0.35">
      <c r="A1068" t="s">
        <v>116</v>
      </c>
      <c r="B1068" t="s">
        <v>341</v>
      </c>
      <c r="C1068" t="s">
        <v>838</v>
      </c>
      <c r="D1068">
        <v>1</v>
      </c>
      <c r="F1068" t="s">
        <v>1317</v>
      </c>
      <c r="H1068" t="s">
        <v>3426</v>
      </c>
      <c r="I1068" t="s">
        <v>2403</v>
      </c>
      <c r="K1068" t="s">
        <v>6025</v>
      </c>
      <c r="L1068" t="s">
        <v>6026</v>
      </c>
    </row>
    <row r="1069" spans="1:12" x14ac:dyDescent="0.35">
      <c r="A1069" t="s">
        <v>116</v>
      </c>
      <c r="B1069" t="s">
        <v>341</v>
      </c>
      <c r="C1069" t="s">
        <v>984</v>
      </c>
      <c r="D1069">
        <v>1.5</v>
      </c>
      <c r="F1069" t="s">
        <v>1426</v>
      </c>
      <c r="H1069" t="s">
        <v>3911</v>
      </c>
      <c r="I1069" t="s">
        <v>2403</v>
      </c>
      <c r="K1069" t="s">
        <v>6025</v>
      </c>
      <c r="L1069" t="s">
        <v>6026</v>
      </c>
    </row>
    <row r="1070" spans="1:12" x14ac:dyDescent="0.35">
      <c r="A1070" t="s">
        <v>116</v>
      </c>
      <c r="B1070" t="s">
        <v>341</v>
      </c>
      <c r="C1070" t="s">
        <v>981</v>
      </c>
      <c r="D1070">
        <v>2.6</v>
      </c>
      <c r="F1070" t="s">
        <v>1428</v>
      </c>
      <c r="H1070" t="s">
        <v>2842</v>
      </c>
      <c r="I1070" t="s">
        <v>2403</v>
      </c>
      <c r="K1070" t="s">
        <v>6025</v>
      </c>
      <c r="L1070" t="s">
        <v>6026</v>
      </c>
    </row>
    <row r="1071" spans="1:12" x14ac:dyDescent="0.35">
      <c r="A1071" t="s">
        <v>116</v>
      </c>
      <c r="B1071" t="s">
        <v>341</v>
      </c>
      <c r="C1071" t="s">
        <v>976</v>
      </c>
      <c r="D1071">
        <v>1.6</v>
      </c>
      <c r="F1071" t="s">
        <v>1328</v>
      </c>
      <c r="H1071" t="s">
        <v>3911</v>
      </c>
      <c r="I1071" t="s">
        <v>2403</v>
      </c>
      <c r="K1071" t="s">
        <v>6025</v>
      </c>
      <c r="L1071" t="s">
        <v>6026</v>
      </c>
    </row>
    <row r="1072" spans="1:12" x14ac:dyDescent="0.35">
      <c r="A1072" t="s">
        <v>116</v>
      </c>
      <c r="B1072" t="s">
        <v>341</v>
      </c>
      <c r="C1072" t="s">
        <v>982</v>
      </c>
      <c r="D1072">
        <v>1.6</v>
      </c>
      <c r="F1072" t="s">
        <v>1328</v>
      </c>
      <c r="H1072" t="s">
        <v>3908</v>
      </c>
      <c r="I1072" t="s">
        <v>2403</v>
      </c>
      <c r="K1072" t="s">
        <v>6025</v>
      </c>
      <c r="L1072" t="s">
        <v>6026</v>
      </c>
    </row>
    <row r="1073" spans="1:12" x14ac:dyDescent="0.35">
      <c r="A1073" t="s">
        <v>116</v>
      </c>
      <c r="B1073" t="s">
        <v>341</v>
      </c>
      <c r="C1073" t="s">
        <v>975</v>
      </c>
      <c r="D1073">
        <v>2</v>
      </c>
      <c r="F1073" t="s">
        <v>1372</v>
      </c>
      <c r="H1073" t="s">
        <v>3911</v>
      </c>
      <c r="I1073" t="s">
        <v>2403</v>
      </c>
      <c r="K1073" t="s">
        <v>6025</v>
      </c>
      <c r="L1073" t="s">
        <v>6026</v>
      </c>
    </row>
    <row r="1074" spans="1:12" x14ac:dyDescent="0.35">
      <c r="A1074" t="s">
        <v>116</v>
      </c>
      <c r="B1074" t="s">
        <v>341</v>
      </c>
      <c r="C1074" t="s">
        <v>977</v>
      </c>
      <c r="D1074">
        <v>2.1</v>
      </c>
      <c r="F1074" t="s">
        <v>1399</v>
      </c>
      <c r="H1074" t="s">
        <v>3908</v>
      </c>
      <c r="I1074" t="s">
        <v>2403</v>
      </c>
      <c r="K1074" t="s">
        <v>6025</v>
      </c>
      <c r="L1074" t="s">
        <v>6026</v>
      </c>
    </row>
    <row r="1075" spans="1:12" x14ac:dyDescent="0.35">
      <c r="A1075" t="s">
        <v>116</v>
      </c>
      <c r="B1075" t="s">
        <v>341</v>
      </c>
      <c r="C1075" t="s">
        <v>977</v>
      </c>
      <c r="D1075">
        <v>0.21</v>
      </c>
      <c r="F1075" t="s">
        <v>1572</v>
      </c>
      <c r="H1075" t="s">
        <v>3910</v>
      </c>
      <c r="I1075" t="s">
        <v>2403</v>
      </c>
      <c r="K1075" t="s">
        <v>6025</v>
      </c>
      <c r="L1075" t="s">
        <v>6026</v>
      </c>
    </row>
    <row r="1076" spans="1:12" x14ac:dyDescent="0.35">
      <c r="A1076" t="s">
        <v>116</v>
      </c>
      <c r="B1076" t="s">
        <v>341</v>
      </c>
      <c r="C1076" t="s">
        <v>963</v>
      </c>
      <c r="D1076">
        <v>0.53</v>
      </c>
      <c r="F1076" t="s">
        <v>1817</v>
      </c>
      <c r="H1076" t="s">
        <v>3907</v>
      </c>
      <c r="I1076" t="s">
        <v>2403</v>
      </c>
      <c r="K1076" t="s">
        <v>6025</v>
      </c>
      <c r="L1076" t="s">
        <v>6026</v>
      </c>
    </row>
    <row r="1077" spans="1:12" x14ac:dyDescent="0.35">
      <c r="A1077" t="s">
        <v>116</v>
      </c>
      <c r="B1077" t="s">
        <v>341</v>
      </c>
      <c r="C1077" t="s">
        <v>961</v>
      </c>
      <c r="D1077">
        <v>3.1</v>
      </c>
      <c r="F1077" t="s">
        <v>1374</v>
      </c>
      <c r="H1077" t="s">
        <v>3911</v>
      </c>
      <c r="I1077" t="s">
        <v>2403</v>
      </c>
      <c r="K1077" t="s">
        <v>6025</v>
      </c>
      <c r="L1077" t="s">
        <v>6026</v>
      </c>
    </row>
    <row r="1078" spans="1:12" x14ac:dyDescent="0.35">
      <c r="A1078" t="s">
        <v>116</v>
      </c>
      <c r="B1078" t="s">
        <v>341</v>
      </c>
      <c r="C1078" t="s">
        <v>955</v>
      </c>
      <c r="D1078">
        <v>3.1</v>
      </c>
      <c r="F1078" t="s">
        <v>1374</v>
      </c>
      <c r="H1078" t="s">
        <v>3911</v>
      </c>
      <c r="I1078" t="s">
        <v>2403</v>
      </c>
      <c r="K1078" t="s">
        <v>6025</v>
      </c>
      <c r="L1078" t="s">
        <v>6026</v>
      </c>
    </row>
    <row r="1079" spans="1:12" x14ac:dyDescent="0.35">
      <c r="A1079" t="s">
        <v>116</v>
      </c>
      <c r="B1079" t="s">
        <v>341</v>
      </c>
      <c r="C1079" t="s">
        <v>838</v>
      </c>
      <c r="D1079">
        <v>1.7</v>
      </c>
      <c r="F1079" t="s">
        <v>1416</v>
      </c>
      <c r="H1079" t="s">
        <v>3426</v>
      </c>
      <c r="I1079" t="s">
        <v>2403</v>
      </c>
      <c r="K1079" t="s">
        <v>6025</v>
      </c>
      <c r="L1079" t="s">
        <v>6026</v>
      </c>
    </row>
    <row r="1080" spans="1:12" x14ac:dyDescent="0.35">
      <c r="A1080" t="s">
        <v>116</v>
      </c>
      <c r="B1080" t="s">
        <v>341</v>
      </c>
      <c r="C1080" t="s">
        <v>980</v>
      </c>
      <c r="D1080">
        <v>2.9</v>
      </c>
      <c r="F1080" t="s">
        <v>1576</v>
      </c>
      <c r="H1080" t="s">
        <v>3908</v>
      </c>
      <c r="I1080" t="s">
        <v>2403</v>
      </c>
      <c r="K1080" t="s">
        <v>6025</v>
      </c>
      <c r="L1080" t="s">
        <v>6026</v>
      </c>
    </row>
    <row r="1081" spans="1:12" x14ac:dyDescent="0.35">
      <c r="A1081" t="s">
        <v>116</v>
      </c>
      <c r="B1081" t="s">
        <v>341</v>
      </c>
      <c r="C1081" t="s">
        <v>709</v>
      </c>
      <c r="D1081">
        <v>21</v>
      </c>
      <c r="F1081" t="s">
        <v>2051</v>
      </c>
      <c r="H1081" t="s">
        <v>3914</v>
      </c>
      <c r="I1081" t="s">
        <v>2403</v>
      </c>
      <c r="K1081" t="s">
        <v>6025</v>
      </c>
      <c r="L1081" t="s">
        <v>6026</v>
      </c>
    </row>
    <row r="1082" spans="1:12" x14ac:dyDescent="0.35">
      <c r="A1082" t="s">
        <v>116</v>
      </c>
      <c r="B1082" t="s">
        <v>341</v>
      </c>
      <c r="C1082" t="s">
        <v>985</v>
      </c>
      <c r="D1082">
        <v>2.5</v>
      </c>
      <c r="F1082" t="s">
        <v>1406</v>
      </c>
      <c r="H1082" t="s">
        <v>3911</v>
      </c>
      <c r="I1082" t="s">
        <v>2403</v>
      </c>
      <c r="K1082" t="s">
        <v>6025</v>
      </c>
      <c r="L1082" t="s">
        <v>6026</v>
      </c>
    </row>
    <row r="1083" spans="1:12" x14ac:dyDescent="0.35">
      <c r="A1083" t="s">
        <v>116</v>
      </c>
      <c r="B1083" t="s">
        <v>341</v>
      </c>
      <c r="C1083" t="s">
        <v>963</v>
      </c>
      <c r="D1083">
        <v>2.5</v>
      </c>
      <c r="F1083" t="s">
        <v>1406</v>
      </c>
      <c r="H1083" t="s">
        <v>3911</v>
      </c>
      <c r="I1083" t="s">
        <v>2403</v>
      </c>
      <c r="K1083" t="s">
        <v>6025</v>
      </c>
      <c r="L1083" t="s">
        <v>6026</v>
      </c>
    </row>
    <row r="1084" spans="1:12" x14ac:dyDescent="0.35">
      <c r="A1084" t="s">
        <v>116</v>
      </c>
      <c r="B1084" t="s">
        <v>341</v>
      </c>
      <c r="C1084" t="s">
        <v>974</v>
      </c>
      <c r="D1084">
        <v>0.82</v>
      </c>
      <c r="F1084" t="s">
        <v>1930</v>
      </c>
      <c r="H1084" t="s">
        <v>3907</v>
      </c>
      <c r="I1084" t="s">
        <v>2403</v>
      </c>
      <c r="K1084" t="s">
        <v>6025</v>
      </c>
      <c r="L1084" t="s">
        <v>6026</v>
      </c>
    </row>
    <row r="1085" spans="1:12" x14ac:dyDescent="0.35">
      <c r="A1085" t="s">
        <v>116</v>
      </c>
      <c r="B1085" t="s">
        <v>341</v>
      </c>
      <c r="C1085" t="s">
        <v>963</v>
      </c>
      <c r="D1085">
        <v>16.3</v>
      </c>
      <c r="F1085" t="s">
        <v>5381</v>
      </c>
      <c r="H1085" t="s">
        <v>3906</v>
      </c>
      <c r="I1085" t="s">
        <v>2403</v>
      </c>
      <c r="K1085" t="s">
        <v>6025</v>
      </c>
      <c r="L1085" t="s">
        <v>6026</v>
      </c>
    </row>
    <row r="1086" spans="1:12" x14ac:dyDescent="0.35">
      <c r="A1086" t="s">
        <v>116</v>
      </c>
      <c r="B1086" t="s">
        <v>341</v>
      </c>
      <c r="C1086" t="s">
        <v>951</v>
      </c>
      <c r="D1086">
        <v>20</v>
      </c>
      <c r="F1086" t="s">
        <v>1458</v>
      </c>
      <c r="H1086" t="s">
        <v>3906</v>
      </c>
      <c r="I1086" t="s">
        <v>2403</v>
      </c>
      <c r="K1086" t="s">
        <v>6025</v>
      </c>
      <c r="L1086" t="s">
        <v>6026</v>
      </c>
    </row>
    <row r="1087" spans="1:12" x14ac:dyDescent="0.35">
      <c r="A1087" t="s">
        <v>116</v>
      </c>
      <c r="B1087" t="s">
        <v>341</v>
      </c>
      <c r="C1087" t="s">
        <v>840</v>
      </c>
      <c r="D1087">
        <v>4.8</v>
      </c>
      <c r="F1087" t="s">
        <v>1567</v>
      </c>
      <c r="H1087" t="s">
        <v>2842</v>
      </c>
      <c r="I1087" t="s">
        <v>2403</v>
      </c>
      <c r="K1087" t="s">
        <v>6025</v>
      </c>
      <c r="L1087" t="s">
        <v>6026</v>
      </c>
    </row>
    <row r="1088" spans="1:12" x14ac:dyDescent="0.35">
      <c r="A1088" t="s">
        <v>116</v>
      </c>
      <c r="B1088" t="s">
        <v>341</v>
      </c>
      <c r="C1088" t="s">
        <v>983</v>
      </c>
      <c r="D1088">
        <v>1.9</v>
      </c>
      <c r="F1088" t="s">
        <v>1503</v>
      </c>
      <c r="H1088" t="s">
        <v>3426</v>
      </c>
      <c r="I1088" t="s">
        <v>2403</v>
      </c>
      <c r="K1088" t="s">
        <v>6025</v>
      </c>
      <c r="L1088" t="s">
        <v>6026</v>
      </c>
    </row>
    <row r="1089" spans="1:12" x14ac:dyDescent="0.35">
      <c r="A1089" t="s">
        <v>116</v>
      </c>
      <c r="B1089" t="s">
        <v>341</v>
      </c>
      <c r="C1089" t="s">
        <v>978</v>
      </c>
      <c r="D1089">
        <v>13.1</v>
      </c>
      <c r="F1089" t="s">
        <v>5433</v>
      </c>
      <c r="H1089" t="s">
        <v>3906</v>
      </c>
      <c r="I1089" t="s">
        <v>2403</v>
      </c>
      <c r="K1089" t="s">
        <v>6025</v>
      </c>
      <c r="L1089" t="s">
        <v>6026</v>
      </c>
    </row>
    <row r="1090" spans="1:12" x14ac:dyDescent="0.35">
      <c r="A1090" t="s">
        <v>116</v>
      </c>
      <c r="B1090" t="s">
        <v>341</v>
      </c>
      <c r="C1090" t="s">
        <v>955</v>
      </c>
      <c r="D1090">
        <v>15.1</v>
      </c>
      <c r="F1090" t="s">
        <v>1479</v>
      </c>
      <c r="H1090" t="s">
        <v>3906</v>
      </c>
      <c r="I1090" t="s">
        <v>2403</v>
      </c>
      <c r="K1090" t="s">
        <v>6025</v>
      </c>
      <c r="L1090" t="s">
        <v>6026</v>
      </c>
    </row>
    <row r="1091" spans="1:12" x14ac:dyDescent="0.35">
      <c r="A1091" t="s">
        <v>116</v>
      </c>
      <c r="B1091" t="s">
        <v>341</v>
      </c>
      <c r="C1091" t="s">
        <v>980</v>
      </c>
      <c r="D1091">
        <v>16.8</v>
      </c>
      <c r="F1091" t="s">
        <v>5434</v>
      </c>
      <c r="H1091" t="s">
        <v>5840</v>
      </c>
      <c r="I1091" t="s">
        <v>2403</v>
      </c>
      <c r="K1091" t="s">
        <v>6025</v>
      </c>
      <c r="L1091" t="s">
        <v>6026</v>
      </c>
    </row>
    <row r="1092" spans="1:12" x14ac:dyDescent="0.35">
      <c r="A1092" t="s">
        <v>116</v>
      </c>
      <c r="B1092" t="s">
        <v>341</v>
      </c>
      <c r="C1092" t="s">
        <v>974</v>
      </c>
      <c r="D1092">
        <v>18.100000000000001</v>
      </c>
      <c r="F1092" t="s">
        <v>1773</v>
      </c>
      <c r="H1092" t="s">
        <v>3915</v>
      </c>
      <c r="I1092" t="s">
        <v>2403</v>
      </c>
      <c r="K1092" t="s">
        <v>6025</v>
      </c>
      <c r="L1092" t="s">
        <v>6026</v>
      </c>
    </row>
    <row r="1093" spans="1:12" x14ac:dyDescent="0.35">
      <c r="A1093" t="s">
        <v>116</v>
      </c>
      <c r="B1093" t="s">
        <v>341</v>
      </c>
      <c r="C1093" t="s">
        <v>708</v>
      </c>
      <c r="D1093">
        <v>0.38</v>
      </c>
      <c r="F1093" t="s">
        <v>1624</v>
      </c>
      <c r="H1093" t="s">
        <v>3909</v>
      </c>
      <c r="I1093" t="s">
        <v>2403</v>
      </c>
      <c r="K1093" t="s">
        <v>6025</v>
      </c>
      <c r="L1093" t="s">
        <v>6026</v>
      </c>
    </row>
    <row r="1094" spans="1:12" x14ac:dyDescent="0.35">
      <c r="A1094" t="s">
        <v>116</v>
      </c>
      <c r="B1094" t="s">
        <v>341</v>
      </c>
      <c r="C1094" t="s">
        <v>840</v>
      </c>
      <c r="D1094">
        <v>1.2</v>
      </c>
      <c r="F1094" t="s">
        <v>1421</v>
      </c>
      <c r="H1094" t="s">
        <v>2842</v>
      </c>
      <c r="I1094" t="s">
        <v>2403</v>
      </c>
      <c r="K1094" t="s">
        <v>6025</v>
      </c>
      <c r="L1094" t="s">
        <v>6026</v>
      </c>
    </row>
    <row r="1095" spans="1:12" x14ac:dyDescent="0.35">
      <c r="A1095" t="s">
        <v>116</v>
      </c>
      <c r="B1095" t="s">
        <v>341</v>
      </c>
      <c r="C1095" t="s">
        <v>974</v>
      </c>
      <c r="D1095">
        <v>29</v>
      </c>
      <c r="F1095" t="s">
        <v>1509</v>
      </c>
      <c r="H1095" t="s">
        <v>3908</v>
      </c>
      <c r="I1095" t="s">
        <v>2403</v>
      </c>
      <c r="K1095" t="s">
        <v>6025</v>
      </c>
      <c r="L1095" t="s">
        <v>6026</v>
      </c>
    </row>
    <row r="1096" spans="1:12" x14ac:dyDescent="0.35">
      <c r="A1096" t="s">
        <v>116</v>
      </c>
      <c r="B1096" t="s">
        <v>341</v>
      </c>
      <c r="C1096" t="s">
        <v>980</v>
      </c>
      <c r="D1096">
        <v>0.37</v>
      </c>
      <c r="F1096" t="s">
        <v>1481</v>
      </c>
      <c r="H1096" t="s">
        <v>3908</v>
      </c>
      <c r="I1096" t="s">
        <v>2403</v>
      </c>
      <c r="K1096" t="s">
        <v>6025</v>
      </c>
      <c r="L1096" t="s">
        <v>6026</v>
      </c>
    </row>
    <row r="1097" spans="1:12" x14ac:dyDescent="0.35">
      <c r="A1097" t="s">
        <v>116</v>
      </c>
      <c r="B1097" t="s">
        <v>341</v>
      </c>
      <c r="C1097" t="s">
        <v>959</v>
      </c>
      <c r="D1097">
        <v>12.4</v>
      </c>
      <c r="F1097" t="s">
        <v>2371</v>
      </c>
      <c r="H1097" t="s">
        <v>3906</v>
      </c>
      <c r="I1097" t="s">
        <v>2403</v>
      </c>
      <c r="K1097" t="s">
        <v>6025</v>
      </c>
      <c r="L1097" t="s">
        <v>6026</v>
      </c>
    </row>
    <row r="1098" spans="1:12" x14ac:dyDescent="0.35">
      <c r="A1098" t="s">
        <v>116</v>
      </c>
      <c r="B1098" t="s">
        <v>341</v>
      </c>
      <c r="C1098" t="s">
        <v>951</v>
      </c>
      <c r="D1098">
        <v>0.35</v>
      </c>
      <c r="F1098" t="s">
        <v>1294</v>
      </c>
      <c r="H1098" t="s">
        <v>3907</v>
      </c>
      <c r="I1098" t="s">
        <v>2403</v>
      </c>
      <c r="K1098" t="s">
        <v>6025</v>
      </c>
      <c r="L1098" t="s">
        <v>6026</v>
      </c>
    </row>
    <row r="1099" spans="1:12" x14ac:dyDescent="0.35">
      <c r="A1099" t="s">
        <v>116</v>
      </c>
      <c r="B1099" t="s">
        <v>341</v>
      </c>
      <c r="C1099" t="s">
        <v>981</v>
      </c>
      <c r="D1099">
        <v>6.7</v>
      </c>
      <c r="F1099" t="s">
        <v>1520</v>
      </c>
      <c r="H1099" t="s">
        <v>2842</v>
      </c>
      <c r="I1099" t="s">
        <v>2403</v>
      </c>
      <c r="K1099" t="s">
        <v>6025</v>
      </c>
      <c r="L1099" t="s">
        <v>6026</v>
      </c>
    </row>
    <row r="1100" spans="1:12" x14ac:dyDescent="0.35">
      <c r="A1100" t="s">
        <v>116</v>
      </c>
      <c r="B1100" t="s">
        <v>341</v>
      </c>
      <c r="C1100" t="s">
        <v>975</v>
      </c>
      <c r="D1100">
        <v>13.3</v>
      </c>
      <c r="F1100" t="s">
        <v>1631</v>
      </c>
      <c r="H1100" t="s">
        <v>3906</v>
      </c>
      <c r="I1100" t="s">
        <v>2403</v>
      </c>
      <c r="K1100" t="s">
        <v>6025</v>
      </c>
      <c r="L1100" t="s">
        <v>6026</v>
      </c>
    </row>
    <row r="1101" spans="1:12" x14ac:dyDescent="0.35">
      <c r="A1101" t="s">
        <v>116</v>
      </c>
      <c r="B1101" t="s">
        <v>341</v>
      </c>
      <c r="C1101" t="s">
        <v>978</v>
      </c>
      <c r="D1101">
        <v>0.36</v>
      </c>
      <c r="F1101" t="s">
        <v>1398</v>
      </c>
      <c r="H1101" t="s">
        <v>3907</v>
      </c>
      <c r="I1101" t="s">
        <v>2403</v>
      </c>
      <c r="K1101" t="s">
        <v>6025</v>
      </c>
      <c r="L1101" t="s">
        <v>6026</v>
      </c>
    </row>
    <row r="1102" spans="1:12" x14ac:dyDescent="0.35">
      <c r="A1102" t="s">
        <v>116</v>
      </c>
      <c r="B1102" t="s">
        <v>341</v>
      </c>
      <c r="C1102" t="s">
        <v>979</v>
      </c>
      <c r="D1102">
        <v>0.36</v>
      </c>
      <c r="F1102" t="s">
        <v>1398</v>
      </c>
      <c r="H1102" t="s">
        <v>3907</v>
      </c>
      <c r="I1102" t="s">
        <v>2403</v>
      </c>
      <c r="K1102" t="s">
        <v>6025</v>
      </c>
      <c r="L1102" t="s">
        <v>6026</v>
      </c>
    </row>
    <row r="1103" spans="1:12" x14ac:dyDescent="0.35">
      <c r="A1103" t="s">
        <v>116</v>
      </c>
      <c r="B1103" t="s">
        <v>341</v>
      </c>
      <c r="C1103" t="s">
        <v>975</v>
      </c>
      <c r="D1103">
        <v>0.42</v>
      </c>
      <c r="F1103" t="s">
        <v>1629</v>
      </c>
      <c r="H1103" t="s">
        <v>3907</v>
      </c>
      <c r="I1103" t="s">
        <v>2403</v>
      </c>
      <c r="K1103" t="s">
        <v>6025</v>
      </c>
      <c r="L1103" t="s">
        <v>6026</v>
      </c>
    </row>
    <row r="1104" spans="1:12" x14ac:dyDescent="0.35">
      <c r="A1104" t="s">
        <v>116</v>
      </c>
      <c r="B1104" t="s">
        <v>341</v>
      </c>
      <c r="C1104" t="s">
        <v>976</v>
      </c>
      <c r="D1104">
        <v>11.9</v>
      </c>
      <c r="F1104" t="s">
        <v>2218</v>
      </c>
      <c r="H1104" t="s">
        <v>3906</v>
      </c>
      <c r="I1104" t="s">
        <v>2403</v>
      </c>
      <c r="K1104" t="s">
        <v>6025</v>
      </c>
      <c r="L1104" t="s">
        <v>6026</v>
      </c>
    </row>
    <row r="1105" spans="1:12" x14ac:dyDescent="0.35">
      <c r="A1105" t="s">
        <v>116</v>
      </c>
      <c r="B1105" t="s">
        <v>341</v>
      </c>
      <c r="C1105" t="s">
        <v>977</v>
      </c>
      <c r="D1105">
        <v>18.899999999999999</v>
      </c>
      <c r="F1105" t="s">
        <v>5324</v>
      </c>
      <c r="H1105" t="s">
        <v>3912</v>
      </c>
      <c r="I1105" t="s">
        <v>2403</v>
      </c>
      <c r="K1105" t="s">
        <v>6025</v>
      </c>
      <c r="L1105" t="s">
        <v>6026</v>
      </c>
    </row>
    <row r="1106" spans="1:12" x14ac:dyDescent="0.35">
      <c r="A1106" t="s">
        <v>116</v>
      </c>
      <c r="B1106" t="s">
        <v>341</v>
      </c>
      <c r="C1106" t="s">
        <v>961</v>
      </c>
      <c r="D1106">
        <v>4.0999999999999996</v>
      </c>
      <c r="F1106" t="s">
        <v>1385</v>
      </c>
      <c r="H1106" t="s">
        <v>3906</v>
      </c>
      <c r="I1106" t="s">
        <v>2403</v>
      </c>
      <c r="K1106" t="s">
        <v>6025</v>
      </c>
      <c r="L1106" t="s">
        <v>6026</v>
      </c>
    </row>
    <row r="1107" spans="1:12" x14ac:dyDescent="0.35">
      <c r="A1107" t="s">
        <v>116</v>
      </c>
      <c r="B1107" t="s">
        <v>341</v>
      </c>
      <c r="C1107" t="s">
        <v>708</v>
      </c>
      <c r="D1107">
        <v>34.799999999999997</v>
      </c>
      <c r="F1107" t="s">
        <v>5435</v>
      </c>
      <c r="H1107" t="s">
        <v>3906</v>
      </c>
      <c r="I1107" t="s">
        <v>2403</v>
      </c>
      <c r="K1107" t="s">
        <v>6025</v>
      </c>
      <c r="L1107" t="s">
        <v>6026</v>
      </c>
    </row>
    <row r="1108" spans="1:12" x14ac:dyDescent="0.35">
      <c r="A1108" t="s">
        <v>116</v>
      </c>
      <c r="B1108" t="s">
        <v>341</v>
      </c>
      <c r="C1108" t="s">
        <v>979</v>
      </c>
      <c r="D1108">
        <v>19.7</v>
      </c>
      <c r="F1108" t="s">
        <v>5436</v>
      </c>
      <c r="H1108" t="s">
        <v>3906</v>
      </c>
      <c r="I1108" t="s">
        <v>2403</v>
      </c>
      <c r="K1108" t="s">
        <v>6025</v>
      </c>
      <c r="L1108" t="s">
        <v>6026</v>
      </c>
    </row>
    <row r="1109" spans="1:12" x14ac:dyDescent="0.35">
      <c r="A1109" t="s">
        <v>116</v>
      </c>
      <c r="B1109" t="s">
        <v>341</v>
      </c>
      <c r="C1109" t="s">
        <v>985</v>
      </c>
      <c r="D1109">
        <v>15.7</v>
      </c>
      <c r="F1109" t="s">
        <v>1916</v>
      </c>
      <c r="H1109" t="s">
        <v>3906</v>
      </c>
      <c r="I1109" t="s">
        <v>2403</v>
      </c>
      <c r="K1109" t="s">
        <v>6025</v>
      </c>
      <c r="L1109" t="s">
        <v>6026</v>
      </c>
    </row>
    <row r="1110" spans="1:12" x14ac:dyDescent="0.35">
      <c r="A1110" t="s">
        <v>116</v>
      </c>
      <c r="B1110" t="s">
        <v>341</v>
      </c>
      <c r="C1110" t="s">
        <v>976</v>
      </c>
      <c r="D1110">
        <v>0.51</v>
      </c>
      <c r="F1110" t="s">
        <v>1418</v>
      </c>
      <c r="H1110" t="s">
        <v>3907</v>
      </c>
      <c r="I1110" t="s">
        <v>2403</v>
      </c>
      <c r="K1110" t="s">
        <v>6025</v>
      </c>
      <c r="L1110" t="s">
        <v>6026</v>
      </c>
    </row>
    <row r="1111" spans="1:12" x14ac:dyDescent="0.35">
      <c r="A1111" t="s">
        <v>116</v>
      </c>
      <c r="B1111" t="s">
        <v>535</v>
      </c>
      <c r="C1111" t="s">
        <v>716</v>
      </c>
      <c r="D1111">
        <v>43.9</v>
      </c>
      <c r="F1111" t="s">
        <v>2355</v>
      </c>
      <c r="H1111" t="s">
        <v>3937</v>
      </c>
      <c r="I1111" t="s">
        <v>4958</v>
      </c>
      <c r="K1111" t="s">
        <v>6025</v>
      </c>
      <c r="L1111" t="s">
        <v>6026</v>
      </c>
    </row>
    <row r="1112" spans="1:12" x14ac:dyDescent="0.35">
      <c r="A1112" t="s">
        <v>116</v>
      </c>
      <c r="B1112" t="s">
        <v>535</v>
      </c>
      <c r="C1112" t="s">
        <v>961</v>
      </c>
      <c r="D1112">
        <v>638.70000000000005</v>
      </c>
      <c r="F1112" t="s">
        <v>5437</v>
      </c>
      <c r="H1112" t="s">
        <v>3939</v>
      </c>
      <c r="I1112" t="s">
        <v>4958</v>
      </c>
      <c r="K1112" t="s">
        <v>6025</v>
      </c>
      <c r="L1112" t="s">
        <v>6026</v>
      </c>
    </row>
    <row r="1113" spans="1:12" x14ac:dyDescent="0.35">
      <c r="A1113" t="s">
        <v>116</v>
      </c>
      <c r="B1113" t="s">
        <v>535</v>
      </c>
      <c r="C1113" t="s">
        <v>855</v>
      </c>
      <c r="D1113">
        <v>404.8</v>
      </c>
      <c r="F1113" t="s">
        <v>5438</v>
      </c>
      <c r="H1113" t="s">
        <v>3939</v>
      </c>
      <c r="I1113" t="s">
        <v>4958</v>
      </c>
      <c r="K1113" t="s">
        <v>6025</v>
      </c>
      <c r="L1113" t="s">
        <v>6026</v>
      </c>
    </row>
    <row r="1114" spans="1:12" x14ac:dyDescent="0.35">
      <c r="A1114" t="s">
        <v>116</v>
      </c>
      <c r="B1114" t="s">
        <v>535</v>
      </c>
      <c r="C1114" t="s">
        <v>709</v>
      </c>
      <c r="D1114">
        <v>443.1</v>
      </c>
      <c r="F1114" t="s">
        <v>5439</v>
      </c>
      <c r="H1114" t="s">
        <v>3937</v>
      </c>
      <c r="I1114" t="s">
        <v>4958</v>
      </c>
      <c r="K1114" t="s">
        <v>6025</v>
      </c>
      <c r="L1114" t="s">
        <v>6026</v>
      </c>
    </row>
    <row r="1115" spans="1:12" x14ac:dyDescent="0.35">
      <c r="A1115" t="s">
        <v>116</v>
      </c>
      <c r="B1115" t="s">
        <v>535</v>
      </c>
      <c r="C1115" t="s">
        <v>708</v>
      </c>
      <c r="D1115">
        <v>1645.7</v>
      </c>
      <c r="F1115" t="s">
        <v>5440</v>
      </c>
      <c r="H1115" t="s">
        <v>3938</v>
      </c>
      <c r="I1115" t="s">
        <v>4958</v>
      </c>
      <c r="K1115" t="s">
        <v>6025</v>
      </c>
      <c r="L1115" t="s">
        <v>6026</v>
      </c>
    </row>
    <row r="1116" spans="1:12" x14ac:dyDescent="0.35">
      <c r="A1116" t="s">
        <v>116</v>
      </c>
      <c r="B1116" t="s">
        <v>502</v>
      </c>
      <c r="C1116" t="s">
        <v>968</v>
      </c>
      <c r="D1116">
        <v>0.73</v>
      </c>
      <c r="F1116" t="s">
        <v>2007</v>
      </c>
      <c r="H1116" t="s">
        <v>3960</v>
      </c>
      <c r="I1116" t="s">
        <v>4960</v>
      </c>
      <c r="K1116" t="s">
        <v>6025</v>
      </c>
      <c r="L1116" t="s">
        <v>6026</v>
      </c>
    </row>
    <row r="1117" spans="1:12" x14ac:dyDescent="0.35">
      <c r="A1117" t="s">
        <v>116</v>
      </c>
      <c r="B1117" t="s">
        <v>502</v>
      </c>
      <c r="C1117" t="s">
        <v>1003</v>
      </c>
      <c r="D1117">
        <v>1.28</v>
      </c>
      <c r="F1117" t="s">
        <v>1686</v>
      </c>
      <c r="H1117" t="s">
        <v>3960</v>
      </c>
      <c r="I1117" t="s">
        <v>4960</v>
      </c>
      <c r="K1117" t="s">
        <v>6025</v>
      </c>
      <c r="L1117" t="s">
        <v>6026</v>
      </c>
    </row>
    <row r="1118" spans="1:12" x14ac:dyDescent="0.35">
      <c r="A1118" t="s">
        <v>116</v>
      </c>
      <c r="B1118" t="s">
        <v>502</v>
      </c>
      <c r="C1118" t="s">
        <v>1000</v>
      </c>
      <c r="D1118">
        <v>1.58</v>
      </c>
      <c r="F1118" t="s">
        <v>2086</v>
      </c>
      <c r="H1118" t="s">
        <v>3960</v>
      </c>
      <c r="I1118" t="s">
        <v>4960</v>
      </c>
      <c r="K1118" t="s">
        <v>6025</v>
      </c>
      <c r="L1118" t="s">
        <v>6026</v>
      </c>
    </row>
    <row r="1119" spans="1:12" x14ac:dyDescent="0.35">
      <c r="A1119" t="s">
        <v>116</v>
      </c>
      <c r="B1119" t="s">
        <v>502</v>
      </c>
      <c r="C1119" t="s">
        <v>965</v>
      </c>
      <c r="D1119">
        <v>1.99</v>
      </c>
      <c r="F1119" t="s">
        <v>2394</v>
      </c>
      <c r="H1119" t="s">
        <v>3960</v>
      </c>
      <c r="I1119" t="s">
        <v>4960</v>
      </c>
      <c r="K1119" t="s">
        <v>6025</v>
      </c>
      <c r="L1119" t="s">
        <v>6026</v>
      </c>
    </row>
    <row r="1120" spans="1:12" x14ac:dyDescent="0.35">
      <c r="A1120" t="s">
        <v>116</v>
      </c>
      <c r="B1120" t="s">
        <v>502</v>
      </c>
      <c r="C1120" t="s">
        <v>961</v>
      </c>
      <c r="D1120">
        <v>251.3</v>
      </c>
      <c r="F1120" t="s">
        <v>5441</v>
      </c>
      <c r="H1120" t="s">
        <v>3961</v>
      </c>
      <c r="I1120" t="s">
        <v>4890</v>
      </c>
      <c r="K1120" t="s">
        <v>6025</v>
      </c>
      <c r="L1120" t="s">
        <v>6026</v>
      </c>
    </row>
    <row r="1121" spans="1:12" x14ac:dyDescent="0.35">
      <c r="A1121" t="s">
        <v>116</v>
      </c>
      <c r="B1121" t="s">
        <v>502</v>
      </c>
      <c r="C1121" t="s">
        <v>961</v>
      </c>
      <c r="D1121">
        <v>432.3</v>
      </c>
      <c r="F1121" t="s">
        <v>5442</v>
      </c>
      <c r="H1121" t="s">
        <v>5841</v>
      </c>
      <c r="I1121" t="s">
        <v>4890</v>
      </c>
      <c r="K1121" t="s">
        <v>6025</v>
      </c>
      <c r="L1121" t="s">
        <v>6026</v>
      </c>
    </row>
    <row r="1122" spans="1:12" x14ac:dyDescent="0.35">
      <c r="A1122" t="s">
        <v>116</v>
      </c>
      <c r="B1122" t="s">
        <v>502</v>
      </c>
      <c r="C1122" t="s">
        <v>961</v>
      </c>
      <c r="D1122">
        <v>786.1</v>
      </c>
      <c r="F1122" t="s">
        <v>5443</v>
      </c>
      <c r="H1122" t="s">
        <v>3958</v>
      </c>
      <c r="I1122" t="s">
        <v>4890</v>
      </c>
      <c r="K1122" t="s">
        <v>6025</v>
      </c>
      <c r="L1122" t="s">
        <v>6026</v>
      </c>
    </row>
    <row r="1123" spans="1:12" x14ac:dyDescent="0.35">
      <c r="A1123" t="s">
        <v>116</v>
      </c>
      <c r="B1123" t="s">
        <v>502</v>
      </c>
      <c r="C1123" t="s">
        <v>961</v>
      </c>
      <c r="D1123">
        <v>895.4</v>
      </c>
      <c r="F1123" t="s">
        <v>5444</v>
      </c>
      <c r="H1123" t="s">
        <v>3951</v>
      </c>
      <c r="I1123" t="s">
        <v>4890</v>
      </c>
      <c r="K1123" t="s">
        <v>6025</v>
      </c>
      <c r="L1123" t="s">
        <v>6026</v>
      </c>
    </row>
    <row r="1124" spans="1:12" x14ac:dyDescent="0.35">
      <c r="A1124" t="s">
        <v>116</v>
      </c>
      <c r="B1124" t="s">
        <v>502</v>
      </c>
      <c r="C1124" t="s">
        <v>1004</v>
      </c>
      <c r="D1124">
        <v>18.649999999999999</v>
      </c>
      <c r="F1124" t="s">
        <v>5445</v>
      </c>
      <c r="H1124" t="s">
        <v>3960</v>
      </c>
      <c r="I1124" t="s">
        <v>4960</v>
      </c>
      <c r="K1124" t="s">
        <v>6025</v>
      </c>
      <c r="L1124" t="s">
        <v>6026</v>
      </c>
    </row>
    <row r="1125" spans="1:12" x14ac:dyDescent="0.35">
      <c r="A1125" t="s">
        <v>116</v>
      </c>
      <c r="B1125" t="s">
        <v>317</v>
      </c>
      <c r="C1125" t="s">
        <v>961</v>
      </c>
      <c r="D1125">
        <v>143</v>
      </c>
      <c r="F1125" t="s">
        <v>4923</v>
      </c>
      <c r="H1125" t="s">
        <v>3968</v>
      </c>
      <c r="I1125" t="s">
        <v>4962</v>
      </c>
      <c r="K1125" t="s">
        <v>6025</v>
      </c>
      <c r="L1125" t="s">
        <v>6026</v>
      </c>
    </row>
    <row r="1126" spans="1:12" x14ac:dyDescent="0.35">
      <c r="A1126" t="s">
        <v>116</v>
      </c>
      <c r="B1126" t="s">
        <v>509</v>
      </c>
      <c r="C1126" t="s">
        <v>1005</v>
      </c>
      <c r="D1126">
        <v>380</v>
      </c>
      <c r="F1126" t="s">
        <v>1896</v>
      </c>
      <c r="H1126" t="s">
        <v>3970</v>
      </c>
      <c r="I1126" t="s">
        <v>4963</v>
      </c>
      <c r="K1126" t="s">
        <v>6025</v>
      </c>
      <c r="L1126" t="s">
        <v>6026</v>
      </c>
    </row>
    <row r="1127" spans="1:12" x14ac:dyDescent="0.35">
      <c r="A1127" t="s">
        <v>116</v>
      </c>
      <c r="B1127" t="s">
        <v>368</v>
      </c>
      <c r="C1127" t="s">
        <v>709</v>
      </c>
      <c r="D1127">
        <v>8</v>
      </c>
      <c r="F1127" t="s">
        <v>1373</v>
      </c>
      <c r="H1127" t="s">
        <v>5842</v>
      </c>
      <c r="I1127" t="s">
        <v>2328</v>
      </c>
      <c r="K1127" t="s">
        <v>6025</v>
      </c>
      <c r="L1127" t="s">
        <v>6026</v>
      </c>
    </row>
    <row r="1128" spans="1:12" x14ac:dyDescent="0.35">
      <c r="A1128" t="s">
        <v>116</v>
      </c>
      <c r="B1128" t="s">
        <v>368</v>
      </c>
      <c r="C1128" t="s">
        <v>709</v>
      </c>
      <c r="D1128">
        <v>3</v>
      </c>
      <c r="F1128" t="s">
        <v>1368</v>
      </c>
      <c r="H1128" t="s">
        <v>5843</v>
      </c>
      <c r="I1128" t="s">
        <v>2328</v>
      </c>
      <c r="K1128" t="s">
        <v>6025</v>
      </c>
      <c r="L1128" t="s">
        <v>6026</v>
      </c>
    </row>
    <row r="1129" spans="1:12" x14ac:dyDescent="0.35">
      <c r="A1129" t="s">
        <v>116</v>
      </c>
      <c r="B1129" t="s">
        <v>368</v>
      </c>
      <c r="C1129" t="s">
        <v>951</v>
      </c>
      <c r="D1129">
        <v>5.5</v>
      </c>
      <c r="F1129" t="s">
        <v>1860</v>
      </c>
      <c r="H1129" t="s">
        <v>5844</v>
      </c>
      <c r="I1129" t="s">
        <v>4965</v>
      </c>
      <c r="K1129" t="s">
        <v>6025</v>
      </c>
      <c r="L1129" t="s">
        <v>6026</v>
      </c>
    </row>
    <row r="1130" spans="1:12" x14ac:dyDescent="0.35">
      <c r="A1130" t="s">
        <v>116</v>
      </c>
      <c r="B1130" t="s">
        <v>368</v>
      </c>
      <c r="C1130" t="s">
        <v>709</v>
      </c>
      <c r="D1130">
        <v>2.5</v>
      </c>
      <c r="F1130" t="s">
        <v>1406</v>
      </c>
      <c r="H1130" t="s">
        <v>5845</v>
      </c>
      <c r="I1130" t="s">
        <v>2328</v>
      </c>
      <c r="K1130" t="s">
        <v>6025</v>
      </c>
      <c r="L1130" t="s">
        <v>6026</v>
      </c>
    </row>
    <row r="1131" spans="1:12" x14ac:dyDescent="0.35">
      <c r="A1131" t="s">
        <v>116</v>
      </c>
      <c r="B1131" t="s">
        <v>368</v>
      </c>
      <c r="C1131" t="s">
        <v>951</v>
      </c>
      <c r="D1131">
        <v>24.9</v>
      </c>
      <c r="F1131" t="s">
        <v>5446</v>
      </c>
      <c r="H1131" t="s">
        <v>3996</v>
      </c>
      <c r="I1131" t="s">
        <v>4965</v>
      </c>
      <c r="K1131" t="s">
        <v>6025</v>
      </c>
      <c r="L1131" t="s">
        <v>6026</v>
      </c>
    </row>
    <row r="1132" spans="1:12" x14ac:dyDescent="0.35">
      <c r="A1132" t="s">
        <v>116</v>
      </c>
      <c r="B1132" t="s">
        <v>368</v>
      </c>
      <c r="C1132" t="s">
        <v>951</v>
      </c>
      <c r="D1132">
        <v>14</v>
      </c>
      <c r="F1132" t="s">
        <v>1467</v>
      </c>
      <c r="H1132" t="s">
        <v>3989</v>
      </c>
      <c r="I1132" t="s">
        <v>4965</v>
      </c>
      <c r="K1132" t="s">
        <v>6025</v>
      </c>
      <c r="L1132" t="s">
        <v>6026</v>
      </c>
    </row>
    <row r="1133" spans="1:12" x14ac:dyDescent="0.35">
      <c r="A1133" t="s">
        <v>116</v>
      </c>
      <c r="B1133" t="s">
        <v>368</v>
      </c>
      <c r="C1133" t="s">
        <v>709</v>
      </c>
      <c r="D1133">
        <v>1.9</v>
      </c>
      <c r="F1133" t="s">
        <v>1503</v>
      </c>
      <c r="H1133" t="s">
        <v>5846</v>
      </c>
      <c r="I1133" t="s">
        <v>2328</v>
      </c>
      <c r="K1133" t="s">
        <v>6025</v>
      </c>
      <c r="L1133" t="s">
        <v>6026</v>
      </c>
    </row>
    <row r="1134" spans="1:12" x14ac:dyDescent="0.35">
      <c r="A1134" t="s">
        <v>116</v>
      </c>
      <c r="B1134" t="s">
        <v>368</v>
      </c>
      <c r="C1134" t="s">
        <v>1012</v>
      </c>
      <c r="D1134">
        <v>4.1000000000000002E-2</v>
      </c>
      <c r="F1134" t="s">
        <v>1814</v>
      </c>
      <c r="H1134" t="s">
        <v>3991</v>
      </c>
      <c r="I1134" t="s">
        <v>4966</v>
      </c>
      <c r="K1134" t="s">
        <v>6025</v>
      </c>
      <c r="L1134" t="s">
        <v>6026</v>
      </c>
    </row>
    <row r="1135" spans="1:12" x14ac:dyDescent="0.35">
      <c r="A1135" t="s">
        <v>116</v>
      </c>
      <c r="B1135" t="s">
        <v>368</v>
      </c>
      <c r="C1135" t="s">
        <v>970</v>
      </c>
      <c r="D1135">
        <v>195</v>
      </c>
      <c r="F1135" t="s">
        <v>4946</v>
      </c>
      <c r="H1135" t="s">
        <v>3976</v>
      </c>
      <c r="I1135" t="s">
        <v>4964</v>
      </c>
      <c r="K1135" t="s">
        <v>6025</v>
      </c>
      <c r="L1135" t="s">
        <v>6026</v>
      </c>
    </row>
    <row r="1136" spans="1:12" x14ac:dyDescent="0.35">
      <c r="A1136" t="s">
        <v>116</v>
      </c>
      <c r="B1136" t="s">
        <v>368</v>
      </c>
      <c r="C1136" t="s">
        <v>955</v>
      </c>
      <c r="D1136">
        <v>4.0000000000000001E-3</v>
      </c>
      <c r="F1136" t="s">
        <v>1838</v>
      </c>
      <c r="H1136" t="s">
        <v>3991</v>
      </c>
      <c r="I1136" t="s">
        <v>4966</v>
      </c>
      <c r="K1136" t="s">
        <v>6025</v>
      </c>
      <c r="L1136" t="s">
        <v>6026</v>
      </c>
    </row>
    <row r="1137" spans="1:12" x14ac:dyDescent="0.35">
      <c r="A1137" t="s">
        <v>116</v>
      </c>
      <c r="B1137" t="s">
        <v>368</v>
      </c>
      <c r="C1137" t="s">
        <v>709</v>
      </c>
      <c r="D1137">
        <v>6.3</v>
      </c>
      <c r="F1137" t="s">
        <v>1965</v>
      </c>
      <c r="H1137" t="s">
        <v>5847</v>
      </c>
      <c r="I1137" t="s">
        <v>2328</v>
      </c>
      <c r="K1137" t="s">
        <v>6025</v>
      </c>
      <c r="L1137" t="s">
        <v>6026</v>
      </c>
    </row>
    <row r="1138" spans="1:12" x14ac:dyDescent="0.35">
      <c r="A1138" t="s">
        <v>116</v>
      </c>
      <c r="B1138" t="s">
        <v>368</v>
      </c>
      <c r="C1138" t="s">
        <v>709</v>
      </c>
      <c r="D1138">
        <v>5.0999999999999996</v>
      </c>
      <c r="F1138" t="s">
        <v>1710</v>
      </c>
      <c r="H1138" t="s">
        <v>5848</v>
      </c>
      <c r="I1138" t="s">
        <v>2328</v>
      </c>
      <c r="K1138" t="s">
        <v>6025</v>
      </c>
      <c r="L1138" t="s">
        <v>6026</v>
      </c>
    </row>
    <row r="1139" spans="1:12" x14ac:dyDescent="0.35">
      <c r="A1139" t="s">
        <v>116</v>
      </c>
      <c r="B1139" t="s">
        <v>368</v>
      </c>
      <c r="C1139" t="s">
        <v>961</v>
      </c>
      <c r="D1139">
        <v>365</v>
      </c>
      <c r="F1139" t="s">
        <v>5447</v>
      </c>
      <c r="H1139" t="s">
        <v>5849</v>
      </c>
      <c r="I1139" t="s">
        <v>4964</v>
      </c>
      <c r="K1139" t="s">
        <v>6025</v>
      </c>
      <c r="L1139" t="s">
        <v>6026</v>
      </c>
    </row>
    <row r="1140" spans="1:12" x14ac:dyDescent="0.35">
      <c r="A1140" t="s">
        <v>116</v>
      </c>
      <c r="B1140" t="s">
        <v>368</v>
      </c>
      <c r="C1140" t="s">
        <v>1011</v>
      </c>
      <c r="D1140">
        <v>2.5999999999999999E-2</v>
      </c>
      <c r="F1140" t="s">
        <v>1737</v>
      </c>
      <c r="H1140" t="s">
        <v>3991</v>
      </c>
      <c r="I1140" t="s">
        <v>4966</v>
      </c>
      <c r="K1140" t="s">
        <v>6025</v>
      </c>
      <c r="L1140" t="s">
        <v>6026</v>
      </c>
    </row>
    <row r="1141" spans="1:12" x14ac:dyDescent="0.35">
      <c r="A1141" t="s">
        <v>116</v>
      </c>
      <c r="B1141" t="s">
        <v>368</v>
      </c>
      <c r="C1141" t="s">
        <v>1009</v>
      </c>
      <c r="D1141">
        <v>308</v>
      </c>
      <c r="F1141" t="s">
        <v>4966</v>
      </c>
      <c r="H1141" t="s">
        <v>3981</v>
      </c>
      <c r="I1141" t="s">
        <v>4964</v>
      </c>
      <c r="K1141" t="s">
        <v>6025</v>
      </c>
      <c r="L1141" t="s">
        <v>6026</v>
      </c>
    </row>
    <row r="1142" spans="1:12" x14ac:dyDescent="0.35">
      <c r="A1142" t="s">
        <v>116</v>
      </c>
      <c r="B1142" t="s">
        <v>368</v>
      </c>
      <c r="C1142" t="s">
        <v>687</v>
      </c>
      <c r="D1142">
        <v>1.2999999999999999E-2</v>
      </c>
      <c r="F1142" t="s">
        <v>1861</v>
      </c>
      <c r="H1142" t="s">
        <v>3991</v>
      </c>
      <c r="I1142" t="s">
        <v>4966</v>
      </c>
      <c r="K1142" t="s">
        <v>6025</v>
      </c>
      <c r="L1142" t="s">
        <v>6026</v>
      </c>
    </row>
    <row r="1143" spans="1:12" x14ac:dyDescent="0.35">
      <c r="A1143" t="s">
        <v>116</v>
      </c>
      <c r="B1143" t="s">
        <v>368</v>
      </c>
      <c r="C1143" t="s">
        <v>961</v>
      </c>
      <c r="D1143">
        <v>305</v>
      </c>
      <c r="F1143" t="s">
        <v>4979</v>
      </c>
      <c r="H1143" t="s">
        <v>3976</v>
      </c>
      <c r="I1143" t="s">
        <v>4964</v>
      </c>
      <c r="K1143" t="s">
        <v>6025</v>
      </c>
      <c r="L1143" t="s">
        <v>6026</v>
      </c>
    </row>
    <row r="1144" spans="1:12" x14ac:dyDescent="0.35">
      <c r="A1144" t="s">
        <v>116</v>
      </c>
      <c r="B1144" t="s">
        <v>368</v>
      </c>
      <c r="C1144" t="s">
        <v>1008</v>
      </c>
      <c r="D1144">
        <v>27.6</v>
      </c>
      <c r="F1144" t="s">
        <v>2392</v>
      </c>
      <c r="H1144" t="s">
        <v>3980</v>
      </c>
      <c r="I1144" t="s">
        <v>4964</v>
      </c>
      <c r="K1144" t="s">
        <v>6025</v>
      </c>
      <c r="L1144" t="s">
        <v>6026</v>
      </c>
    </row>
    <row r="1145" spans="1:12" x14ac:dyDescent="0.35">
      <c r="A1145" t="s">
        <v>116</v>
      </c>
      <c r="B1145" t="s">
        <v>368</v>
      </c>
      <c r="C1145" t="s">
        <v>845</v>
      </c>
      <c r="D1145">
        <v>9.4E-2</v>
      </c>
      <c r="F1145" t="s">
        <v>5448</v>
      </c>
      <c r="H1145" t="s">
        <v>3991</v>
      </c>
      <c r="I1145" t="s">
        <v>4966</v>
      </c>
      <c r="K1145" t="s">
        <v>6025</v>
      </c>
      <c r="L1145" t="s">
        <v>6026</v>
      </c>
    </row>
    <row r="1146" spans="1:12" x14ac:dyDescent="0.35">
      <c r="A1146" t="s">
        <v>116</v>
      </c>
      <c r="B1146" t="s">
        <v>368</v>
      </c>
      <c r="C1146" t="s">
        <v>1010</v>
      </c>
      <c r="D1146">
        <v>7.5999999999999998E-2</v>
      </c>
      <c r="F1146" t="s">
        <v>2107</v>
      </c>
      <c r="H1146" t="s">
        <v>3991</v>
      </c>
      <c r="I1146" t="s">
        <v>4966</v>
      </c>
      <c r="K1146" t="s">
        <v>6025</v>
      </c>
      <c r="L1146" t="s">
        <v>6026</v>
      </c>
    </row>
    <row r="1147" spans="1:12" x14ac:dyDescent="0.35">
      <c r="A1147" t="s">
        <v>116</v>
      </c>
      <c r="B1147" t="s">
        <v>368</v>
      </c>
      <c r="C1147" t="s">
        <v>961</v>
      </c>
      <c r="D1147">
        <v>1.9E-2</v>
      </c>
      <c r="F1147" t="s">
        <v>1628</v>
      </c>
      <c r="H1147" t="s">
        <v>3991</v>
      </c>
      <c r="I1147" t="s">
        <v>4966</v>
      </c>
      <c r="K1147" t="s">
        <v>6025</v>
      </c>
      <c r="L1147" t="s">
        <v>6026</v>
      </c>
    </row>
    <row r="1148" spans="1:12" x14ac:dyDescent="0.35">
      <c r="A1148" t="s">
        <v>116</v>
      </c>
      <c r="B1148" t="s">
        <v>368</v>
      </c>
      <c r="C1148" t="s">
        <v>985</v>
      </c>
      <c r="D1148">
        <v>1.9E-2</v>
      </c>
      <c r="F1148" t="s">
        <v>1628</v>
      </c>
      <c r="H1148" t="s">
        <v>3991</v>
      </c>
      <c r="I1148" t="s">
        <v>4966</v>
      </c>
      <c r="K1148" t="s">
        <v>6025</v>
      </c>
      <c r="L1148" t="s">
        <v>6026</v>
      </c>
    </row>
    <row r="1149" spans="1:12" x14ac:dyDescent="0.35">
      <c r="A1149" t="s">
        <v>116</v>
      </c>
      <c r="B1149" t="s">
        <v>368</v>
      </c>
      <c r="C1149" t="s">
        <v>709</v>
      </c>
      <c r="D1149">
        <v>34.200000000000003</v>
      </c>
      <c r="F1149" t="s">
        <v>1598</v>
      </c>
      <c r="H1149" t="s">
        <v>3976</v>
      </c>
      <c r="I1149" t="s">
        <v>4964</v>
      </c>
      <c r="K1149" t="s">
        <v>6025</v>
      </c>
      <c r="L1149" t="s">
        <v>6026</v>
      </c>
    </row>
    <row r="1150" spans="1:12" x14ac:dyDescent="0.35">
      <c r="A1150" t="s">
        <v>116</v>
      </c>
      <c r="B1150" t="s">
        <v>368</v>
      </c>
      <c r="C1150" t="s">
        <v>1008</v>
      </c>
      <c r="D1150">
        <v>34.299999999999997</v>
      </c>
      <c r="F1150" t="s">
        <v>5449</v>
      </c>
      <c r="H1150" t="s">
        <v>5850</v>
      </c>
      <c r="I1150" t="s">
        <v>4964</v>
      </c>
      <c r="K1150" t="s">
        <v>6025</v>
      </c>
      <c r="L1150" t="s">
        <v>6026</v>
      </c>
    </row>
    <row r="1151" spans="1:12" x14ac:dyDescent="0.35">
      <c r="A1151" t="s">
        <v>116</v>
      </c>
      <c r="B1151" t="s">
        <v>368</v>
      </c>
      <c r="C1151" t="s">
        <v>979</v>
      </c>
      <c r="D1151">
        <v>931</v>
      </c>
      <c r="F1151" t="s">
        <v>5450</v>
      </c>
      <c r="H1151" t="s">
        <v>3976</v>
      </c>
      <c r="I1151" t="s">
        <v>4964</v>
      </c>
      <c r="K1151" t="s">
        <v>6025</v>
      </c>
      <c r="L1151" t="s">
        <v>6026</v>
      </c>
    </row>
    <row r="1152" spans="1:12" x14ac:dyDescent="0.35">
      <c r="A1152" t="s">
        <v>116</v>
      </c>
      <c r="B1152" t="s">
        <v>368</v>
      </c>
      <c r="C1152" t="s">
        <v>855</v>
      </c>
      <c r="D1152">
        <v>681</v>
      </c>
      <c r="F1152" t="s">
        <v>5451</v>
      </c>
      <c r="H1152" t="s">
        <v>3976</v>
      </c>
      <c r="I1152" t="s">
        <v>4964</v>
      </c>
      <c r="K1152" t="s">
        <v>6025</v>
      </c>
      <c r="L1152" t="s">
        <v>6026</v>
      </c>
    </row>
    <row r="1153" spans="1:12" x14ac:dyDescent="0.35">
      <c r="A1153" t="s">
        <v>116</v>
      </c>
      <c r="B1153" t="s">
        <v>368</v>
      </c>
      <c r="C1153" t="s">
        <v>708</v>
      </c>
      <c r="D1153">
        <v>326</v>
      </c>
      <c r="F1153" t="s">
        <v>5452</v>
      </c>
      <c r="H1153" t="s">
        <v>3976</v>
      </c>
      <c r="I1153" t="s">
        <v>4964</v>
      </c>
      <c r="K1153" t="s">
        <v>6025</v>
      </c>
      <c r="L1153" t="s">
        <v>6026</v>
      </c>
    </row>
    <row r="1154" spans="1:12" x14ac:dyDescent="0.35">
      <c r="A1154" t="s">
        <v>116</v>
      </c>
      <c r="B1154" t="s">
        <v>537</v>
      </c>
      <c r="C1154" t="s">
        <v>1015</v>
      </c>
      <c r="D1154">
        <v>3.8</v>
      </c>
      <c r="F1154" t="s">
        <v>1388</v>
      </c>
      <c r="H1154" t="s">
        <v>4002</v>
      </c>
      <c r="I1154" t="s">
        <v>4969</v>
      </c>
      <c r="K1154" t="s">
        <v>6025</v>
      </c>
      <c r="L1154" t="s">
        <v>6026</v>
      </c>
    </row>
    <row r="1155" spans="1:12" x14ac:dyDescent="0.35">
      <c r="A1155" t="s">
        <v>116</v>
      </c>
      <c r="B1155" t="s">
        <v>537</v>
      </c>
      <c r="C1155" t="s">
        <v>708</v>
      </c>
      <c r="D1155">
        <v>2</v>
      </c>
      <c r="F1155" t="s">
        <v>1372</v>
      </c>
      <c r="H1155" t="s">
        <v>4002</v>
      </c>
      <c r="I1155" t="s">
        <v>4969</v>
      </c>
      <c r="K1155" t="s">
        <v>6025</v>
      </c>
      <c r="L1155" t="s">
        <v>6026</v>
      </c>
    </row>
    <row r="1156" spans="1:12" x14ac:dyDescent="0.35">
      <c r="A1156" t="s">
        <v>116</v>
      </c>
      <c r="B1156" t="s">
        <v>537</v>
      </c>
      <c r="C1156" t="s">
        <v>709</v>
      </c>
      <c r="D1156">
        <v>3.7</v>
      </c>
      <c r="F1156" t="s">
        <v>1380</v>
      </c>
      <c r="H1156" t="s">
        <v>4003</v>
      </c>
      <c r="I1156" t="s">
        <v>4969</v>
      </c>
      <c r="K1156" t="s">
        <v>6025</v>
      </c>
      <c r="L1156" t="s">
        <v>6026</v>
      </c>
    </row>
    <row r="1157" spans="1:12" x14ac:dyDescent="0.35">
      <c r="A1157" t="s">
        <v>116</v>
      </c>
      <c r="B1157" t="s">
        <v>537</v>
      </c>
      <c r="C1157" t="s">
        <v>1021</v>
      </c>
      <c r="D1157">
        <v>2.1</v>
      </c>
      <c r="F1157" t="s">
        <v>1399</v>
      </c>
      <c r="H1157" t="s">
        <v>2842</v>
      </c>
      <c r="I1157" t="s">
        <v>4969</v>
      </c>
      <c r="K1157" t="s">
        <v>6025</v>
      </c>
      <c r="L1157" t="s">
        <v>6026</v>
      </c>
    </row>
    <row r="1158" spans="1:12" x14ac:dyDescent="0.35">
      <c r="A1158" t="s">
        <v>116</v>
      </c>
      <c r="B1158" t="s">
        <v>537</v>
      </c>
      <c r="C1158" t="s">
        <v>902</v>
      </c>
      <c r="D1158">
        <v>3.1</v>
      </c>
      <c r="F1158" t="s">
        <v>1374</v>
      </c>
      <c r="H1158" t="s">
        <v>4002</v>
      </c>
      <c r="I1158" t="s">
        <v>4969</v>
      </c>
      <c r="K1158" t="s">
        <v>6025</v>
      </c>
      <c r="L1158" t="s">
        <v>6026</v>
      </c>
    </row>
    <row r="1159" spans="1:12" x14ac:dyDescent="0.35">
      <c r="A1159" t="s">
        <v>116</v>
      </c>
      <c r="B1159" t="s">
        <v>537</v>
      </c>
      <c r="C1159" t="s">
        <v>829</v>
      </c>
      <c r="D1159">
        <v>22</v>
      </c>
      <c r="F1159" t="s">
        <v>1449</v>
      </c>
      <c r="H1159" t="s">
        <v>4002</v>
      </c>
      <c r="I1159" t="s">
        <v>4969</v>
      </c>
      <c r="K1159" t="s">
        <v>6025</v>
      </c>
      <c r="L1159" t="s">
        <v>6026</v>
      </c>
    </row>
    <row r="1160" spans="1:12" x14ac:dyDescent="0.35">
      <c r="A1160" t="s">
        <v>116</v>
      </c>
      <c r="B1160" t="s">
        <v>537</v>
      </c>
      <c r="C1160" t="s">
        <v>1019</v>
      </c>
      <c r="D1160">
        <v>9.1999999999999993</v>
      </c>
      <c r="F1160" t="s">
        <v>5453</v>
      </c>
      <c r="H1160" t="s">
        <v>4002</v>
      </c>
      <c r="I1160" t="s">
        <v>4969</v>
      </c>
      <c r="K1160" t="s">
        <v>6025</v>
      </c>
      <c r="L1160" t="s">
        <v>6026</v>
      </c>
    </row>
    <row r="1161" spans="1:12" x14ac:dyDescent="0.35">
      <c r="A1161" t="s">
        <v>116</v>
      </c>
      <c r="B1161" t="s">
        <v>537</v>
      </c>
      <c r="C1161" t="s">
        <v>877</v>
      </c>
      <c r="D1161">
        <v>10</v>
      </c>
      <c r="F1161" t="s">
        <v>1533</v>
      </c>
      <c r="H1161" t="s">
        <v>4002</v>
      </c>
      <c r="I1161" t="s">
        <v>4969</v>
      </c>
      <c r="K1161" t="s">
        <v>6025</v>
      </c>
      <c r="L1161" t="s">
        <v>6026</v>
      </c>
    </row>
    <row r="1162" spans="1:12" x14ac:dyDescent="0.35">
      <c r="A1162" t="s">
        <v>116</v>
      </c>
      <c r="B1162" t="s">
        <v>537</v>
      </c>
      <c r="C1162" t="s">
        <v>1016</v>
      </c>
      <c r="D1162">
        <v>13.5</v>
      </c>
      <c r="F1162" t="s">
        <v>5222</v>
      </c>
      <c r="H1162" t="s">
        <v>3426</v>
      </c>
      <c r="I1162" t="s">
        <v>4969</v>
      </c>
      <c r="K1162" t="s">
        <v>6025</v>
      </c>
      <c r="L1162" t="s">
        <v>6026</v>
      </c>
    </row>
    <row r="1163" spans="1:12" x14ac:dyDescent="0.35">
      <c r="A1163" t="s">
        <v>116</v>
      </c>
      <c r="B1163" t="s">
        <v>537</v>
      </c>
      <c r="C1163" t="s">
        <v>1020</v>
      </c>
      <c r="D1163">
        <v>0.98</v>
      </c>
      <c r="F1163" t="s">
        <v>1849</v>
      </c>
      <c r="H1163" t="s">
        <v>4003</v>
      </c>
      <c r="I1163" t="s">
        <v>4969</v>
      </c>
      <c r="K1163" t="s">
        <v>6025</v>
      </c>
      <c r="L1163" t="s">
        <v>6026</v>
      </c>
    </row>
    <row r="1164" spans="1:12" x14ac:dyDescent="0.35">
      <c r="A1164" t="s">
        <v>116</v>
      </c>
      <c r="B1164" t="s">
        <v>537</v>
      </c>
      <c r="C1164" t="s">
        <v>1024</v>
      </c>
      <c r="D1164">
        <v>4.4000000000000004</v>
      </c>
      <c r="F1164" t="s">
        <v>1492</v>
      </c>
      <c r="H1164" t="s">
        <v>4003</v>
      </c>
      <c r="I1164" t="s">
        <v>4969</v>
      </c>
      <c r="K1164" t="s">
        <v>6025</v>
      </c>
      <c r="L1164" t="s">
        <v>6026</v>
      </c>
    </row>
    <row r="1165" spans="1:12" x14ac:dyDescent="0.35">
      <c r="A1165" t="s">
        <v>116</v>
      </c>
      <c r="B1165" t="s">
        <v>537</v>
      </c>
      <c r="C1165" t="s">
        <v>1017</v>
      </c>
      <c r="D1165">
        <v>7.1</v>
      </c>
      <c r="F1165" t="s">
        <v>1532</v>
      </c>
      <c r="H1165" t="s">
        <v>3426</v>
      </c>
      <c r="I1165" t="s">
        <v>4969</v>
      </c>
      <c r="K1165" t="s">
        <v>6025</v>
      </c>
      <c r="L1165" t="s">
        <v>6026</v>
      </c>
    </row>
    <row r="1166" spans="1:12" x14ac:dyDescent="0.35">
      <c r="A1166" t="s">
        <v>116</v>
      </c>
      <c r="B1166" t="s">
        <v>537</v>
      </c>
      <c r="C1166" t="s">
        <v>1023</v>
      </c>
      <c r="D1166">
        <v>6.2</v>
      </c>
      <c r="F1166" t="s">
        <v>2400</v>
      </c>
      <c r="H1166" t="s">
        <v>4002</v>
      </c>
      <c r="I1166" t="s">
        <v>4969</v>
      </c>
      <c r="K1166" t="s">
        <v>6025</v>
      </c>
      <c r="L1166" t="s">
        <v>6026</v>
      </c>
    </row>
    <row r="1167" spans="1:12" x14ac:dyDescent="0.35">
      <c r="A1167" t="s">
        <v>116</v>
      </c>
      <c r="B1167" t="s">
        <v>537</v>
      </c>
      <c r="C1167" t="s">
        <v>1022</v>
      </c>
      <c r="D1167">
        <v>13.7</v>
      </c>
      <c r="F1167" t="s">
        <v>2299</v>
      </c>
      <c r="H1167" t="s">
        <v>2842</v>
      </c>
      <c r="I1167" t="s">
        <v>4969</v>
      </c>
      <c r="K1167" t="s">
        <v>6025</v>
      </c>
      <c r="L1167" t="s">
        <v>6026</v>
      </c>
    </row>
    <row r="1168" spans="1:12" x14ac:dyDescent="0.35">
      <c r="A1168" t="s">
        <v>116</v>
      </c>
      <c r="B1168" t="s">
        <v>537</v>
      </c>
      <c r="C1168" t="s">
        <v>1018</v>
      </c>
      <c r="D1168">
        <v>2.35</v>
      </c>
      <c r="F1168" t="s">
        <v>2482</v>
      </c>
      <c r="H1168" t="s">
        <v>4002</v>
      </c>
      <c r="I1168" t="s">
        <v>4969</v>
      </c>
      <c r="K1168" t="s">
        <v>6025</v>
      </c>
      <c r="L1168" t="s">
        <v>6026</v>
      </c>
    </row>
    <row r="1169" spans="1:12" x14ac:dyDescent="0.35">
      <c r="A1169" t="s">
        <v>116</v>
      </c>
      <c r="B1169" t="s">
        <v>537</v>
      </c>
      <c r="C1169" t="s">
        <v>1024</v>
      </c>
      <c r="D1169">
        <v>7</v>
      </c>
      <c r="F1169" t="s">
        <v>1335</v>
      </c>
      <c r="H1169" t="s">
        <v>4005</v>
      </c>
      <c r="I1169" t="s">
        <v>4970</v>
      </c>
      <c r="K1169" t="s">
        <v>6025</v>
      </c>
      <c r="L1169" t="s">
        <v>6026</v>
      </c>
    </row>
    <row r="1170" spans="1:12" x14ac:dyDescent="0.35">
      <c r="A1170" t="s">
        <v>116</v>
      </c>
      <c r="B1170" t="s">
        <v>537</v>
      </c>
      <c r="C1170" t="s">
        <v>906</v>
      </c>
      <c r="D1170">
        <v>1.6</v>
      </c>
      <c r="F1170" t="s">
        <v>1328</v>
      </c>
      <c r="H1170" t="s">
        <v>4004</v>
      </c>
      <c r="I1170" t="s">
        <v>4970</v>
      </c>
      <c r="K1170" t="s">
        <v>6025</v>
      </c>
      <c r="L1170" t="s">
        <v>6026</v>
      </c>
    </row>
    <row r="1171" spans="1:12" x14ac:dyDescent="0.35">
      <c r="A1171" t="s">
        <v>116</v>
      </c>
      <c r="B1171" t="s">
        <v>537</v>
      </c>
      <c r="C1171" t="s">
        <v>1028</v>
      </c>
      <c r="D1171">
        <v>3.2</v>
      </c>
      <c r="F1171" t="s">
        <v>1465</v>
      </c>
      <c r="H1171" t="s">
        <v>5851</v>
      </c>
      <c r="I1171" t="s">
        <v>4970</v>
      </c>
      <c r="K1171" t="s">
        <v>6025</v>
      </c>
      <c r="L1171" t="s">
        <v>6026</v>
      </c>
    </row>
    <row r="1172" spans="1:12" x14ac:dyDescent="0.35">
      <c r="A1172" t="s">
        <v>116</v>
      </c>
      <c r="B1172" t="s">
        <v>537</v>
      </c>
      <c r="C1172" t="s">
        <v>877</v>
      </c>
      <c r="D1172">
        <v>1.7</v>
      </c>
      <c r="F1172" t="s">
        <v>1416</v>
      </c>
      <c r="H1172" t="s">
        <v>4004</v>
      </c>
      <c r="I1172" t="s">
        <v>4970</v>
      </c>
      <c r="K1172" t="s">
        <v>6025</v>
      </c>
      <c r="L1172" t="s">
        <v>6026</v>
      </c>
    </row>
    <row r="1173" spans="1:12" x14ac:dyDescent="0.35">
      <c r="A1173" t="s">
        <v>116</v>
      </c>
      <c r="B1173" t="s">
        <v>537</v>
      </c>
      <c r="C1173" t="s">
        <v>1026</v>
      </c>
      <c r="D1173">
        <v>0.65</v>
      </c>
      <c r="F1173" t="s">
        <v>1819</v>
      </c>
      <c r="H1173" t="s">
        <v>4004</v>
      </c>
      <c r="I1173" t="s">
        <v>4970</v>
      </c>
      <c r="K1173" t="s">
        <v>6025</v>
      </c>
      <c r="L1173" t="s">
        <v>6026</v>
      </c>
    </row>
    <row r="1174" spans="1:12" x14ac:dyDescent="0.35">
      <c r="A1174" t="s">
        <v>116</v>
      </c>
      <c r="B1174" t="s">
        <v>537</v>
      </c>
      <c r="C1174" t="s">
        <v>1018</v>
      </c>
      <c r="D1174">
        <v>1.9</v>
      </c>
      <c r="F1174" t="s">
        <v>1503</v>
      </c>
      <c r="H1174" t="s">
        <v>4004</v>
      </c>
      <c r="I1174" t="s">
        <v>4970</v>
      </c>
      <c r="K1174" t="s">
        <v>6025</v>
      </c>
      <c r="L1174" t="s">
        <v>6026</v>
      </c>
    </row>
    <row r="1175" spans="1:12" x14ac:dyDescent="0.35">
      <c r="A1175" t="s">
        <v>116</v>
      </c>
      <c r="B1175" t="s">
        <v>537</v>
      </c>
      <c r="C1175" t="s">
        <v>1029</v>
      </c>
      <c r="D1175">
        <v>9.6</v>
      </c>
      <c r="F1175" t="s">
        <v>1665</v>
      </c>
      <c r="H1175" t="s">
        <v>4005</v>
      </c>
      <c r="I1175" t="s">
        <v>4970</v>
      </c>
      <c r="K1175" t="s">
        <v>6025</v>
      </c>
      <c r="L1175" t="s">
        <v>6026</v>
      </c>
    </row>
    <row r="1176" spans="1:12" x14ac:dyDescent="0.35">
      <c r="A1176" t="s">
        <v>116</v>
      </c>
      <c r="B1176" t="s">
        <v>537</v>
      </c>
      <c r="C1176" t="s">
        <v>902</v>
      </c>
      <c r="D1176">
        <v>5.3</v>
      </c>
      <c r="F1176" t="s">
        <v>1671</v>
      </c>
      <c r="H1176" t="s">
        <v>4004</v>
      </c>
      <c r="I1176" t="s">
        <v>4970</v>
      </c>
      <c r="K1176" t="s">
        <v>6025</v>
      </c>
      <c r="L1176" t="s">
        <v>6026</v>
      </c>
    </row>
    <row r="1177" spans="1:12" x14ac:dyDescent="0.35">
      <c r="A1177" t="s">
        <v>116</v>
      </c>
      <c r="B1177" t="s">
        <v>537</v>
      </c>
      <c r="C1177" t="s">
        <v>1031</v>
      </c>
      <c r="D1177">
        <v>26</v>
      </c>
      <c r="F1177" t="s">
        <v>1518</v>
      </c>
      <c r="H1177" t="s">
        <v>4004</v>
      </c>
      <c r="I1177" t="s">
        <v>4970</v>
      </c>
      <c r="K1177" t="s">
        <v>6025</v>
      </c>
      <c r="L1177" t="s">
        <v>6026</v>
      </c>
    </row>
    <row r="1178" spans="1:12" x14ac:dyDescent="0.35">
      <c r="A1178" t="s">
        <v>116</v>
      </c>
      <c r="B1178" t="s">
        <v>537</v>
      </c>
      <c r="C1178" t="s">
        <v>708</v>
      </c>
      <c r="D1178">
        <v>26.2</v>
      </c>
      <c r="F1178" t="s">
        <v>5454</v>
      </c>
      <c r="H1178" t="s">
        <v>4004</v>
      </c>
      <c r="I1178" t="s">
        <v>4970</v>
      </c>
      <c r="K1178" t="s">
        <v>6025</v>
      </c>
      <c r="L1178" t="s">
        <v>6026</v>
      </c>
    </row>
    <row r="1179" spans="1:12" x14ac:dyDescent="0.35">
      <c r="A1179" t="s">
        <v>116</v>
      </c>
      <c r="B1179" t="s">
        <v>537</v>
      </c>
      <c r="C1179" t="s">
        <v>1030</v>
      </c>
      <c r="D1179">
        <v>6.2</v>
      </c>
      <c r="F1179" t="s">
        <v>2400</v>
      </c>
      <c r="H1179" t="s">
        <v>4005</v>
      </c>
      <c r="I1179" t="s">
        <v>4970</v>
      </c>
      <c r="K1179" t="s">
        <v>6025</v>
      </c>
      <c r="L1179" t="s">
        <v>6026</v>
      </c>
    </row>
    <row r="1180" spans="1:12" x14ac:dyDescent="0.35">
      <c r="A1180" t="s">
        <v>116</v>
      </c>
      <c r="B1180" t="s">
        <v>537</v>
      </c>
      <c r="C1180" t="s">
        <v>709</v>
      </c>
      <c r="D1180">
        <v>19.3</v>
      </c>
      <c r="F1180" t="s">
        <v>1561</v>
      </c>
      <c r="H1180" t="s">
        <v>4005</v>
      </c>
      <c r="I1180" t="s">
        <v>4970</v>
      </c>
      <c r="K1180" t="s">
        <v>6025</v>
      </c>
      <c r="L1180" t="s">
        <v>6026</v>
      </c>
    </row>
    <row r="1181" spans="1:12" x14ac:dyDescent="0.35">
      <c r="A1181" t="s">
        <v>116</v>
      </c>
      <c r="B1181" t="s">
        <v>537</v>
      </c>
      <c r="C1181" t="s">
        <v>1027</v>
      </c>
      <c r="D1181">
        <v>16.600000000000001</v>
      </c>
      <c r="F1181" t="s">
        <v>1721</v>
      </c>
      <c r="H1181" t="s">
        <v>4005</v>
      </c>
      <c r="I1181" t="s">
        <v>4970</v>
      </c>
      <c r="K1181" t="s">
        <v>6025</v>
      </c>
      <c r="L1181" t="s">
        <v>6026</v>
      </c>
    </row>
    <row r="1182" spans="1:12" x14ac:dyDescent="0.35">
      <c r="A1182" t="s">
        <v>116</v>
      </c>
      <c r="B1182" t="s">
        <v>538</v>
      </c>
      <c r="C1182" t="s">
        <v>961</v>
      </c>
      <c r="D1182">
        <v>3000</v>
      </c>
      <c r="F1182" t="s">
        <v>5455</v>
      </c>
      <c r="H1182" t="s">
        <v>5852</v>
      </c>
      <c r="I1182" t="s">
        <v>4971</v>
      </c>
      <c r="K1182" t="s">
        <v>6025</v>
      </c>
      <c r="L1182" t="s">
        <v>6026</v>
      </c>
    </row>
    <row r="1183" spans="1:12" x14ac:dyDescent="0.35">
      <c r="A1183" t="s">
        <v>116</v>
      </c>
      <c r="B1183" t="s">
        <v>538</v>
      </c>
      <c r="C1183" t="s">
        <v>855</v>
      </c>
      <c r="D1183">
        <v>3500</v>
      </c>
      <c r="F1183" t="s">
        <v>5456</v>
      </c>
      <c r="H1183" t="s">
        <v>4007</v>
      </c>
      <c r="I1183" t="s">
        <v>4971</v>
      </c>
      <c r="K1183" t="s">
        <v>6025</v>
      </c>
      <c r="L1183" t="s">
        <v>6026</v>
      </c>
    </row>
    <row r="1184" spans="1:12" x14ac:dyDescent="0.35">
      <c r="A1184" t="s">
        <v>116</v>
      </c>
      <c r="B1184" t="s">
        <v>539</v>
      </c>
      <c r="C1184" t="s">
        <v>967</v>
      </c>
      <c r="D1184">
        <v>3.17</v>
      </c>
      <c r="F1184" t="s">
        <v>5457</v>
      </c>
      <c r="H1184" t="s">
        <v>4008</v>
      </c>
      <c r="I1184" t="s">
        <v>2211</v>
      </c>
      <c r="K1184" t="s">
        <v>6025</v>
      </c>
      <c r="L1184" t="s">
        <v>6026</v>
      </c>
    </row>
    <row r="1185" spans="1:12" x14ac:dyDescent="0.35">
      <c r="A1185" t="s">
        <v>116</v>
      </c>
      <c r="B1185" t="s">
        <v>496</v>
      </c>
      <c r="C1185" t="s">
        <v>708</v>
      </c>
      <c r="D1185">
        <v>0.41</v>
      </c>
      <c r="F1185" t="s">
        <v>1555</v>
      </c>
      <c r="H1185" t="s">
        <v>4009</v>
      </c>
      <c r="I1185" t="s">
        <v>4972</v>
      </c>
      <c r="K1185" t="s">
        <v>6025</v>
      </c>
      <c r="L1185" t="s">
        <v>6026</v>
      </c>
    </row>
    <row r="1186" spans="1:12" x14ac:dyDescent="0.35">
      <c r="A1186" t="s">
        <v>116</v>
      </c>
      <c r="B1186" t="s">
        <v>496</v>
      </c>
      <c r="C1186" t="s">
        <v>955</v>
      </c>
      <c r="D1186">
        <v>0.41</v>
      </c>
      <c r="F1186" t="s">
        <v>1555</v>
      </c>
      <c r="H1186" t="s">
        <v>4009</v>
      </c>
      <c r="I1186" t="s">
        <v>4972</v>
      </c>
      <c r="K1186" t="s">
        <v>6025</v>
      </c>
      <c r="L1186" t="s">
        <v>6026</v>
      </c>
    </row>
    <row r="1187" spans="1:12" x14ac:dyDescent="0.35">
      <c r="A1187" t="s">
        <v>116</v>
      </c>
      <c r="B1187" t="s">
        <v>496</v>
      </c>
      <c r="C1187" t="s">
        <v>959</v>
      </c>
      <c r="D1187">
        <v>0.52</v>
      </c>
      <c r="F1187" t="s">
        <v>2037</v>
      </c>
      <c r="H1187" t="s">
        <v>4009</v>
      </c>
      <c r="I1187" t="s">
        <v>4972</v>
      </c>
      <c r="K1187" t="s">
        <v>6025</v>
      </c>
      <c r="L1187" t="s">
        <v>6026</v>
      </c>
    </row>
    <row r="1188" spans="1:12" x14ac:dyDescent="0.35">
      <c r="A1188" t="s">
        <v>116</v>
      </c>
      <c r="B1188" t="s">
        <v>496</v>
      </c>
      <c r="C1188" t="s">
        <v>985</v>
      </c>
      <c r="D1188">
        <v>0.26</v>
      </c>
      <c r="F1188" t="s">
        <v>1447</v>
      </c>
      <c r="H1188" t="s">
        <v>4009</v>
      </c>
      <c r="I1188" t="s">
        <v>4972</v>
      </c>
      <c r="K1188" t="s">
        <v>6025</v>
      </c>
      <c r="L1188" t="s">
        <v>6026</v>
      </c>
    </row>
    <row r="1189" spans="1:12" x14ac:dyDescent="0.35">
      <c r="A1189" t="s">
        <v>116</v>
      </c>
      <c r="B1189" t="s">
        <v>496</v>
      </c>
      <c r="C1189" t="s">
        <v>709</v>
      </c>
      <c r="D1189">
        <v>0.4</v>
      </c>
      <c r="F1189" t="s">
        <v>1315</v>
      </c>
      <c r="H1189" t="s">
        <v>4009</v>
      </c>
      <c r="I1189" t="s">
        <v>4972</v>
      </c>
      <c r="K1189" t="s">
        <v>6025</v>
      </c>
      <c r="L1189" t="s">
        <v>6026</v>
      </c>
    </row>
    <row r="1190" spans="1:12" x14ac:dyDescent="0.35">
      <c r="A1190" t="s">
        <v>116</v>
      </c>
      <c r="B1190" t="s">
        <v>496</v>
      </c>
      <c r="C1190" t="s">
        <v>1032</v>
      </c>
      <c r="D1190">
        <v>0.4</v>
      </c>
      <c r="F1190" t="s">
        <v>1315</v>
      </c>
      <c r="H1190" t="s">
        <v>4009</v>
      </c>
      <c r="I1190" t="s">
        <v>4972</v>
      </c>
      <c r="K1190" t="s">
        <v>6025</v>
      </c>
      <c r="L1190" t="s">
        <v>6026</v>
      </c>
    </row>
    <row r="1191" spans="1:12" x14ac:dyDescent="0.35">
      <c r="A1191" t="s">
        <v>116</v>
      </c>
      <c r="B1191" t="s">
        <v>496</v>
      </c>
      <c r="C1191" t="s">
        <v>839</v>
      </c>
      <c r="D1191">
        <v>0.24</v>
      </c>
      <c r="F1191" t="s">
        <v>1488</v>
      </c>
      <c r="H1191" t="s">
        <v>4009</v>
      </c>
      <c r="I1191" t="s">
        <v>4972</v>
      </c>
      <c r="K1191" t="s">
        <v>6025</v>
      </c>
      <c r="L1191" t="s">
        <v>6026</v>
      </c>
    </row>
    <row r="1192" spans="1:12" x14ac:dyDescent="0.35">
      <c r="A1192" t="s">
        <v>116</v>
      </c>
      <c r="B1192" t="s">
        <v>496</v>
      </c>
      <c r="C1192" t="s">
        <v>1035</v>
      </c>
      <c r="D1192">
        <v>0.73</v>
      </c>
      <c r="F1192" t="s">
        <v>2007</v>
      </c>
      <c r="H1192" t="s">
        <v>4009</v>
      </c>
      <c r="I1192" t="s">
        <v>4972</v>
      </c>
      <c r="K1192" t="s">
        <v>6025</v>
      </c>
      <c r="L1192" t="s">
        <v>6026</v>
      </c>
    </row>
    <row r="1193" spans="1:12" x14ac:dyDescent="0.35">
      <c r="A1193" t="s">
        <v>116</v>
      </c>
      <c r="B1193" t="s">
        <v>496</v>
      </c>
      <c r="C1193" t="s">
        <v>1033</v>
      </c>
      <c r="D1193">
        <v>0.74</v>
      </c>
      <c r="F1193" t="s">
        <v>1685</v>
      </c>
      <c r="H1193" t="s">
        <v>4009</v>
      </c>
      <c r="I1193" t="s">
        <v>4972</v>
      </c>
      <c r="K1193" t="s">
        <v>6025</v>
      </c>
      <c r="L1193" t="s">
        <v>6026</v>
      </c>
    </row>
    <row r="1194" spans="1:12" x14ac:dyDescent="0.35">
      <c r="A1194" t="s">
        <v>116</v>
      </c>
      <c r="B1194" t="s">
        <v>496</v>
      </c>
      <c r="C1194" t="s">
        <v>843</v>
      </c>
      <c r="D1194">
        <v>0.77</v>
      </c>
      <c r="F1194" t="s">
        <v>1484</v>
      </c>
      <c r="H1194" t="s">
        <v>4009</v>
      </c>
      <c r="I1194" t="s">
        <v>4972</v>
      </c>
      <c r="K1194" t="s">
        <v>6025</v>
      </c>
      <c r="L1194" t="s">
        <v>6026</v>
      </c>
    </row>
    <row r="1195" spans="1:12" x14ac:dyDescent="0.35">
      <c r="A1195" t="s">
        <v>116</v>
      </c>
      <c r="B1195" t="s">
        <v>496</v>
      </c>
      <c r="C1195" t="s">
        <v>980</v>
      </c>
      <c r="D1195">
        <v>0.6</v>
      </c>
      <c r="F1195" t="s">
        <v>1519</v>
      </c>
      <c r="H1195" t="s">
        <v>4009</v>
      </c>
      <c r="I1195" t="s">
        <v>4972</v>
      </c>
      <c r="K1195" t="s">
        <v>6025</v>
      </c>
      <c r="L1195" t="s">
        <v>6026</v>
      </c>
    </row>
    <row r="1196" spans="1:12" x14ac:dyDescent="0.35">
      <c r="A1196" t="s">
        <v>116</v>
      </c>
      <c r="B1196" t="s">
        <v>496</v>
      </c>
      <c r="C1196" t="s">
        <v>1037</v>
      </c>
      <c r="D1196">
        <v>0.6</v>
      </c>
      <c r="F1196" t="s">
        <v>1519</v>
      </c>
      <c r="H1196" t="s">
        <v>4009</v>
      </c>
      <c r="I1196" t="s">
        <v>4972</v>
      </c>
      <c r="K1196" t="s">
        <v>6025</v>
      </c>
      <c r="L1196" t="s">
        <v>6026</v>
      </c>
    </row>
    <row r="1197" spans="1:12" x14ac:dyDescent="0.35">
      <c r="A1197" t="s">
        <v>116</v>
      </c>
      <c r="B1197" t="s">
        <v>496</v>
      </c>
      <c r="C1197" t="s">
        <v>963</v>
      </c>
      <c r="D1197">
        <v>0.45</v>
      </c>
      <c r="F1197" t="s">
        <v>1316</v>
      </c>
      <c r="H1197" t="s">
        <v>4009</v>
      </c>
      <c r="I1197" t="s">
        <v>4972</v>
      </c>
      <c r="K1197" t="s">
        <v>6025</v>
      </c>
      <c r="L1197" t="s">
        <v>6026</v>
      </c>
    </row>
    <row r="1198" spans="1:12" x14ac:dyDescent="0.35">
      <c r="A1198" t="s">
        <v>116</v>
      </c>
      <c r="B1198" t="s">
        <v>496</v>
      </c>
      <c r="C1198" t="s">
        <v>848</v>
      </c>
      <c r="D1198">
        <v>1.27</v>
      </c>
      <c r="F1198" t="s">
        <v>1364</v>
      </c>
      <c r="H1198" t="s">
        <v>4009</v>
      </c>
      <c r="I1198" t="s">
        <v>4972</v>
      </c>
      <c r="K1198" t="s">
        <v>6025</v>
      </c>
      <c r="L1198" t="s">
        <v>6026</v>
      </c>
    </row>
    <row r="1199" spans="1:12" x14ac:dyDescent="0.35">
      <c r="A1199" t="s">
        <v>116</v>
      </c>
      <c r="B1199" t="s">
        <v>496</v>
      </c>
      <c r="C1199" t="s">
        <v>975</v>
      </c>
      <c r="D1199">
        <v>0.37</v>
      </c>
      <c r="F1199" t="s">
        <v>1481</v>
      </c>
      <c r="H1199" t="s">
        <v>4009</v>
      </c>
      <c r="I1199" t="s">
        <v>4972</v>
      </c>
      <c r="K1199" t="s">
        <v>6025</v>
      </c>
      <c r="L1199" t="s">
        <v>6026</v>
      </c>
    </row>
    <row r="1200" spans="1:12" x14ac:dyDescent="0.35">
      <c r="A1200" t="s">
        <v>116</v>
      </c>
      <c r="B1200" t="s">
        <v>496</v>
      </c>
      <c r="C1200" t="s">
        <v>951</v>
      </c>
      <c r="D1200">
        <v>1.02</v>
      </c>
      <c r="F1200" t="s">
        <v>2011</v>
      </c>
      <c r="H1200" t="s">
        <v>4009</v>
      </c>
      <c r="I1200" t="s">
        <v>4972</v>
      </c>
      <c r="K1200" t="s">
        <v>6025</v>
      </c>
      <c r="L1200" t="s">
        <v>6026</v>
      </c>
    </row>
    <row r="1201" spans="1:12" x14ac:dyDescent="0.35">
      <c r="A1201" t="s">
        <v>116</v>
      </c>
      <c r="B1201" t="s">
        <v>496</v>
      </c>
      <c r="C1201" t="s">
        <v>1039</v>
      </c>
      <c r="D1201">
        <v>1.08</v>
      </c>
      <c r="F1201" t="s">
        <v>1831</v>
      </c>
      <c r="H1201" t="s">
        <v>4009</v>
      </c>
      <c r="I1201" t="s">
        <v>4972</v>
      </c>
      <c r="K1201" t="s">
        <v>6025</v>
      </c>
      <c r="L1201" t="s">
        <v>6026</v>
      </c>
    </row>
    <row r="1202" spans="1:12" x14ac:dyDescent="0.35">
      <c r="A1202" t="s">
        <v>116</v>
      </c>
      <c r="B1202" t="s">
        <v>496</v>
      </c>
      <c r="C1202" t="s">
        <v>1034</v>
      </c>
      <c r="D1202">
        <v>7.0999999999999994E-2</v>
      </c>
      <c r="F1202" t="s">
        <v>1485</v>
      </c>
      <c r="H1202" t="s">
        <v>4009</v>
      </c>
      <c r="I1202" t="s">
        <v>4972</v>
      </c>
      <c r="K1202" t="s">
        <v>6025</v>
      </c>
      <c r="L1202" t="s">
        <v>6026</v>
      </c>
    </row>
    <row r="1203" spans="1:12" x14ac:dyDescent="0.35">
      <c r="A1203" t="s">
        <v>116</v>
      </c>
      <c r="B1203" t="s">
        <v>496</v>
      </c>
      <c r="C1203" t="s">
        <v>978</v>
      </c>
      <c r="D1203">
        <v>1.22</v>
      </c>
      <c r="F1203" t="s">
        <v>1959</v>
      </c>
      <c r="H1203" t="s">
        <v>4009</v>
      </c>
      <c r="I1203" t="s">
        <v>4972</v>
      </c>
      <c r="K1203" t="s">
        <v>6025</v>
      </c>
      <c r="L1203" t="s">
        <v>6026</v>
      </c>
    </row>
    <row r="1204" spans="1:12" x14ac:dyDescent="0.35">
      <c r="A1204" t="s">
        <v>116</v>
      </c>
      <c r="B1204" t="s">
        <v>496</v>
      </c>
      <c r="C1204" t="s">
        <v>845</v>
      </c>
      <c r="D1204">
        <v>0.48</v>
      </c>
      <c r="F1204" t="s">
        <v>1508</v>
      </c>
      <c r="H1204" t="s">
        <v>4009</v>
      </c>
      <c r="I1204" t="s">
        <v>4972</v>
      </c>
      <c r="K1204" t="s">
        <v>6025</v>
      </c>
      <c r="L1204" t="s">
        <v>6026</v>
      </c>
    </row>
    <row r="1205" spans="1:12" x14ac:dyDescent="0.35">
      <c r="A1205" t="s">
        <v>116</v>
      </c>
      <c r="B1205" t="s">
        <v>496</v>
      </c>
      <c r="C1205" t="s">
        <v>961</v>
      </c>
      <c r="D1205">
        <v>0.23</v>
      </c>
      <c r="F1205" t="s">
        <v>1362</v>
      </c>
      <c r="H1205" t="s">
        <v>4009</v>
      </c>
      <c r="I1205" t="s">
        <v>4972</v>
      </c>
      <c r="K1205" t="s">
        <v>6025</v>
      </c>
      <c r="L1205" t="s">
        <v>6026</v>
      </c>
    </row>
    <row r="1206" spans="1:12" x14ac:dyDescent="0.35">
      <c r="A1206" t="s">
        <v>116</v>
      </c>
      <c r="B1206" t="s">
        <v>496</v>
      </c>
      <c r="C1206" t="s">
        <v>1036</v>
      </c>
      <c r="D1206">
        <v>0.7</v>
      </c>
      <c r="F1206" t="s">
        <v>1378</v>
      </c>
      <c r="H1206" t="s">
        <v>4009</v>
      </c>
      <c r="I1206" t="s">
        <v>4972</v>
      </c>
      <c r="K1206" t="s">
        <v>6025</v>
      </c>
      <c r="L1206" t="s">
        <v>6026</v>
      </c>
    </row>
    <row r="1207" spans="1:12" x14ac:dyDescent="0.35">
      <c r="A1207" t="s">
        <v>116</v>
      </c>
      <c r="B1207" t="s">
        <v>496</v>
      </c>
      <c r="C1207" t="s">
        <v>1038</v>
      </c>
      <c r="D1207">
        <v>7.1999999999999995E-2</v>
      </c>
      <c r="F1207" t="s">
        <v>1760</v>
      </c>
      <c r="H1207" t="s">
        <v>4009</v>
      </c>
      <c r="I1207" t="s">
        <v>4972</v>
      </c>
      <c r="K1207" t="s">
        <v>6025</v>
      </c>
      <c r="L1207" t="s">
        <v>6026</v>
      </c>
    </row>
    <row r="1208" spans="1:12" x14ac:dyDescent="0.35">
      <c r="A1208" t="s">
        <v>116</v>
      </c>
      <c r="B1208" t="s">
        <v>495</v>
      </c>
      <c r="C1208" t="s">
        <v>961</v>
      </c>
      <c r="D1208">
        <v>142</v>
      </c>
      <c r="F1208" t="s">
        <v>5141</v>
      </c>
      <c r="H1208" t="s">
        <v>4012</v>
      </c>
      <c r="I1208" t="s">
        <v>2376</v>
      </c>
      <c r="K1208" t="s">
        <v>6025</v>
      </c>
      <c r="L1208" t="s">
        <v>6026</v>
      </c>
    </row>
    <row r="1209" spans="1:12" x14ac:dyDescent="0.35">
      <c r="A1209" t="s">
        <v>116</v>
      </c>
      <c r="B1209" t="s">
        <v>495</v>
      </c>
      <c r="C1209" t="s">
        <v>855</v>
      </c>
      <c r="D1209">
        <v>283</v>
      </c>
      <c r="F1209" t="s">
        <v>5458</v>
      </c>
      <c r="H1209" t="s">
        <v>5853</v>
      </c>
      <c r="I1209" t="s">
        <v>2376</v>
      </c>
      <c r="K1209" t="s">
        <v>6025</v>
      </c>
      <c r="L1209" t="s">
        <v>6026</v>
      </c>
    </row>
    <row r="1210" spans="1:12" x14ac:dyDescent="0.35">
      <c r="A1210" t="s">
        <v>116</v>
      </c>
      <c r="B1210" t="s">
        <v>495</v>
      </c>
      <c r="C1210" t="s">
        <v>961</v>
      </c>
      <c r="D1210">
        <v>4.5</v>
      </c>
      <c r="F1210" t="s">
        <v>1828</v>
      </c>
      <c r="H1210" t="s">
        <v>4016</v>
      </c>
      <c r="I1210" t="s">
        <v>2376</v>
      </c>
      <c r="K1210" t="s">
        <v>6025</v>
      </c>
      <c r="L1210" t="s">
        <v>6026</v>
      </c>
    </row>
    <row r="1211" spans="1:12" x14ac:dyDescent="0.35">
      <c r="A1211" t="s">
        <v>116</v>
      </c>
      <c r="B1211" t="s">
        <v>495</v>
      </c>
      <c r="C1211" t="s">
        <v>855</v>
      </c>
      <c r="D1211">
        <v>53</v>
      </c>
      <c r="F1211" t="s">
        <v>2254</v>
      </c>
      <c r="H1211" t="s">
        <v>4015</v>
      </c>
      <c r="I1211" t="s">
        <v>2376</v>
      </c>
      <c r="K1211" t="s">
        <v>6025</v>
      </c>
      <c r="L1211" t="s">
        <v>6026</v>
      </c>
    </row>
    <row r="1212" spans="1:12" x14ac:dyDescent="0.35">
      <c r="A1212" t="s">
        <v>116</v>
      </c>
      <c r="B1212" t="s">
        <v>495</v>
      </c>
      <c r="C1212" t="s">
        <v>961</v>
      </c>
      <c r="D1212">
        <v>33</v>
      </c>
      <c r="F1212" t="s">
        <v>1943</v>
      </c>
      <c r="H1212" t="s">
        <v>4017</v>
      </c>
      <c r="I1212" t="s">
        <v>2376</v>
      </c>
      <c r="K1212" t="s">
        <v>6025</v>
      </c>
      <c r="L1212" t="s">
        <v>6026</v>
      </c>
    </row>
    <row r="1213" spans="1:12" x14ac:dyDescent="0.35">
      <c r="A1213" t="s">
        <v>116</v>
      </c>
      <c r="B1213" t="s">
        <v>495</v>
      </c>
      <c r="C1213" t="s">
        <v>961</v>
      </c>
      <c r="D1213">
        <v>158</v>
      </c>
      <c r="F1213" t="s">
        <v>1625</v>
      </c>
      <c r="H1213" t="s">
        <v>5854</v>
      </c>
      <c r="I1213" t="s">
        <v>2376</v>
      </c>
      <c r="K1213" t="s">
        <v>6025</v>
      </c>
      <c r="L1213" t="s">
        <v>6026</v>
      </c>
    </row>
    <row r="1214" spans="1:12" x14ac:dyDescent="0.35">
      <c r="A1214" t="s">
        <v>116</v>
      </c>
      <c r="B1214" t="s">
        <v>541</v>
      </c>
      <c r="C1214" t="s">
        <v>951</v>
      </c>
      <c r="D1214">
        <v>3.8</v>
      </c>
      <c r="F1214" t="s">
        <v>1388</v>
      </c>
      <c r="H1214" t="s">
        <v>4018</v>
      </c>
      <c r="I1214" t="s">
        <v>4965</v>
      </c>
      <c r="K1214" t="s">
        <v>6025</v>
      </c>
      <c r="L1214" t="s">
        <v>6026</v>
      </c>
    </row>
    <row r="1215" spans="1:12" x14ac:dyDescent="0.35">
      <c r="A1215" t="s">
        <v>116</v>
      </c>
      <c r="B1215" t="s">
        <v>541</v>
      </c>
      <c r="C1215" t="s">
        <v>951</v>
      </c>
      <c r="D1215">
        <v>6.9</v>
      </c>
      <c r="F1215" t="s">
        <v>1411</v>
      </c>
      <c r="H1215" t="s">
        <v>4019</v>
      </c>
      <c r="I1215" t="s">
        <v>4965</v>
      </c>
      <c r="K1215" t="s">
        <v>6025</v>
      </c>
      <c r="L1215" t="s">
        <v>6026</v>
      </c>
    </row>
    <row r="1216" spans="1:12" x14ac:dyDescent="0.35">
      <c r="A1216" t="s">
        <v>116</v>
      </c>
      <c r="B1216" t="s">
        <v>368</v>
      </c>
      <c r="C1216" t="s">
        <v>1041</v>
      </c>
      <c r="D1216">
        <v>55</v>
      </c>
      <c r="F1216" t="s">
        <v>1369</v>
      </c>
      <c r="H1216" t="s">
        <v>4023</v>
      </c>
      <c r="I1216" t="s">
        <v>4974</v>
      </c>
      <c r="K1216" t="s">
        <v>6025</v>
      </c>
      <c r="L1216" t="s">
        <v>6026</v>
      </c>
    </row>
    <row r="1217" spans="1:12" x14ac:dyDescent="0.35">
      <c r="A1217" t="s">
        <v>116</v>
      </c>
      <c r="B1217" t="s">
        <v>368</v>
      </c>
      <c r="C1217" t="s">
        <v>709</v>
      </c>
      <c r="D1217">
        <v>33</v>
      </c>
      <c r="F1217" t="s">
        <v>1943</v>
      </c>
      <c r="H1217" t="s">
        <v>4023</v>
      </c>
      <c r="I1217" t="s">
        <v>4974</v>
      </c>
      <c r="K1217" t="s">
        <v>6025</v>
      </c>
      <c r="L1217" t="s">
        <v>6026</v>
      </c>
    </row>
    <row r="1218" spans="1:12" x14ac:dyDescent="0.35">
      <c r="A1218" t="s">
        <v>116</v>
      </c>
      <c r="B1218" t="s">
        <v>368</v>
      </c>
      <c r="C1218" t="s">
        <v>708</v>
      </c>
      <c r="D1218">
        <v>43</v>
      </c>
      <c r="F1218" t="s">
        <v>1394</v>
      </c>
      <c r="H1218" t="s">
        <v>4023</v>
      </c>
      <c r="I1218" t="s">
        <v>4974</v>
      </c>
      <c r="K1218" t="s">
        <v>6025</v>
      </c>
      <c r="L1218" t="s">
        <v>6026</v>
      </c>
    </row>
    <row r="1219" spans="1:12" x14ac:dyDescent="0.35">
      <c r="A1219" t="s">
        <v>116</v>
      </c>
      <c r="B1219" t="s">
        <v>368</v>
      </c>
      <c r="C1219" t="s">
        <v>1042</v>
      </c>
      <c r="D1219">
        <v>43</v>
      </c>
      <c r="F1219" t="s">
        <v>1394</v>
      </c>
      <c r="H1219" t="s">
        <v>4023</v>
      </c>
      <c r="I1219" t="s">
        <v>4974</v>
      </c>
      <c r="K1219" t="s">
        <v>6025</v>
      </c>
      <c r="L1219" t="s">
        <v>6026</v>
      </c>
    </row>
    <row r="1220" spans="1:12" x14ac:dyDescent="0.35">
      <c r="A1220" t="s">
        <v>116</v>
      </c>
      <c r="B1220" t="s">
        <v>368</v>
      </c>
      <c r="C1220" t="s">
        <v>839</v>
      </c>
      <c r="D1220">
        <v>287</v>
      </c>
      <c r="F1220" t="s">
        <v>4960</v>
      </c>
      <c r="H1220" t="s">
        <v>4023</v>
      </c>
      <c r="I1220" t="s">
        <v>4974</v>
      </c>
      <c r="K1220" t="s">
        <v>6025</v>
      </c>
      <c r="L1220" t="s">
        <v>6026</v>
      </c>
    </row>
    <row r="1221" spans="1:12" x14ac:dyDescent="0.35">
      <c r="A1221" t="s">
        <v>116</v>
      </c>
      <c r="B1221" t="s">
        <v>434</v>
      </c>
      <c r="C1221" t="s">
        <v>716</v>
      </c>
      <c r="D1221">
        <v>30</v>
      </c>
      <c r="F1221" t="s">
        <v>1354</v>
      </c>
      <c r="H1221" t="s">
        <v>4026</v>
      </c>
      <c r="I1221" t="s">
        <v>4975</v>
      </c>
      <c r="K1221" t="s">
        <v>6025</v>
      </c>
      <c r="L1221" t="s">
        <v>6026</v>
      </c>
    </row>
    <row r="1222" spans="1:12" x14ac:dyDescent="0.35">
      <c r="A1222" t="s">
        <v>116</v>
      </c>
      <c r="B1222" t="s">
        <v>434</v>
      </c>
      <c r="C1222" t="s">
        <v>708</v>
      </c>
      <c r="D1222">
        <v>17.3</v>
      </c>
      <c r="F1222" t="s">
        <v>5459</v>
      </c>
      <c r="H1222" t="s">
        <v>4025</v>
      </c>
      <c r="I1222" t="s">
        <v>4975</v>
      </c>
      <c r="K1222" t="s">
        <v>6025</v>
      </c>
      <c r="L1222" t="s">
        <v>6026</v>
      </c>
    </row>
    <row r="1223" spans="1:12" x14ac:dyDescent="0.35">
      <c r="A1223" t="s">
        <v>116</v>
      </c>
      <c r="B1223" t="s">
        <v>434</v>
      </c>
      <c r="C1223" t="s">
        <v>708</v>
      </c>
      <c r="D1223">
        <v>15.6</v>
      </c>
      <c r="F1223" t="s">
        <v>5460</v>
      </c>
      <c r="H1223" t="s">
        <v>4025</v>
      </c>
      <c r="I1223" t="s">
        <v>4975</v>
      </c>
      <c r="K1223" t="s">
        <v>6025</v>
      </c>
      <c r="L1223" t="s">
        <v>6026</v>
      </c>
    </row>
    <row r="1224" spans="1:12" x14ac:dyDescent="0.35">
      <c r="A1224" t="s">
        <v>116</v>
      </c>
      <c r="B1224" t="s">
        <v>434</v>
      </c>
      <c r="C1224" t="s">
        <v>716</v>
      </c>
      <c r="D1224">
        <v>10.5</v>
      </c>
      <c r="F1224" t="s">
        <v>5461</v>
      </c>
      <c r="H1224" t="s">
        <v>4024</v>
      </c>
      <c r="I1224" t="s">
        <v>4975</v>
      </c>
      <c r="K1224" t="s">
        <v>6025</v>
      </c>
      <c r="L1224" t="s">
        <v>6026</v>
      </c>
    </row>
    <row r="1225" spans="1:12" x14ac:dyDescent="0.35">
      <c r="A1225" t="s">
        <v>116</v>
      </c>
      <c r="B1225" t="s">
        <v>434</v>
      </c>
      <c r="C1225" t="s">
        <v>709</v>
      </c>
      <c r="D1225">
        <v>10.4</v>
      </c>
      <c r="F1225" t="s">
        <v>1876</v>
      </c>
      <c r="H1225" t="s">
        <v>4024</v>
      </c>
      <c r="I1225" t="s">
        <v>4975</v>
      </c>
      <c r="K1225" t="s">
        <v>6025</v>
      </c>
      <c r="L1225" t="s">
        <v>6026</v>
      </c>
    </row>
    <row r="1226" spans="1:12" x14ac:dyDescent="0.35">
      <c r="A1226" t="s">
        <v>116</v>
      </c>
      <c r="B1226" t="s">
        <v>434</v>
      </c>
      <c r="C1226" t="s">
        <v>847</v>
      </c>
      <c r="D1226">
        <v>43.8</v>
      </c>
      <c r="F1226" t="s">
        <v>5462</v>
      </c>
      <c r="H1226" t="s">
        <v>4027</v>
      </c>
      <c r="I1226" t="s">
        <v>4975</v>
      </c>
      <c r="K1226" t="s">
        <v>6025</v>
      </c>
      <c r="L1226" t="s">
        <v>6026</v>
      </c>
    </row>
    <row r="1227" spans="1:12" x14ac:dyDescent="0.35">
      <c r="A1227" t="s">
        <v>116</v>
      </c>
      <c r="B1227" t="s">
        <v>434</v>
      </c>
      <c r="C1227" t="s">
        <v>844</v>
      </c>
      <c r="D1227">
        <v>13.7</v>
      </c>
      <c r="F1227" t="s">
        <v>2299</v>
      </c>
      <c r="H1227" t="s">
        <v>4028</v>
      </c>
      <c r="I1227" t="s">
        <v>4975</v>
      </c>
      <c r="K1227" t="s">
        <v>6025</v>
      </c>
      <c r="L1227" t="s">
        <v>6026</v>
      </c>
    </row>
    <row r="1228" spans="1:12" x14ac:dyDescent="0.35">
      <c r="A1228" t="s">
        <v>116</v>
      </c>
      <c r="B1228" t="s">
        <v>434</v>
      </c>
      <c r="C1228" t="s">
        <v>709</v>
      </c>
      <c r="D1228">
        <v>30.8</v>
      </c>
      <c r="F1228" t="s">
        <v>5195</v>
      </c>
      <c r="H1228" t="s">
        <v>4026</v>
      </c>
      <c r="I1228" t="s">
        <v>4975</v>
      </c>
      <c r="K1228" t="s">
        <v>6025</v>
      </c>
      <c r="L1228" t="s">
        <v>6026</v>
      </c>
    </row>
    <row r="1229" spans="1:12" x14ac:dyDescent="0.35">
      <c r="A1229" t="s">
        <v>116</v>
      </c>
      <c r="B1229" t="s">
        <v>434</v>
      </c>
      <c r="C1229" t="s">
        <v>1043</v>
      </c>
      <c r="D1229">
        <v>35.700000000000003</v>
      </c>
      <c r="F1229" t="s">
        <v>5178</v>
      </c>
      <c r="H1229" t="s">
        <v>4027</v>
      </c>
      <c r="I1229" t="s">
        <v>4975</v>
      </c>
      <c r="K1229" t="s">
        <v>6025</v>
      </c>
      <c r="L1229" t="s">
        <v>6026</v>
      </c>
    </row>
    <row r="1230" spans="1:12" x14ac:dyDescent="0.35">
      <c r="A1230" t="s">
        <v>116</v>
      </c>
      <c r="B1230" t="s">
        <v>542</v>
      </c>
      <c r="C1230" t="s">
        <v>720</v>
      </c>
      <c r="D1230">
        <v>433</v>
      </c>
      <c r="F1230" t="s">
        <v>5463</v>
      </c>
      <c r="H1230" t="s">
        <v>4029</v>
      </c>
      <c r="I1230" t="s">
        <v>4976</v>
      </c>
      <c r="K1230" t="s">
        <v>6025</v>
      </c>
      <c r="L1230" t="s">
        <v>6026</v>
      </c>
    </row>
    <row r="1231" spans="1:12" x14ac:dyDescent="0.35">
      <c r="A1231" t="s">
        <v>116</v>
      </c>
      <c r="B1231" t="s">
        <v>542</v>
      </c>
      <c r="C1231" t="s">
        <v>978</v>
      </c>
      <c r="D1231">
        <v>360</v>
      </c>
      <c r="F1231" t="s">
        <v>1618</v>
      </c>
      <c r="H1231" t="s">
        <v>4029</v>
      </c>
      <c r="I1231" t="s">
        <v>4976</v>
      </c>
      <c r="K1231" t="s">
        <v>6025</v>
      </c>
      <c r="L1231" t="s">
        <v>6026</v>
      </c>
    </row>
    <row r="1232" spans="1:12" x14ac:dyDescent="0.35">
      <c r="A1232" t="s">
        <v>116</v>
      </c>
      <c r="B1232" t="s">
        <v>542</v>
      </c>
      <c r="C1232" t="s">
        <v>716</v>
      </c>
      <c r="D1232">
        <v>194</v>
      </c>
      <c r="F1232" t="s">
        <v>4934</v>
      </c>
      <c r="H1232" t="s">
        <v>4031</v>
      </c>
      <c r="I1232" t="s">
        <v>4976</v>
      </c>
      <c r="K1232" t="s">
        <v>6025</v>
      </c>
      <c r="L1232" t="s">
        <v>6026</v>
      </c>
    </row>
    <row r="1233" spans="1:12" x14ac:dyDescent="0.35">
      <c r="A1233" t="s">
        <v>116</v>
      </c>
      <c r="B1233" t="s">
        <v>542</v>
      </c>
      <c r="C1233" t="s">
        <v>1045</v>
      </c>
      <c r="D1233">
        <v>101</v>
      </c>
      <c r="F1233" t="s">
        <v>4932</v>
      </c>
      <c r="H1233" t="s">
        <v>4030</v>
      </c>
      <c r="I1233" t="s">
        <v>4976</v>
      </c>
      <c r="K1233" t="s">
        <v>6025</v>
      </c>
      <c r="L1233" t="s">
        <v>6026</v>
      </c>
    </row>
    <row r="1234" spans="1:12" x14ac:dyDescent="0.35">
      <c r="A1234" t="s">
        <v>116</v>
      </c>
      <c r="B1234" t="s">
        <v>542</v>
      </c>
      <c r="C1234" t="s">
        <v>1044</v>
      </c>
      <c r="D1234">
        <v>405</v>
      </c>
      <c r="F1234" t="s">
        <v>5464</v>
      </c>
      <c r="H1234" t="s">
        <v>4030</v>
      </c>
      <c r="I1234" t="s">
        <v>4976</v>
      </c>
      <c r="K1234" t="s">
        <v>6025</v>
      </c>
      <c r="L1234" t="s">
        <v>6026</v>
      </c>
    </row>
    <row r="1235" spans="1:12" x14ac:dyDescent="0.35">
      <c r="A1235" t="s">
        <v>116</v>
      </c>
      <c r="B1235" t="s">
        <v>542</v>
      </c>
      <c r="C1235" t="s">
        <v>951</v>
      </c>
      <c r="D1235">
        <v>93.3</v>
      </c>
      <c r="F1235" t="s">
        <v>2359</v>
      </c>
      <c r="H1235" t="s">
        <v>4031</v>
      </c>
      <c r="I1235" t="s">
        <v>4976</v>
      </c>
      <c r="K1235" t="s">
        <v>6025</v>
      </c>
      <c r="L1235" t="s">
        <v>6026</v>
      </c>
    </row>
    <row r="1236" spans="1:12" x14ac:dyDescent="0.35">
      <c r="A1236" t="s">
        <v>116</v>
      </c>
      <c r="B1236" t="s">
        <v>543</v>
      </c>
      <c r="C1236" t="s">
        <v>1046</v>
      </c>
      <c r="D1236">
        <v>2</v>
      </c>
      <c r="F1236" t="s">
        <v>1372</v>
      </c>
      <c r="H1236" t="s">
        <v>4035</v>
      </c>
      <c r="I1236" t="s">
        <v>4977</v>
      </c>
      <c r="K1236" t="s">
        <v>6025</v>
      </c>
      <c r="L1236" t="s">
        <v>6026</v>
      </c>
    </row>
    <row r="1237" spans="1:12" x14ac:dyDescent="0.35">
      <c r="A1237" t="s">
        <v>116</v>
      </c>
      <c r="B1237" t="s">
        <v>543</v>
      </c>
      <c r="C1237" t="s">
        <v>708</v>
      </c>
      <c r="D1237">
        <v>153</v>
      </c>
      <c r="F1237" t="s">
        <v>5465</v>
      </c>
      <c r="H1237" t="s">
        <v>4033</v>
      </c>
      <c r="I1237" t="s">
        <v>4977</v>
      </c>
      <c r="K1237" t="s">
        <v>6025</v>
      </c>
      <c r="L1237" t="s">
        <v>6026</v>
      </c>
    </row>
    <row r="1238" spans="1:12" x14ac:dyDescent="0.35">
      <c r="A1238" t="s">
        <v>116</v>
      </c>
      <c r="B1238" t="s">
        <v>543</v>
      </c>
      <c r="C1238" t="s">
        <v>965</v>
      </c>
      <c r="D1238">
        <v>102</v>
      </c>
      <c r="F1238" t="s">
        <v>4925</v>
      </c>
      <c r="H1238" t="s">
        <v>4034</v>
      </c>
      <c r="I1238" t="s">
        <v>4977</v>
      </c>
      <c r="K1238" t="s">
        <v>6025</v>
      </c>
      <c r="L1238" t="s">
        <v>6026</v>
      </c>
    </row>
    <row r="1239" spans="1:12" x14ac:dyDescent="0.35">
      <c r="A1239" t="s">
        <v>116</v>
      </c>
      <c r="B1239" t="s">
        <v>545</v>
      </c>
      <c r="C1239" t="s">
        <v>1049</v>
      </c>
      <c r="D1239">
        <v>1.98</v>
      </c>
      <c r="F1239" t="s">
        <v>5466</v>
      </c>
      <c r="H1239" t="s">
        <v>4038</v>
      </c>
      <c r="I1239" t="s">
        <v>4967</v>
      </c>
      <c r="K1239" t="s">
        <v>6025</v>
      </c>
      <c r="L1239" t="s">
        <v>6026</v>
      </c>
    </row>
    <row r="1240" spans="1:12" x14ac:dyDescent="0.35">
      <c r="A1240" t="s">
        <v>116</v>
      </c>
      <c r="B1240" t="s">
        <v>545</v>
      </c>
      <c r="C1240" t="s">
        <v>1048</v>
      </c>
      <c r="D1240">
        <v>93.13</v>
      </c>
      <c r="F1240" t="s">
        <v>5467</v>
      </c>
      <c r="H1240" t="s">
        <v>4039</v>
      </c>
      <c r="I1240" t="s">
        <v>4967</v>
      </c>
      <c r="K1240" t="s">
        <v>6025</v>
      </c>
      <c r="L1240" t="s">
        <v>6026</v>
      </c>
    </row>
    <row r="1241" spans="1:12" x14ac:dyDescent="0.35">
      <c r="A1241" t="s">
        <v>116</v>
      </c>
      <c r="B1241" t="s">
        <v>546</v>
      </c>
      <c r="C1241" t="s">
        <v>961</v>
      </c>
      <c r="D1241">
        <v>3.2</v>
      </c>
      <c r="F1241" t="s">
        <v>1465</v>
      </c>
      <c r="H1241" t="s">
        <v>4040</v>
      </c>
      <c r="I1241" t="s">
        <v>2404</v>
      </c>
      <c r="K1241" t="s">
        <v>6025</v>
      </c>
      <c r="L1241" t="s">
        <v>6026</v>
      </c>
    </row>
    <row r="1242" spans="1:12" x14ac:dyDescent="0.35">
      <c r="A1242" t="s">
        <v>116</v>
      </c>
      <c r="B1242" t="s">
        <v>546</v>
      </c>
      <c r="C1242" t="s">
        <v>855</v>
      </c>
      <c r="D1242">
        <v>2.5</v>
      </c>
      <c r="F1242" t="s">
        <v>1406</v>
      </c>
      <c r="H1242" t="s">
        <v>4040</v>
      </c>
      <c r="I1242" t="s">
        <v>2404</v>
      </c>
      <c r="K1242" t="s">
        <v>6025</v>
      </c>
      <c r="L1242" t="s">
        <v>6026</v>
      </c>
    </row>
    <row r="1243" spans="1:12" x14ac:dyDescent="0.35">
      <c r="A1243" t="s">
        <v>116</v>
      </c>
      <c r="B1243" t="s">
        <v>547</v>
      </c>
      <c r="C1243" t="s">
        <v>1051</v>
      </c>
      <c r="D1243">
        <v>0.19</v>
      </c>
      <c r="F1243" t="s">
        <v>1538</v>
      </c>
      <c r="H1243" t="s">
        <v>4041</v>
      </c>
      <c r="I1243" t="s">
        <v>4978</v>
      </c>
      <c r="K1243" t="s">
        <v>6025</v>
      </c>
      <c r="L1243" t="s">
        <v>6026</v>
      </c>
    </row>
    <row r="1244" spans="1:12" x14ac:dyDescent="0.35">
      <c r="A1244" t="s">
        <v>116</v>
      </c>
      <c r="B1244" t="s">
        <v>547</v>
      </c>
      <c r="C1244" t="s">
        <v>1053</v>
      </c>
      <c r="D1244">
        <v>0.53</v>
      </c>
      <c r="F1244" t="s">
        <v>1817</v>
      </c>
      <c r="H1244" t="s">
        <v>4041</v>
      </c>
      <c r="I1244" t="s">
        <v>4978</v>
      </c>
      <c r="K1244" t="s">
        <v>6025</v>
      </c>
      <c r="L1244" t="s">
        <v>6026</v>
      </c>
    </row>
    <row r="1245" spans="1:12" x14ac:dyDescent="0.35">
      <c r="A1245" t="s">
        <v>116</v>
      </c>
      <c r="B1245" t="s">
        <v>547</v>
      </c>
      <c r="C1245" t="s">
        <v>1057</v>
      </c>
      <c r="D1245">
        <v>1.4</v>
      </c>
      <c r="F1245" t="s">
        <v>1469</v>
      </c>
      <c r="H1245" t="s">
        <v>4042</v>
      </c>
      <c r="I1245" t="s">
        <v>4978</v>
      </c>
      <c r="K1245" t="s">
        <v>6025</v>
      </c>
      <c r="L1245" t="s">
        <v>6026</v>
      </c>
    </row>
    <row r="1246" spans="1:12" x14ac:dyDescent="0.35">
      <c r="A1246" t="s">
        <v>116</v>
      </c>
      <c r="B1246" t="s">
        <v>547</v>
      </c>
      <c r="C1246" t="s">
        <v>1052</v>
      </c>
      <c r="D1246">
        <v>0.98</v>
      </c>
      <c r="F1246" t="s">
        <v>1849</v>
      </c>
      <c r="H1246" t="s">
        <v>4041</v>
      </c>
      <c r="I1246" t="s">
        <v>4978</v>
      </c>
      <c r="K1246" t="s">
        <v>6025</v>
      </c>
      <c r="L1246" t="s">
        <v>6026</v>
      </c>
    </row>
    <row r="1247" spans="1:12" x14ac:dyDescent="0.35">
      <c r="A1247" t="s">
        <v>116</v>
      </c>
      <c r="B1247" t="s">
        <v>547</v>
      </c>
      <c r="C1247" t="s">
        <v>1056</v>
      </c>
      <c r="D1247">
        <v>2.1000000000000001E-2</v>
      </c>
      <c r="F1247" t="s">
        <v>1617</v>
      </c>
      <c r="H1247" t="s">
        <v>4041</v>
      </c>
      <c r="I1247" t="s">
        <v>4978</v>
      </c>
      <c r="K1247" t="s">
        <v>6025</v>
      </c>
      <c r="L1247" t="s">
        <v>6026</v>
      </c>
    </row>
    <row r="1248" spans="1:12" x14ac:dyDescent="0.35">
      <c r="A1248" t="s">
        <v>116</v>
      </c>
      <c r="B1248" t="s">
        <v>547</v>
      </c>
      <c r="C1248" t="s">
        <v>1055</v>
      </c>
      <c r="D1248">
        <v>0.18</v>
      </c>
      <c r="F1248" t="s">
        <v>1531</v>
      </c>
      <c r="H1248" t="s">
        <v>4041</v>
      </c>
      <c r="I1248" t="s">
        <v>4978</v>
      </c>
      <c r="K1248" t="s">
        <v>6025</v>
      </c>
      <c r="L1248" t="s">
        <v>6026</v>
      </c>
    </row>
    <row r="1249" spans="1:12" x14ac:dyDescent="0.35">
      <c r="A1249" t="s">
        <v>116</v>
      </c>
      <c r="B1249" t="s">
        <v>547</v>
      </c>
      <c r="C1249" t="s">
        <v>1058</v>
      </c>
      <c r="D1249">
        <v>1.9E-3</v>
      </c>
      <c r="F1249" t="s">
        <v>1778</v>
      </c>
      <c r="H1249" t="s">
        <v>4041</v>
      </c>
      <c r="I1249" t="s">
        <v>4978</v>
      </c>
      <c r="K1249" t="s">
        <v>6025</v>
      </c>
      <c r="L1249" t="s">
        <v>6026</v>
      </c>
    </row>
    <row r="1250" spans="1:12" x14ac:dyDescent="0.35">
      <c r="A1250" t="s">
        <v>116</v>
      </c>
      <c r="B1250" t="s">
        <v>547</v>
      </c>
      <c r="C1250" t="s">
        <v>1050</v>
      </c>
      <c r="D1250">
        <v>3.2000000000000001E-2</v>
      </c>
      <c r="F1250" t="s">
        <v>1314</v>
      </c>
      <c r="H1250" t="s">
        <v>4041</v>
      </c>
      <c r="I1250" t="s">
        <v>4978</v>
      </c>
      <c r="K1250" t="s">
        <v>6025</v>
      </c>
      <c r="L1250" t="s">
        <v>6026</v>
      </c>
    </row>
    <row r="1251" spans="1:12" x14ac:dyDescent="0.35">
      <c r="A1251" t="s">
        <v>116</v>
      </c>
      <c r="B1251" t="s">
        <v>547</v>
      </c>
      <c r="C1251" t="s">
        <v>1059</v>
      </c>
      <c r="D1251">
        <v>5.1999999999999998E-3</v>
      </c>
      <c r="F1251" t="s">
        <v>1284</v>
      </c>
      <c r="H1251" t="s">
        <v>4041</v>
      </c>
      <c r="I1251" t="s">
        <v>4978</v>
      </c>
      <c r="K1251" t="s">
        <v>6025</v>
      </c>
      <c r="L1251" t="s">
        <v>6026</v>
      </c>
    </row>
    <row r="1252" spans="1:12" x14ac:dyDescent="0.35">
      <c r="A1252" t="s">
        <v>116</v>
      </c>
      <c r="B1252" t="s">
        <v>547</v>
      </c>
      <c r="C1252" t="s">
        <v>1054</v>
      </c>
      <c r="D1252">
        <v>5.1999999999999998E-3</v>
      </c>
      <c r="F1252" t="s">
        <v>1284</v>
      </c>
      <c r="H1252" t="s">
        <v>4041</v>
      </c>
      <c r="I1252" t="s">
        <v>4978</v>
      </c>
      <c r="K1252" t="s">
        <v>6025</v>
      </c>
      <c r="L1252" t="s">
        <v>6026</v>
      </c>
    </row>
    <row r="1253" spans="1:12" x14ac:dyDescent="0.35">
      <c r="A1253" t="s">
        <v>116</v>
      </c>
      <c r="B1253" t="s">
        <v>178</v>
      </c>
      <c r="C1253" t="s">
        <v>961</v>
      </c>
      <c r="D1253">
        <v>31.5</v>
      </c>
      <c r="F1253" t="s">
        <v>5468</v>
      </c>
      <c r="H1253" t="s">
        <v>4043</v>
      </c>
      <c r="I1253" t="s">
        <v>4979</v>
      </c>
      <c r="K1253" t="s">
        <v>6025</v>
      </c>
      <c r="L1253" t="s">
        <v>6026</v>
      </c>
    </row>
    <row r="1254" spans="1:12" x14ac:dyDescent="0.35">
      <c r="A1254" t="s">
        <v>116</v>
      </c>
      <c r="B1254" t="s">
        <v>178</v>
      </c>
      <c r="C1254" t="s">
        <v>961</v>
      </c>
      <c r="D1254">
        <v>52.1</v>
      </c>
      <c r="F1254" t="s">
        <v>5469</v>
      </c>
      <c r="H1254" t="s">
        <v>4044</v>
      </c>
      <c r="I1254" t="s">
        <v>4979</v>
      </c>
      <c r="K1254" t="s">
        <v>6025</v>
      </c>
      <c r="L1254" t="s">
        <v>6026</v>
      </c>
    </row>
    <row r="1255" spans="1:12" x14ac:dyDescent="0.35">
      <c r="A1255" t="s">
        <v>116</v>
      </c>
      <c r="B1255" t="s">
        <v>317</v>
      </c>
      <c r="C1255" t="s">
        <v>1000</v>
      </c>
      <c r="D1255">
        <v>36.9</v>
      </c>
      <c r="F1255" t="s">
        <v>5470</v>
      </c>
      <c r="H1255" t="s">
        <v>4045</v>
      </c>
      <c r="I1255" t="s">
        <v>2408</v>
      </c>
      <c r="K1255" t="s">
        <v>6025</v>
      </c>
      <c r="L1255" t="s">
        <v>6026</v>
      </c>
    </row>
    <row r="1256" spans="1:12" x14ac:dyDescent="0.35">
      <c r="A1256" t="s">
        <v>116</v>
      </c>
      <c r="B1256" t="s">
        <v>317</v>
      </c>
      <c r="C1256" t="s">
        <v>855</v>
      </c>
      <c r="D1256">
        <v>313.14</v>
      </c>
      <c r="F1256" t="s">
        <v>5471</v>
      </c>
      <c r="H1256" t="s">
        <v>4045</v>
      </c>
      <c r="I1256" t="s">
        <v>2408</v>
      </c>
      <c r="K1256" t="s">
        <v>6025</v>
      </c>
      <c r="L1256" t="s">
        <v>6026</v>
      </c>
    </row>
    <row r="1257" spans="1:12" x14ac:dyDescent="0.35">
      <c r="A1257" t="s">
        <v>116</v>
      </c>
      <c r="B1257" t="s">
        <v>317</v>
      </c>
      <c r="C1257" t="s">
        <v>1004</v>
      </c>
      <c r="D1257">
        <v>15.44</v>
      </c>
      <c r="F1257" t="s">
        <v>5472</v>
      </c>
      <c r="H1257" t="s">
        <v>4045</v>
      </c>
      <c r="I1257" t="s">
        <v>2408</v>
      </c>
      <c r="K1257" t="s">
        <v>6025</v>
      </c>
      <c r="L1257" t="s">
        <v>6026</v>
      </c>
    </row>
    <row r="1258" spans="1:12" x14ac:dyDescent="0.35">
      <c r="A1258" t="s">
        <v>116</v>
      </c>
      <c r="B1258" t="s">
        <v>429</v>
      </c>
      <c r="C1258" t="s">
        <v>716</v>
      </c>
      <c r="D1258">
        <v>0.52</v>
      </c>
      <c r="F1258" t="s">
        <v>2037</v>
      </c>
      <c r="H1258" t="s">
        <v>4072</v>
      </c>
      <c r="I1258" t="s">
        <v>4981</v>
      </c>
      <c r="K1258" t="s">
        <v>6025</v>
      </c>
      <c r="L1258" t="s">
        <v>6026</v>
      </c>
    </row>
    <row r="1259" spans="1:12" x14ac:dyDescent="0.35">
      <c r="A1259" t="s">
        <v>116</v>
      </c>
      <c r="B1259" t="s">
        <v>429</v>
      </c>
      <c r="C1259" t="s">
        <v>847</v>
      </c>
      <c r="D1259">
        <v>0.52</v>
      </c>
      <c r="F1259" t="s">
        <v>2037</v>
      </c>
      <c r="H1259" t="s">
        <v>4063</v>
      </c>
      <c r="I1259" t="s">
        <v>4981</v>
      </c>
      <c r="K1259" t="s">
        <v>6025</v>
      </c>
      <c r="L1259" t="s">
        <v>6026</v>
      </c>
    </row>
    <row r="1260" spans="1:12" x14ac:dyDescent="0.35">
      <c r="A1260" t="s">
        <v>116</v>
      </c>
      <c r="B1260" t="s">
        <v>429</v>
      </c>
      <c r="C1260" t="s">
        <v>709</v>
      </c>
      <c r="D1260">
        <v>1.1000000000000001</v>
      </c>
      <c r="F1260" t="s">
        <v>1505</v>
      </c>
      <c r="H1260" t="s">
        <v>4070</v>
      </c>
      <c r="I1260" t="s">
        <v>4981</v>
      </c>
      <c r="K1260" t="s">
        <v>6025</v>
      </c>
      <c r="L1260" t="s">
        <v>6026</v>
      </c>
    </row>
    <row r="1261" spans="1:12" x14ac:dyDescent="0.35">
      <c r="A1261" t="s">
        <v>116</v>
      </c>
      <c r="B1261" t="s">
        <v>429</v>
      </c>
      <c r="C1261" t="s">
        <v>708</v>
      </c>
      <c r="D1261">
        <v>1.1000000000000001</v>
      </c>
      <c r="F1261" t="s">
        <v>1505</v>
      </c>
      <c r="H1261" t="s">
        <v>5855</v>
      </c>
      <c r="I1261" t="s">
        <v>4982</v>
      </c>
      <c r="K1261" t="s">
        <v>6025</v>
      </c>
      <c r="L1261" t="s">
        <v>6026</v>
      </c>
    </row>
    <row r="1262" spans="1:12" x14ac:dyDescent="0.35">
      <c r="A1262" t="s">
        <v>116</v>
      </c>
      <c r="B1262" t="s">
        <v>429</v>
      </c>
      <c r="C1262" t="s">
        <v>847</v>
      </c>
      <c r="D1262">
        <v>1.1000000000000001</v>
      </c>
      <c r="F1262" t="s">
        <v>1505</v>
      </c>
      <c r="H1262" t="s">
        <v>4086</v>
      </c>
      <c r="I1262" t="s">
        <v>4981</v>
      </c>
      <c r="K1262" t="s">
        <v>6025</v>
      </c>
      <c r="L1262" t="s">
        <v>6026</v>
      </c>
    </row>
    <row r="1263" spans="1:12" x14ac:dyDescent="0.35">
      <c r="A1263" t="s">
        <v>116</v>
      </c>
      <c r="B1263" t="s">
        <v>429</v>
      </c>
      <c r="C1263" t="s">
        <v>1060</v>
      </c>
      <c r="D1263">
        <v>1.1000000000000001</v>
      </c>
      <c r="F1263" t="s">
        <v>1505</v>
      </c>
      <c r="H1263" t="s">
        <v>4077</v>
      </c>
      <c r="I1263" t="s">
        <v>4982</v>
      </c>
      <c r="K1263" t="s">
        <v>6025</v>
      </c>
      <c r="L1263" t="s">
        <v>6026</v>
      </c>
    </row>
    <row r="1264" spans="1:12" x14ac:dyDescent="0.35">
      <c r="A1264" t="s">
        <v>116</v>
      </c>
      <c r="B1264" t="s">
        <v>429</v>
      </c>
      <c r="C1264" t="s">
        <v>709</v>
      </c>
      <c r="D1264">
        <v>15</v>
      </c>
      <c r="F1264" t="s">
        <v>1489</v>
      </c>
      <c r="H1264" t="s">
        <v>5856</v>
      </c>
      <c r="I1264" t="s">
        <v>4982</v>
      </c>
      <c r="K1264" t="s">
        <v>6025</v>
      </c>
      <c r="L1264" t="s">
        <v>6026</v>
      </c>
    </row>
    <row r="1265" spans="1:12" x14ac:dyDescent="0.35">
      <c r="A1265" t="s">
        <v>116</v>
      </c>
      <c r="B1265" t="s">
        <v>429</v>
      </c>
      <c r="C1265" t="s">
        <v>847</v>
      </c>
      <c r="D1265">
        <v>15</v>
      </c>
      <c r="F1265" t="s">
        <v>1489</v>
      </c>
      <c r="H1265" t="s">
        <v>5857</v>
      </c>
      <c r="I1265" t="s">
        <v>4982</v>
      </c>
      <c r="K1265" t="s">
        <v>6025</v>
      </c>
      <c r="L1265" t="s">
        <v>6026</v>
      </c>
    </row>
    <row r="1266" spans="1:12" x14ac:dyDescent="0.35">
      <c r="A1266" t="s">
        <v>116</v>
      </c>
      <c r="B1266" t="s">
        <v>429</v>
      </c>
      <c r="C1266" t="s">
        <v>720</v>
      </c>
      <c r="D1266">
        <v>0.2</v>
      </c>
      <c r="F1266" t="s">
        <v>1371</v>
      </c>
      <c r="H1266" t="s">
        <v>4061</v>
      </c>
      <c r="I1266" t="s">
        <v>4982</v>
      </c>
      <c r="K1266" t="s">
        <v>6025</v>
      </c>
      <c r="L1266" t="s">
        <v>6026</v>
      </c>
    </row>
    <row r="1267" spans="1:12" x14ac:dyDescent="0.35">
      <c r="A1267" t="s">
        <v>116</v>
      </c>
      <c r="B1267" t="s">
        <v>429</v>
      </c>
      <c r="C1267" t="s">
        <v>1060</v>
      </c>
      <c r="D1267">
        <v>0.2</v>
      </c>
      <c r="F1267" t="s">
        <v>1371</v>
      </c>
      <c r="H1267" t="s">
        <v>4076</v>
      </c>
      <c r="I1267" t="s">
        <v>4982</v>
      </c>
      <c r="K1267" t="s">
        <v>6025</v>
      </c>
      <c r="L1267" t="s">
        <v>6026</v>
      </c>
    </row>
    <row r="1268" spans="1:12" x14ac:dyDescent="0.35">
      <c r="A1268" t="s">
        <v>116</v>
      </c>
      <c r="B1268" t="s">
        <v>429</v>
      </c>
      <c r="C1268" t="s">
        <v>847</v>
      </c>
      <c r="D1268">
        <v>1</v>
      </c>
      <c r="F1268" t="s">
        <v>1317</v>
      </c>
      <c r="H1268" t="s">
        <v>4074</v>
      </c>
      <c r="I1268" t="s">
        <v>4982</v>
      </c>
      <c r="K1268" t="s">
        <v>6025</v>
      </c>
      <c r="L1268" t="s">
        <v>6026</v>
      </c>
    </row>
    <row r="1269" spans="1:12" x14ac:dyDescent="0.35">
      <c r="A1269" t="s">
        <v>116</v>
      </c>
      <c r="B1269" t="s">
        <v>429</v>
      </c>
      <c r="C1269" t="s">
        <v>709</v>
      </c>
      <c r="D1269">
        <v>2.6</v>
      </c>
      <c r="F1269" t="s">
        <v>1428</v>
      </c>
      <c r="H1269" t="s">
        <v>4078</v>
      </c>
      <c r="I1269" t="s">
        <v>4981</v>
      </c>
      <c r="K1269" t="s">
        <v>6025</v>
      </c>
      <c r="L1269" t="s">
        <v>6026</v>
      </c>
    </row>
    <row r="1270" spans="1:12" x14ac:dyDescent="0.35">
      <c r="A1270" t="s">
        <v>116</v>
      </c>
      <c r="B1270" t="s">
        <v>429</v>
      </c>
      <c r="C1270" t="s">
        <v>847</v>
      </c>
      <c r="D1270">
        <v>2.6</v>
      </c>
      <c r="F1270" t="s">
        <v>1428</v>
      </c>
      <c r="H1270" t="s">
        <v>4064</v>
      </c>
      <c r="I1270" t="s">
        <v>4981</v>
      </c>
      <c r="K1270" t="s">
        <v>6025</v>
      </c>
      <c r="L1270" t="s">
        <v>6026</v>
      </c>
    </row>
    <row r="1271" spans="1:12" x14ac:dyDescent="0.35">
      <c r="A1271" t="s">
        <v>116</v>
      </c>
      <c r="B1271" t="s">
        <v>429</v>
      </c>
      <c r="C1271" t="s">
        <v>716</v>
      </c>
      <c r="D1271">
        <v>2.1</v>
      </c>
      <c r="F1271" t="s">
        <v>1399</v>
      </c>
      <c r="H1271" t="s">
        <v>5858</v>
      </c>
      <c r="I1271" t="s">
        <v>4981</v>
      </c>
      <c r="K1271" t="s">
        <v>6025</v>
      </c>
      <c r="L1271" t="s">
        <v>6026</v>
      </c>
    </row>
    <row r="1272" spans="1:12" x14ac:dyDescent="0.35">
      <c r="A1272" t="s">
        <v>116</v>
      </c>
      <c r="B1272" t="s">
        <v>429</v>
      </c>
      <c r="C1272" t="s">
        <v>847</v>
      </c>
      <c r="D1272">
        <v>2.1</v>
      </c>
      <c r="F1272" t="s">
        <v>1399</v>
      </c>
      <c r="H1272" t="s">
        <v>5859</v>
      </c>
      <c r="I1272" t="s">
        <v>4981</v>
      </c>
      <c r="K1272" t="s">
        <v>6025</v>
      </c>
      <c r="L1272" t="s">
        <v>6026</v>
      </c>
    </row>
    <row r="1273" spans="1:12" x14ac:dyDescent="0.35">
      <c r="A1273" t="s">
        <v>116</v>
      </c>
      <c r="B1273" t="s">
        <v>429</v>
      </c>
      <c r="C1273" t="s">
        <v>709</v>
      </c>
      <c r="D1273">
        <v>1.7</v>
      </c>
      <c r="F1273" t="s">
        <v>1416</v>
      </c>
      <c r="H1273" t="s">
        <v>4085</v>
      </c>
      <c r="I1273" t="s">
        <v>4981</v>
      </c>
      <c r="K1273" t="s">
        <v>6025</v>
      </c>
      <c r="L1273" t="s">
        <v>6026</v>
      </c>
    </row>
    <row r="1274" spans="1:12" x14ac:dyDescent="0.35">
      <c r="A1274" t="s">
        <v>116</v>
      </c>
      <c r="B1274" t="s">
        <v>429</v>
      </c>
      <c r="C1274" t="s">
        <v>847</v>
      </c>
      <c r="D1274">
        <v>1.7</v>
      </c>
      <c r="F1274" t="s">
        <v>1416</v>
      </c>
      <c r="H1274" t="s">
        <v>4069</v>
      </c>
      <c r="I1274" t="s">
        <v>4981</v>
      </c>
      <c r="K1274" t="s">
        <v>6025</v>
      </c>
      <c r="L1274" t="s">
        <v>6026</v>
      </c>
    </row>
    <row r="1275" spans="1:12" x14ac:dyDescent="0.35">
      <c r="A1275" t="s">
        <v>116</v>
      </c>
      <c r="B1275" t="s">
        <v>429</v>
      </c>
      <c r="C1275" t="s">
        <v>716</v>
      </c>
      <c r="D1275">
        <v>0.86</v>
      </c>
      <c r="F1275" t="s">
        <v>1486</v>
      </c>
      <c r="H1275" t="s">
        <v>4068</v>
      </c>
      <c r="I1275" t="s">
        <v>4981</v>
      </c>
      <c r="K1275" t="s">
        <v>6025</v>
      </c>
      <c r="L1275" t="s">
        <v>6026</v>
      </c>
    </row>
    <row r="1276" spans="1:12" x14ac:dyDescent="0.35">
      <c r="A1276" t="s">
        <v>116</v>
      </c>
      <c r="B1276" t="s">
        <v>429</v>
      </c>
      <c r="C1276" t="s">
        <v>847</v>
      </c>
      <c r="D1276">
        <v>0.86</v>
      </c>
      <c r="F1276" t="s">
        <v>1486</v>
      </c>
      <c r="H1276" t="s">
        <v>4084</v>
      </c>
      <c r="I1276" t="s">
        <v>4981</v>
      </c>
      <c r="K1276" t="s">
        <v>6025</v>
      </c>
      <c r="L1276" t="s">
        <v>6026</v>
      </c>
    </row>
    <row r="1277" spans="1:12" x14ac:dyDescent="0.35">
      <c r="A1277" t="s">
        <v>116</v>
      </c>
      <c r="B1277" t="s">
        <v>429</v>
      </c>
      <c r="C1277" t="s">
        <v>716</v>
      </c>
      <c r="D1277">
        <v>7.2999999999999995E-2</v>
      </c>
      <c r="F1277" t="s">
        <v>1787</v>
      </c>
      <c r="H1277" t="s">
        <v>4078</v>
      </c>
      <c r="I1277" t="s">
        <v>4981</v>
      </c>
      <c r="K1277" t="s">
        <v>6025</v>
      </c>
      <c r="L1277" t="s">
        <v>6026</v>
      </c>
    </row>
    <row r="1278" spans="1:12" x14ac:dyDescent="0.35">
      <c r="A1278" t="s">
        <v>116</v>
      </c>
      <c r="B1278" t="s">
        <v>429</v>
      </c>
      <c r="C1278" t="s">
        <v>847</v>
      </c>
      <c r="D1278">
        <v>7.2999999999999995E-2</v>
      </c>
      <c r="F1278" t="s">
        <v>1787</v>
      </c>
      <c r="H1278" t="s">
        <v>4073</v>
      </c>
      <c r="I1278" t="s">
        <v>4981</v>
      </c>
      <c r="K1278" t="s">
        <v>6025</v>
      </c>
      <c r="L1278" t="s">
        <v>6026</v>
      </c>
    </row>
    <row r="1279" spans="1:12" x14ac:dyDescent="0.35">
      <c r="A1279" t="s">
        <v>116</v>
      </c>
      <c r="B1279" t="s">
        <v>429</v>
      </c>
      <c r="C1279" t="s">
        <v>709</v>
      </c>
      <c r="D1279">
        <v>4</v>
      </c>
      <c r="F1279" t="s">
        <v>1379</v>
      </c>
      <c r="H1279" t="s">
        <v>4071</v>
      </c>
      <c r="I1279" t="s">
        <v>4981</v>
      </c>
      <c r="K1279" t="s">
        <v>6025</v>
      </c>
      <c r="L1279" t="s">
        <v>6026</v>
      </c>
    </row>
    <row r="1280" spans="1:12" x14ac:dyDescent="0.35">
      <c r="A1280" t="s">
        <v>116</v>
      </c>
      <c r="B1280" t="s">
        <v>429</v>
      </c>
      <c r="C1280" t="s">
        <v>847</v>
      </c>
      <c r="D1280">
        <v>4</v>
      </c>
      <c r="F1280" t="s">
        <v>1379</v>
      </c>
      <c r="H1280" t="s">
        <v>4057</v>
      </c>
      <c r="I1280" t="s">
        <v>4981</v>
      </c>
      <c r="K1280" t="s">
        <v>6025</v>
      </c>
      <c r="L1280" t="s">
        <v>6026</v>
      </c>
    </row>
    <row r="1281" spans="1:12" x14ac:dyDescent="0.35">
      <c r="A1281" t="s">
        <v>116</v>
      </c>
      <c r="B1281" t="s">
        <v>429</v>
      </c>
      <c r="C1281" t="s">
        <v>709</v>
      </c>
      <c r="D1281">
        <v>6.5</v>
      </c>
      <c r="F1281" t="s">
        <v>1419</v>
      </c>
      <c r="H1281" t="s">
        <v>4072</v>
      </c>
      <c r="I1281" t="s">
        <v>4981</v>
      </c>
      <c r="K1281" t="s">
        <v>6025</v>
      </c>
      <c r="L1281" t="s">
        <v>6026</v>
      </c>
    </row>
    <row r="1282" spans="1:12" x14ac:dyDescent="0.35">
      <c r="A1282" t="s">
        <v>116</v>
      </c>
      <c r="B1282" t="s">
        <v>429</v>
      </c>
      <c r="C1282" t="s">
        <v>847</v>
      </c>
      <c r="D1282">
        <v>6.5</v>
      </c>
      <c r="F1282" t="s">
        <v>1419</v>
      </c>
      <c r="H1282" t="s">
        <v>4081</v>
      </c>
      <c r="I1282" t="s">
        <v>4981</v>
      </c>
      <c r="K1282" t="s">
        <v>6025</v>
      </c>
      <c r="L1282" t="s">
        <v>6026</v>
      </c>
    </row>
    <row r="1283" spans="1:12" x14ac:dyDescent="0.35">
      <c r="A1283" t="s">
        <v>116</v>
      </c>
      <c r="B1283" t="s">
        <v>429</v>
      </c>
      <c r="C1283" t="s">
        <v>720</v>
      </c>
      <c r="D1283">
        <v>1.2</v>
      </c>
      <c r="F1283" t="s">
        <v>1421</v>
      </c>
      <c r="H1283" t="s">
        <v>4058</v>
      </c>
      <c r="I1283" t="s">
        <v>4982</v>
      </c>
      <c r="K1283" t="s">
        <v>6025</v>
      </c>
      <c r="L1283" t="s">
        <v>6026</v>
      </c>
    </row>
    <row r="1284" spans="1:12" x14ac:dyDescent="0.35">
      <c r="A1284" t="s">
        <v>116</v>
      </c>
      <c r="B1284" t="s">
        <v>429</v>
      </c>
      <c r="C1284" t="s">
        <v>1060</v>
      </c>
      <c r="D1284">
        <v>1.2</v>
      </c>
      <c r="F1284" t="s">
        <v>1421</v>
      </c>
      <c r="H1284" t="s">
        <v>5860</v>
      </c>
      <c r="I1284" t="s">
        <v>4982</v>
      </c>
      <c r="K1284" t="s">
        <v>6025</v>
      </c>
      <c r="L1284" t="s">
        <v>6026</v>
      </c>
    </row>
    <row r="1285" spans="1:12" x14ac:dyDescent="0.35">
      <c r="A1285" t="s">
        <v>116</v>
      </c>
      <c r="B1285" t="s">
        <v>429</v>
      </c>
      <c r="C1285" t="s">
        <v>709</v>
      </c>
      <c r="D1285">
        <v>6.7</v>
      </c>
      <c r="F1285" t="s">
        <v>1520</v>
      </c>
      <c r="H1285" t="s">
        <v>4056</v>
      </c>
      <c r="I1285" t="s">
        <v>4981</v>
      </c>
      <c r="K1285" t="s">
        <v>6025</v>
      </c>
      <c r="L1285" t="s">
        <v>6026</v>
      </c>
    </row>
    <row r="1286" spans="1:12" x14ac:dyDescent="0.35">
      <c r="A1286" t="s">
        <v>116</v>
      </c>
      <c r="B1286" t="s">
        <v>429</v>
      </c>
      <c r="C1286" t="s">
        <v>847</v>
      </c>
      <c r="D1286">
        <v>6.7</v>
      </c>
      <c r="F1286" t="s">
        <v>1520</v>
      </c>
      <c r="H1286" t="s">
        <v>4083</v>
      </c>
      <c r="I1286" t="s">
        <v>4981</v>
      </c>
      <c r="K1286" t="s">
        <v>6025</v>
      </c>
      <c r="L1286" t="s">
        <v>6026</v>
      </c>
    </row>
    <row r="1287" spans="1:12" x14ac:dyDescent="0.35">
      <c r="A1287" t="s">
        <v>116</v>
      </c>
      <c r="B1287" t="s">
        <v>429</v>
      </c>
      <c r="C1287" t="s">
        <v>708</v>
      </c>
      <c r="D1287">
        <v>0.36</v>
      </c>
      <c r="F1287" t="s">
        <v>1398</v>
      </c>
      <c r="H1287" t="s">
        <v>4061</v>
      </c>
      <c r="I1287" t="s">
        <v>4982</v>
      </c>
      <c r="K1287" t="s">
        <v>6025</v>
      </c>
      <c r="L1287" t="s">
        <v>6026</v>
      </c>
    </row>
    <row r="1288" spans="1:12" x14ac:dyDescent="0.35">
      <c r="A1288" t="s">
        <v>116</v>
      </c>
      <c r="B1288" t="s">
        <v>429</v>
      </c>
      <c r="C1288" t="s">
        <v>1060</v>
      </c>
      <c r="D1288">
        <v>0.36</v>
      </c>
      <c r="F1288" t="s">
        <v>1398</v>
      </c>
      <c r="H1288" t="s">
        <v>5861</v>
      </c>
      <c r="I1288" t="s">
        <v>4982</v>
      </c>
      <c r="K1288" t="s">
        <v>6025</v>
      </c>
      <c r="L1288" t="s">
        <v>6026</v>
      </c>
    </row>
    <row r="1289" spans="1:12" x14ac:dyDescent="0.35">
      <c r="A1289" t="s">
        <v>116</v>
      </c>
      <c r="B1289" t="s">
        <v>429</v>
      </c>
      <c r="C1289" t="s">
        <v>716</v>
      </c>
      <c r="D1289">
        <v>4.7</v>
      </c>
      <c r="F1289" t="s">
        <v>1570</v>
      </c>
      <c r="H1289" t="s">
        <v>4060</v>
      </c>
      <c r="I1289" t="s">
        <v>4982</v>
      </c>
      <c r="K1289" t="s">
        <v>6025</v>
      </c>
      <c r="L1289" t="s">
        <v>6026</v>
      </c>
    </row>
    <row r="1290" spans="1:12" x14ac:dyDescent="0.35">
      <c r="A1290" t="s">
        <v>116</v>
      </c>
      <c r="B1290" t="s">
        <v>429</v>
      </c>
      <c r="C1290" t="s">
        <v>847</v>
      </c>
      <c r="D1290">
        <v>4.7</v>
      </c>
      <c r="F1290" t="s">
        <v>1570</v>
      </c>
      <c r="H1290" t="s">
        <v>4082</v>
      </c>
      <c r="I1290" t="s">
        <v>4982</v>
      </c>
      <c r="K1290" t="s">
        <v>6025</v>
      </c>
      <c r="L1290" t="s">
        <v>6026</v>
      </c>
    </row>
    <row r="1291" spans="1:12" x14ac:dyDescent="0.35">
      <c r="A1291" t="s">
        <v>116</v>
      </c>
      <c r="B1291" t="s">
        <v>429</v>
      </c>
      <c r="C1291" t="s">
        <v>716</v>
      </c>
      <c r="D1291">
        <v>0.03</v>
      </c>
      <c r="F1291" t="s">
        <v>1266</v>
      </c>
      <c r="H1291" t="s">
        <v>4075</v>
      </c>
      <c r="I1291" t="s">
        <v>4982</v>
      </c>
      <c r="K1291" t="s">
        <v>6025</v>
      </c>
      <c r="L1291" t="s">
        <v>6026</v>
      </c>
    </row>
    <row r="1292" spans="1:12" x14ac:dyDescent="0.35">
      <c r="A1292" t="s">
        <v>116</v>
      </c>
      <c r="B1292" t="s">
        <v>429</v>
      </c>
      <c r="C1292" t="s">
        <v>847</v>
      </c>
      <c r="D1292">
        <v>0.03</v>
      </c>
      <c r="F1292" t="s">
        <v>1266</v>
      </c>
      <c r="H1292" t="s">
        <v>4059</v>
      </c>
      <c r="I1292" t="s">
        <v>4982</v>
      </c>
      <c r="K1292" t="s">
        <v>6025</v>
      </c>
      <c r="L1292" t="s">
        <v>6026</v>
      </c>
    </row>
    <row r="1293" spans="1:12" x14ac:dyDescent="0.35">
      <c r="A1293" t="s">
        <v>116</v>
      </c>
      <c r="B1293" t="s">
        <v>429</v>
      </c>
      <c r="C1293" t="s">
        <v>709</v>
      </c>
      <c r="D1293">
        <v>0.43</v>
      </c>
      <c r="F1293" t="s">
        <v>1441</v>
      </c>
      <c r="H1293" t="s">
        <v>4068</v>
      </c>
      <c r="I1293" t="s">
        <v>4981</v>
      </c>
      <c r="K1293" t="s">
        <v>6025</v>
      </c>
      <c r="L1293" t="s">
        <v>6026</v>
      </c>
    </row>
    <row r="1294" spans="1:12" x14ac:dyDescent="0.35">
      <c r="A1294" t="s">
        <v>116</v>
      </c>
      <c r="B1294" t="s">
        <v>429</v>
      </c>
      <c r="C1294" t="s">
        <v>847</v>
      </c>
      <c r="D1294">
        <v>0.43</v>
      </c>
      <c r="F1294" t="s">
        <v>1441</v>
      </c>
      <c r="H1294" t="s">
        <v>4087</v>
      </c>
      <c r="I1294" t="s">
        <v>4981</v>
      </c>
      <c r="K1294" t="s">
        <v>6025</v>
      </c>
      <c r="L1294" t="s">
        <v>6026</v>
      </c>
    </row>
    <row r="1295" spans="1:12" x14ac:dyDescent="0.35">
      <c r="A1295" t="s">
        <v>116</v>
      </c>
      <c r="B1295" t="s">
        <v>429</v>
      </c>
      <c r="C1295" t="s">
        <v>716</v>
      </c>
      <c r="D1295">
        <v>0.28999999999999998</v>
      </c>
      <c r="F1295" t="s">
        <v>1396</v>
      </c>
      <c r="H1295" t="s">
        <v>4071</v>
      </c>
      <c r="I1295" t="s">
        <v>4981</v>
      </c>
      <c r="K1295" t="s">
        <v>6025</v>
      </c>
      <c r="L1295" t="s">
        <v>6026</v>
      </c>
    </row>
    <row r="1296" spans="1:12" x14ac:dyDescent="0.35">
      <c r="A1296" t="s">
        <v>116</v>
      </c>
      <c r="B1296" t="s">
        <v>429</v>
      </c>
      <c r="C1296" t="s">
        <v>847</v>
      </c>
      <c r="D1296">
        <v>0.28999999999999998</v>
      </c>
      <c r="F1296" t="s">
        <v>1396</v>
      </c>
      <c r="H1296" t="s">
        <v>4067</v>
      </c>
      <c r="I1296" t="s">
        <v>4981</v>
      </c>
      <c r="K1296" t="s">
        <v>6025</v>
      </c>
      <c r="L1296" t="s">
        <v>6026</v>
      </c>
    </row>
    <row r="1297" spans="1:12" x14ac:dyDescent="0.35">
      <c r="A1297" t="s">
        <v>116</v>
      </c>
      <c r="B1297" t="s">
        <v>429</v>
      </c>
      <c r="C1297" t="s">
        <v>716</v>
      </c>
      <c r="D1297">
        <v>0.92</v>
      </c>
      <c r="F1297" t="s">
        <v>1491</v>
      </c>
      <c r="H1297" t="s">
        <v>4070</v>
      </c>
      <c r="I1297" t="s">
        <v>4981</v>
      </c>
      <c r="K1297" t="s">
        <v>6025</v>
      </c>
      <c r="L1297" t="s">
        <v>6026</v>
      </c>
    </row>
    <row r="1298" spans="1:12" x14ac:dyDescent="0.35">
      <c r="A1298" t="s">
        <v>116</v>
      </c>
      <c r="B1298" t="s">
        <v>429</v>
      </c>
      <c r="C1298" t="s">
        <v>847</v>
      </c>
      <c r="D1298">
        <v>0.92</v>
      </c>
      <c r="F1298" t="s">
        <v>1491</v>
      </c>
      <c r="H1298" t="s">
        <v>4079</v>
      </c>
      <c r="I1298" t="s">
        <v>4981</v>
      </c>
      <c r="K1298" t="s">
        <v>6025</v>
      </c>
      <c r="L1298" t="s">
        <v>6026</v>
      </c>
    </row>
    <row r="1299" spans="1:12" x14ac:dyDescent="0.35">
      <c r="A1299" t="s">
        <v>116</v>
      </c>
      <c r="B1299" t="s">
        <v>429</v>
      </c>
      <c r="C1299" t="s">
        <v>709</v>
      </c>
      <c r="D1299">
        <v>1</v>
      </c>
      <c r="F1299" t="s">
        <v>1317</v>
      </c>
      <c r="H1299" t="s">
        <v>5862</v>
      </c>
      <c r="I1299" t="s">
        <v>2328</v>
      </c>
      <c r="K1299" t="s">
        <v>6025</v>
      </c>
      <c r="L1299" t="s">
        <v>6026</v>
      </c>
    </row>
    <row r="1300" spans="1:12" x14ac:dyDescent="0.35">
      <c r="A1300" t="s">
        <v>116</v>
      </c>
      <c r="B1300" t="s">
        <v>308</v>
      </c>
      <c r="C1300" t="s">
        <v>1061</v>
      </c>
      <c r="D1300">
        <v>4.5</v>
      </c>
      <c r="F1300" t="s">
        <v>1828</v>
      </c>
      <c r="I1300" t="s">
        <v>4881</v>
      </c>
      <c r="K1300" t="s">
        <v>6025</v>
      </c>
      <c r="L1300" t="s">
        <v>6026</v>
      </c>
    </row>
    <row r="1301" spans="1:12" x14ac:dyDescent="0.35">
      <c r="A1301" t="s">
        <v>116</v>
      </c>
      <c r="B1301" t="s">
        <v>554</v>
      </c>
      <c r="C1301" t="s">
        <v>855</v>
      </c>
      <c r="D1301">
        <v>0.3</v>
      </c>
      <c r="F1301" t="s">
        <v>1401</v>
      </c>
      <c r="H1301" t="s">
        <v>4098</v>
      </c>
      <c r="I1301" t="s">
        <v>2372</v>
      </c>
      <c r="K1301" t="s">
        <v>6025</v>
      </c>
      <c r="L1301" t="s">
        <v>6026</v>
      </c>
    </row>
    <row r="1302" spans="1:12" x14ac:dyDescent="0.35">
      <c r="A1302" t="s">
        <v>116</v>
      </c>
      <c r="B1302" t="s">
        <v>554</v>
      </c>
      <c r="C1302" t="s">
        <v>855</v>
      </c>
      <c r="D1302">
        <v>5.4</v>
      </c>
      <c r="F1302" t="s">
        <v>1384</v>
      </c>
      <c r="H1302" t="s">
        <v>4097</v>
      </c>
      <c r="I1302" t="s">
        <v>2372</v>
      </c>
      <c r="K1302" t="s">
        <v>6025</v>
      </c>
      <c r="L1302" t="s">
        <v>6026</v>
      </c>
    </row>
    <row r="1303" spans="1:12" x14ac:dyDescent="0.35">
      <c r="A1303" t="s">
        <v>116</v>
      </c>
      <c r="B1303" t="s">
        <v>554</v>
      </c>
      <c r="C1303" t="s">
        <v>961</v>
      </c>
      <c r="D1303">
        <v>8.1999999999999993</v>
      </c>
      <c r="F1303" t="s">
        <v>1527</v>
      </c>
      <c r="H1303" t="s">
        <v>5863</v>
      </c>
      <c r="I1303" t="s">
        <v>2372</v>
      </c>
      <c r="K1303" t="s">
        <v>6025</v>
      </c>
      <c r="L1303" t="s">
        <v>6026</v>
      </c>
    </row>
    <row r="1304" spans="1:12" x14ac:dyDescent="0.35">
      <c r="A1304" t="s">
        <v>116</v>
      </c>
      <c r="B1304" t="s">
        <v>554</v>
      </c>
      <c r="C1304" t="s">
        <v>961</v>
      </c>
      <c r="D1304">
        <v>0.4</v>
      </c>
      <c r="F1304" t="s">
        <v>1315</v>
      </c>
      <c r="H1304" t="s">
        <v>5864</v>
      </c>
      <c r="I1304" t="s">
        <v>1839</v>
      </c>
      <c r="K1304" t="s">
        <v>6025</v>
      </c>
      <c r="L1304" t="s">
        <v>6026</v>
      </c>
    </row>
    <row r="1305" spans="1:12" x14ac:dyDescent="0.35">
      <c r="A1305" t="s">
        <v>116</v>
      </c>
      <c r="B1305" t="s">
        <v>555</v>
      </c>
      <c r="C1305" t="s">
        <v>961</v>
      </c>
      <c r="D1305">
        <v>8</v>
      </c>
      <c r="F1305" t="s">
        <v>1373</v>
      </c>
      <c r="I1305" t="s">
        <v>4868</v>
      </c>
      <c r="K1305" t="s">
        <v>6025</v>
      </c>
      <c r="L1305" t="s">
        <v>6026</v>
      </c>
    </row>
    <row r="1306" spans="1:12" x14ac:dyDescent="0.35">
      <c r="A1306" t="s">
        <v>116</v>
      </c>
      <c r="B1306" t="s">
        <v>555</v>
      </c>
      <c r="C1306" t="s">
        <v>5067</v>
      </c>
      <c r="D1306">
        <v>1.3</v>
      </c>
      <c r="F1306" t="s">
        <v>1358</v>
      </c>
      <c r="H1306" t="s">
        <v>4102</v>
      </c>
      <c r="I1306" t="s">
        <v>4983</v>
      </c>
      <c r="K1306" t="s">
        <v>6025</v>
      </c>
      <c r="L1306" t="s">
        <v>6026</v>
      </c>
    </row>
    <row r="1307" spans="1:12" x14ac:dyDescent="0.35">
      <c r="A1307" t="s">
        <v>116</v>
      </c>
      <c r="B1307" t="s">
        <v>555</v>
      </c>
      <c r="C1307" t="s">
        <v>957</v>
      </c>
      <c r="D1307">
        <v>2.2000000000000002</v>
      </c>
      <c r="F1307" t="s">
        <v>1417</v>
      </c>
      <c r="H1307" t="s">
        <v>4099</v>
      </c>
      <c r="I1307" t="s">
        <v>4983</v>
      </c>
      <c r="K1307" t="s">
        <v>6025</v>
      </c>
      <c r="L1307" t="s">
        <v>6026</v>
      </c>
    </row>
    <row r="1308" spans="1:12" x14ac:dyDescent="0.35">
      <c r="A1308" t="s">
        <v>116</v>
      </c>
      <c r="B1308" t="s">
        <v>555</v>
      </c>
      <c r="C1308" t="s">
        <v>1062</v>
      </c>
      <c r="D1308">
        <v>2.8</v>
      </c>
      <c r="F1308" t="s">
        <v>1504</v>
      </c>
      <c r="H1308" t="s">
        <v>4100</v>
      </c>
      <c r="I1308" t="s">
        <v>4983</v>
      </c>
      <c r="K1308" t="s">
        <v>6025</v>
      </c>
      <c r="L1308" t="s">
        <v>6026</v>
      </c>
    </row>
    <row r="1309" spans="1:12" x14ac:dyDescent="0.35">
      <c r="A1309" t="s">
        <v>116</v>
      </c>
      <c r="B1309" t="s">
        <v>555</v>
      </c>
      <c r="C1309" t="s">
        <v>5068</v>
      </c>
      <c r="D1309">
        <v>3</v>
      </c>
      <c r="F1309" t="s">
        <v>1368</v>
      </c>
      <c r="H1309" t="s">
        <v>4100</v>
      </c>
      <c r="I1309" t="s">
        <v>4983</v>
      </c>
      <c r="K1309" t="s">
        <v>6025</v>
      </c>
      <c r="L1309" t="s">
        <v>6026</v>
      </c>
    </row>
    <row r="1310" spans="1:12" x14ac:dyDescent="0.35">
      <c r="A1310" t="s">
        <v>116</v>
      </c>
      <c r="B1310" t="s">
        <v>555</v>
      </c>
      <c r="C1310" t="s">
        <v>957</v>
      </c>
      <c r="D1310">
        <v>1.03</v>
      </c>
      <c r="F1310" t="s">
        <v>1850</v>
      </c>
      <c r="H1310" t="s">
        <v>4102</v>
      </c>
      <c r="I1310" t="s">
        <v>4983</v>
      </c>
      <c r="K1310" t="s">
        <v>6025</v>
      </c>
      <c r="L1310" t="s">
        <v>6026</v>
      </c>
    </row>
    <row r="1311" spans="1:12" x14ac:dyDescent="0.35">
      <c r="A1311" t="s">
        <v>116</v>
      </c>
      <c r="B1311" t="s">
        <v>555</v>
      </c>
      <c r="C1311" t="s">
        <v>951</v>
      </c>
      <c r="D1311">
        <v>1.37</v>
      </c>
      <c r="F1311" t="s">
        <v>1720</v>
      </c>
      <c r="I1311" t="s">
        <v>4868</v>
      </c>
      <c r="K1311" t="s">
        <v>6025</v>
      </c>
      <c r="L1311" t="s">
        <v>6026</v>
      </c>
    </row>
    <row r="1312" spans="1:12" x14ac:dyDescent="0.35">
      <c r="A1312" t="s">
        <v>116</v>
      </c>
      <c r="B1312" t="s">
        <v>555</v>
      </c>
      <c r="C1312" t="s">
        <v>5067</v>
      </c>
      <c r="D1312">
        <v>1.9</v>
      </c>
      <c r="F1312" t="s">
        <v>1503</v>
      </c>
      <c r="H1312" t="s">
        <v>4099</v>
      </c>
      <c r="I1312" t="s">
        <v>4983</v>
      </c>
      <c r="K1312" t="s">
        <v>6025</v>
      </c>
      <c r="L1312" t="s">
        <v>6026</v>
      </c>
    </row>
    <row r="1313" spans="1:12" x14ac:dyDescent="0.35">
      <c r="A1313" t="s">
        <v>116</v>
      </c>
      <c r="B1313" t="s">
        <v>555</v>
      </c>
      <c r="C1313" t="s">
        <v>961</v>
      </c>
      <c r="D1313">
        <v>2.83</v>
      </c>
      <c r="F1313" t="s">
        <v>2259</v>
      </c>
      <c r="H1313" t="s">
        <v>4100</v>
      </c>
      <c r="I1313" t="s">
        <v>4983</v>
      </c>
      <c r="K1313" t="s">
        <v>6025</v>
      </c>
      <c r="L1313" t="s">
        <v>6026</v>
      </c>
    </row>
    <row r="1314" spans="1:12" x14ac:dyDescent="0.35">
      <c r="A1314" t="s">
        <v>116</v>
      </c>
      <c r="B1314" t="s">
        <v>555</v>
      </c>
      <c r="C1314" t="s">
        <v>955</v>
      </c>
      <c r="D1314">
        <v>7.5</v>
      </c>
      <c r="F1314" t="s">
        <v>1464</v>
      </c>
      <c r="I1314" t="s">
        <v>4868</v>
      </c>
      <c r="K1314" t="s">
        <v>6025</v>
      </c>
      <c r="L1314" t="s">
        <v>6026</v>
      </c>
    </row>
    <row r="1315" spans="1:12" x14ac:dyDescent="0.35">
      <c r="A1315" t="s">
        <v>116</v>
      </c>
      <c r="B1315" t="s">
        <v>555</v>
      </c>
      <c r="C1315" t="s">
        <v>959</v>
      </c>
      <c r="D1315">
        <v>2.4</v>
      </c>
      <c r="F1315" t="s">
        <v>1433</v>
      </c>
      <c r="H1315" t="s">
        <v>4100</v>
      </c>
      <c r="I1315" t="s">
        <v>4983</v>
      </c>
      <c r="K1315" t="s">
        <v>6025</v>
      </c>
      <c r="L1315" t="s">
        <v>6026</v>
      </c>
    </row>
    <row r="1316" spans="1:12" x14ac:dyDescent="0.35">
      <c r="A1316" t="s">
        <v>116</v>
      </c>
      <c r="B1316" t="s">
        <v>555</v>
      </c>
      <c r="C1316" t="s">
        <v>959</v>
      </c>
      <c r="D1316">
        <v>8.5</v>
      </c>
      <c r="F1316" t="s">
        <v>1528</v>
      </c>
      <c r="H1316" t="s">
        <v>4102</v>
      </c>
      <c r="I1316" t="s">
        <v>4983</v>
      </c>
      <c r="K1316" t="s">
        <v>6025</v>
      </c>
      <c r="L1316" t="s">
        <v>6026</v>
      </c>
    </row>
    <row r="1317" spans="1:12" x14ac:dyDescent="0.35">
      <c r="A1317" t="s">
        <v>116</v>
      </c>
      <c r="B1317" t="s">
        <v>555</v>
      </c>
      <c r="C1317" t="s">
        <v>970</v>
      </c>
      <c r="D1317">
        <v>3.33</v>
      </c>
      <c r="F1317" t="s">
        <v>1691</v>
      </c>
      <c r="H1317" t="s">
        <v>4100</v>
      </c>
      <c r="I1317" t="s">
        <v>4983</v>
      </c>
      <c r="K1317" t="s">
        <v>6025</v>
      </c>
      <c r="L1317" t="s">
        <v>6026</v>
      </c>
    </row>
    <row r="1318" spans="1:12" x14ac:dyDescent="0.35">
      <c r="A1318" t="s">
        <v>116</v>
      </c>
      <c r="B1318" t="s">
        <v>555</v>
      </c>
      <c r="C1318" t="s">
        <v>5067</v>
      </c>
      <c r="D1318">
        <v>0.35</v>
      </c>
      <c r="F1318" t="s">
        <v>1294</v>
      </c>
      <c r="H1318" t="s">
        <v>4100</v>
      </c>
      <c r="I1318" t="s">
        <v>4983</v>
      </c>
      <c r="K1318" t="s">
        <v>6025</v>
      </c>
      <c r="L1318" t="s">
        <v>6026</v>
      </c>
    </row>
    <row r="1319" spans="1:12" x14ac:dyDescent="0.35">
      <c r="A1319" t="s">
        <v>116</v>
      </c>
      <c r="B1319" t="s">
        <v>555</v>
      </c>
      <c r="C1319" t="s">
        <v>5068</v>
      </c>
      <c r="D1319">
        <v>8.58</v>
      </c>
      <c r="F1319" t="s">
        <v>5473</v>
      </c>
      <c r="H1319" t="s">
        <v>4102</v>
      </c>
      <c r="I1319" t="s">
        <v>4983</v>
      </c>
      <c r="K1319" t="s">
        <v>6025</v>
      </c>
      <c r="L1319" t="s">
        <v>6026</v>
      </c>
    </row>
    <row r="1320" spans="1:12" x14ac:dyDescent="0.35">
      <c r="A1320" t="s">
        <v>116</v>
      </c>
      <c r="B1320" t="s">
        <v>555</v>
      </c>
      <c r="C1320" t="s">
        <v>959</v>
      </c>
      <c r="D1320">
        <v>2.0299999999999998</v>
      </c>
      <c r="F1320" t="s">
        <v>2424</v>
      </c>
      <c r="I1320" t="s">
        <v>4868</v>
      </c>
      <c r="K1320" t="s">
        <v>6025</v>
      </c>
      <c r="L1320" t="s">
        <v>6026</v>
      </c>
    </row>
    <row r="1321" spans="1:12" x14ac:dyDescent="0.35">
      <c r="A1321" t="s">
        <v>116</v>
      </c>
      <c r="B1321" t="s">
        <v>555</v>
      </c>
      <c r="C1321" t="s">
        <v>1062</v>
      </c>
      <c r="D1321">
        <v>2.35</v>
      </c>
      <c r="F1321" t="s">
        <v>2482</v>
      </c>
      <c r="H1321" t="s">
        <v>4099</v>
      </c>
      <c r="I1321" t="s">
        <v>4983</v>
      </c>
      <c r="K1321" t="s">
        <v>6025</v>
      </c>
      <c r="L1321" t="s">
        <v>6026</v>
      </c>
    </row>
    <row r="1322" spans="1:12" x14ac:dyDescent="0.35">
      <c r="A1322" t="s">
        <v>116</v>
      </c>
      <c r="B1322" t="s">
        <v>555</v>
      </c>
      <c r="C1322" t="s">
        <v>957</v>
      </c>
      <c r="D1322">
        <v>2.4300000000000002</v>
      </c>
      <c r="F1322" t="s">
        <v>2476</v>
      </c>
      <c r="I1322" t="s">
        <v>4868</v>
      </c>
      <c r="K1322" t="s">
        <v>6025</v>
      </c>
      <c r="L1322" t="s">
        <v>6026</v>
      </c>
    </row>
    <row r="1323" spans="1:12" x14ac:dyDescent="0.35">
      <c r="A1323" t="s">
        <v>116</v>
      </c>
      <c r="B1323" t="s">
        <v>555</v>
      </c>
      <c r="C1323" t="s">
        <v>970</v>
      </c>
      <c r="D1323">
        <v>2.58</v>
      </c>
      <c r="F1323" t="s">
        <v>2379</v>
      </c>
      <c r="H1323" t="s">
        <v>5865</v>
      </c>
      <c r="I1323" t="s">
        <v>4983</v>
      </c>
      <c r="K1323" t="s">
        <v>6025</v>
      </c>
      <c r="L1323" t="s">
        <v>6026</v>
      </c>
    </row>
    <row r="1324" spans="1:12" x14ac:dyDescent="0.35">
      <c r="A1324" t="s">
        <v>116</v>
      </c>
      <c r="B1324" t="s">
        <v>555</v>
      </c>
      <c r="C1324" t="s">
        <v>5068</v>
      </c>
      <c r="D1324">
        <v>2.63</v>
      </c>
      <c r="F1324" t="s">
        <v>5474</v>
      </c>
      <c r="H1324" t="s">
        <v>4099</v>
      </c>
      <c r="I1324" t="s">
        <v>4983</v>
      </c>
      <c r="K1324" t="s">
        <v>6025</v>
      </c>
      <c r="L1324" t="s">
        <v>6026</v>
      </c>
    </row>
    <row r="1325" spans="1:12" x14ac:dyDescent="0.35">
      <c r="A1325" t="s">
        <v>116</v>
      </c>
      <c r="B1325" t="s">
        <v>555</v>
      </c>
      <c r="C1325" t="s">
        <v>957</v>
      </c>
      <c r="D1325">
        <v>2.77</v>
      </c>
      <c r="F1325" t="s">
        <v>5475</v>
      </c>
      <c r="H1325" t="s">
        <v>4100</v>
      </c>
      <c r="I1325" t="s">
        <v>4983</v>
      </c>
      <c r="K1325" t="s">
        <v>6025</v>
      </c>
      <c r="L1325" t="s">
        <v>6026</v>
      </c>
    </row>
    <row r="1326" spans="1:12" x14ac:dyDescent="0.35">
      <c r="A1326" t="s">
        <v>116</v>
      </c>
      <c r="B1326" t="s">
        <v>555</v>
      </c>
      <c r="C1326" t="s">
        <v>975</v>
      </c>
      <c r="D1326">
        <v>3.03</v>
      </c>
      <c r="F1326" t="s">
        <v>5476</v>
      </c>
      <c r="I1326" t="s">
        <v>4868</v>
      </c>
      <c r="K1326" t="s">
        <v>6025</v>
      </c>
      <c r="L1326" t="s">
        <v>6026</v>
      </c>
    </row>
    <row r="1327" spans="1:12" x14ac:dyDescent="0.35">
      <c r="A1327" t="s">
        <v>116</v>
      </c>
      <c r="B1327" t="s">
        <v>555</v>
      </c>
      <c r="C1327" t="s">
        <v>961</v>
      </c>
      <c r="D1327">
        <v>3.38</v>
      </c>
      <c r="F1327" t="s">
        <v>5477</v>
      </c>
      <c r="H1327" t="s">
        <v>4099</v>
      </c>
      <c r="I1327" t="s">
        <v>4983</v>
      </c>
      <c r="K1327" t="s">
        <v>6025</v>
      </c>
      <c r="L1327" t="s">
        <v>6026</v>
      </c>
    </row>
    <row r="1328" spans="1:12" x14ac:dyDescent="0.35">
      <c r="A1328" t="s">
        <v>116</v>
      </c>
      <c r="B1328" t="s">
        <v>555</v>
      </c>
      <c r="C1328" t="s">
        <v>1062</v>
      </c>
      <c r="D1328">
        <v>4.08</v>
      </c>
      <c r="F1328" t="s">
        <v>5478</v>
      </c>
      <c r="H1328" t="s">
        <v>4102</v>
      </c>
      <c r="I1328" t="s">
        <v>4983</v>
      </c>
      <c r="K1328" t="s">
        <v>6025</v>
      </c>
      <c r="L1328" t="s">
        <v>6026</v>
      </c>
    </row>
    <row r="1329" spans="1:12" x14ac:dyDescent="0.35">
      <c r="A1329" t="s">
        <v>116</v>
      </c>
      <c r="B1329" t="s">
        <v>555</v>
      </c>
      <c r="C1329" t="s">
        <v>845</v>
      </c>
      <c r="D1329">
        <v>4.75</v>
      </c>
      <c r="F1329" t="s">
        <v>5479</v>
      </c>
      <c r="I1329" t="s">
        <v>4868</v>
      </c>
      <c r="K1329" t="s">
        <v>6025</v>
      </c>
      <c r="L1329" t="s">
        <v>6026</v>
      </c>
    </row>
    <row r="1330" spans="1:12" x14ac:dyDescent="0.35">
      <c r="A1330" t="s">
        <v>116</v>
      </c>
      <c r="B1330" t="s">
        <v>555</v>
      </c>
      <c r="C1330" t="s">
        <v>970</v>
      </c>
      <c r="D1330">
        <v>7.18</v>
      </c>
      <c r="F1330" t="s">
        <v>5480</v>
      </c>
      <c r="H1330" t="s">
        <v>4102</v>
      </c>
      <c r="I1330" t="s">
        <v>4983</v>
      </c>
      <c r="K1330" t="s">
        <v>6025</v>
      </c>
      <c r="L1330" t="s">
        <v>6026</v>
      </c>
    </row>
    <row r="1331" spans="1:12" x14ac:dyDescent="0.35">
      <c r="A1331" t="s">
        <v>116</v>
      </c>
      <c r="B1331" t="s">
        <v>555</v>
      </c>
      <c r="C1331" t="s">
        <v>709</v>
      </c>
      <c r="D1331">
        <v>7.75</v>
      </c>
      <c r="F1331" t="s">
        <v>2271</v>
      </c>
      <c r="H1331" t="s">
        <v>5866</v>
      </c>
      <c r="I1331" t="s">
        <v>4868</v>
      </c>
      <c r="K1331" t="s">
        <v>6025</v>
      </c>
      <c r="L1331" t="s">
        <v>6026</v>
      </c>
    </row>
    <row r="1332" spans="1:12" x14ac:dyDescent="0.35">
      <c r="A1332" t="s">
        <v>116</v>
      </c>
      <c r="B1332" t="s">
        <v>555</v>
      </c>
      <c r="C1332" t="s">
        <v>961</v>
      </c>
      <c r="D1332">
        <v>9.58</v>
      </c>
      <c r="F1332" t="s">
        <v>5481</v>
      </c>
      <c r="H1332" t="s">
        <v>4102</v>
      </c>
      <c r="I1332" t="s">
        <v>4983</v>
      </c>
      <c r="K1332" t="s">
        <v>6025</v>
      </c>
      <c r="L1332" t="s">
        <v>6026</v>
      </c>
    </row>
    <row r="1333" spans="1:12" x14ac:dyDescent="0.35">
      <c r="A1333" t="s">
        <v>116</v>
      </c>
      <c r="B1333" t="s">
        <v>558</v>
      </c>
      <c r="C1333" t="s">
        <v>5069</v>
      </c>
      <c r="D1333">
        <v>0.99</v>
      </c>
      <c r="F1333" t="s">
        <v>1586</v>
      </c>
      <c r="I1333" t="s">
        <v>1878</v>
      </c>
      <c r="K1333" t="s">
        <v>6025</v>
      </c>
      <c r="L1333" t="s">
        <v>6026</v>
      </c>
    </row>
    <row r="1334" spans="1:12" x14ac:dyDescent="0.35">
      <c r="A1334" t="s">
        <v>116</v>
      </c>
      <c r="B1334" t="s">
        <v>558</v>
      </c>
      <c r="C1334" t="s">
        <v>840</v>
      </c>
      <c r="D1334">
        <v>1</v>
      </c>
      <c r="F1334" t="s">
        <v>1317</v>
      </c>
      <c r="H1334" t="s">
        <v>2842</v>
      </c>
      <c r="I1334" t="s">
        <v>1390</v>
      </c>
      <c r="K1334" t="s">
        <v>6025</v>
      </c>
      <c r="L1334" t="s">
        <v>6026</v>
      </c>
    </row>
    <row r="1335" spans="1:12" x14ac:dyDescent="0.35">
      <c r="A1335" t="s">
        <v>116</v>
      </c>
      <c r="B1335" t="s">
        <v>558</v>
      </c>
      <c r="C1335" t="s">
        <v>1079</v>
      </c>
      <c r="D1335">
        <v>0.9</v>
      </c>
      <c r="F1335" t="s">
        <v>1556</v>
      </c>
      <c r="I1335" t="s">
        <v>1878</v>
      </c>
      <c r="K1335" t="s">
        <v>6025</v>
      </c>
      <c r="L1335" t="s">
        <v>6026</v>
      </c>
    </row>
    <row r="1336" spans="1:12" x14ac:dyDescent="0.35">
      <c r="A1336" t="s">
        <v>116</v>
      </c>
      <c r="B1336" t="s">
        <v>558</v>
      </c>
      <c r="C1336" t="s">
        <v>838</v>
      </c>
      <c r="D1336">
        <v>2</v>
      </c>
      <c r="F1336" t="s">
        <v>1372</v>
      </c>
      <c r="H1336" t="s">
        <v>3426</v>
      </c>
      <c r="I1336" t="s">
        <v>1390</v>
      </c>
      <c r="K1336" t="s">
        <v>6025</v>
      </c>
      <c r="L1336" t="s">
        <v>6026</v>
      </c>
    </row>
    <row r="1337" spans="1:12" x14ac:dyDescent="0.35">
      <c r="A1337" t="s">
        <v>116</v>
      </c>
      <c r="B1337" t="s">
        <v>558</v>
      </c>
      <c r="C1337" t="s">
        <v>1077</v>
      </c>
      <c r="D1337">
        <v>2.0499999999999998</v>
      </c>
      <c r="F1337" t="s">
        <v>1439</v>
      </c>
      <c r="I1337" t="s">
        <v>1878</v>
      </c>
      <c r="K1337" t="s">
        <v>6025</v>
      </c>
      <c r="L1337" t="s">
        <v>6026</v>
      </c>
    </row>
    <row r="1338" spans="1:12" x14ac:dyDescent="0.35">
      <c r="A1338" t="s">
        <v>116</v>
      </c>
      <c r="B1338" t="s">
        <v>558</v>
      </c>
      <c r="C1338" t="s">
        <v>5070</v>
      </c>
      <c r="D1338">
        <v>0.24</v>
      </c>
      <c r="F1338" t="s">
        <v>1488</v>
      </c>
      <c r="I1338" t="s">
        <v>2050</v>
      </c>
      <c r="K1338" t="s">
        <v>6025</v>
      </c>
      <c r="L1338" t="s">
        <v>6026</v>
      </c>
    </row>
    <row r="1339" spans="1:12" x14ac:dyDescent="0.35">
      <c r="A1339" t="s">
        <v>116</v>
      </c>
      <c r="B1339" t="s">
        <v>558</v>
      </c>
      <c r="C1339" t="s">
        <v>818</v>
      </c>
      <c r="D1339">
        <v>2.5</v>
      </c>
      <c r="F1339" t="s">
        <v>1406</v>
      </c>
      <c r="H1339" t="s">
        <v>4108</v>
      </c>
      <c r="I1339" t="s">
        <v>1551</v>
      </c>
      <c r="K1339" t="s">
        <v>6025</v>
      </c>
      <c r="L1339" t="s">
        <v>6026</v>
      </c>
    </row>
    <row r="1340" spans="1:12" x14ac:dyDescent="0.35">
      <c r="A1340" t="s">
        <v>116</v>
      </c>
      <c r="B1340" t="s">
        <v>558</v>
      </c>
      <c r="C1340" t="s">
        <v>5071</v>
      </c>
      <c r="D1340">
        <v>1.17</v>
      </c>
      <c r="F1340" t="s">
        <v>2635</v>
      </c>
      <c r="I1340" t="s">
        <v>1878</v>
      </c>
      <c r="K1340" t="s">
        <v>6025</v>
      </c>
      <c r="L1340" t="s">
        <v>6026</v>
      </c>
    </row>
    <row r="1341" spans="1:12" x14ac:dyDescent="0.35">
      <c r="A1341" t="s">
        <v>116</v>
      </c>
      <c r="B1341" t="s">
        <v>558</v>
      </c>
      <c r="C1341" t="s">
        <v>951</v>
      </c>
      <c r="D1341">
        <v>0.78</v>
      </c>
      <c r="F1341" t="s">
        <v>1442</v>
      </c>
      <c r="I1341" t="s">
        <v>1878</v>
      </c>
      <c r="K1341" t="s">
        <v>6025</v>
      </c>
      <c r="L1341" t="s">
        <v>6026</v>
      </c>
    </row>
    <row r="1342" spans="1:12" x14ac:dyDescent="0.35">
      <c r="A1342" t="s">
        <v>116</v>
      </c>
      <c r="B1342" t="s">
        <v>558</v>
      </c>
      <c r="C1342" t="s">
        <v>981</v>
      </c>
      <c r="D1342">
        <v>0.87</v>
      </c>
      <c r="F1342" t="s">
        <v>1897</v>
      </c>
      <c r="H1342" t="s">
        <v>2842</v>
      </c>
      <c r="I1342" t="s">
        <v>1390</v>
      </c>
      <c r="K1342" t="s">
        <v>6025</v>
      </c>
      <c r="L1342" t="s">
        <v>6026</v>
      </c>
    </row>
    <row r="1343" spans="1:12" x14ac:dyDescent="0.35">
      <c r="A1343" t="s">
        <v>116</v>
      </c>
      <c r="B1343" t="s">
        <v>558</v>
      </c>
      <c r="C1343" t="s">
        <v>983</v>
      </c>
      <c r="D1343">
        <v>1.01</v>
      </c>
      <c r="F1343" t="s">
        <v>1487</v>
      </c>
      <c r="H1343" t="s">
        <v>3426</v>
      </c>
      <c r="I1343" t="s">
        <v>1390</v>
      </c>
      <c r="K1343" t="s">
        <v>6025</v>
      </c>
      <c r="L1343" t="s">
        <v>6026</v>
      </c>
    </row>
    <row r="1344" spans="1:12" x14ac:dyDescent="0.35">
      <c r="A1344" t="s">
        <v>116</v>
      </c>
      <c r="B1344" t="s">
        <v>558</v>
      </c>
      <c r="C1344" t="s">
        <v>5072</v>
      </c>
      <c r="D1344">
        <v>0.08</v>
      </c>
      <c r="F1344" t="s">
        <v>1402</v>
      </c>
      <c r="H1344" t="s">
        <v>4109</v>
      </c>
      <c r="I1344" t="s">
        <v>4885</v>
      </c>
      <c r="K1344" t="s">
        <v>6025</v>
      </c>
      <c r="L1344" t="s">
        <v>6026</v>
      </c>
    </row>
    <row r="1345" spans="1:12" x14ac:dyDescent="0.35">
      <c r="A1345" t="s">
        <v>116</v>
      </c>
      <c r="B1345" t="s">
        <v>558</v>
      </c>
      <c r="C1345" t="s">
        <v>1047</v>
      </c>
      <c r="D1345">
        <v>5.8</v>
      </c>
      <c r="F1345" t="s">
        <v>1733</v>
      </c>
      <c r="H1345" t="s">
        <v>4109</v>
      </c>
      <c r="I1345" t="s">
        <v>4885</v>
      </c>
      <c r="K1345" t="s">
        <v>6025</v>
      </c>
      <c r="L1345" t="s">
        <v>6026</v>
      </c>
    </row>
    <row r="1346" spans="1:12" x14ac:dyDescent="0.35">
      <c r="A1346" t="s">
        <v>116</v>
      </c>
      <c r="B1346" t="s">
        <v>558</v>
      </c>
      <c r="C1346" t="s">
        <v>846</v>
      </c>
      <c r="D1346">
        <v>0.12</v>
      </c>
      <c r="F1346" t="s">
        <v>1473</v>
      </c>
      <c r="I1346" t="s">
        <v>1390</v>
      </c>
      <c r="K1346" t="s">
        <v>6025</v>
      </c>
      <c r="L1346" t="s">
        <v>6026</v>
      </c>
    </row>
    <row r="1347" spans="1:12" x14ac:dyDescent="0.35">
      <c r="A1347" t="s">
        <v>116</v>
      </c>
      <c r="B1347" t="s">
        <v>558</v>
      </c>
      <c r="C1347" t="s">
        <v>1065</v>
      </c>
      <c r="D1347">
        <v>2.5000000000000001E-2</v>
      </c>
      <c r="F1347" t="s">
        <v>1282</v>
      </c>
      <c r="H1347" t="s">
        <v>4103</v>
      </c>
      <c r="I1347" t="s">
        <v>1551</v>
      </c>
      <c r="K1347" t="s">
        <v>6025</v>
      </c>
      <c r="L1347" t="s">
        <v>6026</v>
      </c>
    </row>
    <row r="1348" spans="1:12" x14ac:dyDescent="0.35">
      <c r="A1348" t="s">
        <v>116</v>
      </c>
      <c r="B1348" t="s">
        <v>558</v>
      </c>
      <c r="C1348" t="s">
        <v>961</v>
      </c>
      <c r="D1348">
        <v>1.27</v>
      </c>
      <c r="F1348" t="s">
        <v>1364</v>
      </c>
      <c r="I1348" t="s">
        <v>1878</v>
      </c>
      <c r="K1348" t="s">
        <v>6025</v>
      </c>
      <c r="L1348" t="s">
        <v>6026</v>
      </c>
    </row>
    <row r="1349" spans="1:12" x14ac:dyDescent="0.35">
      <c r="A1349" t="s">
        <v>116</v>
      </c>
      <c r="B1349" t="s">
        <v>558</v>
      </c>
      <c r="C1349" t="s">
        <v>823</v>
      </c>
      <c r="D1349">
        <v>1.55</v>
      </c>
      <c r="F1349" t="s">
        <v>1726</v>
      </c>
      <c r="H1349" t="s">
        <v>4103</v>
      </c>
      <c r="I1349" t="s">
        <v>1551</v>
      </c>
      <c r="K1349" t="s">
        <v>6025</v>
      </c>
      <c r="L1349" t="s">
        <v>6026</v>
      </c>
    </row>
    <row r="1350" spans="1:12" x14ac:dyDescent="0.35">
      <c r="A1350" t="s">
        <v>116</v>
      </c>
      <c r="B1350" t="s">
        <v>558</v>
      </c>
      <c r="C1350" t="s">
        <v>848</v>
      </c>
      <c r="D1350">
        <v>5.9</v>
      </c>
      <c r="F1350" t="s">
        <v>1852</v>
      </c>
      <c r="I1350" t="s">
        <v>1878</v>
      </c>
      <c r="K1350" t="s">
        <v>6025</v>
      </c>
      <c r="L1350" t="s">
        <v>6026</v>
      </c>
    </row>
    <row r="1351" spans="1:12" x14ac:dyDescent="0.35">
      <c r="A1351" t="s">
        <v>116</v>
      </c>
      <c r="B1351" t="s">
        <v>558</v>
      </c>
      <c r="C1351" t="s">
        <v>1081</v>
      </c>
      <c r="D1351">
        <v>6.7</v>
      </c>
      <c r="F1351" t="s">
        <v>1520</v>
      </c>
      <c r="H1351" t="s">
        <v>5867</v>
      </c>
      <c r="I1351" t="s">
        <v>4885</v>
      </c>
      <c r="K1351" t="s">
        <v>6025</v>
      </c>
      <c r="L1351" t="s">
        <v>6026</v>
      </c>
    </row>
    <row r="1352" spans="1:12" x14ac:dyDescent="0.35">
      <c r="A1352" t="s">
        <v>116</v>
      </c>
      <c r="B1352" t="s">
        <v>558</v>
      </c>
      <c r="C1352" t="s">
        <v>1071</v>
      </c>
      <c r="D1352">
        <v>1.7999999999999999E-2</v>
      </c>
      <c r="F1352" t="s">
        <v>1611</v>
      </c>
      <c r="H1352" t="s">
        <v>4108</v>
      </c>
      <c r="I1352" t="s">
        <v>1551</v>
      </c>
      <c r="K1352" t="s">
        <v>6025</v>
      </c>
      <c r="L1352" t="s">
        <v>6026</v>
      </c>
    </row>
    <row r="1353" spans="1:12" x14ac:dyDescent="0.35">
      <c r="A1353" t="s">
        <v>116</v>
      </c>
      <c r="B1353" t="s">
        <v>558</v>
      </c>
      <c r="C1353" t="s">
        <v>1086</v>
      </c>
      <c r="D1353">
        <v>1.7999999999999999E-2</v>
      </c>
      <c r="F1353" t="s">
        <v>1611</v>
      </c>
      <c r="H1353" t="s">
        <v>4103</v>
      </c>
      <c r="I1353" t="s">
        <v>1551</v>
      </c>
      <c r="K1353" t="s">
        <v>6025</v>
      </c>
      <c r="L1353" t="s">
        <v>6026</v>
      </c>
    </row>
    <row r="1354" spans="1:12" x14ac:dyDescent="0.35">
      <c r="A1354" t="s">
        <v>116</v>
      </c>
      <c r="B1354" t="s">
        <v>558</v>
      </c>
      <c r="C1354" t="s">
        <v>1083</v>
      </c>
      <c r="D1354">
        <v>0.36</v>
      </c>
      <c r="F1354" t="s">
        <v>1398</v>
      </c>
      <c r="I1354" t="s">
        <v>1390</v>
      </c>
      <c r="K1354" t="s">
        <v>6025</v>
      </c>
      <c r="L1354" t="s">
        <v>6026</v>
      </c>
    </row>
    <row r="1355" spans="1:12" x14ac:dyDescent="0.35">
      <c r="A1355" t="s">
        <v>116</v>
      </c>
      <c r="B1355" t="s">
        <v>558</v>
      </c>
      <c r="C1355" t="s">
        <v>1072</v>
      </c>
      <c r="D1355">
        <v>2.1000000000000001E-2</v>
      </c>
      <c r="F1355" t="s">
        <v>1617</v>
      </c>
      <c r="H1355" t="s">
        <v>4108</v>
      </c>
      <c r="I1355" t="s">
        <v>1551</v>
      </c>
      <c r="K1355" t="s">
        <v>6025</v>
      </c>
      <c r="L1355" t="s">
        <v>6026</v>
      </c>
    </row>
    <row r="1356" spans="1:12" x14ac:dyDescent="0.35">
      <c r="A1356" t="s">
        <v>116</v>
      </c>
      <c r="B1356" t="s">
        <v>558</v>
      </c>
      <c r="C1356" t="s">
        <v>1042</v>
      </c>
      <c r="D1356">
        <v>133</v>
      </c>
      <c r="F1356" t="s">
        <v>4886</v>
      </c>
      <c r="H1356" t="s">
        <v>5867</v>
      </c>
      <c r="I1356" t="s">
        <v>4885</v>
      </c>
      <c r="K1356" t="s">
        <v>6025</v>
      </c>
      <c r="L1356" t="s">
        <v>6026</v>
      </c>
    </row>
    <row r="1357" spans="1:12" x14ac:dyDescent="0.35">
      <c r="A1357" t="s">
        <v>116</v>
      </c>
      <c r="B1357" t="s">
        <v>558</v>
      </c>
      <c r="C1357" t="s">
        <v>1085</v>
      </c>
      <c r="D1357">
        <v>5.2999999999999999E-2</v>
      </c>
      <c r="F1357" t="s">
        <v>1739</v>
      </c>
      <c r="H1357" t="s">
        <v>3426</v>
      </c>
      <c r="I1357" t="s">
        <v>1390</v>
      </c>
      <c r="K1357" t="s">
        <v>6025</v>
      </c>
      <c r="L1357" t="s">
        <v>6026</v>
      </c>
    </row>
    <row r="1358" spans="1:12" x14ac:dyDescent="0.35">
      <c r="A1358" t="s">
        <v>116</v>
      </c>
      <c r="B1358" t="s">
        <v>558</v>
      </c>
      <c r="C1358" t="s">
        <v>961</v>
      </c>
      <c r="D1358">
        <v>308</v>
      </c>
      <c r="F1358" t="s">
        <v>4966</v>
      </c>
      <c r="H1358" t="s">
        <v>5867</v>
      </c>
      <c r="I1358" t="s">
        <v>4885</v>
      </c>
      <c r="K1358" t="s">
        <v>6025</v>
      </c>
      <c r="L1358" t="s">
        <v>6026</v>
      </c>
    </row>
    <row r="1359" spans="1:12" x14ac:dyDescent="0.35">
      <c r="A1359" t="s">
        <v>116</v>
      </c>
      <c r="B1359" t="s">
        <v>558</v>
      </c>
      <c r="C1359" t="s">
        <v>1042</v>
      </c>
      <c r="D1359">
        <v>98</v>
      </c>
      <c r="F1359" t="s">
        <v>4855</v>
      </c>
      <c r="H1359" t="s">
        <v>4109</v>
      </c>
      <c r="I1359" t="s">
        <v>4885</v>
      </c>
      <c r="K1359" t="s">
        <v>6025</v>
      </c>
      <c r="L1359" t="s">
        <v>6026</v>
      </c>
    </row>
    <row r="1360" spans="1:12" x14ac:dyDescent="0.35">
      <c r="A1360" t="s">
        <v>116</v>
      </c>
      <c r="B1360" t="s">
        <v>558</v>
      </c>
      <c r="C1360" t="s">
        <v>961</v>
      </c>
      <c r="D1360">
        <v>102</v>
      </c>
      <c r="F1360" t="s">
        <v>4925</v>
      </c>
      <c r="H1360" t="s">
        <v>4109</v>
      </c>
      <c r="I1360" t="s">
        <v>4885</v>
      </c>
      <c r="K1360" t="s">
        <v>6025</v>
      </c>
      <c r="L1360" t="s">
        <v>6026</v>
      </c>
    </row>
    <row r="1361" spans="1:12" x14ac:dyDescent="0.35">
      <c r="A1361" t="s">
        <v>116</v>
      </c>
      <c r="B1361" t="s">
        <v>558</v>
      </c>
      <c r="C1361" t="s">
        <v>1063</v>
      </c>
      <c r="D1361">
        <v>11.9</v>
      </c>
      <c r="F1361" t="s">
        <v>2218</v>
      </c>
      <c r="H1361" t="s">
        <v>5867</v>
      </c>
      <c r="I1361" t="s">
        <v>4885</v>
      </c>
      <c r="K1361" t="s">
        <v>6025</v>
      </c>
      <c r="L1361" t="s">
        <v>6026</v>
      </c>
    </row>
    <row r="1362" spans="1:12" x14ac:dyDescent="0.35">
      <c r="A1362" t="s">
        <v>116</v>
      </c>
      <c r="B1362" t="s">
        <v>558</v>
      </c>
      <c r="C1362" t="s">
        <v>1063</v>
      </c>
      <c r="D1362">
        <v>0.31</v>
      </c>
      <c r="F1362" t="s">
        <v>1714</v>
      </c>
      <c r="H1362" t="s">
        <v>4109</v>
      </c>
      <c r="I1362" t="s">
        <v>4885</v>
      </c>
      <c r="K1362" t="s">
        <v>6025</v>
      </c>
      <c r="L1362" t="s">
        <v>6026</v>
      </c>
    </row>
    <row r="1363" spans="1:12" x14ac:dyDescent="0.35">
      <c r="A1363" t="s">
        <v>116</v>
      </c>
      <c r="B1363" t="s">
        <v>558</v>
      </c>
      <c r="C1363" t="s">
        <v>1064</v>
      </c>
      <c r="D1363">
        <v>29.6</v>
      </c>
      <c r="F1363" t="s">
        <v>5482</v>
      </c>
      <c r="H1363" t="s">
        <v>5867</v>
      </c>
      <c r="I1363" t="s">
        <v>4885</v>
      </c>
      <c r="K1363" t="s">
        <v>6025</v>
      </c>
      <c r="L1363" t="s">
        <v>6026</v>
      </c>
    </row>
    <row r="1364" spans="1:12" x14ac:dyDescent="0.35">
      <c r="A1364" t="s">
        <v>116</v>
      </c>
      <c r="B1364" t="s">
        <v>558</v>
      </c>
      <c r="C1364" t="s">
        <v>1067</v>
      </c>
      <c r="D1364">
        <v>1.52</v>
      </c>
      <c r="F1364" t="s">
        <v>5346</v>
      </c>
      <c r="H1364" t="s">
        <v>2842</v>
      </c>
      <c r="I1364" t="s">
        <v>1390</v>
      </c>
      <c r="K1364" t="s">
        <v>6025</v>
      </c>
      <c r="L1364" t="s">
        <v>6026</v>
      </c>
    </row>
    <row r="1365" spans="1:12" x14ac:dyDescent="0.35">
      <c r="A1365" t="s">
        <v>116</v>
      </c>
      <c r="B1365" t="s">
        <v>558</v>
      </c>
      <c r="C1365" t="s">
        <v>1078</v>
      </c>
      <c r="D1365">
        <v>118</v>
      </c>
      <c r="F1365" t="s">
        <v>2360</v>
      </c>
      <c r="H1365" t="s">
        <v>5867</v>
      </c>
      <c r="I1365" t="s">
        <v>4885</v>
      </c>
      <c r="K1365" t="s">
        <v>6025</v>
      </c>
      <c r="L1365" t="s">
        <v>6026</v>
      </c>
    </row>
    <row r="1366" spans="1:12" x14ac:dyDescent="0.35">
      <c r="A1366" t="s">
        <v>116</v>
      </c>
      <c r="B1366" t="s">
        <v>558</v>
      </c>
      <c r="C1366" t="s">
        <v>1081</v>
      </c>
      <c r="D1366">
        <v>18.600000000000001</v>
      </c>
      <c r="F1366" t="s">
        <v>1856</v>
      </c>
      <c r="H1366" t="s">
        <v>4109</v>
      </c>
      <c r="I1366" t="s">
        <v>4885</v>
      </c>
      <c r="K1366" t="s">
        <v>6025</v>
      </c>
      <c r="L1366" t="s">
        <v>6026</v>
      </c>
    </row>
    <row r="1367" spans="1:12" x14ac:dyDescent="0.35">
      <c r="A1367" t="s">
        <v>116</v>
      </c>
      <c r="B1367" t="s">
        <v>558</v>
      </c>
      <c r="C1367" t="s">
        <v>1064</v>
      </c>
      <c r="D1367">
        <v>23.9</v>
      </c>
      <c r="F1367" t="s">
        <v>5180</v>
      </c>
      <c r="H1367" t="s">
        <v>4109</v>
      </c>
      <c r="I1367" t="s">
        <v>4885</v>
      </c>
      <c r="K1367" t="s">
        <v>6025</v>
      </c>
      <c r="L1367" t="s">
        <v>6026</v>
      </c>
    </row>
    <row r="1368" spans="1:12" x14ac:dyDescent="0.35">
      <c r="A1368" t="s">
        <v>116</v>
      </c>
      <c r="B1368" t="s">
        <v>558</v>
      </c>
      <c r="C1368" t="s">
        <v>818</v>
      </c>
      <c r="D1368">
        <v>2.1999999999999999E-2</v>
      </c>
      <c r="F1368" t="s">
        <v>1890</v>
      </c>
      <c r="H1368" t="s">
        <v>4103</v>
      </c>
      <c r="I1368" t="s">
        <v>1551</v>
      </c>
      <c r="K1368" t="s">
        <v>6025</v>
      </c>
      <c r="L1368" t="s">
        <v>6026</v>
      </c>
    </row>
    <row r="1369" spans="1:12" x14ac:dyDescent="0.35">
      <c r="A1369" t="s">
        <v>116</v>
      </c>
      <c r="B1369" t="s">
        <v>558</v>
      </c>
      <c r="C1369" t="s">
        <v>1073</v>
      </c>
      <c r="D1369">
        <v>2.1999999999999999E-2</v>
      </c>
      <c r="F1369" t="s">
        <v>1890</v>
      </c>
      <c r="H1369" t="s">
        <v>4103</v>
      </c>
      <c r="I1369" t="s">
        <v>1551</v>
      </c>
      <c r="K1369" t="s">
        <v>6025</v>
      </c>
      <c r="L1369" t="s">
        <v>6026</v>
      </c>
    </row>
    <row r="1370" spans="1:12" x14ac:dyDescent="0.35">
      <c r="A1370" t="s">
        <v>116</v>
      </c>
      <c r="B1370" t="s">
        <v>558</v>
      </c>
      <c r="C1370" t="s">
        <v>961</v>
      </c>
      <c r="D1370">
        <v>123</v>
      </c>
      <c r="F1370" t="s">
        <v>5002</v>
      </c>
      <c r="H1370" t="s">
        <v>5867</v>
      </c>
      <c r="I1370" t="s">
        <v>4885</v>
      </c>
      <c r="K1370" t="s">
        <v>6025</v>
      </c>
      <c r="L1370" t="s">
        <v>6026</v>
      </c>
    </row>
    <row r="1371" spans="1:12" x14ac:dyDescent="0.35">
      <c r="A1371" t="s">
        <v>116</v>
      </c>
      <c r="B1371" t="s">
        <v>558</v>
      </c>
      <c r="C1371" t="s">
        <v>5072</v>
      </c>
      <c r="D1371">
        <v>0.27</v>
      </c>
      <c r="F1371" t="s">
        <v>1738</v>
      </c>
      <c r="H1371" t="s">
        <v>5867</v>
      </c>
      <c r="I1371" t="s">
        <v>4885</v>
      </c>
      <c r="K1371" t="s">
        <v>6025</v>
      </c>
      <c r="L1371" t="s">
        <v>6026</v>
      </c>
    </row>
    <row r="1372" spans="1:12" x14ac:dyDescent="0.35">
      <c r="A1372" t="s">
        <v>116</v>
      </c>
      <c r="B1372" t="s">
        <v>558</v>
      </c>
      <c r="C1372" t="s">
        <v>853</v>
      </c>
      <c r="D1372">
        <v>0.33</v>
      </c>
      <c r="F1372" t="s">
        <v>1397</v>
      </c>
      <c r="I1372" t="s">
        <v>1390</v>
      </c>
      <c r="K1372" t="s">
        <v>6025</v>
      </c>
      <c r="L1372" t="s">
        <v>6026</v>
      </c>
    </row>
    <row r="1373" spans="1:12" x14ac:dyDescent="0.35">
      <c r="A1373" t="s">
        <v>116</v>
      </c>
      <c r="B1373" t="s">
        <v>558</v>
      </c>
      <c r="C1373" t="s">
        <v>1047</v>
      </c>
      <c r="D1373">
        <v>53.1</v>
      </c>
      <c r="F1373" t="s">
        <v>5483</v>
      </c>
      <c r="H1373" t="s">
        <v>5867</v>
      </c>
      <c r="I1373" t="s">
        <v>4885</v>
      </c>
      <c r="K1373" t="s">
        <v>6025</v>
      </c>
      <c r="L1373" t="s">
        <v>6026</v>
      </c>
    </row>
    <row r="1374" spans="1:12" x14ac:dyDescent="0.35">
      <c r="A1374" t="s">
        <v>116</v>
      </c>
      <c r="B1374" t="s">
        <v>558</v>
      </c>
      <c r="C1374" t="s">
        <v>1080</v>
      </c>
      <c r="D1374">
        <v>28.7</v>
      </c>
      <c r="F1374" t="s">
        <v>5210</v>
      </c>
      <c r="H1374" t="s">
        <v>4109</v>
      </c>
      <c r="I1374" t="s">
        <v>4885</v>
      </c>
      <c r="K1374" t="s">
        <v>6025</v>
      </c>
      <c r="L1374" t="s">
        <v>6026</v>
      </c>
    </row>
    <row r="1375" spans="1:12" x14ac:dyDescent="0.35">
      <c r="A1375" t="s">
        <v>116</v>
      </c>
      <c r="B1375" t="s">
        <v>558</v>
      </c>
      <c r="C1375" t="s">
        <v>1069</v>
      </c>
      <c r="D1375">
        <v>56.6</v>
      </c>
      <c r="F1375" t="s">
        <v>5484</v>
      </c>
      <c r="I1375" t="s">
        <v>1878</v>
      </c>
      <c r="K1375" t="s">
        <v>6025</v>
      </c>
      <c r="L1375" t="s">
        <v>6026</v>
      </c>
    </row>
    <row r="1376" spans="1:12" x14ac:dyDescent="0.35">
      <c r="A1376" t="s">
        <v>116</v>
      </c>
      <c r="B1376" t="s">
        <v>558</v>
      </c>
      <c r="C1376" t="s">
        <v>831</v>
      </c>
      <c r="D1376">
        <v>2.3E-2</v>
      </c>
      <c r="F1376" t="s">
        <v>1457</v>
      </c>
      <c r="H1376" t="s">
        <v>4108</v>
      </c>
      <c r="I1376" t="s">
        <v>1551</v>
      </c>
      <c r="K1376" t="s">
        <v>6025</v>
      </c>
      <c r="L1376" t="s">
        <v>6026</v>
      </c>
    </row>
    <row r="1377" spans="1:12" x14ac:dyDescent="0.35">
      <c r="A1377" t="s">
        <v>116</v>
      </c>
      <c r="B1377" t="s">
        <v>558</v>
      </c>
      <c r="C1377" t="s">
        <v>843</v>
      </c>
      <c r="D1377">
        <v>7.1300000000000002E-2</v>
      </c>
      <c r="F1377" t="s">
        <v>5485</v>
      </c>
      <c r="I1377" t="s">
        <v>1390</v>
      </c>
      <c r="K1377" t="s">
        <v>6025</v>
      </c>
      <c r="L1377" t="s">
        <v>6026</v>
      </c>
    </row>
    <row r="1378" spans="1:12" x14ac:dyDescent="0.35">
      <c r="A1378" t="s">
        <v>116</v>
      </c>
      <c r="B1378" t="s">
        <v>558</v>
      </c>
      <c r="C1378" t="s">
        <v>1013</v>
      </c>
      <c r="D1378">
        <v>0.57999999999999996</v>
      </c>
      <c r="F1378" t="s">
        <v>1444</v>
      </c>
      <c r="I1378" t="s">
        <v>1390</v>
      </c>
      <c r="K1378" t="s">
        <v>6025</v>
      </c>
      <c r="L1378" t="s">
        <v>6026</v>
      </c>
    </row>
    <row r="1379" spans="1:12" x14ac:dyDescent="0.35">
      <c r="A1379" t="s">
        <v>116</v>
      </c>
      <c r="B1379" t="s">
        <v>558</v>
      </c>
      <c r="C1379" t="s">
        <v>5073</v>
      </c>
      <c r="D1379">
        <v>0.94</v>
      </c>
      <c r="F1379" t="s">
        <v>1651</v>
      </c>
      <c r="I1379" t="s">
        <v>1878</v>
      </c>
      <c r="K1379" t="s">
        <v>6025</v>
      </c>
      <c r="L1379" t="s">
        <v>6026</v>
      </c>
    </row>
    <row r="1380" spans="1:12" x14ac:dyDescent="0.35">
      <c r="A1380" t="s">
        <v>116</v>
      </c>
      <c r="B1380" t="s">
        <v>558</v>
      </c>
      <c r="C1380" t="s">
        <v>984</v>
      </c>
      <c r="D1380">
        <v>2.2599999999999998</v>
      </c>
      <c r="F1380" t="s">
        <v>2636</v>
      </c>
      <c r="I1380" t="s">
        <v>1390</v>
      </c>
      <c r="K1380" t="s">
        <v>6025</v>
      </c>
      <c r="L1380" t="s">
        <v>6026</v>
      </c>
    </row>
    <row r="1381" spans="1:12" x14ac:dyDescent="0.35">
      <c r="A1381" t="s">
        <v>116</v>
      </c>
      <c r="B1381" t="s">
        <v>558</v>
      </c>
      <c r="C1381" t="s">
        <v>1084</v>
      </c>
      <c r="D1381">
        <v>18.399999999999999</v>
      </c>
      <c r="F1381" t="s">
        <v>5213</v>
      </c>
      <c r="H1381" t="s">
        <v>4109</v>
      </c>
      <c r="I1381" t="s">
        <v>4885</v>
      </c>
      <c r="K1381" t="s">
        <v>6025</v>
      </c>
      <c r="L1381" t="s">
        <v>6026</v>
      </c>
    </row>
    <row r="1382" spans="1:12" x14ac:dyDescent="0.35">
      <c r="A1382" t="s">
        <v>116</v>
      </c>
      <c r="B1382" t="s">
        <v>558</v>
      </c>
      <c r="C1382" t="s">
        <v>978</v>
      </c>
      <c r="D1382">
        <v>29.5</v>
      </c>
      <c r="F1382" t="s">
        <v>5486</v>
      </c>
      <c r="I1382" t="s">
        <v>1878</v>
      </c>
      <c r="K1382" t="s">
        <v>6025</v>
      </c>
      <c r="L1382" t="s">
        <v>6026</v>
      </c>
    </row>
    <row r="1383" spans="1:12" x14ac:dyDescent="0.35">
      <c r="A1383" t="s">
        <v>116</v>
      </c>
      <c r="B1383" t="s">
        <v>558</v>
      </c>
      <c r="C1383" t="s">
        <v>855</v>
      </c>
      <c r="D1383">
        <v>31.8</v>
      </c>
      <c r="F1383" t="s">
        <v>5279</v>
      </c>
      <c r="I1383" t="s">
        <v>1878</v>
      </c>
      <c r="K1383" t="s">
        <v>6025</v>
      </c>
      <c r="L1383" t="s">
        <v>6026</v>
      </c>
    </row>
    <row r="1384" spans="1:12" x14ac:dyDescent="0.35">
      <c r="A1384" t="s">
        <v>116</v>
      </c>
      <c r="B1384" t="s">
        <v>558</v>
      </c>
      <c r="C1384" t="s">
        <v>1078</v>
      </c>
      <c r="D1384">
        <v>32.700000000000003</v>
      </c>
      <c r="F1384" t="s">
        <v>5487</v>
      </c>
      <c r="H1384" t="s">
        <v>4109</v>
      </c>
      <c r="I1384" t="s">
        <v>4885</v>
      </c>
      <c r="K1384" t="s">
        <v>6025</v>
      </c>
      <c r="L1384" t="s">
        <v>6026</v>
      </c>
    </row>
    <row r="1385" spans="1:12" x14ac:dyDescent="0.35">
      <c r="A1385" t="s">
        <v>116</v>
      </c>
      <c r="B1385" t="s">
        <v>558</v>
      </c>
      <c r="C1385" t="s">
        <v>979</v>
      </c>
      <c r="D1385">
        <v>35.4</v>
      </c>
      <c r="F1385" t="s">
        <v>5488</v>
      </c>
      <c r="I1385" t="s">
        <v>1878</v>
      </c>
      <c r="K1385" t="s">
        <v>6025</v>
      </c>
      <c r="L1385" t="s">
        <v>6026</v>
      </c>
    </row>
    <row r="1386" spans="1:12" x14ac:dyDescent="0.35">
      <c r="A1386" t="s">
        <v>116</v>
      </c>
      <c r="B1386" t="s">
        <v>558</v>
      </c>
      <c r="C1386" t="s">
        <v>1082</v>
      </c>
      <c r="D1386">
        <v>41.9</v>
      </c>
      <c r="F1386" t="s">
        <v>5489</v>
      </c>
      <c r="I1386" t="s">
        <v>1878</v>
      </c>
      <c r="K1386" t="s">
        <v>6025</v>
      </c>
      <c r="L1386" t="s">
        <v>6026</v>
      </c>
    </row>
    <row r="1387" spans="1:12" x14ac:dyDescent="0.35">
      <c r="A1387" t="s">
        <v>116</v>
      </c>
      <c r="B1387" t="s">
        <v>558</v>
      </c>
      <c r="C1387" t="s">
        <v>1084</v>
      </c>
      <c r="D1387">
        <v>56.2</v>
      </c>
      <c r="F1387" t="s">
        <v>2358</v>
      </c>
      <c r="H1387" t="s">
        <v>5867</v>
      </c>
      <c r="I1387" t="s">
        <v>4885</v>
      </c>
      <c r="K1387" t="s">
        <v>6025</v>
      </c>
      <c r="L1387" t="s">
        <v>6026</v>
      </c>
    </row>
    <row r="1388" spans="1:12" x14ac:dyDescent="0.35">
      <c r="A1388" t="s">
        <v>116</v>
      </c>
      <c r="B1388" t="s">
        <v>499</v>
      </c>
      <c r="C1388" t="s">
        <v>1090</v>
      </c>
      <c r="D1388">
        <v>230</v>
      </c>
      <c r="F1388" t="s">
        <v>2211</v>
      </c>
      <c r="H1388" t="s">
        <v>4120</v>
      </c>
      <c r="I1388" t="s">
        <v>4987</v>
      </c>
      <c r="K1388" t="s">
        <v>6025</v>
      </c>
      <c r="L1388" t="s">
        <v>6026</v>
      </c>
    </row>
    <row r="1389" spans="1:12" x14ac:dyDescent="0.35">
      <c r="A1389" t="s">
        <v>116</v>
      </c>
      <c r="B1389" t="s">
        <v>499</v>
      </c>
      <c r="C1389" t="s">
        <v>1089</v>
      </c>
      <c r="D1389">
        <v>317</v>
      </c>
      <c r="F1389" t="s">
        <v>5409</v>
      </c>
      <c r="H1389" t="s">
        <v>4122</v>
      </c>
      <c r="I1389" t="s">
        <v>4987</v>
      </c>
      <c r="K1389" t="s">
        <v>6025</v>
      </c>
      <c r="L1389" t="s">
        <v>6026</v>
      </c>
    </row>
    <row r="1390" spans="1:12" x14ac:dyDescent="0.35">
      <c r="A1390" t="s">
        <v>116</v>
      </c>
      <c r="B1390" t="s">
        <v>499</v>
      </c>
      <c r="C1390" t="s">
        <v>1089</v>
      </c>
      <c r="D1390">
        <v>576</v>
      </c>
      <c r="F1390" t="s">
        <v>5173</v>
      </c>
      <c r="H1390" t="s">
        <v>4120</v>
      </c>
      <c r="I1390" t="s">
        <v>4987</v>
      </c>
      <c r="K1390" t="s">
        <v>6025</v>
      </c>
      <c r="L1390" t="s">
        <v>6026</v>
      </c>
    </row>
    <row r="1391" spans="1:12" x14ac:dyDescent="0.35">
      <c r="A1391" t="s">
        <v>116</v>
      </c>
      <c r="B1391" t="s">
        <v>499</v>
      </c>
      <c r="C1391" t="s">
        <v>1091</v>
      </c>
      <c r="D1391">
        <v>303</v>
      </c>
      <c r="F1391" t="s">
        <v>4998</v>
      </c>
      <c r="H1391" t="s">
        <v>4122</v>
      </c>
      <c r="I1391" t="s">
        <v>4987</v>
      </c>
      <c r="K1391" t="s">
        <v>6025</v>
      </c>
      <c r="L1391" t="s">
        <v>6026</v>
      </c>
    </row>
    <row r="1392" spans="1:12" x14ac:dyDescent="0.35">
      <c r="A1392" t="s">
        <v>116</v>
      </c>
      <c r="B1392" t="s">
        <v>499</v>
      </c>
      <c r="C1392" t="s">
        <v>1087</v>
      </c>
      <c r="D1392">
        <v>418</v>
      </c>
      <c r="F1392" t="s">
        <v>5490</v>
      </c>
      <c r="H1392" t="s">
        <v>4120</v>
      </c>
      <c r="I1392" t="s">
        <v>4987</v>
      </c>
      <c r="K1392" t="s">
        <v>6025</v>
      </c>
      <c r="L1392" t="s">
        <v>6026</v>
      </c>
    </row>
    <row r="1393" spans="1:12" x14ac:dyDescent="0.35">
      <c r="A1393" t="s">
        <v>116</v>
      </c>
      <c r="B1393" t="s">
        <v>499</v>
      </c>
      <c r="C1393" t="s">
        <v>1090</v>
      </c>
      <c r="D1393">
        <v>145</v>
      </c>
      <c r="F1393" t="s">
        <v>4943</v>
      </c>
      <c r="H1393" t="s">
        <v>4121</v>
      </c>
      <c r="I1393" t="s">
        <v>4987</v>
      </c>
      <c r="K1393" t="s">
        <v>6025</v>
      </c>
      <c r="L1393" t="s">
        <v>6026</v>
      </c>
    </row>
    <row r="1394" spans="1:12" x14ac:dyDescent="0.35">
      <c r="A1394" t="s">
        <v>116</v>
      </c>
      <c r="B1394" t="s">
        <v>499</v>
      </c>
      <c r="C1394" t="s">
        <v>1091</v>
      </c>
      <c r="D1394">
        <v>264</v>
      </c>
      <c r="F1394" t="s">
        <v>5491</v>
      </c>
      <c r="H1394" t="s">
        <v>4121</v>
      </c>
      <c r="I1394" t="s">
        <v>4987</v>
      </c>
      <c r="K1394" t="s">
        <v>6025</v>
      </c>
      <c r="L1394" t="s">
        <v>6026</v>
      </c>
    </row>
    <row r="1395" spans="1:12" x14ac:dyDescent="0.35">
      <c r="A1395" t="s">
        <v>116</v>
      </c>
      <c r="B1395" t="s">
        <v>499</v>
      </c>
      <c r="C1395" t="s">
        <v>1089</v>
      </c>
      <c r="D1395">
        <v>410</v>
      </c>
      <c r="F1395" t="s">
        <v>5492</v>
      </c>
      <c r="H1395" t="s">
        <v>4121</v>
      </c>
      <c r="I1395" t="s">
        <v>4987</v>
      </c>
      <c r="K1395" t="s">
        <v>6025</v>
      </c>
      <c r="L1395" t="s">
        <v>6026</v>
      </c>
    </row>
    <row r="1396" spans="1:12" x14ac:dyDescent="0.35">
      <c r="A1396" t="s">
        <v>116</v>
      </c>
      <c r="B1396" t="s">
        <v>499</v>
      </c>
      <c r="C1396" t="s">
        <v>1088</v>
      </c>
      <c r="D1396">
        <v>211</v>
      </c>
      <c r="F1396" t="s">
        <v>5493</v>
      </c>
      <c r="H1396" t="s">
        <v>4121</v>
      </c>
      <c r="I1396" t="s">
        <v>4987</v>
      </c>
      <c r="K1396" t="s">
        <v>6025</v>
      </c>
      <c r="L1396" t="s">
        <v>6026</v>
      </c>
    </row>
    <row r="1397" spans="1:12" x14ac:dyDescent="0.35">
      <c r="A1397" t="s">
        <v>116</v>
      </c>
      <c r="B1397" t="s">
        <v>499</v>
      </c>
      <c r="C1397" t="s">
        <v>1091</v>
      </c>
      <c r="D1397">
        <v>202</v>
      </c>
      <c r="F1397" t="s">
        <v>4996</v>
      </c>
      <c r="H1397" t="s">
        <v>4120</v>
      </c>
      <c r="I1397" t="s">
        <v>4987</v>
      </c>
      <c r="K1397" t="s">
        <v>6025</v>
      </c>
      <c r="L1397" t="s">
        <v>6026</v>
      </c>
    </row>
    <row r="1398" spans="1:12" x14ac:dyDescent="0.35">
      <c r="A1398" t="s">
        <v>116</v>
      </c>
      <c r="B1398" t="s">
        <v>499</v>
      </c>
      <c r="C1398" t="s">
        <v>1088</v>
      </c>
      <c r="D1398">
        <v>259</v>
      </c>
      <c r="F1398" t="s">
        <v>5107</v>
      </c>
      <c r="H1398" t="s">
        <v>4120</v>
      </c>
      <c r="I1398" t="s">
        <v>4987</v>
      </c>
      <c r="K1398" t="s">
        <v>6025</v>
      </c>
      <c r="L1398" t="s">
        <v>6026</v>
      </c>
    </row>
    <row r="1399" spans="1:12" x14ac:dyDescent="0.35">
      <c r="A1399" t="s">
        <v>116</v>
      </c>
      <c r="B1399" t="s">
        <v>499</v>
      </c>
      <c r="C1399" t="s">
        <v>1088</v>
      </c>
      <c r="D1399">
        <v>288</v>
      </c>
      <c r="F1399" t="s">
        <v>4967</v>
      </c>
      <c r="H1399" t="s">
        <v>4122</v>
      </c>
      <c r="I1399" t="s">
        <v>4987</v>
      </c>
      <c r="K1399" t="s">
        <v>6025</v>
      </c>
      <c r="L1399" t="s">
        <v>6026</v>
      </c>
    </row>
    <row r="1400" spans="1:12" x14ac:dyDescent="0.35">
      <c r="A1400" t="s">
        <v>116</v>
      </c>
      <c r="B1400" t="s">
        <v>499</v>
      </c>
      <c r="C1400" t="s">
        <v>1087</v>
      </c>
      <c r="D1400">
        <v>432</v>
      </c>
      <c r="F1400" t="s">
        <v>5494</v>
      </c>
      <c r="H1400" t="s">
        <v>4122</v>
      </c>
      <c r="I1400" t="s">
        <v>4987</v>
      </c>
      <c r="K1400" t="s">
        <v>6025</v>
      </c>
      <c r="L1400" t="s">
        <v>6026</v>
      </c>
    </row>
    <row r="1401" spans="1:12" x14ac:dyDescent="0.35">
      <c r="A1401" t="s">
        <v>116</v>
      </c>
      <c r="B1401" t="s">
        <v>499</v>
      </c>
      <c r="C1401" t="s">
        <v>1090</v>
      </c>
      <c r="D1401">
        <v>432</v>
      </c>
      <c r="F1401" t="s">
        <v>5494</v>
      </c>
      <c r="H1401" t="s">
        <v>4122</v>
      </c>
      <c r="I1401" t="s">
        <v>4987</v>
      </c>
      <c r="K1401" t="s">
        <v>6025</v>
      </c>
      <c r="L1401" t="s">
        <v>6026</v>
      </c>
    </row>
    <row r="1402" spans="1:12" x14ac:dyDescent="0.35">
      <c r="A1402" t="s">
        <v>116</v>
      </c>
      <c r="B1402" t="s">
        <v>499</v>
      </c>
      <c r="C1402" t="s">
        <v>1087</v>
      </c>
      <c r="D1402">
        <v>528</v>
      </c>
      <c r="F1402" t="s">
        <v>5495</v>
      </c>
      <c r="H1402" t="s">
        <v>4121</v>
      </c>
      <c r="I1402" t="s">
        <v>4987</v>
      </c>
      <c r="K1402" t="s">
        <v>6025</v>
      </c>
      <c r="L1402" t="s">
        <v>6026</v>
      </c>
    </row>
    <row r="1403" spans="1:12" x14ac:dyDescent="0.35">
      <c r="A1403" t="s">
        <v>116</v>
      </c>
      <c r="B1403" t="s">
        <v>341</v>
      </c>
      <c r="C1403" t="s">
        <v>1101</v>
      </c>
      <c r="D1403">
        <v>3.3</v>
      </c>
      <c r="F1403" t="s">
        <v>1377</v>
      </c>
      <c r="H1403" t="s">
        <v>4139</v>
      </c>
      <c r="I1403" t="s">
        <v>4917</v>
      </c>
      <c r="K1403" t="s">
        <v>6025</v>
      </c>
      <c r="L1403" t="s">
        <v>6026</v>
      </c>
    </row>
    <row r="1404" spans="1:12" x14ac:dyDescent="0.35">
      <c r="A1404" t="s">
        <v>116</v>
      </c>
      <c r="B1404" t="s">
        <v>341</v>
      </c>
      <c r="C1404" t="s">
        <v>980</v>
      </c>
      <c r="D1404">
        <v>3.3</v>
      </c>
      <c r="F1404" t="s">
        <v>1377</v>
      </c>
      <c r="H1404" t="s">
        <v>4139</v>
      </c>
      <c r="I1404" t="s">
        <v>4917</v>
      </c>
      <c r="K1404" t="s">
        <v>6025</v>
      </c>
      <c r="L1404" t="s">
        <v>6026</v>
      </c>
    </row>
    <row r="1405" spans="1:12" x14ac:dyDescent="0.35">
      <c r="A1405" t="s">
        <v>116</v>
      </c>
      <c r="B1405" t="s">
        <v>341</v>
      </c>
      <c r="C1405" t="s">
        <v>961</v>
      </c>
      <c r="D1405">
        <v>0.5</v>
      </c>
      <c r="F1405" t="s">
        <v>1440</v>
      </c>
      <c r="H1405" t="s">
        <v>4126</v>
      </c>
      <c r="I1405" t="s">
        <v>4988</v>
      </c>
      <c r="K1405" t="s">
        <v>6025</v>
      </c>
      <c r="L1405" t="s">
        <v>6026</v>
      </c>
    </row>
    <row r="1406" spans="1:12" x14ac:dyDescent="0.35">
      <c r="A1406" t="s">
        <v>116</v>
      </c>
      <c r="B1406" t="s">
        <v>341</v>
      </c>
      <c r="C1406" t="s">
        <v>1096</v>
      </c>
      <c r="D1406">
        <v>1.1000000000000001</v>
      </c>
      <c r="F1406" t="s">
        <v>1505</v>
      </c>
      <c r="H1406" t="s">
        <v>4135</v>
      </c>
      <c r="I1406" t="s">
        <v>4865</v>
      </c>
      <c r="K1406" t="s">
        <v>6025</v>
      </c>
      <c r="L1406" t="s">
        <v>6026</v>
      </c>
    </row>
    <row r="1407" spans="1:12" x14ac:dyDescent="0.35">
      <c r="A1407" t="s">
        <v>116</v>
      </c>
      <c r="B1407" t="s">
        <v>341</v>
      </c>
      <c r="C1407" t="s">
        <v>1097</v>
      </c>
      <c r="D1407">
        <v>1.1000000000000001</v>
      </c>
      <c r="F1407" t="s">
        <v>1505</v>
      </c>
      <c r="H1407" t="s">
        <v>5868</v>
      </c>
      <c r="I1407" t="s">
        <v>4988</v>
      </c>
      <c r="K1407" t="s">
        <v>6025</v>
      </c>
      <c r="L1407" t="s">
        <v>6026</v>
      </c>
    </row>
    <row r="1408" spans="1:12" x14ac:dyDescent="0.35">
      <c r="A1408" t="s">
        <v>116</v>
      </c>
      <c r="B1408" t="s">
        <v>341</v>
      </c>
      <c r="C1408" t="s">
        <v>978</v>
      </c>
      <c r="D1408">
        <v>3.5</v>
      </c>
      <c r="F1408" t="s">
        <v>1451</v>
      </c>
      <c r="H1408" t="s">
        <v>4127</v>
      </c>
      <c r="I1408" t="s">
        <v>4988</v>
      </c>
      <c r="K1408" t="s">
        <v>6025</v>
      </c>
      <c r="L1408" t="s">
        <v>6026</v>
      </c>
    </row>
    <row r="1409" spans="1:12" x14ac:dyDescent="0.35">
      <c r="A1409" t="s">
        <v>116</v>
      </c>
      <c r="B1409" t="s">
        <v>341</v>
      </c>
      <c r="C1409" t="s">
        <v>1096</v>
      </c>
      <c r="D1409">
        <v>3.5</v>
      </c>
      <c r="F1409" t="s">
        <v>1451</v>
      </c>
      <c r="H1409" t="s">
        <v>4134</v>
      </c>
      <c r="I1409" t="s">
        <v>4865</v>
      </c>
      <c r="K1409" t="s">
        <v>6025</v>
      </c>
      <c r="L1409" t="s">
        <v>6026</v>
      </c>
    </row>
    <row r="1410" spans="1:12" x14ac:dyDescent="0.35">
      <c r="A1410" t="s">
        <v>116</v>
      </c>
      <c r="B1410" t="s">
        <v>341</v>
      </c>
      <c r="C1410" t="s">
        <v>959</v>
      </c>
      <c r="D1410">
        <v>15.9</v>
      </c>
      <c r="F1410" t="s">
        <v>5250</v>
      </c>
      <c r="H1410" t="s">
        <v>4128</v>
      </c>
      <c r="I1410" t="s">
        <v>4917</v>
      </c>
      <c r="K1410" t="s">
        <v>6025</v>
      </c>
      <c r="L1410" t="s">
        <v>6026</v>
      </c>
    </row>
    <row r="1411" spans="1:12" x14ac:dyDescent="0.35">
      <c r="A1411" t="s">
        <v>116</v>
      </c>
      <c r="B1411" t="s">
        <v>341</v>
      </c>
      <c r="C1411" t="s">
        <v>980</v>
      </c>
      <c r="D1411">
        <v>1.5</v>
      </c>
      <c r="F1411" t="s">
        <v>1426</v>
      </c>
      <c r="H1411" t="s">
        <v>4135</v>
      </c>
      <c r="I1411" t="s">
        <v>4865</v>
      </c>
      <c r="K1411" t="s">
        <v>6025</v>
      </c>
      <c r="L1411" t="s">
        <v>6026</v>
      </c>
    </row>
    <row r="1412" spans="1:12" x14ac:dyDescent="0.35">
      <c r="A1412" t="s">
        <v>116</v>
      </c>
      <c r="B1412" t="s">
        <v>341</v>
      </c>
      <c r="C1412" t="s">
        <v>1093</v>
      </c>
      <c r="D1412">
        <v>1.5</v>
      </c>
      <c r="F1412" t="s">
        <v>1426</v>
      </c>
      <c r="H1412" t="s">
        <v>4130</v>
      </c>
      <c r="I1412" t="s">
        <v>4988</v>
      </c>
      <c r="K1412" t="s">
        <v>6025</v>
      </c>
      <c r="L1412" t="s">
        <v>6026</v>
      </c>
    </row>
    <row r="1413" spans="1:12" x14ac:dyDescent="0.35">
      <c r="A1413" t="s">
        <v>116</v>
      </c>
      <c r="B1413" t="s">
        <v>341</v>
      </c>
      <c r="C1413" t="s">
        <v>985</v>
      </c>
      <c r="D1413">
        <v>2.6</v>
      </c>
      <c r="F1413" t="s">
        <v>1428</v>
      </c>
      <c r="H1413" t="s">
        <v>4129</v>
      </c>
      <c r="I1413" t="s">
        <v>4917</v>
      </c>
      <c r="K1413" t="s">
        <v>6025</v>
      </c>
      <c r="L1413" t="s">
        <v>6026</v>
      </c>
    </row>
    <row r="1414" spans="1:12" x14ac:dyDescent="0.35">
      <c r="A1414" t="s">
        <v>116</v>
      </c>
      <c r="B1414" t="s">
        <v>341</v>
      </c>
      <c r="C1414" t="s">
        <v>1099</v>
      </c>
      <c r="D1414">
        <v>0.7</v>
      </c>
      <c r="F1414" t="s">
        <v>1378</v>
      </c>
      <c r="H1414" t="s">
        <v>4127</v>
      </c>
      <c r="I1414" t="s">
        <v>4988</v>
      </c>
      <c r="K1414" t="s">
        <v>6025</v>
      </c>
      <c r="L1414" t="s">
        <v>6026</v>
      </c>
    </row>
    <row r="1415" spans="1:12" x14ac:dyDescent="0.35">
      <c r="A1415" t="s">
        <v>116</v>
      </c>
      <c r="B1415" t="s">
        <v>341</v>
      </c>
      <c r="C1415" t="s">
        <v>708</v>
      </c>
      <c r="D1415">
        <v>2</v>
      </c>
      <c r="F1415" t="s">
        <v>1372</v>
      </c>
      <c r="H1415" t="s">
        <v>4133</v>
      </c>
      <c r="I1415" t="s">
        <v>4865</v>
      </c>
      <c r="K1415" t="s">
        <v>6025</v>
      </c>
      <c r="L1415" t="s">
        <v>6026</v>
      </c>
    </row>
    <row r="1416" spans="1:12" x14ac:dyDescent="0.35">
      <c r="A1416" t="s">
        <v>116</v>
      </c>
      <c r="B1416" t="s">
        <v>341</v>
      </c>
      <c r="C1416" t="s">
        <v>1100</v>
      </c>
      <c r="D1416">
        <v>2</v>
      </c>
      <c r="F1416" t="s">
        <v>1372</v>
      </c>
      <c r="H1416" t="s">
        <v>4138</v>
      </c>
      <c r="I1416" t="s">
        <v>4865</v>
      </c>
      <c r="K1416" t="s">
        <v>6025</v>
      </c>
      <c r="L1416" t="s">
        <v>6026</v>
      </c>
    </row>
    <row r="1417" spans="1:12" x14ac:dyDescent="0.35">
      <c r="A1417" t="s">
        <v>116</v>
      </c>
      <c r="B1417" t="s">
        <v>341</v>
      </c>
      <c r="C1417" t="s">
        <v>985</v>
      </c>
      <c r="D1417">
        <v>2.2000000000000002</v>
      </c>
      <c r="F1417" t="s">
        <v>1417</v>
      </c>
      <c r="H1417" t="s">
        <v>4133</v>
      </c>
      <c r="I1417" t="s">
        <v>4865</v>
      </c>
      <c r="K1417" t="s">
        <v>6025</v>
      </c>
      <c r="L1417" t="s">
        <v>6026</v>
      </c>
    </row>
    <row r="1418" spans="1:12" x14ac:dyDescent="0.35">
      <c r="A1418" t="s">
        <v>116</v>
      </c>
      <c r="B1418" t="s">
        <v>341</v>
      </c>
      <c r="C1418" t="s">
        <v>687</v>
      </c>
      <c r="D1418">
        <v>3.1</v>
      </c>
      <c r="F1418" t="s">
        <v>1374</v>
      </c>
      <c r="I1418" t="s">
        <v>2226</v>
      </c>
      <c r="K1418" t="s">
        <v>6025</v>
      </c>
      <c r="L1418" t="s">
        <v>6026</v>
      </c>
    </row>
    <row r="1419" spans="1:12" x14ac:dyDescent="0.35">
      <c r="A1419" t="s">
        <v>116</v>
      </c>
      <c r="B1419" t="s">
        <v>341</v>
      </c>
      <c r="C1419" t="s">
        <v>951</v>
      </c>
      <c r="D1419">
        <v>1.4</v>
      </c>
      <c r="F1419" t="s">
        <v>1469</v>
      </c>
      <c r="H1419" t="s">
        <v>4135</v>
      </c>
      <c r="I1419" t="s">
        <v>4865</v>
      </c>
      <c r="K1419" t="s">
        <v>6025</v>
      </c>
      <c r="L1419" t="s">
        <v>6026</v>
      </c>
    </row>
    <row r="1420" spans="1:12" x14ac:dyDescent="0.35">
      <c r="A1420" t="s">
        <v>116</v>
      </c>
      <c r="B1420" t="s">
        <v>341</v>
      </c>
      <c r="C1420" t="s">
        <v>1103</v>
      </c>
      <c r="D1420">
        <v>1.4</v>
      </c>
      <c r="F1420" t="s">
        <v>1469</v>
      </c>
      <c r="H1420" t="s">
        <v>4137</v>
      </c>
      <c r="I1420" t="s">
        <v>4988</v>
      </c>
      <c r="K1420" t="s">
        <v>6025</v>
      </c>
      <c r="L1420" t="s">
        <v>6026</v>
      </c>
    </row>
    <row r="1421" spans="1:12" x14ac:dyDescent="0.35">
      <c r="A1421" t="s">
        <v>116</v>
      </c>
      <c r="B1421" t="s">
        <v>341</v>
      </c>
      <c r="C1421" t="s">
        <v>1104</v>
      </c>
      <c r="D1421">
        <v>1.4</v>
      </c>
      <c r="F1421" t="s">
        <v>1469</v>
      </c>
      <c r="H1421" t="s">
        <v>4135</v>
      </c>
      <c r="I1421" t="s">
        <v>4865</v>
      </c>
      <c r="K1421" t="s">
        <v>6025</v>
      </c>
      <c r="L1421" t="s">
        <v>6026</v>
      </c>
    </row>
    <row r="1422" spans="1:12" x14ac:dyDescent="0.35">
      <c r="A1422" t="s">
        <v>116</v>
      </c>
      <c r="B1422" t="s">
        <v>341</v>
      </c>
      <c r="C1422" t="s">
        <v>1105</v>
      </c>
      <c r="D1422">
        <v>1.4</v>
      </c>
      <c r="F1422" t="s">
        <v>1469</v>
      </c>
      <c r="H1422" t="s">
        <v>4130</v>
      </c>
      <c r="I1422" t="s">
        <v>4988</v>
      </c>
      <c r="K1422" t="s">
        <v>6025</v>
      </c>
      <c r="L1422" t="s">
        <v>6026</v>
      </c>
    </row>
    <row r="1423" spans="1:12" x14ac:dyDescent="0.35">
      <c r="A1423" t="s">
        <v>116</v>
      </c>
      <c r="B1423" t="s">
        <v>341</v>
      </c>
      <c r="C1423" t="s">
        <v>1104</v>
      </c>
      <c r="D1423">
        <v>16</v>
      </c>
      <c r="F1423" t="s">
        <v>1526</v>
      </c>
      <c r="H1423" t="s">
        <v>4134</v>
      </c>
      <c r="I1423" t="s">
        <v>4865</v>
      </c>
      <c r="K1423" t="s">
        <v>6025</v>
      </c>
      <c r="L1423" t="s">
        <v>6026</v>
      </c>
    </row>
    <row r="1424" spans="1:12" x14ac:dyDescent="0.35">
      <c r="A1424" t="s">
        <v>116</v>
      </c>
      <c r="B1424" t="s">
        <v>341</v>
      </c>
      <c r="C1424" t="s">
        <v>959</v>
      </c>
      <c r="D1424">
        <v>0.65</v>
      </c>
      <c r="F1424" t="s">
        <v>1819</v>
      </c>
      <c r="H1424" t="s">
        <v>4126</v>
      </c>
      <c r="I1424" t="s">
        <v>4988</v>
      </c>
      <c r="K1424" t="s">
        <v>6025</v>
      </c>
      <c r="L1424" t="s">
        <v>6026</v>
      </c>
    </row>
    <row r="1425" spans="1:12" x14ac:dyDescent="0.35">
      <c r="A1425" t="s">
        <v>116</v>
      </c>
      <c r="B1425" t="s">
        <v>341</v>
      </c>
      <c r="C1425" t="s">
        <v>951</v>
      </c>
      <c r="D1425">
        <v>21.7</v>
      </c>
      <c r="F1425" t="s">
        <v>5322</v>
      </c>
      <c r="H1425" t="s">
        <v>4128</v>
      </c>
      <c r="I1425" t="s">
        <v>4917</v>
      </c>
      <c r="K1425" t="s">
        <v>6025</v>
      </c>
      <c r="L1425" t="s">
        <v>6026</v>
      </c>
    </row>
    <row r="1426" spans="1:12" x14ac:dyDescent="0.35">
      <c r="A1426" t="s">
        <v>116</v>
      </c>
      <c r="B1426" t="s">
        <v>341</v>
      </c>
      <c r="C1426" t="s">
        <v>1101</v>
      </c>
      <c r="D1426">
        <v>0.6</v>
      </c>
      <c r="F1426" t="s">
        <v>1519</v>
      </c>
      <c r="H1426" t="s">
        <v>4127</v>
      </c>
      <c r="I1426" t="s">
        <v>4988</v>
      </c>
      <c r="K1426" t="s">
        <v>6025</v>
      </c>
      <c r="L1426" t="s">
        <v>6026</v>
      </c>
    </row>
    <row r="1427" spans="1:12" x14ac:dyDescent="0.35">
      <c r="A1427" t="s">
        <v>116</v>
      </c>
      <c r="B1427" t="s">
        <v>341</v>
      </c>
      <c r="C1427" t="s">
        <v>709</v>
      </c>
      <c r="D1427">
        <v>50</v>
      </c>
      <c r="F1427" t="s">
        <v>1359</v>
      </c>
      <c r="H1427" t="s">
        <v>5869</v>
      </c>
      <c r="I1427" t="s">
        <v>4917</v>
      </c>
      <c r="K1427" t="s">
        <v>6025</v>
      </c>
      <c r="L1427" t="s">
        <v>6026</v>
      </c>
    </row>
    <row r="1428" spans="1:12" x14ac:dyDescent="0.35">
      <c r="A1428" t="s">
        <v>116</v>
      </c>
      <c r="B1428" t="s">
        <v>341</v>
      </c>
      <c r="C1428" t="s">
        <v>1101</v>
      </c>
      <c r="D1428">
        <v>20.5</v>
      </c>
      <c r="F1428" t="s">
        <v>5383</v>
      </c>
      <c r="H1428" t="s">
        <v>4141</v>
      </c>
      <c r="I1428" t="s">
        <v>4917</v>
      </c>
      <c r="K1428" t="s">
        <v>6025</v>
      </c>
      <c r="L1428" t="s">
        <v>6026</v>
      </c>
    </row>
    <row r="1429" spans="1:12" x14ac:dyDescent="0.35">
      <c r="A1429" t="s">
        <v>116</v>
      </c>
      <c r="B1429" t="s">
        <v>341</v>
      </c>
      <c r="C1429" t="s">
        <v>980</v>
      </c>
      <c r="D1429">
        <v>20.5</v>
      </c>
      <c r="F1429" t="s">
        <v>5383</v>
      </c>
      <c r="H1429" t="s">
        <v>4134</v>
      </c>
      <c r="I1429" t="s">
        <v>4865</v>
      </c>
      <c r="K1429" t="s">
        <v>6025</v>
      </c>
      <c r="L1429" t="s">
        <v>6026</v>
      </c>
    </row>
    <row r="1430" spans="1:12" x14ac:dyDescent="0.35">
      <c r="A1430" t="s">
        <v>116</v>
      </c>
      <c r="B1430" t="s">
        <v>341</v>
      </c>
      <c r="C1430" t="s">
        <v>839</v>
      </c>
      <c r="D1430">
        <v>0.45</v>
      </c>
      <c r="F1430" t="s">
        <v>1316</v>
      </c>
      <c r="H1430" t="s">
        <v>4133</v>
      </c>
      <c r="I1430" t="s">
        <v>4865</v>
      </c>
      <c r="K1430" t="s">
        <v>6025</v>
      </c>
      <c r="L1430" t="s">
        <v>6026</v>
      </c>
    </row>
    <row r="1431" spans="1:12" x14ac:dyDescent="0.35">
      <c r="A1431" t="s">
        <v>116</v>
      </c>
      <c r="B1431" t="s">
        <v>341</v>
      </c>
      <c r="C1431" t="s">
        <v>835</v>
      </c>
      <c r="D1431">
        <v>4.5999999999999996</v>
      </c>
      <c r="F1431" t="s">
        <v>1468</v>
      </c>
      <c r="H1431" t="s">
        <v>4127</v>
      </c>
      <c r="I1431" t="s">
        <v>4988</v>
      </c>
      <c r="K1431" t="s">
        <v>6025</v>
      </c>
      <c r="L1431" t="s">
        <v>6026</v>
      </c>
    </row>
    <row r="1432" spans="1:12" x14ac:dyDescent="0.35">
      <c r="A1432" t="s">
        <v>116</v>
      </c>
      <c r="B1432" t="s">
        <v>341</v>
      </c>
      <c r="C1432" t="s">
        <v>985</v>
      </c>
      <c r="D1432">
        <v>1.2</v>
      </c>
      <c r="F1432" t="s">
        <v>1421</v>
      </c>
      <c r="H1432" t="s">
        <v>4126</v>
      </c>
      <c r="I1432" t="s">
        <v>4988</v>
      </c>
      <c r="K1432" t="s">
        <v>6025</v>
      </c>
      <c r="L1432" t="s">
        <v>6026</v>
      </c>
    </row>
    <row r="1433" spans="1:12" x14ac:dyDescent="0.35">
      <c r="A1433" t="s">
        <v>116</v>
      </c>
      <c r="B1433" t="s">
        <v>341</v>
      </c>
      <c r="C1433" t="s">
        <v>1105</v>
      </c>
      <c r="D1433">
        <v>1.2</v>
      </c>
      <c r="F1433" t="s">
        <v>1421</v>
      </c>
      <c r="H1433" t="s">
        <v>5870</v>
      </c>
      <c r="I1433" t="s">
        <v>4988</v>
      </c>
      <c r="K1433" t="s">
        <v>6025</v>
      </c>
      <c r="L1433" t="s">
        <v>6026</v>
      </c>
    </row>
    <row r="1434" spans="1:12" x14ac:dyDescent="0.35">
      <c r="A1434" t="s">
        <v>116</v>
      </c>
      <c r="B1434" t="s">
        <v>341</v>
      </c>
      <c r="C1434" t="s">
        <v>1100</v>
      </c>
      <c r="D1434">
        <v>1.2</v>
      </c>
      <c r="F1434" t="s">
        <v>1421</v>
      </c>
      <c r="H1434" t="s">
        <v>4135</v>
      </c>
      <c r="I1434" t="s">
        <v>4865</v>
      </c>
      <c r="K1434" t="s">
        <v>6025</v>
      </c>
      <c r="L1434" t="s">
        <v>6026</v>
      </c>
    </row>
    <row r="1435" spans="1:12" x14ac:dyDescent="0.35">
      <c r="A1435" t="s">
        <v>116</v>
      </c>
      <c r="B1435" t="s">
        <v>341</v>
      </c>
      <c r="C1435" t="s">
        <v>1102</v>
      </c>
      <c r="D1435">
        <v>1.2</v>
      </c>
      <c r="F1435" t="s">
        <v>1421</v>
      </c>
      <c r="H1435" t="s">
        <v>5868</v>
      </c>
      <c r="I1435" t="s">
        <v>4988</v>
      </c>
      <c r="K1435" t="s">
        <v>6025</v>
      </c>
      <c r="L1435" t="s">
        <v>6026</v>
      </c>
    </row>
    <row r="1436" spans="1:12" x14ac:dyDescent="0.35">
      <c r="A1436" t="s">
        <v>116</v>
      </c>
      <c r="B1436" t="s">
        <v>341</v>
      </c>
      <c r="C1436" t="s">
        <v>708</v>
      </c>
      <c r="D1436">
        <v>4.5</v>
      </c>
      <c r="F1436" t="s">
        <v>1828</v>
      </c>
      <c r="H1436" t="s">
        <v>4127</v>
      </c>
      <c r="I1436" t="s">
        <v>4988</v>
      </c>
      <c r="K1436" t="s">
        <v>6025</v>
      </c>
      <c r="L1436" t="s">
        <v>6026</v>
      </c>
    </row>
    <row r="1437" spans="1:12" x14ac:dyDescent="0.35">
      <c r="A1437" t="s">
        <v>116</v>
      </c>
      <c r="B1437" t="s">
        <v>341</v>
      </c>
      <c r="C1437" t="s">
        <v>978</v>
      </c>
      <c r="D1437">
        <v>1.8</v>
      </c>
      <c r="F1437" t="s">
        <v>1375</v>
      </c>
      <c r="H1437" t="s">
        <v>4133</v>
      </c>
      <c r="I1437" t="s">
        <v>4865</v>
      </c>
      <c r="K1437" t="s">
        <v>6025</v>
      </c>
      <c r="L1437" t="s">
        <v>6026</v>
      </c>
    </row>
    <row r="1438" spans="1:12" x14ac:dyDescent="0.35">
      <c r="A1438" t="s">
        <v>116</v>
      </c>
      <c r="B1438" t="s">
        <v>341</v>
      </c>
      <c r="C1438" t="s">
        <v>1015</v>
      </c>
      <c r="D1438">
        <v>2.17</v>
      </c>
      <c r="F1438" t="s">
        <v>1490</v>
      </c>
      <c r="I1438" t="s">
        <v>2226</v>
      </c>
      <c r="K1438" t="s">
        <v>6025</v>
      </c>
      <c r="L1438" t="s">
        <v>6026</v>
      </c>
    </row>
    <row r="1439" spans="1:12" x14ac:dyDescent="0.35">
      <c r="A1439" t="s">
        <v>116</v>
      </c>
      <c r="B1439" t="s">
        <v>341</v>
      </c>
      <c r="C1439" t="s">
        <v>842</v>
      </c>
      <c r="D1439">
        <v>1.02</v>
      </c>
      <c r="F1439" t="s">
        <v>2011</v>
      </c>
      <c r="I1439" t="s">
        <v>2226</v>
      </c>
      <c r="K1439" t="s">
        <v>6025</v>
      </c>
      <c r="L1439" t="s">
        <v>6026</v>
      </c>
    </row>
    <row r="1440" spans="1:12" x14ac:dyDescent="0.35">
      <c r="A1440" t="s">
        <v>116</v>
      </c>
      <c r="B1440" t="s">
        <v>341</v>
      </c>
      <c r="C1440" t="s">
        <v>839</v>
      </c>
      <c r="D1440">
        <v>0.25</v>
      </c>
      <c r="F1440" t="s">
        <v>1403</v>
      </c>
      <c r="H1440" t="s">
        <v>4126</v>
      </c>
      <c r="I1440" t="s">
        <v>4988</v>
      </c>
      <c r="K1440" t="s">
        <v>6025</v>
      </c>
      <c r="L1440" t="s">
        <v>6026</v>
      </c>
    </row>
    <row r="1441" spans="1:12" x14ac:dyDescent="0.35">
      <c r="A1441" t="s">
        <v>116</v>
      </c>
      <c r="B1441" t="s">
        <v>341</v>
      </c>
      <c r="C1441" t="s">
        <v>978</v>
      </c>
      <c r="D1441">
        <v>25.5</v>
      </c>
      <c r="F1441" t="s">
        <v>5298</v>
      </c>
      <c r="H1441" t="s">
        <v>4128</v>
      </c>
      <c r="I1441" t="s">
        <v>4917</v>
      </c>
      <c r="K1441" t="s">
        <v>6025</v>
      </c>
      <c r="L1441" t="s">
        <v>6026</v>
      </c>
    </row>
    <row r="1442" spans="1:12" x14ac:dyDescent="0.35">
      <c r="A1442" t="s">
        <v>116</v>
      </c>
      <c r="B1442" t="s">
        <v>341</v>
      </c>
      <c r="C1442" t="s">
        <v>980</v>
      </c>
      <c r="D1442">
        <v>25.5</v>
      </c>
      <c r="F1442" t="s">
        <v>5298</v>
      </c>
      <c r="H1442" t="s">
        <v>4141</v>
      </c>
      <c r="I1442" t="s">
        <v>4917</v>
      </c>
      <c r="K1442" t="s">
        <v>6025</v>
      </c>
      <c r="L1442" t="s">
        <v>6026</v>
      </c>
    </row>
    <row r="1443" spans="1:12" x14ac:dyDescent="0.35">
      <c r="A1443" t="s">
        <v>116</v>
      </c>
      <c r="B1443" t="s">
        <v>341</v>
      </c>
      <c r="C1443" t="s">
        <v>961</v>
      </c>
      <c r="D1443">
        <v>0.85</v>
      </c>
      <c r="F1443" t="s">
        <v>1474</v>
      </c>
      <c r="H1443" t="s">
        <v>4133</v>
      </c>
      <c r="I1443" t="s">
        <v>4865</v>
      </c>
      <c r="K1443" t="s">
        <v>6025</v>
      </c>
      <c r="L1443" t="s">
        <v>6026</v>
      </c>
    </row>
    <row r="1444" spans="1:12" x14ac:dyDescent="0.35">
      <c r="A1444" t="s">
        <v>116</v>
      </c>
      <c r="B1444" t="s">
        <v>341</v>
      </c>
      <c r="C1444" t="s">
        <v>853</v>
      </c>
      <c r="D1444">
        <v>0.317</v>
      </c>
      <c r="F1444" t="s">
        <v>5496</v>
      </c>
      <c r="I1444" t="s">
        <v>2226</v>
      </c>
      <c r="K1444" t="s">
        <v>6025</v>
      </c>
      <c r="L1444" t="s">
        <v>6026</v>
      </c>
    </row>
    <row r="1445" spans="1:12" x14ac:dyDescent="0.35">
      <c r="A1445" t="s">
        <v>116</v>
      </c>
      <c r="B1445" t="s">
        <v>341</v>
      </c>
      <c r="C1445" t="s">
        <v>951</v>
      </c>
      <c r="D1445">
        <v>14.5</v>
      </c>
      <c r="F1445" t="s">
        <v>5497</v>
      </c>
      <c r="H1445" t="s">
        <v>4138</v>
      </c>
      <c r="I1445" t="s">
        <v>4865</v>
      </c>
      <c r="K1445" t="s">
        <v>6025</v>
      </c>
      <c r="L1445" t="s">
        <v>6026</v>
      </c>
    </row>
    <row r="1446" spans="1:12" x14ac:dyDescent="0.35">
      <c r="A1446" t="s">
        <v>116</v>
      </c>
      <c r="B1446" t="s">
        <v>341</v>
      </c>
      <c r="C1446" t="s">
        <v>5074</v>
      </c>
      <c r="D1446">
        <v>7.72</v>
      </c>
      <c r="F1446" t="s">
        <v>2382</v>
      </c>
      <c r="I1446" t="s">
        <v>2226</v>
      </c>
      <c r="K1446" t="s">
        <v>6025</v>
      </c>
      <c r="L1446" t="s">
        <v>6026</v>
      </c>
    </row>
    <row r="1447" spans="1:12" x14ac:dyDescent="0.35">
      <c r="A1447" t="s">
        <v>116</v>
      </c>
      <c r="B1447" t="s">
        <v>341</v>
      </c>
      <c r="C1447" t="s">
        <v>1094</v>
      </c>
      <c r="D1447">
        <v>0.98299999999999998</v>
      </c>
      <c r="F1447" t="s">
        <v>5498</v>
      </c>
      <c r="I1447" t="s">
        <v>2226</v>
      </c>
      <c r="K1447" t="s">
        <v>6025</v>
      </c>
      <c r="L1447" t="s">
        <v>6026</v>
      </c>
    </row>
    <row r="1448" spans="1:12" x14ac:dyDescent="0.35">
      <c r="A1448" t="s">
        <v>116</v>
      </c>
      <c r="B1448" t="s">
        <v>341</v>
      </c>
      <c r="C1448" t="s">
        <v>1108</v>
      </c>
      <c r="D1448">
        <v>1.22</v>
      </c>
      <c r="F1448" t="s">
        <v>1959</v>
      </c>
      <c r="I1448" t="s">
        <v>2226</v>
      </c>
      <c r="K1448" t="s">
        <v>6025</v>
      </c>
      <c r="L1448" t="s">
        <v>6026</v>
      </c>
    </row>
    <row r="1449" spans="1:12" x14ac:dyDescent="0.35">
      <c r="A1449" t="s">
        <v>116</v>
      </c>
      <c r="B1449" t="s">
        <v>341</v>
      </c>
      <c r="C1449" t="s">
        <v>951</v>
      </c>
      <c r="D1449">
        <v>1.68</v>
      </c>
      <c r="F1449" t="s">
        <v>1740</v>
      </c>
      <c r="I1449" t="s">
        <v>2226</v>
      </c>
      <c r="K1449" t="s">
        <v>6025</v>
      </c>
      <c r="L1449" t="s">
        <v>6026</v>
      </c>
    </row>
    <row r="1450" spans="1:12" x14ac:dyDescent="0.35">
      <c r="A1450" t="s">
        <v>116</v>
      </c>
      <c r="B1450" t="s">
        <v>341</v>
      </c>
      <c r="C1450" t="s">
        <v>961</v>
      </c>
      <c r="D1450">
        <v>1.88</v>
      </c>
      <c r="F1450" t="s">
        <v>1563</v>
      </c>
      <c r="I1450" t="s">
        <v>2226</v>
      </c>
      <c r="K1450" t="s">
        <v>6025</v>
      </c>
      <c r="L1450" t="s">
        <v>6026</v>
      </c>
    </row>
    <row r="1451" spans="1:12" x14ac:dyDescent="0.35">
      <c r="A1451" t="s">
        <v>116</v>
      </c>
      <c r="B1451" t="s">
        <v>341</v>
      </c>
      <c r="C1451" t="s">
        <v>1106</v>
      </c>
      <c r="D1451">
        <v>1.93</v>
      </c>
      <c r="F1451" t="s">
        <v>1937</v>
      </c>
      <c r="I1451" t="s">
        <v>2226</v>
      </c>
      <c r="K1451" t="s">
        <v>6025</v>
      </c>
      <c r="L1451" t="s">
        <v>6026</v>
      </c>
    </row>
    <row r="1452" spans="1:12" x14ac:dyDescent="0.35">
      <c r="A1452" t="s">
        <v>116</v>
      </c>
      <c r="B1452" t="s">
        <v>341</v>
      </c>
      <c r="C1452" t="s">
        <v>1046</v>
      </c>
      <c r="D1452">
        <v>1.97</v>
      </c>
      <c r="F1452" t="s">
        <v>5499</v>
      </c>
      <c r="I1452" t="s">
        <v>2226</v>
      </c>
      <c r="K1452" t="s">
        <v>6025</v>
      </c>
      <c r="L1452" t="s">
        <v>6026</v>
      </c>
    </row>
    <row r="1453" spans="1:12" x14ac:dyDescent="0.35">
      <c r="A1453" t="s">
        <v>116</v>
      </c>
      <c r="B1453" t="s">
        <v>341</v>
      </c>
      <c r="C1453" t="s">
        <v>1109</v>
      </c>
      <c r="D1453">
        <v>2.92</v>
      </c>
      <c r="F1453" t="s">
        <v>5500</v>
      </c>
      <c r="I1453" t="s">
        <v>2226</v>
      </c>
      <c r="K1453" t="s">
        <v>6025</v>
      </c>
      <c r="L1453" t="s">
        <v>6026</v>
      </c>
    </row>
    <row r="1454" spans="1:12" x14ac:dyDescent="0.35">
      <c r="A1454" t="s">
        <v>116</v>
      </c>
      <c r="B1454" t="s">
        <v>341</v>
      </c>
      <c r="C1454" t="s">
        <v>1063</v>
      </c>
      <c r="D1454">
        <v>3.55</v>
      </c>
      <c r="F1454" t="s">
        <v>5212</v>
      </c>
      <c r="I1454" t="s">
        <v>2226</v>
      </c>
      <c r="K1454" t="s">
        <v>6025</v>
      </c>
      <c r="L1454" t="s">
        <v>6026</v>
      </c>
    </row>
    <row r="1455" spans="1:12" x14ac:dyDescent="0.35">
      <c r="A1455" t="s">
        <v>116</v>
      </c>
      <c r="B1455" t="s">
        <v>341</v>
      </c>
      <c r="C1455" t="s">
        <v>5075</v>
      </c>
      <c r="D1455">
        <v>3.82</v>
      </c>
      <c r="F1455" t="s">
        <v>5501</v>
      </c>
      <c r="I1455" t="s">
        <v>2226</v>
      </c>
      <c r="K1455" t="s">
        <v>6025</v>
      </c>
      <c r="L1455" t="s">
        <v>6026</v>
      </c>
    </row>
    <row r="1456" spans="1:12" x14ac:dyDescent="0.35">
      <c r="A1456" t="s">
        <v>116</v>
      </c>
      <c r="B1456" t="s">
        <v>341</v>
      </c>
      <c r="C1456" t="s">
        <v>1107</v>
      </c>
      <c r="D1456">
        <v>4.03</v>
      </c>
      <c r="F1456" t="s">
        <v>5502</v>
      </c>
      <c r="I1456" t="s">
        <v>2226</v>
      </c>
      <c r="K1456" t="s">
        <v>6025</v>
      </c>
      <c r="L1456" t="s">
        <v>6026</v>
      </c>
    </row>
    <row r="1457" spans="1:12" x14ac:dyDescent="0.35">
      <c r="A1457" t="s">
        <v>116</v>
      </c>
      <c r="B1457" t="s">
        <v>341</v>
      </c>
      <c r="C1457" t="s">
        <v>1047</v>
      </c>
      <c r="D1457">
        <v>6.92</v>
      </c>
      <c r="F1457" t="s">
        <v>5503</v>
      </c>
      <c r="I1457" t="s">
        <v>2226</v>
      </c>
      <c r="K1457" t="s">
        <v>6025</v>
      </c>
      <c r="L1457" t="s">
        <v>6026</v>
      </c>
    </row>
    <row r="1458" spans="1:12" x14ac:dyDescent="0.35">
      <c r="A1458" t="s">
        <v>116</v>
      </c>
      <c r="B1458" t="s">
        <v>341</v>
      </c>
      <c r="C1458" t="s">
        <v>985</v>
      </c>
      <c r="D1458">
        <v>16.600000000000001</v>
      </c>
      <c r="F1458" t="s">
        <v>1721</v>
      </c>
      <c r="H1458" t="s">
        <v>4128</v>
      </c>
      <c r="I1458" t="s">
        <v>4917</v>
      </c>
      <c r="K1458" t="s">
        <v>6025</v>
      </c>
      <c r="L1458" t="s">
        <v>6026</v>
      </c>
    </row>
    <row r="1459" spans="1:12" x14ac:dyDescent="0.35">
      <c r="A1459" t="s">
        <v>116</v>
      </c>
      <c r="B1459" t="s">
        <v>341</v>
      </c>
      <c r="C1459" t="s">
        <v>708</v>
      </c>
      <c r="D1459">
        <v>25.3</v>
      </c>
      <c r="F1459" t="s">
        <v>1882</v>
      </c>
      <c r="H1459" t="s">
        <v>4132</v>
      </c>
      <c r="I1459" t="s">
        <v>4917</v>
      </c>
      <c r="K1459" t="s">
        <v>6025</v>
      </c>
      <c r="L1459" t="s">
        <v>6026</v>
      </c>
    </row>
    <row r="1460" spans="1:12" x14ac:dyDescent="0.35">
      <c r="A1460" t="s">
        <v>116</v>
      </c>
      <c r="B1460" t="s">
        <v>341</v>
      </c>
      <c r="C1460" t="s">
        <v>709</v>
      </c>
      <c r="D1460">
        <v>18.5</v>
      </c>
      <c r="F1460" t="s">
        <v>1425</v>
      </c>
      <c r="H1460" t="s">
        <v>4133</v>
      </c>
      <c r="I1460" t="s">
        <v>4865</v>
      </c>
      <c r="K1460" t="s">
        <v>6025</v>
      </c>
      <c r="L1460" t="s">
        <v>6026</v>
      </c>
    </row>
    <row r="1461" spans="1:12" x14ac:dyDescent="0.35">
      <c r="A1461" t="s">
        <v>116</v>
      </c>
      <c r="B1461" t="s">
        <v>341</v>
      </c>
      <c r="C1461" t="s">
        <v>978</v>
      </c>
      <c r="D1461">
        <v>11.3</v>
      </c>
      <c r="F1461" t="s">
        <v>1549</v>
      </c>
      <c r="H1461" t="s">
        <v>4143</v>
      </c>
      <c r="I1461" t="s">
        <v>4917</v>
      </c>
      <c r="K1461" t="s">
        <v>6025</v>
      </c>
      <c r="L1461" t="s">
        <v>6026</v>
      </c>
    </row>
    <row r="1462" spans="1:12" x14ac:dyDescent="0.35">
      <c r="A1462" t="s">
        <v>116</v>
      </c>
      <c r="B1462" t="s">
        <v>341</v>
      </c>
      <c r="C1462" t="s">
        <v>951</v>
      </c>
      <c r="D1462">
        <v>3.6</v>
      </c>
      <c r="F1462" t="s">
        <v>1391</v>
      </c>
      <c r="H1462" t="s">
        <v>4143</v>
      </c>
      <c r="I1462" t="s">
        <v>4917</v>
      </c>
      <c r="K1462" t="s">
        <v>6025</v>
      </c>
      <c r="L1462" t="s">
        <v>6026</v>
      </c>
    </row>
    <row r="1463" spans="1:12" x14ac:dyDescent="0.35">
      <c r="A1463" t="s">
        <v>116</v>
      </c>
      <c r="B1463" t="s">
        <v>341</v>
      </c>
      <c r="C1463" t="s">
        <v>708</v>
      </c>
      <c r="D1463">
        <v>10.3</v>
      </c>
      <c r="F1463" t="s">
        <v>2219</v>
      </c>
      <c r="H1463" t="s">
        <v>5871</v>
      </c>
      <c r="I1463" t="s">
        <v>4917</v>
      </c>
      <c r="K1463" t="s">
        <v>6025</v>
      </c>
      <c r="L1463" t="s">
        <v>6026</v>
      </c>
    </row>
    <row r="1464" spans="1:12" x14ac:dyDescent="0.35">
      <c r="A1464" t="s">
        <v>116</v>
      </c>
      <c r="B1464" t="s">
        <v>341</v>
      </c>
      <c r="C1464" t="s">
        <v>959</v>
      </c>
      <c r="D1464">
        <v>1.2</v>
      </c>
      <c r="F1464" t="s">
        <v>1421</v>
      </c>
      <c r="H1464" t="s">
        <v>5872</v>
      </c>
      <c r="I1464" t="s">
        <v>4865</v>
      </c>
      <c r="K1464" t="s">
        <v>6025</v>
      </c>
      <c r="L1464" t="s">
        <v>6026</v>
      </c>
    </row>
    <row r="1465" spans="1:12" x14ac:dyDescent="0.35">
      <c r="A1465" t="s">
        <v>116</v>
      </c>
      <c r="B1465" t="s">
        <v>341</v>
      </c>
      <c r="C1465" t="s">
        <v>709</v>
      </c>
      <c r="D1465">
        <v>3.4</v>
      </c>
      <c r="F1465" t="s">
        <v>1706</v>
      </c>
      <c r="H1465" t="s">
        <v>5873</v>
      </c>
      <c r="I1465" t="s">
        <v>4917</v>
      </c>
      <c r="K1465" t="s">
        <v>6025</v>
      </c>
      <c r="L1465" t="s">
        <v>6026</v>
      </c>
    </row>
    <row r="1466" spans="1:12" x14ac:dyDescent="0.35">
      <c r="A1466" t="s">
        <v>116</v>
      </c>
      <c r="B1466" t="s">
        <v>341</v>
      </c>
      <c r="C1466" t="s">
        <v>709</v>
      </c>
      <c r="D1466">
        <v>1.4</v>
      </c>
      <c r="F1466" t="s">
        <v>1469</v>
      </c>
      <c r="H1466" t="s">
        <v>5874</v>
      </c>
      <c r="I1466" t="s">
        <v>4988</v>
      </c>
      <c r="K1466" t="s">
        <v>6025</v>
      </c>
      <c r="L1466" t="s">
        <v>6026</v>
      </c>
    </row>
    <row r="1467" spans="1:12" x14ac:dyDescent="0.35">
      <c r="A1467" t="s">
        <v>116</v>
      </c>
      <c r="B1467" t="s">
        <v>356</v>
      </c>
      <c r="C1467" t="s">
        <v>961</v>
      </c>
      <c r="D1467">
        <v>2.4700000000000002</v>
      </c>
      <c r="F1467" t="s">
        <v>1601</v>
      </c>
      <c r="H1467" t="s">
        <v>4152</v>
      </c>
      <c r="I1467" t="s">
        <v>4989</v>
      </c>
      <c r="K1467" t="s">
        <v>6025</v>
      </c>
      <c r="L1467" t="s">
        <v>6026</v>
      </c>
    </row>
    <row r="1468" spans="1:12" x14ac:dyDescent="0.35">
      <c r="A1468" t="s">
        <v>116</v>
      </c>
      <c r="B1468" t="s">
        <v>356</v>
      </c>
      <c r="C1468" t="s">
        <v>961</v>
      </c>
      <c r="D1468">
        <v>1.78</v>
      </c>
      <c r="F1468" t="s">
        <v>2483</v>
      </c>
      <c r="H1468" t="s">
        <v>5875</v>
      </c>
      <c r="I1468" t="s">
        <v>4989</v>
      </c>
      <c r="K1468" t="s">
        <v>6025</v>
      </c>
      <c r="L1468" t="s">
        <v>6026</v>
      </c>
    </row>
    <row r="1469" spans="1:12" x14ac:dyDescent="0.35">
      <c r="A1469" t="s">
        <v>116</v>
      </c>
      <c r="B1469" t="s">
        <v>326</v>
      </c>
      <c r="C1469" t="s">
        <v>1064</v>
      </c>
      <c r="D1469">
        <v>0.45</v>
      </c>
      <c r="F1469" t="s">
        <v>1316</v>
      </c>
      <c r="H1469" t="s">
        <v>4162</v>
      </c>
      <c r="I1469" t="s">
        <v>4951</v>
      </c>
      <c r="K1469" t="s">
        <v>6025</v>
      </c>
      <c r="L1469" t="s">
        <v>6026</v>
      </c>
    </row>
    <row r="1470" spans="1:12" x14ac:dyDescent="0.35">
      <c r="A1470" t="s">
        <v>116</v>
      </c>
      <c r="B1470" t="s">
        <v>326</v>
      </c>
      <c r="C1470" t="s">
        <v>1064</v>
      </c>
      <c r="D1470">
        <v>3.83</v>
      </c>
      <c r="F1470" t="s">
        <v>5425</v>
      </c>
      <c r="H1470" t="s">
        <v>4161</v>
      </c>
      <c r="I1470" t="s">
        <v>4951</v>
      </c>
      <c r="K1470" t="s">
        <v>6025</v>
      </c>
      <c r="L1470" t="s">
        <v>6026</v>
      </c>
    </row>
    <row r="1471" spans="1:12" x14ac:dyDescent="0.35">
      <c r="A1471" t="s">
        <v>116</v>
      </c>
      <c r="B1471" t="s">
        <v>326</v>
      </c>
      <c r="C1471" t="s">
        <v>961</v>
      </c>
      <c r="D1471">
        <v>1.92</v>
      </c>
      <c r="F1471" t="s">
        <v>2350</v>
      </c>
      <c r="H1471" t="s">
        <v>4162</v>
      </c>
      <c r="I1471" t="s">
        <v>4951</v>
      </c>
      <c r="K1471" t="s">
        <v>6025</v>
      </c>
      <c r="L1471" t="s">
        <v>6026</v>
      </c>
    </row>
    <row r="1472" spans="1:12" x14ac:dyDescent="0.35">
      <c r="A1472" t="s">
        <v>116</v>
      </c>
      <c r="B1472" t="s">
        <v>326</v>
      </c>
      <c r="C1472" t="s">
        <v>961</v>
      </c>
      <c r="D1472">
        <v>4.42</v>
      </c>
      <c r="F1472" t="s">
        <v>5504</v>
      </c>
      <c r="H1472" t="s">
        <v>4161</v>
      </c>
      <c r="I1472" t="s">
        <v>4951</v>
      </c>
      <c r="K1472" t="s">
        <v>6025</v>
      </c>
      <c r="L1472" t="s">
        <v>6026</v>
      </c>
    </row>
    <row r="1473" spans="1:12" x14ac:dyDescent="0.35">
      <c r="A1473" t="s">
        <v>116</v>
      </c>
      <c r="B1473" t="s">
        <v>326</v>
      </c>
      <c r="C1473" t="s">
        <v>1064</v>
      </c>
      <c r="D1473">
        <v>30.8</v>
      </c>
      <c r="F1473" t="s">
        <v>5195</v>
      </c>
      <c r="H1473" t="s">
        <v>4163</v>
      </c>
      <c r="I1473" t="s">
        <v>4951</v>
      </c>
      <c r="K1473" t="s">
        <v>6025</v>
      </c>
      <c r="L1473" t="s">
        <v>6026</v>
      </c>
    </row>
    <row r="1474" spans="1:12" x14ac:dyDescent="0.35">
      <c r="A1474" t="s">
        <v>116</v>
      </c>
      <c r="B1474" t="s">
        <v>326</v>
      </c>
      <c r="C1474" t="s">
        <v>961</v>
      </c>
      <c r="D1474">
        <v>41.3</v>
      </c>
      <c r="F1474" t="s">
        <v>2337</v>
      </c>
      <c r="H1474" t="s">
        <v>4163</v>
      </c>
      <c r="I1474" t="s">
        <v>4951</v>
      </c>
      <c r="K1474" t="s">
        <v>6025</v>
      </c>
      <c r="L1474" t="s">
        <v>6026</v>
      </c>
    </row>
    <row r="1475" spans="1:12" x14ac:dyDescent="0.35">
      <c r="A1475" t="s">
        <v>116</v>
      </c>
      <c r="B1475" t="s">
        <v>326</v>
      </c>
      <c r="C1475" t="s">
        <v>961</v>
      </c>
      <c r="D1475">
        <v>215</v>
      </c>
      <c r="F1475" t="s">
        <v>5505</v>
      </c>
      <c r="H1475" t="s">
        <v>4164</v>
      </c>
      <c r="I1475" t="s">
        <v>4951</v>
      </c>
      <c r="K1475" t="s">
        <v>6025</v>
      </c>
      <c r="L1475" t="s">
        <v>6026</v>
      </c>
    </row>
    <row r="1476" spans="1:12" x14ac:dyDescent="0.35">
      <c r="A1476" t="s">
        <v>116</v>
      </c>
      <c r="B1476" t="s">
        <v>326</v>
      </c>
      <c r="C1476" t="s">
        <v>1064</v>
      </c>
      <c r="D1476">
        <v>86.5</v>
      </c>
      <c r="F1476" t="s">
        <v>5506</v>
      </c>
      <c r="H1476" t="s">
        <v>4164</v>
      </c>
      <c r="I1476" t="s">
        <v>4951</v>
      </c>
      <c r="K1476" t="s">
        <v>6025</v>
      </c>
      <c r="L1476" t="s">
        <v>6026</v>
      </c>
    </row>
    <row r="1477" spans="1:12" x14ac:dyDescent="0.35">
      <c r="A1477" t="s">
        <v>116</v>
      </c>
      <c r="B1477" t="s">
        <v>355</v>
      </c>
      <c r="C1477" t="s">
        <v>1125</v>
      </c>
      <c r="D1477">
        <v>1.1000000000000001</v>
      </c>
      <c r="F1477" t="s">
        <v>1505</v>
      </c>
      <c r="H1477" t="s">
        <v>2842</v>
      </c>
      <c r="I1477" t="s">
        <v>4914</v>
      </c>
      <c r="K1477" t="s">
        <v>6025</v>
      </c>
      <c r="L1477" t="s">
        <v>6026</v>
      </c>
    </row>
    <row r="1478" spans="1:12" x14ac:dyDescent="0.35">
      <c r="A1478" t="s">
        <v>116</v>
      </c>
      <c r="B1478" t="s">
        <v>355</v>
      </c>
      <c r="C1478" t="s">
        <v>1126</v>
      </c>
      <c r="D1478">
        <v>1.1000000000000001</v>
      </c>
      <c r="F1478" t="s">
        <v>1505</v>
      </c>
      <c r="H1478" t="s">
        <v>2842</v>
      </c>
      <c r="I1478" t="s">
        <v>4914</v>
      </c>
      <c r="K1478" t="s">
        <v>6025</v>
      </c>
      <c r="L1478" t="s">
        <v>6026</v>
      </c>
    </row>
    <row r="1479" spans="1:12" x14ac:dyDescent="0.35">
      <c r="A1479" t="s">
        <v>116</v>
      </c>
      <c r="B1479" t="s">
        <v>355</v>
      </c>
      <c r="C1479" t="s">
        <v>980</v>
      </c>
      <c r="D1479">
        <v>1.6</v>
      </c>
      <c r="F1479" t="s">
        <v>1328</v>
      </c>
      <c r="H1479" t="s">
        <v>4175</v>
      </c>
      <c r="I1479" t="s">
        <v>4914</v>
      </c>
      <c r="K1479" t="s">
        <v>6025</v>
      </c>
      <c r="L1479" t="s">
        <v>6026</v>
      </c>
    </row>
    <row r="1480" spans="1:12" x14ac:dyDescent="0.35">
      <c r="A1480" t="s">
        <v>116</v>
      </c>
      <c r="B1480" t="s">
        <v>355</v>
      </c>
      <c r="C1480" t="s">
        <v>1101</v>
      </c>
      <c r="D1480">
        <v>3.1</v>
      </c>
      <c r="F1480" t="s">
        <v>1374</v>
      </c>
      <c r="H1480" t="s">
        <v>4173</v>
      </c>
      <c r="I1480" t="s">
        <v>4914</v>
      </c>
      <c r="K1480" t="s">
        <v>6025</v>
      </c>
      <c r="L1480" t="s">
        <v>6026</v>
      </c>
    </row>
    <row r="1481" spans="1:12" x14ac:dyDescent="0.35">
      <c r="A1481" t="s">
        <v>116</v>
      </c>
      <c r="B1481" t="s">
        <v>355</v>
      </c>
      <c r="C1481" t="s">
        <v>1123</v>
      </c>
      <c r="D1481">
        <v>3.1</v>
      </c>
      <c r="F1481" t="s">
        <v>1374</v>
      </c>
      <c r="H1481" t="s">
        <v>4169</v>
      </c>
      <c r="I1481" t="s">
        <v>4914</v>
      </c>
      <c r="K1481" t="s">
        <v>6025</v>
      </c>
      <c r="L1481" t="s">
        <v>6026</v>
      </c>
    </row>
    <row r="1482" spans="1:12" x14ac:dyDescent="0.35">
      <c r="A1482" t="s">
        <v>116</v>
      </c>
      <c r="B1482" t="s">
        <v>355</v>
      </c>
      <c r="C1482" t="s">
        <v>709</v>
      </c>
      <c r="D1482">
        <v>0.84</v>
      </c>
      <c r="F1482" t="s">
        <v>1673</v>
      </c>
      <c r="H1482" t="s">
        <v>4171</v>
      </c>
      <c r="I1482" t="s">
        <v>4914</v>
      </c>
      <c r="K1482" t="s">
        <v>6025</v>
      </c>
      <c r="L1482" t="s">
        <v>6026</v>
      </c>
    </row>
    <row r="1483" spans="1:12" x14ac:dyDescent="0.35">
      <c r="A1483" t="s">
        <v>116</v>
      </c>
      <c r="B1483" t="s">
        <v>355</v>
      </c>
      <c r="C1483" t="s">
        <v>1118</v>
      </c>
      <c r="D1483">
        <v>7.7</v>
      </c>
      <c r="F1483" t="s">
        <v>1627</v>
      </c>
      <c r="H1483" t="s">
        <v>4171</v>
      </c>
      <c r="I1483" t="s">
        <v>4914</v>
      </c>
      <c r="K1483" t="s">
        <v>6025</v>
      </c>
      <c r="L1483" t="s">
        <v>6026</v>
      </c>
    </row>
    <row r="1484" spans="1:12" x14ac:dyDescent="0.35">
      <c r="A1484" t="s">
        <v>116</v>
      </c>
      <c r="B1484" t="s">
        <v>355</v>
      </c>
      <c r="C1484" t="s">
        <v>1030</v>
      </c>
      <c r="D1484">
        <v>45.7</v>
      </c>
      <c r="F1484" t="s">
        <v>5507</v>
      </c>
      <c r="H1484" t="s">
        <v>4169</v>
      </c>
      <c r="I1484" t="s">
        <v>4914</v>
      </c>
      <c r="K1484" t="s">
        <v>6025</v>
      </c>
      <c r="L1484" t="s">
        <v>6026</v>
      </c>
    </row>
    <row r="1485" spans="1:12" x14ac:dyDescent="0.35">
      <c r="A1485" t="s">
        <v>116</v>
      </c>
      <c r="B1485" t="s">
        <v>355</v>
      </c>
      <c r="C1485" t="s">
        <v>1127</v>
      </c>
      <c r="D1485">
        <v>8.3000000000000007</v>
      </c>
      <c r="F1485" t="s">
        <v>1382</v>
      </c>
      <c r="H1485" t="s">
        <v>4171</v>
      </c>
      <c r="I1485" t="s">
        <v>4914</v>
      </c>
      <c r="K1485" t="s">
        <v>6025</v>
      </c>
      <c r="L1485" t="s">
        <v>6026</v>
      </c>
    </row>
    <row r="1486" spans="1:12" x14ac:dyDescent="0.35">
      <c r="A1486" t="s">
        <v>116</v>
      </c>
      <c r="B1486" t="s">
        <v>355</v>
      </c>
      <c r="C1486" t="s">
        <v>708</v>
      </c>
      <c r="D1486">
        <v>52.4</v>
      </c>
      <c r="F1486" t="s">
        <v>5508</v>
      </c>
      <c r="H1486" t="s">
        <v>4171</v>
      </c>
      <c r="I1486" t="s">
        <v>4914</v>
      </c>
      <c r="K1486" t="s">
        <v>6025</v>
      </c>
      <c r="L1486" t="s">
        <v>6026</v>
      </c>
    </row>
    <row r="1487" spans="1:12" x14ac:dyDescent="0.35">
      <c r="A1487" t="s">
        <v>116</v>
      </c>
      <c r="B1487" t="s">
        <v>355</v>
      </c>
      <c r="C1487" t="s">
        <v>1021</v>
      </c>
      <c r="D1487">
        <v>57</v>
      </c>
      <c r="F1487" t="s">
        <v>4919</v>
      </c>
      <c r="H1487" t="s">
        <v>2842</v>
      </c>
      <c r="I1487" t="s">
        <v>4914</v>
      </c>
      <c r="K1487" t="s">
        <v>6025</v>
      </c>
      <c r="L1487" t="s">
        <v>6026</v>
      </c>
    </row>
    <row r="1488" spans="1:12" x14ac:dyDescent="0.35">
      <c r="A1488" t="s">
        <v>116</v>
      </c>
      <c r="B1488" t="s">
        <v>355</v>
      </c>
      <c r="C1488" t="s">
        <v>1122</v>
      </c>
      <c r="D1488">
        <v>57</v>
      </c>
      <c r="F1488" t="s">
        <v>4919</v>
      </c>
      <c r="H1488" t="s">
        <v>2842</v>
      </c>
      <c r="I1488" t="s">
        <v>4914</v>
      </c>
      <c r="K1488" t="s">
        <v>6025</v>
      </c>
      <c r="L1488" t="s">
        <v>6026</v>
      </c>
    </row>
    <row r="1489" spans="1:12" x14ac:dyDescent="0.35">
      <c r="A1489" t="s">
        <v>116</v>
      </c>
      <c r="B1489" t="s">
        <v>355</v>
      </c>
      <c r="C1489" t="s">
        <v>902</v>
      </c>
      <c r="D1489">
        <v>17.100000000000001</v>
      </c>
      <c r="F1489" t="s">
        <v>5509</v>
      </c>
      <c r="H1489" t="s">
        <v>4169</v>
      </c>
      <c r="I1489" t="s">
        <v>4914</v>
      </c>
      <c r="K1489" t="s">
        <v>6025</v>
      </c>
      <c r="L1489" t="s">
        <v>6026</v>
      </c>
    </row>
    <row r="1490" spans="1:12" x14ac:dyDescent="0.35">
      <c r="A1490" t="s">
        <v>116</v>
      </c>
      <c r="B1490" t="s">
        <v>355</v>
      </c>
      <c r="C1490" t="s">
        <v>1124</v>
      </c>
      <c r="D1490">
        <v>17.100000000000001</v>
      </c>
      <c r="F1490" t="s">
        <v>5509</v>
      </c>
      <c r="H1490" t="s">
        <v>4172</v>
      </c>
      <c r="I1490" t="s">
        <v>4914</v>
      </c>
      <c r="K1490" t="s">
        <v>6025</v>
      </c>
      <c r="L1490" t="s">
        <v>6026</v>
      </c>
    </row>
    <row r="1491" spans="1:12" x14ac:dyDescent="0.35">
      <c r="A1491" t="s">
        <v>116</v>
      </c>
      <c r="B1491" t="s">
        <v>355</v>
      </c>
      <c r="C1491" t="s">
        <v>877</v>
      </c>
      <c r="D1491">
        <v>25.5</v>
      </c>
      <c r="F1491" t="s">
        <v>5298</v>
      </c>
      <c r="H1491" t="s">
        <v>4174</v>
      </c>
      <c r="I1491" t="s">
        <v>4914</v>
      </c>
      <c r="K1491" t="s">
        <v>6025</v>
      </c>
      <c r="L1491" t="s">
        <v>6026</v>
      </c>
    </row>
    <row r="1492" spans="1:12" x14ac:dyDescent="0.35">
      <c r="A1492" t="s">
        <v>116</v>
      </c>
      <c r="B1492" t="s">
        <v>355</v>
      </c>
      <c r="C1492" t="s">
        <v>1119</v>
      </c>
      <c r="D1492">
        <v>38.1</v>
      </c>
      <c r="F1492" t="s">
        <v>5510</v>
      </c>
      <c r="H1492" t="s">
        <v>4169</v>
      </c>
      <c r="I1492" t="s">
        <v>4914</v>
      </c>
      <c r="K1492" t="s">
        <v>6025</v>
      </c>
      <c r="L1492" t="s">
        <v>6026</v>
      </c>
    </row>
    <row r="1493" spans="1:12" x14ac:dyDescent="0.35">
      <c r="A1493" t="s">
        <v>116</v>
      </c>
      <c r="B1493" t="s">
        <v>355</v>
      </c>
      <c r="C1493" t="s">
        <v>1120</v>
      </c>
      <c r="D1493">
        <v>38.1</v>
      </c>
      <c r="F1493" t="s">
        <v>5510</v>
      </c>
      <c r="H1493" t="s">
        <v>4170</v>
      </c>
      <c r="I1493" t="s">
        <v>4914</v>
      </c>
      <c r="K1493" t="s">
        <v>6025</v>
      </c>
      <c r="L1493" t="s">
        <v>6026</v>
      </c>
    </row>
    <row r="1494" spans="1:12" x14ac:dyDescent="0.35">
      <c r="A1494" t="s">
        <v>116</v>
      </c>
      <c r="B1494" t="s">
        <v>355</v>
      </c>
      <c r="C1494" t="s">
        <v>1018</v>
      </c>
      <c r="D1494">
        <v>50.1</v>
      </c>
      <c r="F1494" t="s">
        <v>5511</v>
      </c>
      <c r="H1494" t="s">
        <v>4169</v>
      </c>
      <c r="I1494" t="s">
        <v>4914</v>
      </c>
      <c r="K1494" t="s">
        <v>6025</v>
      </c>
      <c r="L1494" t="s">
        <v>6026</v>
      </c>
    </row>
    <row r="1495" spans="1:12" x14ac:dyDescent="0.35">
      <c r="A1495" t="s">
        <v>116</v>
      </c>
      <c r="B1495" t="s">
        <v>355</v>
      </c>
      <c r="C1495" t="s">
        <v>1116</v>
      </c>
      <c r="D1495">
        <v>50.1</v>
      </c>
      <c r="F1495" t="s">
        <v>5511</v>
      </c>
      <c r="H1495" t="s">
        <v>4170</v>
      </c>
      <c r="I1495" t="s">
        <v>4914</v>
      </c>
      <c r="K1495" t="s">
        <v>6025</v>
      </c>
      <c r="L1495" t="s">
        <v>6026</v>
      </c>
    </row>
    <row r="1496" spans="1:12" x14ac:dyDescent="0.35">
      <c r="A1496" t="s">
        <v>116</v>
      </c>
      <c r="B1496" t="s">
        <v>355</v>
      </c>
      <c r="C1496" t="s">
        <v>1117</v>
      </c>
      <c r="D1496">
        <v>48.1</v>
      </c>
      <c r="F1496" t="s">
        <v>5512</v>
      </c>
      <c r="H1496" t="s">
        <v>4169</v>
      </c>
      <c r="I1496" t="s">
        <v>4914</v>
      </c>
      <c r="K1496" t="s">
        <v>6025</v>
      </c>
      <c r="L1496" t="s">
        <v>6026</v>
      </c>
    </row>
    <row r="1497" spans="1:12" x14ac:dyDescent="0.35">
      <c r="A1497" t="s">
        <v>116</v>
      </c>
      <c r="B1497" t="s">
        <v>355</v>
      </c>
      <c r="C1497" t="s">
        <v>1022</v>
      </c>
      <c r="D1497">
        <v>61.4</v>
      </c>
      <c r="F1497" t="s">
        <v>5513</v>
      </c>
      <c r="H1497" t="s">
        <v>2842</v>
      </c>
      <c r="I1497" t="s">
        <v>4914</v>
      </c>
      <c r="K1497" t="s">
        <v>6025</v>
      </c>
      <c r="L1497" t="s">
        <v>6026</v>
      </c>
    </row>
    <row r="1498" spans="1:12" x14ac:dyDescent="0.35">
      <c r="A1498" t="s">
        <v>116</v>
      </c>
      <c r="B1498" t="s">
        <v>355</v>
      </c>
      <c r="C1498" t="s">
        <v>1121</v>
      </c>
      <c r="D1498">
        <v>61.4</v>
      </c>
      <c r="F1498" t="s">
        <v>5513</v>
      </c>
      <c r="H1498" t="s">
        <v>2842</v>
      </c>
      <c r="I1498" t="s">
        <v>4914</v>
      </c>
      <c r="K1498" t="s">
        <v>6025</v>
      </c>
      <c r="L1498" t="s">
        <v>6026</v>
      </c>
    </row>
    <row r="1499" spans="1:12" x14ac:dyDescent="0.35">
      <c r="A1499" t="s">
        <v>116</v>
      </c>
      <c r="B1499" t="s">
        <v>570</v>
      </c>
      <c r="C1499" t="s">
        <v>961</v>
      </c>
      <c r="D1499">
        <v>4.92</v>
      </c>
      <c r="F1499" t="s">
        <v>1499</v>
      </c>
      <c r="H1499" t="s">
        <v>4150</v>
      </c>
      <c r="I1499" t="s">
        <v>1569</v>
      </c>
      <c r="K1499" t="s">
        <v>6025</v>
      </c>
      <c r="L1499" t="s">
        <v>6026</v>
      </c>
    </row>
    <row r="1500" spans="1:12" x14ac:dyDescent="0.35">
      <c r="A1500" t="s">
        <v>116</v>
      </c>
      <c r="B1500" t="s">
        <v>570</v>
      </c>
      <c r="C1500" t="s">
        <v>956</v>
      </c>
      <c r="D1500">
        <v>17</v>
      </c>
      <c r="F1500" t="s">
        <v>1383</v>
      </c>
      <c r="H1500" t="s">
        <v>4176</v>
      </c>
      <c r="I1500" t="s">
        <v>1569</v>
      </c>
      <c r="K1500" t="s">
        <v>6025</v>
      </c>
      <c r="L1500" t="s">
        <v>6026</v>
      </c>
    </row>
    <row r="1501" spans="1:12" x14ac:dyDescent="0.35">
      <c r="A1501" t="s">
        <v>116</v>
      </c>
      <c r="B1501" t="s">
        <v>570</v>
      </c>
      <c r="C1501" t="s">
        <v>708</v>
      </c>
      <c r="D1501">
        <v>8.8800000000000008</v>
      </c>
      <c r="F1501" t="s">
        <v>5514</v>
      </c>
      <c r="H1501" t="s">
        <v>4176</v>
      </c>
      <c r="I1501" t="s">
        <v>1569</v>
      </c>
      <c r="K1501" t="s">
        <v>6025</v>
      </c>
      <c r="L1501" t="s">
        <v>6026</v>
      </c>
    </row>
    <row r="1502" spans="1:12" x14ac:dyDescent="0.35">
      <c r="A1502" t="s">
        <v>116</v>
      </c>
      <c r="B1502" t="s">
        <v>570</v>
      </c>
      <c r="C1502" t="s">
        <v>959</v>
      </c>
      <c r="D1502">
        <v>0.75</v>
      </c>
      <c r="F1502" t="s">
        <v>1475</v>
      </c>
      <c r="H1502" t="s">
        <v>4150</v>
      </c>
      <c r="I1502" t="s">
        <v>1569</v>
      </c>
      <c r="K1502" t="s">
        <v>6025</v>
      </c>
      <c r="L1502" t="s">
        <v>6026</v>
      </c>
    </row>
    <row r="1503" spans="1:12" x14ac:dyDescent="0.35">
      <c r="A1503" t="s">
        <v>116</v>
      </c>
      <c r="B1503" t="s">
        <v>570</v>
      </c>
      <c r="C1503" t="s">
        <v>1046</v>
      </c>
      <c r="D1503">
        <v>7.22</v>
      </c>
      <c r="F1503" t="s">
        <v>5515</v>
      </c>
      <c r="H1503" t="s">
        <v>4176</v>
      </c>
      <c r="I1503" t="s">
        <v>1569</v>
      </c>
      <c r="K1503" t="s">
        <v>6025</v>
      </c>
      <c r="L1503" t="s">
        <v>6026</v>
      </c>
    </row>
    <row r="1504" spans="1:12" x14ac:dyDescent="0.35">
      <c r="A1504" t="s">
        <v>116</v>
      </c>
      <c r="B1504" t="s">
        <v>570</v>
      </c>
      <c r="C1504" t="s">
        <v>957</v>
      </c>
      <c r="D1504">
        <v>1.45</v>
      </c>
      <c r="F1504" t="s">
        <v>1742</v>
      </c>
      <c r="H1504" t="s">
        <v>4176</v>
      </c>
      <c r="I1504" t="s">
        <v>1569</v>
      </c>
      <c r="K1504" t="s">
        <v>6025</v>
      </c>
      <c r="L1504" t="s">
        <v>6026</v>
      </c>
    </row>
    <row r="1505" spans="1:12" x14ac:dyDescent="0.35">
      <c r="A1505" t="s">
        <v>116</v>
      </c>
      <c r="B1505" t="s">
        <v>570</v>
      </c>
      <c r="C1505" t="s">
        <v>951</v>
      </c>
      <c r="D1505">
        <v>2.52</v>
      </c>
      <c r="F1505" t="s">
        <v>2019</v>
      </c>
      <c r="H1505" t="s">
        <v>4176</v>
      </c>
      <c r="I1505" t="s">
        <v>1569</v>
      </c>
      <c r="K1505" t="s">
        <v>6025</v>
      </c>
      <c r="L1505" t="s">
        <v>6026</v>
      </c>
    </row>
    <row r="1506" spans="1:12" x14ac:dyDescent="0.35">
      <c r="A1506" t="s">
        <v>116</v>
      </c>
      <c r="B1506" t="s">
        <v>570</v>
      </c>
      <c r="C1506" t="s">
        <v>1129</v>
      </c>
      <c r="D1506">
        <v>1.85</v>
      </c>
      <c r="F1506" t="s">
        <v>1998</v>
      </c>
      <c r="H1506" t="s">
        <v>4176</v>
      </c>
      <c r="I1506" t="s">
        <v>1569</v>
      </c>
      <c r="K1506" t="s">
        <v>6025</v>
      </c>
      <c r="L1506" t="s">
        <v>6026</v>
      </c>
    </row>
    <row r="1507" spans="1:12" x14ac:dyDescent="0.35">
      <c r="A1507" t="s">
        <v>116</v>
      </c>
      <c r="B1507" t="s">
        <v>570</v>
      </c>
      <c r="C1507" t="s">
        <v>709</v>
      </c>
      <c r="D1507">
        <v>4.67</v>
      </c>
      <c r="F1507" t="s">
        <v>5516</v>
      </c>
      <c r="H1507" t="s">
        <v>4150</v>
      </c>
      <c r="I1507" t="s">
        <v>1569</v>
      </c>
      <c r="K1507" t="s">
        <v>6025</v>
      </c>
      <c r="L1507" t="s">
        <v>6026</v>
      </c>
    </row>
    <row r="1508" spans="1:12" x14ac:dyDescent="0.35">
      <c r="A1508" t="s">
        <v>116</v>
      </c>
      <c r="B1508" t="s">
        <v>570</v>
      </c>
      <c r="C1508" t="s">
        <v>1128</v>
      </c>
      <c r="D1508">
        <v>2.92</v>
      </c>
      <c r="F1508" t="s">
        <v>5500</v>
      </c>
      <c r="H1508" t="s">
        <v>4176</v>
      </c>
      <c r="I1508" t="s">
        <v>1569</v>
      </c>
      <c r="K1508" t="s">
        <v>6025</v>
      </c>
      <c r="L1508" t="s">
        <v>6026</v>
      </c>
    </row>
    <row r="1509" spans="1:12" x14ac:dyDescent="0.35">
      <c r="A1509" t="s">
        <v>116</v>
      </c>
      <c r="B1509" t="s">
        <v>570</v>
      </c>
      <c r="C1509" t="s">
        <v>959</v>
      </c>
      <c r="D1509">
        <v>3.55</v>
      </c>
      <c r="F1509" t="s">
        <v>5212</v>
      </c>
      <c r="H1509" t="s">
        <v>4176</v>
      </c>
      <c r="I1509" t="s">
        <v>1569</v>
      </c>
      <c r="K1509" t="s">
        <v>6025</v>
      </c>
      <c r="L1509" t="s">
        <v>6026</v>
      </c>
    </row>
    <row r="1510" spans="1:12" x14ac:dyDescent="0.35">
      <c r="A1510" t="s">
        <v>116</v>
      </c>
      <c r="B1510" t="s">
        <v>570</v>
      </c>
      <c r="C1510" t="s">
        <v>709</v>
      </c>
      <c r="D1510">
        <v>6.18</v>
      </c>
      <c r="F1510" t="s">
        <v>5517</v>
      </c>
      <c r="H1510" t="s">
        <v>4176</v>
      </c>
      <c r="I1510" t="s">
        <v>1569</v>
      </c>
      <c r="K1510" t="s">
        <v>6025</v>
      </c>
      <c r="L1510" t="s">
        <v>6026</v>
      </c>
    </row>
    <row r="1511" spans="1:12" x14ac:dyDescent="0.35">
      <c r="A1511" t="s">
        <v>116</v>
      </c>
      <c r="B1511" t="s">
        <v>570</v>
      </c>
      <c r="C1511" t="s">
        <v>961</v>
      </c>
      <c r="D1511">
        <v>6.63</v>
      </c>
      <c r="F1511" t="s">
        <v>5359</v>
      </c>
      <c r="H1511" t="s">
        <v>4176</v>
      </c>
      <c r="I1511" t="s">
        <v>1569</v>
      </c>
      <c r="K1511" t="s">
        <v>6025</v>
      </c>
      <c r="L1511" t="s">
        <v>6026</v>
      </c>
    </row>
    <row r="1512" spans="1:12" x14ac:dyDescent="0.35">
      <c r="A1512" t="s">
        <v>116</v>
      </c>
      <c r="B1512" t="s">
        <v>573</v>
      </c>
      <c r="C1512" t="s">
        <v>855</v>
      </c>
      <c r="D1512">
        <v>350</v>
      </c>
      <c r="F1512" t="s">
        <v>2319</v>
      </c>
      <c r="H1512" t="s">
        <v>4181</v>
      </c>
      <c r="I1512" t="s">
        <v>2312</v>
      </c>
      <c r="K1512" t="s">
        <v>6025</v>
      </c>
      <c r="L1512" t="s">
        <v>6026</v>
      </c>
    </row>
    <row r="1513" spans="1:12" x14ac:dyDescent="0.35">
      <c r="A1513" t="s">
        <v>116</v>
      </c>
      <c r="B1513" t="s">
        <v>573</v>
      </c>
      <c r="C1513" t="s">
        <v>855</v>
      </c>
      <c r="D1513">
        <v>83</v>
      </c>
      <c r="F1513" t="s">
        <v>4921</v>
      </c>
      <c r="H1513" t="s">
        <v>4180</v>
      </c>
      <c r="I1513" t="s">
        <v>2312</v>
      </c>
      <c r="K1513" t="s">
        <v>6025</v>
      </c>
      <c r="L1513" t="s">
        <v>6026</v>
      </c>
    </row>
    <row r="1514" spans="1:12" x14ac:dyDescent="0.35">
      <c r="A1514" t="s">
        <v>116</v>
      </c>
      <c r="B1514" t="s">
        <v>576</v>
      </c>
      <c r="C1514" t="s">
        <v>687</v>
      </c>
      <c r="D1514">
        <v>0.11700000000000001</v>
      </c>
      <c r="F1514" t="s">
        <v>1638</v>
      </c>
      <c r="H1514" t="s">
        <v>4189</v>
      </c>
      <c r="I1514" t="s">
        <v>1839</v>
      </c>
      <c r="K1514" t="s">
        <v>6025</v>
      </c>
      <c r="L1514" t="s">
        <v>6026</v>
      </c>
    </row>
    <row r="1515" spans="1:12" x14ac:dyDescent="0.35">
      <c r="A1515" t="s">
        <v>116</v>
      </c>
      <c r="B1515" t="s">
        <v>576</v>
      </c>
      <c r="C1515" t="s">
        <v>855</v>
      </c>
      <c r="D1515">
        <v>16.7</v>
      </c>
      <c r="F1515" t="s">
        <v>2257</v>
      </c>
      <c r="H1515" t="s">
        <v>4188</v>
      </c>
      <c r="I1515" t="s">
        <v>1839</v>
      </c>
      <c r="K1515" t="s">
        <v>6025</v>
      </c>
      <c r="L1515" t="s">
        <v>6026</v>
      </c>
    </row>
    <row r="1516" spans="1:12" x14ac:dyDescent="0.35">
      <c r="A1516" t="s">
        <v>116</v>
      </c>
      <c r="B1516" t="s">
        <v>576</v>
      </c>
      <c r="C1516" t="s">
        <v>961</v>
      </c>
      <c r="D1516">
        <v>0.45</v>
      </c>
      <c r="F1516" t="s">
        <v>1316</v>
      </c>
      <c r="H1516" t="s">
        <v>4191</v>
      </c>
      <c r="I1516" t="s">
        <v>1839</v>
      </c>
      <c r="K1516" t="s">
        <v>6025</v>
      </c>
      <c r="L1516" t="s">
        <v>6026</v>
      </c>
    </row>
    <row r="1517" spans="1:12" x14ac:dyDescent="0.35">
      <c r="A1517" t="s">
        <v>116</v>
      </c>
      <c r="B1517" t="s">
        <v>576</v>
      </c>
      <c r="C1517" t="s">
        <v>1078</v>
      </c>
      <c r="D1517">
        <v>0.45</v>
      </c>
      <c r="F1517" t="s">
        <v>1316</v>
      </c>
      <c r="H1517" t="s">
        <v>5876</v>
      </c>
      <c r="I1517" t="s">
        <v>1839</v>
      </c>
      <c r="K1517" t="s">
        <v>6025</v>
      </c>
      <c r="L1517" t="s">
        <v>6026</v>
      </c>
    </row>
    <row r="1518" spans="1:12" x14ac:dyDescent="0.35">
      <c r="A1518" t="s">
        <v>116</v>
      </c>
      <c r="B1518" t="s">
        <v>576</v>
      </c>
      <c r="C1518" t="s">
        <v>855</v>
      </c>
      <c r="D1518">
        <v>3.33</v>
      </c>
      <c r="F1518" t="s">
        <v>1691</v>
      </c>
      <c r="H1518" t="s">
        <v>4192</v>
      </c>
      <c r="I1518" t="s">
        <v>1839</v>
      </c>
      <c r="K1518" t="s">
        <v>6025</v>
      </c>
      <c r="L1518" t="s">
        <v>6026</v>
      </c>
    </row>
    <row r="1519" spans="1:12" x14ac:dyDescent="0.35">
      <c r="A1519" t="s">
        <v>116</v>
      </c>
      <c r="B1519" t="s">
        <v>576</v>
      </c>
      <c r="C1519" t="s">
        <v>1084</v>
      </c>
      <c r="D1519">
        <v>0.33300000000000002</v>
      </c>
      <c r="F1519" t="s">
        <v>2292</v>
      </c>
      <c r="H1519" t="s">
        <v>3901</v>
      </c>
      <c r="I1519" t="s">
        <v>1839</v>
      </c>
      <c r="K1519" t="s">
        <v>6025</v>
      </c>
      <c r="L1519" t="s">
        <v>6026</v>
      </c>
    </row>
    <row r="1520" spans="1:12" x14ac:dyDescent="0.35">
      <c r="A1520" t="s">
        <v>116</v>
      </c>
      <c r="B1520" t="s">
        <v>576</v>
      </c>
      <c r="C1520" t="s">
        <v>1078</v>
      </c>
      <c r="D1520">
        <v>0.35</v>
      </c>
      <c r="F1520" t="s">
        <v>1294</v>
      </c>
      <c r="H1520" t="s">
        <v>4189</v>
      </c>
      <c r="I1520" t="s">
        <v>1839</v>
      </c>
      <c r="K1520" t="s">
        <v>6025</v>
      </c>
      <c r="L1520" t="s">
        <v>6026</v>
      </c>
    </row>
    <row r="1521" spans="1:12" x14ac:dyDescent="0.35">
      <c r="A1521" t="s">
        <v>116</v>
      </c>
      <c r="B1521" t="s">
        <v>576</v>
      </c>
      <c r="C1521" t="s">
        <v>687</v>
      </c>
      <c r="D1521">
        <v>0.217</v>
      </c>
      <c r="F1521" t="s">
        <v>2208</v>
      </c>
      <c r="H1521" t="s">
        <v>3901</v>
      </c>
      <c r="I1521" t="s">
        <v>1839</v>
      </c>
      <c r="K1521" t="s">
        <v>6025</v>
      </c>
      <c r="L1521" t="s">
        <v>6026</v>
      </c>
    </row>
    <row r="1522" spans="1:12" x14ac:dyDescent="0.35">
      <c r="A1522" t="s">
        <v>116</v>
      </c>
      <c r="B1522" t="s">
        <v>576</v>
      </c>
      <c r="C1522" t="s">
        <v>961</v>
      </c>
      <c r="D1522">
        <v>0.56699999999999995</v>
      </c>
      <c r="F1522" t="s">
        <v>1655</v>
      </c>
      <c r="H1522" t="s">
        <v>5877</v>
      </c>
      <c r="I1522" t="s">
        <v>1839</v>
      </c>
      <c r="K1522" t="s">
        <v>6025</v>
      </c>
      <c r="L1522" t="s">
        <v>6026</v>
      </c>
    </row>
    <row r="1523" spans="1:12" x14ac:dyDescent="0.35">
      <c r="A1523" t="s">
        <v>116</v>
      </c>
      <c r="B1523" t="s">
        <v>576</v>
      </c>
      <c r="C1523" t="s">
        <v>961</v>
      </c>
      <c r="D1523">
        <v>8.3299999999999999E-2</v>
      </c>
      <c r="F1523" t="s">
        <v>5518</v>
      </c>
      <c r="H1523" t="s">
        <v>4187</v>
      </c>
      <c r="I1523" t="s">
        <v>1839</v>
      </c>
      <c r="K1523" t="s">
        <v>6025</v>
      </c>
      <c r="L1523" t="s">
        <v>6026</v>
      </c>
    </row>
    <row r="1524" spans="1:12" x14ac:dyDescent="0.35">
      <c r="A1524" t="s">
        <v>116</v>
      </c>
      <c r="B1524" t="s">
        <v>576</v>
      </c>
      <c r="C1524" t="s">
        <v>1078</v>
      </c>
      <c r="D1524">
        <v>8.3299999999999999E-2</v>
      </c>
      <c r="F1524" t="s">
        <v>5518</v>
      </c>
      <c r="H1524" t="s">
        <v>4187</v>
      </c>
      <c r="I1524" t="s">
        <v>1839</v>
      </c>
      <c r="K1524" t="s">
        <v>6025</v>
      </c>
      <c r="L1524" t="s">
        <v>6026</v>
      </c>
    </row>
    <row r="1525" spans="1:12" x14ac:dyDescent="0.35">
      <c r="A1525" t="s">
        <v>116</v>
      </c>
      <c r="B1525" t="s">
        <v>576</v>
      </c>
      <c r="C1525" t="s">
        <v>1084</v>
      </c>
      <c r="D1525">
        <v>0.28299999999999997</v>
      </c>
      <c r="F1525" t="s">
        <v>5519</v>
      </c>
      <c r="H1525" t="s">
        <v>4189</v>
      </c>
      <c r="I1525" t="s">
        <v>1839</v>
      </c>
      <c r="K1525" t="s">
        <v>6025</v>
      </c>
      <c r="L1525" t="s">
        <v>6026</v>
      </c>
    </row>
    <row r="1526" spans="1:12" x14ac:dyDescent="0.35">
      <c r="A1526" t="s">
        <v>116</v>
      </c>
      <c r="B1526" t="s">
        <v>577</v>
      </c>
      <c r="C1526" t="s">
        <v>1078</v>
      </c>
      <c r="D1526">
        <v>1.1000000000000001</v>
      </c>
      <c r="F1526" t="s">
        <v>1505</v>
      </c>
      <c r="I1526" t="s">
        <v>4932</v>
      </c>
      <c r="K1526" t="s">
        <v>6025</v>
      </c>
      <c r="L1526" t="s">
        <v>6026</v>
      </c>
    </row>
    <row r="1527" spans="1:12" x14ac:dyDescent="0.35">
      <c r="A1527" t="s">
        <v>116</v>
      </c>
      <c r="B1527" t="s">
        <v>577</v>
      </c>
      <c r="C1527" t="s">
        <v>687</v>
      </c>
      <c r="D1527">
        <v>0.05</v>
      </c>
      <c r="F1527" t="s">
        <v>1559</v>
      </c>
      <c r="I1527" t="s">
        <v>4932</v>
      </c>
      <c r="K1527" t="s">
        <v>6025</v>
      </c>
      <c r="L1527" t="s">
        <v>6026</v>
      </c>
    </row>
    <row r="1528" spans="1:12" x14ac:dyDescent="0.35">
      <c r="A1528" t="s">
        <v>116</v>
      </c>
      <c r="B1528" t="s">
        <v>577</v>
      </c>
      <c r="C1528" t="s">
        <v>967</v>
      </c>
      <c r="D1528">
        <v>0.15</v>
      </c>
      <c r="F1528" t="s">
        <v>1269</v>
      </c>
      <c r="I1528" t="s">
        <v>4932</v>
      </c>
      <c r="K1528" t="s">
        <v>6025</v>
      </c>
      <c r="L1528" t="s">
        <v>6026</v>
      </c>
    </row>
    <row r="1529" spans="1:12" x14ac:dyDescent="0.35">
      <c r="A1529" t="s">
        <v>116</v>
      </c>
      <c r="B1529" t="s">
        <v>577</v>
      </c>
      <c r="C1529" t="s">
        <v>959</v>
      </c>
      <c r="D1529">
        <v>0.16700000000000001</v>
      </c>
      <c r="F1529" t="s">
        <v>2060</v>
      </c>
      <c r="I1529" t="s">
        <v>4932</v>
      </c>
      <c r="K1529" t="s">
        <v>6025</v>
      </c>
      <c r="L1529" t="s">
        <v>6026</v>
      </c>
    </row>
    <row r="1530" spans="1:12" x14ac:dyDescent="0.35">
      <c r="A1530" t="s">
        <v>116</v>
      </c>
      <c r="B1530" t="s">
        <v>577</v>
      </c>
      <c r="C1530" t="s">
        <v>1064</v>
      </c>
      <c r="D1530">
        <v>0.16700000000000001</v>
      </c>
      <c r="F1530" t="s">
        <v>2060</v>
      </c>
      <c r="I1530" t="s">
        <v>4932</v>
      </c>
      <c r="K1530" t="s">
        <v>6025</v>
      </c>
      <c r="L1530" t="s">
        <v>6026</v>
      </c>
    </row>
    <row r="1531" spans="1:12" x14ac:dyDescent="0.35">
      <c r="A1531" t="s">
        <v>116</v>
      </c>
      <c r="B1531" t="s">
        <v>577</v>
      </c>
      <c r="C1531" t="s">
        <v>961</v>
      </c>
      <c r="D1531">
        <v>0.46700000000000003</v>
      </c>
      <c r="F1531" t="s">
        <v>5520</v>
      </c>
      <c r="I1531" t="s">
        <v>4932</v>
      </c>
      <c r="K1531" t="s">
        <v>6025</v>
      </c>
      <c r="L1531" t="s">
        <v>6026</v>
      </c>
    </row>
    <row r="1532" spans="1:12" x14ac:dyDescent="0.35">
      <c r="A1532" t="s">
        <v>116</v>
      </c>
      <c r="B1532" t="s">
        <v>578</v>
      </c>
      <c r="C1532" t="s">
        <v>861</v>
      </c>
      <c r="D1532">
        <v>3.97</v>
      </c>
      <c r="F1532" t="s">
        <v>5521</v>
      </c>
      <c r="H1532" t="s">
        <v>4193</v>
      </c>
      <c r="I1532" t="s">
        <v>1929</v>
      </c>
      <c r="K1532" t="s">
        <v>6025</v>
      </c>
      <c r="L1532" t="s">
        <v>6026</v>
      </c>
    </row>
    <row r="1533" spans="1:12" x14ac:dyDescent="0.35">
      <c r="A1533" t="s">
        <v>116</v>
      </c>
      <c r="B1533" t="s">
        <v>327</v>
      </c>
      <c r="C1533" t="s">
        <v>818</v>
      </c>
      <c r="D1533">
        <v>0.55000000000000004</v>
      </c>
      <c r="F1533" t="s">
        <v>1432</v>
      </c>
      <c r="H1533" t="s">
        <v>4196</v>
      </c>
      <c r="I1533" t="s">
        <v>2331</v>
      </c>
      <c r="K1533" t="s">
        <v>6025</v>
      </c>
      <c r="L1533" t="s">
        <v>6026</v>
      </c>
    </row>
    <row r="1534" spans="1:12" x14ac:dyDescent="0.35">
      <c r="A1534" t="s">
        <v>116</v>
      </c>
      <c r="B1534" t="s">
        <v>327</v>
      </c>
      <c r="C1534" t="s">
        <v>823</v>
      </c>
      <c r="D1534">
        <v>0.4</v>
      </c>
      <c r="F1534" t="s">
        <v>1315</v>
      </c>
      <c r="I1534" t="s">
        <v>2254</v>
      </c>
      <c r="K1534" t="s">
        <v>6025</v>
      </c>
      <c r="L1534" t="s">
        <v>6026</v>
      </c>
    </row>
    <row r="1535" spans="1:12" x14ac:dyDescent="0.35">
      <c r="A1535" t="s">
        <v>116</v>
      </c>
      <c r="B1535" t="s">
        <v>327</v>
      </c>
      <c r="C1535" t="s">
        <v>1084</v>
      </c>
      <c r="D1535">
        <v>8</v>
      </c>
      <c r="F1535" t="s">
        <v>1373</v>
      </c>
      <c r="I1535" t="s">
        <v>1467</v>
      </c>
      <c r="K1535" t="s">
        <v>6025</v>
      </c>
      <c r="L1535" t="s">
        <v>6026</v>
      </c>
    </row>
    <row r="1536" spans="1:12" x14ac:dyDescent="0.35">
      <c r="A1536" t="s">
        <v>116</v>
      </c>
      <c r="B1536" t="s">
        <v>327</v>
      </c>
      <c r="C1536" t="s">
        <v>961</v>
      </c>
      <c r="D1536">
        <v>0.7</v>
      </c>
      <c r="F1536" t="s">
        <v>1378</v>
      </c>
      <c r="H1536" t="s">
        <v>5878</v>
      </c>
      <c r="I1536" t="s">
        <v>1389</v>
      </c>
      <c r="K1536" t="s">
        <v>6025</v>
      </c>
      <c r="L1536" t="s">
        <v>6026</v>
      </c>
    </row>
    <row r="1537" spans="1:12" x14ac:dyDescent="0.35">
      <c r="A1537" t="s">
        <v>116</v>
      </c>
      <c r="B1537" t="s">
        <v>327</v>
      </c>
      <c r="C1537" t="s">
        <v>1078</v>
      </c>
      <c r="D1537">
        <v>0.7</v>
      </c>
      <c r="F1537" t="s">
        <v>1378</v>
      </c>
      <c r="H1537" t="s">
        <v>5878</v>
      </c>
      <c r="I1537" t="s">
        <v>1389</v>
      </c>
      <c r="K1537" t="s">
        <v>6025</v>
      </c>
      <c r="L1537" t="s">
        <v>6026</v>
      </c>
    </row>
    <row r="1538" spans="1:12" x14ac:dyDescent="0.35">
      <c r="A1538" t="s">
        <v>116</v>
      </c>
      <c r="B1538" t="s">
        <v>327</v>
      </c>
      <c r="C1538" t="s">
        <v>823</v>
      </c>
      <c r="D1538">
        <v>0.9</v>
      </c>
      <c r="F1538" t="s">
        <v>1556</v>
      </c>
      <c r="H1538" t="s">
        <v>4200</v>
      </c>
      <c r="I1538" t="s">
        <v>2331</v>
      </c>
      <c r="K1538" t="s">
        <v>6025</v>
      </c>
      <c r="L1538" t="s">
        <v>6026</v>
      </c>
    </row>
    <row r="1539" spans="1:12" x14ac:dyDescent="0.35">
      <c r="A1539" t="s">
        <v>116</v>
      </c>
      <c r="B1539" t="s">
        <v>327</v>
      </c>
      <c r="C1539" t="s">
        <v>967</v>
      </c>
      <c r="D1539">
        <v>0.04</v>
      </c>
      <c r="F1539" t="s">
        <v>1334</v>
      </c>
      <c r="H1539" t="s">
        <v>4182</v>
      </c>
      <c r="I1539" t="s">
        <v>2360</v>
      </c>
      <c r="K1539" t="s">
        <v>6025</v>
      </c>
      <c r="L1539" t="s">
        <v>6026</v>
      </c>
    </row>
    <row r="1540" spans="1:12" x14ac:dyDescent="0.35">
      <c r="A1540" t="s">
        <v>116</v>
      </c>
      <c r="B1540" t="s">
        <v>327</v>
      </c>
      <c r="C1540" t="s">
        <v>1084</v>
      </c>
      <c r="D1540">
        <v>16</v>
      </c>
      <c r="F1540" t="s">
        <v>1526</v>
      </c>
      <c r="I1540" t="s">
        <v>2254</v>
      </c>
      <c r="K1540" t="s">
        <v>6025</v>
      </c>
      <c r="L1540" t="s">
        <v>6026</v>
      </c>
    </row>
    <row r="1541" spans="1:12" x14ac:dyDescent="0.35">
      <c r="A1541" t="s">
        <v>116</v>
      </c>
      <c r="B1541" t="s">
        <v>327</v>
      </c>
      <c r="C1541" t="s">
        <v>961</v>
      </c>
      <c r="D1541">
        <v>2.5</v>
      </c>
      <c r="F1541" t="s">
        <v>1406</v>
      </c>
      <c r="H1541" t="s">
        <v>5879</v>
      </c>
      <c r="I1541" t="s">
        <v>1450</v>
      </c>
      <c r="K1541" t="s">
        <v>6025</v>
      </c>
      <c r="L1541" t="s">
        <v>6026</v>
      </c>
    </row>
    <row r="1542" spans="1:12" x14ac:dyDescent="0.35">
      <c r="A1542" t="s">
        <v>116</v>
      </c>
      <c r="B1542" t="s">
        <v>327</v>
      </c>
      <c r="C1542" t="s">
        <v>1151</v>
      </c>
      <c r="D1542">
        <v>2.5</v>
      </c>
      <c r="F1542" t="s">
        <v>1406</v>
      </c>
      <c r="H1542" t="s">
        <v>4200</v>
      </c>
      <c r="I1542" t="s">
        <v>2331</v>
      </c>
      <c r="K1542" t="s">
        <v>6025</v>
      </c>
      <c r="L1542" t="s">
        <v>6026</v>
      </c>
    </row>
    <row r="1543" spans="1:12" x14ac:dyDescent="0.35">
      <c r="A1543" t="s">
        <v>116</v>
      </c>
      <c r="B1543" t="s">
        <v>327</v>
      </c>
      <c r="C1543" t="s">
        <v>1143</v>
      </c>
      <c r="D1543">
        <v>6.17</v>
      </c>
      <c r="F1543" t="s">
        <v>5522</v>
      </c>
      <c r="I1543" t="s">
        <v>1467</v>
      </c>
      <c r="K1543" t="s">
        <v>6025</v>
      </c>
      <c r="L1543" t="s">
        <v>6026</v>
      </c>
    </row>
    <row r="1544" spans="1:12" x14ac:dyDescent="0.35">
      <c r="A1544" t="s">
        <v>116</v>
      </c>
      <c r="B1544" t="s">
        <v>327</v>
      </c>
      <c r="C1544" t="s">
        <v>1147</v>
      </c>
      <c r="D1544">
        <v>20</v>
      </c>
      <c r="F1544" t="s">
        <v>1458</v>
      </c>
      <c r="H1544" t="s">
        <v>4200</v>
      </c>
      <c r="I1544" t="s">
        <v>2331</v>
      </c>
      <c r="K1544" t="s">
        <v>6025</v>
      </c>
      <c r="L1544" t="s">
        <v>6026</v>
      </c>
    </row>
    <row r="1545" spans="1:12" x14ac:dyDescent="0.35">
      <c r="A1545" t="s">
        <v>116</v>
      </c>
      <c r="B1545" t="s">
        <v>327</v>
      </c>
      <c r="C1545" t="s">
        <v>961</v>
      </c>
      <c r="D1545">
        <v>4</v>
      </c>
      <c r="F1545" t="s">
        <v>1379</v>
      </c>
      <c r="H1545" t="s">
        <v>4197</v>
      </c>
      <c r="I1545" t="s">
        <v>1454</v>
      </c>
      <c r="K1545" t="s">
        <v>6025</v>
      </c>
      <c r="L1545" t="s">
        <v>6026</v>
      </c>
    </row>
    <row r="1546" spans="1:12" x14ac:dyDescent="0.35">
      <c r="A1546" t="s">
        <v>116</v>
      </c>
      <c r="B1546" t="s">
        <v>327</v>
      </c>
      <c r="C1546" t="s">
        <v>957</v>
      </c>
      <c r="D1546">
        <v>4</v>
      </c>
      <c r="F1546" t="s">
        <v>1379</v>
      </c>
      <c r="I1546" t="s">
        <v>1467</v>
      </c>
      <c r="K1546" t="s">
        <v>6025</v>
      </c>
      <c r="L1546" t="s">
        <v>6026</v>
      </c>
    </row>
    <row r="1547" spans="1:12" x14ac:dyDescent="0.35">
      <c r="A1547" t="s">
        <v>116</v>
      </c>
      <c r="B1547" t="s">
        <v>327</v>
      </c>
      <c r="C1547" t="s">
        <v>1145</v>
      </c>
      <c r="D1547">
        <v>0.11</v>
      </c>
      <c r="F1547" t="s">
        <v>1295</v>
      </c>
      <c r="H1547" t="s">
        <v>4182</v>
      </c>
      <c r="I1547" t="s">
        <v>2360</v>
      </c>
      <c r="K1547" t="s">
        <v>6025</v>
      </c>
      <c r="L1547" t="s">
        <v>6026</v>
      </c>
    </row>
    <row r="1548" spans="1:12" x14ac:dyDescent="0.35">
      <c r="A1548" t="s">
        <v>116</v>
      </c>
      <c r="B1548" t="s">
        <v>327</v>
      </c>
      <c r="C1548" t="s">
        <v>961</v>
      </c>
      <c r="D1548">
        <v>3.83</v>
      </c>
      <c r="F1548" t="s">
        <v>5425</v>
      </c>
      <c r="H1548" t="s">
        <v>5880</v>
      </c>
      <c r="I1548" t="s">
        <v>1454</v>
      </c>
      <c r="K1548" t="s">
        <v>6025</v>
      </c>
      <c r="L1548" t="s">
        <v>6026</v>
      </c>
    </row>
    <row r="1549" spans="1:12" x14ac:dyDescent="0.35">
      <c r="A1549" t="s">
        <v>116</v>
      </c>
      <c r="B1549" t="s">
        <v>327</v>
      </c>
      <c r="C1549" t="s">
        <v>967</v>
      </c>
      <c r="D1549">
        <v>4.33</v>
      </c>
      <c r="F1549" t="s">
        <v>1997</v>
      </c>
      <c r="H1549" t="s">
        <v>4197</v>
      </c>
      <c r="I1549" t="s">
        <v>1454</v>
      </c>
      <c r="K1549" t="s">
        <v>6025</v>
      </c>
      <c r="L1549" t="s">
        <v>6026</v>
      </c>
    </row>
    <row r="1550" spans="1:12" x14ac:dyDescent="0.35">
      <c r="A1550" t="s">
        <v>116</v>
      </c>
      <c r="B1550" t="s">
        <v>327</v>
      </c>
      <c r="C1550" t="s">
        <v>961</v>
      </c>
      <c r="D1550">
        <v>0.16700000000000001</v>
      </c>
      <c r="F1550" t="s">
        <v>2060</v>
      </c>
      <c r="H1550" t="s">
        <v>4206</v>
      </c>
      <c r="I1550" t="s">
        <v>2360</v>
      </c>
      <c r="K1550" t="s">
        <v>6025</v>
      </c>
      <c r="L1550" t="s">
        <v>6026</v>
      </c>
    </row>
    <row r="1551" spans="1:12" x14ac:dyDescent="0.35">
      <c r="A1551" t="s">
        <v>116</v>
      </c>
      <c r="B1551" t="s">
        <v>327</v>
      </c>
      <c r="C1551" t="s">
        <v>1147</v>
      </c>
      <c r="D1551">
        <v>0.16700000000000001</v>
      </c>
      <c r="F1551" t="s">
        <v>2060</v>
      </c>
      <c r="H1551" t="s">
        <v>4195</v>
      </c>
      <c r="I1551" t="s">
        <v>2331</v>
      </c>
      <c r="K1551" t="s">
        <v>6025</v>
      </c>
      <c r="L1551" t="s">
        <v>6026</v>
      </c>
    </row>
    <row r="1552" spans="1:12" x14ac:dyDescent="0.35">
      <c r="A1552" t="s">
        <v>116</v>
      </c>
      <c r="B1552" t="s">
        <v>327</v>
      </c>
      <c r="C1552" t="s">
        <v>963</v>
      </c>
      <c r="D1552">
        <v>0.183</v>
      </c>
      <c r="F1552" t="s">
        <v>2629</v>
      </c>
      <c r="I1552" t="s">
        <v>1841</v>
      </c>
      <c r="K1552" t="s">
        <v>6025</v>
      </c>
      <c r="L1552" t="s">
        <v>6026</v>
      </c>
    </row>
    <row r="1553" spans="1:12" x14ac:dyDescent="0.35">
      <c r="A1553" t="s">
        <v>116</v>
      </c>
      <c r="B1553" t="s">
        <v>327</v>
      </c>
      <c r="C1553" t="s">
        <v>959</v>
      </c>
      <c r="D1553">
        <v>0.58299999999999996</v>
      </c>
      <c r="F1553" t="s">
        <v>5365</v>
      </c>
      <c r="I1553" t="s">
        <v>1467</v>
      </c>
      <c r="K1553" t="s">
        <v>6025</v>
      </c>
      <c r="L1553" t="s">
        <v>6026</v>
      </c>
    </row>
    <row r="1554" spans="1:12" x14ac:dyDescent="0.35">
      <c r="A1554" t="s">
        <v>116</v>
      </c>
      <c r="B1554" t="s">
        <v>327</v>
      </c>
      <c r="C1554" t="s">
        <v>839</v>
      </c>
      <c r="D1554">
        <v>0.75</v>
      </c>
      <c r="F1554" t="s">
        <v>1475</v>
      </c>
      <c r="I1554" t="s">
        <v>1467</v>
      </c>
      <c r="K1554" t="s">
        <v>6025</v>
      </c>
      <c r="L1554" t="s">
        <v>6026</v>
      </c>
    </row>
    <row r="1555" spans="1:12" x14ac:dyDescent="0.35">
      <c r="A1555" t="s">
        <v>116</v>
      </c>
      <c r="B1555" t="s">
        <v>327</v>
      </c>
      <c r="C1555" t="s">
        <v>1061</v>
      </c>
      <c r="D1555">
        <v>0.75</v>
      </c>
      <c r="F1555" t="s">
        <v>1475</v>
      </c>
      <c r="I1555" t="s">
        <v>1467</v>
      </c>
      <c r="K1555" t="s">
        <v>6025</v>
      </c>
      <c r="L1555" t="s">
        <v>6026</v>
      </c>
    </row>
    <row r="1556" spans="1:12" x14ac:dyDescent="0.35">
      <c r="A1556" t="s">
        <v>116</v>
      </c>
      <c r="B1556" t="s">
        <v>327</v>
      </c>
      <c r="C1556" t="s">
        <v>952</v>
      </c>
      <c r="D1556">
        <v>2.83</v>
      </c>
      <c r="F1556" t="s">
        <v>2259</v>
      </c>
      <c r="I1556" t="s">
        <v>1841</v>
      </c>
      <c r="K1556" t="s">
        <v>6025</v>
      </c>
      <c r="L1556" t="s">
        <v>6026</v>
      </c>
    </row>
    <row r="1557" spans="1:12" x14ac:dyDescent="0.35">
      <c r="A1557" t="s">
        <v>116</v>
      </c>
      <c r="B1557" t="s">
        <v>327</v>
      </c>
      <c r="C1557" t="s">
        <v>1155</v>
      </c>
      <c r="D1557">
        <v>2.83</v>
      </c>
      <c r="F1557" t="s">
        <v>2259</v>
      </c>
      <c r="I1557" t="s">
        <v>1467</v>
      </c>
      <c r="K1557" t="s">
        <v>6025</v>
      </c>
      <c r="L1557" t="s">
        <v>6026</v>
      </c>
    </row>
    <row r="1558" spans="1:12" x14ac:dyDescent="0.35">
      <c r="A1558" t="s">
        <v>116</v>
      </c>
      <c r="B1558" t="s">
        <v>327</v>
      </c>
      <c r="C1558" t="s">
        <v>1144</v>
      </c>
      <c r="D1558">
        <v>2.83</v>
      </c>
      <c r="F1558" t="s">
        <v>2259</v>
      </c>
      <c r="H1558" t="s">
        <v>4196</v>
      </c>
      <c r="I1558" t="s">
        <v>2331</v>
      </c>
      <c r="K1558" t="s">
        <v>6025</v>
      </c>
      <c r="L1558" t="s">
        <v>6026</v>
      </c>
    </row>
    <row r="1559" spans="1:12" x14ac:dyDescent="0.35">
      <c r="A1559" t="s">
        <v>116</v>
      </c>
      <c r="B1559" t="s">
        <v>327</v>
      </c>
      <c r="C1559" t="s">
        <v>1148</v>
      </c>
      <c r="D1559">
        <v>7.5</v>
      </c>
      <c r="F1559" t="s">
        <v>1464</v>
      </c>
      <c r="I1559" t="s">
        <v>1467</v>
      </c>
      <c r="K1559" t="s">
        <v>6025</v>
      </c>
      <c r="L1559" t="s">
        <v>6026</v>
      </c>
    </row>
    <row r="1560" spans="1:12" x14ac:dyDescent="0.35">
      <c r="A1560" t="s">
        <v>116</v>
      </c>
      <c r="B1560" t="s">
        <v>327</v>
      </c>
      <c r="C1560" t="s">
        <v>956</v>
      </c>
      <c r="D1560">
        <v>3.33</v>
      </c>
      <c r="F1560" t="s">
        <v>1691</v>
      </c>
      <c r="I1560" t="s">
        <v>1526</v>
      </c>
      <c r="K1560" t="s">
        <v>6025</v>
      </c>
      <c r="L1560" t="s">
        <v>6026</v>
      </c>
    </row>
    <row r="1561" spans="1:12" x14ac:dyDescent="0.35">
      <c r="A1561" t="s">
        <v>116</v>
      </c>
      <c r="B1561" t="s">
        <v>327</v>
      </c>
      <c r="C1561" t="s">
        <v>967</v>
      </c>
      <c r="D1561">
        <v>7.33</v>
      </c>
      <c r="F1561" t="s">
        <v>5523</v>
      </c>
      <c r="I1561" t="s">
        <v>1526</v>
      </c>
      <c r="K1561" t="s">
        <v>6025</v>
      </c>
      <c r="L1561" t="s">
        <v>6026</v>
      </c>
    </row>
    <row r="1562" spans="1:12" x14ac:dyDescent="0.35">
      <c r="A1562" t="s">
        <v>116</v>
      </c>
      <c r="B1562" t="s">
        <v>327</v>
      </c>
      <c r="C1562" t="s">
        <v>1154</v>
      </c>
      <c r="D1562">
        <v>0.33300000000000002</v>
      </c>
      <c r="F1562" t="s">
        <v>2292</v>
      </c>
      <c r="I1562" t="s">
        <v>1841</v>
      </c>
      <c r="K1562" t="s">
        <v>6025</v>
      </c>
      <c r="L1562" t="s">
        <v>6026</v>
      </c>
    </row>
    <row r="1563" spans="1:12" x14ac:dyDescent="0.35">
      <c r="A1563" t="s">
        <v>116</v>
      </c>
      <c r="B1563" t="s">
        <v>327</v>
      </c>
      <c r="C1563" t="s">
        <v>840</v>
      </c>
      <c r="D1563">
        <v>2.17</v>
      </c>
      <c r="F1563" t="s">
        <v>1490</v>
      </c>
      <c r="H1563" t="s">
        <v>2842</v>
      </c>
      <c r="I1563" t="s">
        <v>2254</v>
      </c>
      <c r="K1563" t="s">
        <v>6025</v>
      </c>
      <c r="L1563" t="s">
        <v>6026</v>
      </c>
    </row>
    <row r="1564" spans="1:12" x14ac:dyDescent="0.35">
      <c r="A1564" t="s">
        <v>116</v>
      </c>
      <c r="B1564" t="s">
        <v>327</v>
      </c>
      <c r="C1564" t="s">
        <v>818</v>
      </c>
      <c r="D1564">
        <v>1.7999999999999999E-2</v>
      </c>
      <c r="F1564" t="s">
        <v>1611</v>
      </c>
      <c r="H1564" t="s">
        <v>4195</v>
      </c>
      <c r="I1564" t="s">
        <v>2331</v>
      </c>
      <c r="K1564" t="s">
        <v>6025</v>
      </c>
      <c r="L1564" t="s">
        <v>6026</v>
      </c>
    </row>
    <row r="1565" spans="1:12" x14ac:dyDescent="0.35">
      <c r="A1565" t="s">
        <v>116</v>
      </c>
      <c r="B1565" t="s">
        <v>327</v>
      </c>
      <c r="C1565" t="s">
        <v>1144</v>
      </c>
      <c r="D1565">
        <v>9.1999999999999998E-2</v>
      </c>
      <c r="F1565" t="s">
        <v>5524</v>
      </c>
      <c r="H1565" t="s">
        <v>4195</v>
      </c>
      <c r="I1565" t="s">
        <v>2331</v>
      </c>
      <c r="K1565" t="s">
        <v>6025</v>
      </c>
      <c r="L1565" t="s">
        <v>6026</v>
      </c>
    </row>
    <row r="1566" spans="1:12" x14ac:dyDescent="0.35">
      <c r="A1566" t="s">
        <v>116</v>
      </c>
      <c r="B1566" t="s">
        <v>327</v>
      </c>
      <c r="C1566" t="s">
        <v>823</v>
      </c>
      <c r="D1566">
        <v>0.25</v>
      </c>
      <c r="F1566" t="s">
        <v>1403</v>
      </c>
      <c r="H1566" t="s">
        <v>4196</v>
      </c>
      <c r="I1566" t="s">
        <v>2331</v>
      </c>
      <c r="K1566" t="s">
        <v>6025</v>
      </c>
      <c r="L1566" t="s">
        <v>6026</v>
      </c>
    </row>
    <row r="1567" spans="1:12" x14ac:dyDescent="0.35">
      <c r="A1567" t="s">
        <v>116</v>
      </c>
      <c r="B1567" t="s">
        <v>327</v>
      </c>
      <c r="C1567" t="s">
        <v>1084</v>
      </c>
      <c r="D1567">
        <v>0.66700000000000004</v>
      </c>
      <c r="F1567" t="s">
        <v>5525</v>
      </c>
      <c r="H1567" t="s">
        <v>5878</v>
      </c>
      <c r="I1567" t="s">
        <v>1389</v>
      </c>
      <c r="K1567" t="s">
        <v>6025</v>
      </c>
      <c r="L1567" t="s">
        <v>6026</v>
      </c>
    </row>
    <row r="1568" spans="1:12" x14ac:dyDescent="0.35">
      <c r="A1568" t="s">
        <v>116</v>
      </c>
      <c r="B1568" t="s">
        <v>327</v>
      </c>
      <c r="C1568" t="s">
        <v>967</v>
      </c>
      <c r="D1568">
        <v>3.7999999999999999E-2</v>
      </c>
      <c r="F1568" t="s">
        <v>1803</v>
      </c>
      <c r="H1568" t="s">
        <v>4206</v>
      </c>
      <c r="I1568" t="s">
        <v>2360</v>
      </c>
      <c r="K1568" t="s">
        <v>6025</v>
      </c>
      <c r="L1568" t="s">
        <v>6026</v>
      </c>
    </row>
    <row r="1569" spans="1:12" x14ac:dyDescent="0.35">
      <c r="A1569" t="s">
        <v>116</v>
      </c>
      <c r="B1569" t="s">
        <v>327</v>
      </c>
      <c r="C1569" t="s">
        <v>957</v>
      </c>
      <c r="D1569">
        <v>2.95</v>
      </c>
      <c r="F1569" t="s">
        <v>2278</v>
      </c>
      <c r="I1569" t="s">
        <v>2254</v>
      </c>
      <c r="K1569" t="s">
        <v>6025</v>
      </c>
      <c r="L1569" t="s">
        <v>6026</v>
      </c>
    </row>
    <row r="1570" spans="1:12" x14ac:dyDescent="0.35">
      <c r="A1570" t="s">
        <v>116</v>
      </c>
      <c r="B1570" t="s">
        <v>327</v>
      </c>
      <c r="C1570" t="s">
        <v>967</v>
      </c>
      <c r="D1570">
        <v>8.33</v>
      </c>
      <c r="F1570" t="s">
        <v>5110</v>
      </c>
      <c r="I1570" t="s">
        <v>1467</v>
      </c>
      <c r="K1570" t="s">
        <v>6025</v>
      </c>
      <c r="L1570" t="s">
        <v>6026</v>
      </c>
    </row>
    <row r="1571" spans="1:12" x14ac:dyDescent="0.35">
      <c r="A1571" t="s">
        <v>116</v>
      </c>
      <c r="B1571" t="s">
        <v>327</v>
      </c>
      <c r="C1571" t="s">
        <v>951</v>
      </c>
      <c r="D1571">
        <v>9.17</v>
      </c>
      <c r="F1571" t="s">
        <v>5526</v>
      </c>
      <c r="I1571" t="s">
        <v>1467</v>
      </c>
      <c r="K1571" t="s">
        <v>6025</v>
      </c>
      <c r="L1571" t="s">
        <v>6026</v>
      </c>
    </row>
    <row r="1572" spans="1:12" x14ac:dyDescent="0.35">
      <c r="A1572" t="s">
        <v>116</v>
      </c>
      <c r="B1572" t="s">
        <v>327</v>
      </c>
      <c r="C1572" t="s">
        <v>1149</v>
      </c>
      <c r="D1572">
        <v>0.22</v>
      </c>
      <c r="F1572" t="s">
        <v>1438</v>
      </c>
      <c r="H1572" t="s">
        <v>4204</v>
      </c>
      <c r="I1572" t="s">
        <v>2331</v>
      </c>
      <c r="K1572" t="s">
        <v>6025</v>
      </c>
      <c r="L1572" t="s">
        <v>6026</v>
      </c>
    </row>
    <row r="1573" spans="1:12" x14ac:dyDescent="0.35">
      <c r="A1573" t="s">
        <v>116</v>
      </c>
      <c r="B1573" t="s">
        <v>327</v>
      </c>
      <c r="C1573" t="s">
        <v>951</v>
      </c>
      <c r="D1573">
        <v>4.67</v>
      </c>
      <c r="F1573" t="s">
        <v>5516</v>
      </c>
      <c r="H1573" t="s">
        <v>4197</v>
      </c>
      <c r="I1573" t="s">
        <v>1454</v>
      </c>
      <c r="K1573" t="s">
        <v>6025</v>
      </c>
      <c r="L1573" t="s">
        <v>6026</v>
      </c>
    </row>
    <row r="1574" spans="1:12" x14ac:dyDescent="0.35">
      <c r="A1574" t="s">
        <v>116</v>
      </c>
      <c r="B1574" t="s">
        <v>327</v>
      </c>
      <c r="C1574" t="s">
        <v>1080</v>
      </c>
      <c r="D1574">
        <v>17.2</v>
      </c>
      <c r="F1574" t="s">
        <v>5527</v>
      </c>
      <c r="I1574" t="s">
        <v>2254</v>
      </c>
      <c r="K1574" t="s">
        <v>6025</v>
      </c>
      <c r="L1574" t="s">
        <v>6026</v>
      </c>
    </row>
    <row r="1575" spans="1:12" x14ac:dyDescent="0.35">
      <c r="A1575" t="s">
        <v>116</v>
      </c>
      <c r="B1575" t="s">
        <v>327</v>
      </c>
      <c r="C1575" t="s">
        <v>1084</v>
      </c>
      <c r="D1575">
        <v>0.245</v>
      </c>
      <c r="F1575" t="s">
        <v>5528</v>
      </c>
      <c r="I1575" t="s">
        <v>1526</v>
      </c>
      <c r="K1575" t="s">
        <v>6025</v>
      </c>
      <c r="L1575" t="s">
        <v>6026</v>
      </c>
    </row>
    <row r="1576" spans="1:12" x14ac:dyDescent="0.35">
      <c r="A1576" t="s">
        <v>116</v>
      </c>
      <c r="B1576" t="s">
        <v>327</v>
      </c>
      <c r="C1576" t="s">
        <v>709</v>
      </c>
      <c r="D1576">
        <v>0.71699999999999997</v>
      </c>
      <c r="F1576" t="s">
        <v>5529</v>
      </c>
      <c r="H1576" t="s">
        <v>5878</v>
      </c>
      <c r="I1576" t="s">
        <v>1389</v>
      </c>
      <c r="K1576" t="s">
        <v>6025</v>
      </c>
      <c r="L1576" t="s">
        <v>6026</v>
      </c>
    </row>
    <row r="1577" spans="1:12" x14ac:dyDescent="0.35">
      <c r="A1577" t="s">
        <v>116</v>
      </c>
      <c r="B1577" t="s">
        <v>327</v>
      </c>
      <c r="C1577" t="s">
        <v>818</v>
      </c>
      <c r="D1577">
        <v>1.83</v>
      </c>
      <c r="F1577" t="s">
        <v>5113</v>
      </c>
      <c r="H1577" t="s">
        <v>4200</v>
      </c>
      <c r="I1577" t="s">
        <v>2331</v>
      </c>
      <c r="K1577" t="s">
        <v>6025</v>
      </c>
      <c r="L1577" t="s">
        <v>6026</v>
      </c>
    </row>
    <row r="1578" spans="1:12" x14ac:dyDescent="0.35">
      <c r="A1578" t="s">
        <v>116</v>
      </c>
      <c r="B1578" t="s">
        <v>327</v>
      </c>
      <c r="C1578" t="s">
        <v>1150</v>
      </c>
      <c r="D1578">
        <v>1.83</v>
      </c>
      <c r="F1578" t="s">
        <v>5113</v>
      </c>
      <c r="I1578" t="s">
        <v>1467</v>
      </c>
      <c r="K1578" t="s">
        <v>6025</v>
      </c>
      <c r="L1578" t="s">
        <v>6026</v>
      </c>
    </row>
    <row r="1579" spans="1:12" x14ac:dyDescent="0.35">
      <c r="A1579" t="s">
        <v>116</v>
      </c>
      <c r="B1579" t="s">
        <v>327</v>
      </c>
      <c r="C1579" t="s">
        <v>687</v>
      </c>
      <c r="D1579">
        <v>0.10199999999999999</v>
      </c>
      <c r="F1579" t="s">
        <v>2131</v>
      </c>
      <c r="I1579" t="s">
        <v>1450</v>
      </c>
      <c r="K1579" t="s">
        <v>6025</v>
      </c>
      <c r="L1579" t="s">
        <v>6026</v>
      </c>
    </row>
    <row r="1580" spans="1:12" x14ac:dyDescent="0.35">
      <c r="A1580" t="s">
        <v>116</v>
      </c>
      <c r="B1580" t="s">
        <v>327</v>
      </c>
      <c r="C1580" t="s">
        <v>1153</v>
      </c>
      <c r="D1580">
        <v>0.46700000000000003</v>
      </c>
      <c r="F1580" t="s">
        <v>5520</v>
      </c>
      <c r="I1580" t="s">
        <v>1526</v>
      </c>
      <c r="K1580" t="s">
        <v>6025</v>
      </c>
      <c r="L1580" t="s">
        <v>6026</v>
      </c>
    </row>
    <row r="1581" spans="1:12" x14ac:dyDescent="0.35">
      <c r="A1581" t="s">
        <v>116</v>
      </c>
      <c r="B1581" t="s">
        <v>327</v>
      </c>
      <c r="C1581" t="s">
        <v>5076</v>
      </c>
      <c r="D1581">
        <v>0.68300000000000005</v>
      </c>
      <c r="F1581" t="s">
        <v>5530</v>
      </c>
      <c r="H1581" t="s">
        <v>5878</v>
      </c>
      <c r="I1581" t="s">
        <v>1389</v>
      </c>
      <c r="K1581" t="s">
        <v>6025</v>
      </c>
      <c r="L1581" t="s">
        <v>6026</v>
      </c>
    </row>
    <row r="1582" spans="1:12" x14ac:dyDescent="0.35">
      <c r="A1582" t="s">
        <v>116</v>
      </c>
      <c r="B1582" t="s">
        <v>327</v>
      </c>
      <c r="C1582" t="s">
        <v>1149</v>
      </c>
      <c r="D1582">
        <v>1.22</v>
      </c>
      <c r="F1582" t="s">
        <v>1959</v>
      </c>
      <c r="H1582" t="s">
        <v>4200</v>
      </c>
      <c r="I1582" t="s">
        <v>2331</v>
      </c>
      <c r="K1582" t="s">
        <v>6025</v>
      </c>
      <c r="L1582" t="s">
        <v>6026</v>
      </c>
    </row>
    <row r="1583" spans="1:12" x14ac:dyDescent="0.35">
      <c r="A1583" t="s">
        <v>116</v>
      </c>
      <c r="B1583" t="s">
        <v>327</v>
      </c>
      <c r="C1583" t="s">
        <v>957</v>
      </c>
      <c r="D1583">
        <v>3.03</v>
      </c>
      <c r="F1583" t="s">
        <v>5476</v>
      </c>
      <c r="I1583" t="s">
        <v>1526</v>
      </c>
      <c r="K1583" t="s">
        <v>6025</v>
      </c>
      <c r="L1583" t="s">
        <v>6026</v>
      </c>
    </row>
    <row r="1584" spans="1:12" x14ac:dyDescent="0.35">
      <c r="A1584" t="s">
        <v>116</v>
      </c>
      <c r="B1584" t="s">
        <v>327</v>
      </c>
      <c r="C1584" t="s">
        <v>961</v>
      </c>
      <c r="D1584">
        <v>7.83</v>
      </c>
      <c r="F1584" t="s">
        <v>1663</v>
      </c>
      <c r="I1584" t="s">
        <v>1467</v>
      </c>
      <c r="K1584" t="s">
        <v>6025</v>
      </c>
      <c r="L1584" t="s">
        <v>6026</v>
      </c>
    </row>
    <row r="1585" spans="1:12" x14ac:dyDescent="0.35">
      <c r="A1585" t="s">
        <v>116</v>
      </c>
      <c r="B1585" t="s">
        <v>327</v>
      </c>
      <c r="C1585" t="s">
        <v>1147</v>
      </c>
      <c r="D1585">
        <v>7.83</v>
      </c>
      <c r="F1585" t="s">
        <v>1663</v>
      </c>
      <c r="H1585" t="s">
        <v>4196</v>
      </c>
      <c r="I1585" t="s">
        <v>2331</v>
      </c>
      <c r="K1585" t="s">
        <v>6025</v>
      </c>
      <c r="L1585" t="s">
        <v>6026</v>
      </c>
    </row>
    <row r="1586" spans="1:12" x14ac:dyDescent="0.35">
      <c r="A1586" t="s">
        <v>116</v>
      </c>
      <c r="B1586" t="s">
        <v>327</v>
      </c>
      <c r="C1586" t="s">
        <v>1153</v>
      </c>
      <c r="D1586">
        <v>8.67</v>
      </c>
      <c r="F1586" t="s">
        <v>2090</v>
      </c>
      <c r="I1586" t="s">
        <v>1467</v>
      </c>
      <c r="K1586" t="s">
        <v>6025</v>
      </c>
      <c r="L1586" t="s">
        <v>6026</v>
      </c>
    </row>
    <row r="1587" spans="1:12" x14ac:dyDescent="0.35">
      <c r="A1587" t="s">
        <v>116</v>
      </c>
      <c r="B1587" t="s">
        <v>327</v>
      </c>
      <c r="C1587" t="s">
        <v>961</v>
      </c>
      <c r="D1587">
        <v>10.199999999999999</v>
      </c>
      <c r="F1587" t="s">
        <v>1581</v>
      </c>
      <c r="H1587" t="s">
        <v>5881</v>
      </c>
      <c r="I1587" t="s">
        <v>1389</v>
      </c>
      <c r="K1587" t="s">
        <v>6025</v>
      </c>
      <c r="L1587" t="s">
        <v>6026</v>
      </c>
    </row>
    <row r="1588" spans="1:12" x14ac:dyDescent="0.35">
      <c r="A1588" t="s">
        <v>116</v>
      </c>
      <c r="B1588" t="s">
        <v>327</v>
      </c>
      <c r="C1588" t="s">
        <v>1064</v>
      </c>
      <c r="D1588">
        <v>19.5</v>
      </c>
      <c r="F1588" t="s">
        <v>5252</v>
      </c>
      <c r="I1588" t="s">
        <v>2254</v>
      </c>
      <c r="K1588" t="s">
        <v>6025</v>
      </c>
      <c r="L1588" t="s">
        <v>6026</v>
      </c>
    </row>
    <row r="1589" spans="1:12" x14ac:dyDescent="0.35">
      <c r="A1589" t="s">
        <v>116</v>
      </c>
      <c r="B1589" t="s">
        <v>327</v>
      </c>
      <c r="C1589" t="s">
        <v>961</v>
      </c>
      <c r="D1589">
        <v>30.7</v>
      </c>
      <c r="F1589" t="s">
        <v>5531</v>
      </c>
      <c r="I1589" t="s">
        <v>2254</v>
      </c>
      <c r="K1589" t="s">
        <v>6025</v>
      </c>
      <c r="L1589" t="s">
        <v>6026</v>
      </c>
    </row>
    <row r="1590" spans="1:12" x14ac:dyDescent="0.35">
      <c r="A1590" t="s">
        <v>116</v>
      </c>
      <c r="B1590" t="s">
        <v>327</v>
      </c>
      <c r="C1590" t="s">
        <v>1078</v>
      </c>
      <c r="D1590">
        <v>34.799999999999997</v>
      </c>
      <c r="F1590" t="s">
        <v>5435</v>
      </c>
      <c r="I1590" t="s">
        <v>2254</v>
      </c>
      <c r="K1590" t="s">
        <v>6025</v>
      </c>
      <c r="L1590" t="s">
        <v>6026</v>
      </c>
    </row>
    <row r="1591" spans="1:12" x14ac:dyDescent="0.35">
      <c r="A1591" t="s">
        <v>116</v>
      </c>
      <c r="B1591" t="s">
        <v>327</v>
      </c>
      <c r="C1591" t="s">
        <v>961</v>
      </c>
      <c r="D1591">
        <v>0.17499999999999999</v>
      </c>
      <c r="F1591" t="s">
        <v>1975</v>
      </c>
      <c r="H1591" t="s">
        <v>4182</v>
      </c>
      <c r="I1591" t="s">
        <v>2360</v>
      </c>
      <c r="K1591" t="s">
        <v>6025</v>
      </c>
      <c r="L1591" t="s">
        <v>6026</v>
      </c>
    </row>
    <row r="1592" spans="1:12" x14ac:dyDescent="0.35">
      <c r="A1592" t="s">
        <v>116</v>
      </c>
      <c r="B1592" t="s">
        <v>327</v>
      </c>
      <c r="C1592" t="s">
        <v>823</v>
      </c>
      <c r="D1592">
        <v>2.8000000000000001E-2</v>
      </c>
      <c r="F1592" t="s">
        <v>2039</v>
      </c>
      <c r="H1592" t="s">
        <v>4195</v>
      </c>
      <c r="I1592" t="s">
        <v>2331</v>
      </c>
      <c r="K1592" t="s">
        <v>6025</v>
      </c>
      <c r="L1592" t="s">
        <v>6026</v>
      </c>
    </row>
    <row r="1593" spans="1:12" x14ac:dyDescent="0.35">
      <c r="A1593" t="s">
        <v>116</v>
      </c>
      <c r="B1593" t="s">
        <v>327</v>
      </c>
      <c r="C1593" t="s">
        <v>1145</v>
      </c>
      <c r="D1593">
        <v>8.6999999999999994E-2</v>
      </c>
      <c r="F1593" t="s">
        <v>1463</v>
      </c>
      <c r="H1593" t="s">
        <v>4206</v>
      </c>
      <c r="I1593" t="s">
        <v>2360</v>
      </c>
      <c r="K1593" t="s">
        <v>6025</v>
      </c>
      <c r="L1593" t="s">
        <v>6026</v>
      </c>
    </row>
    <row r="1594" spans="1:12" x14ac:dyDescent="0.35">
      <c r="A1594" t="s">
        <v>116</v>
      </c>
      <c r="B1594" t="s">
        <v>327</v>
      </c>
      <c r="C1594" t="s">
        <v>1144</v>
      </c>
      <c r="D1594">
        <v>34.200000000000003</v>
      </c>
      <c r="F1594" t="s">
        <v>1598</v>
      </c>
      <c r="H1594" t="s">
        <v>4200</v>
      </c>
      <c r="I1594" t="s">
        <v>2331</v>
      </c>
      <c r="K1594" t="s">
        <v>6025</v>
      </c>
      <c r="L1594" t="s">
        <v>6026</v>
      </c>
    </row>
    <row r="1595" spans="1:12" x14ac:dyDescent="0.35">
      <c r="A1595" t="s">
        <v>116</v>
      </c>
      <c r="B1595" t="s">
        <v>327</v>
      </c>
      <c r="C1595" t="s">
        <v>1151</v>
      </c>
      <c r="D1595">
        <v>8.7999999999999995E-2</v>
      </c>
      <c r="F1595" t="s">
        <v>1400</v>
      </c>
      <c r="H1595" t="s">
        <v>4204</v>
      </c>
      <c r="I1595" t="s">
        <v>2331</v>
      </c>
      <c r="K1595" t="s">
        <v>6025</v>
      </c>
      <c r="L1595" t="s">
        <v>6026</v>
      </c>
    </row>
    <row r="1596" spans="1:12" x14ac:dyDescent="0.35">
      <c r="A1596" t="s">
        <v>116</v>
      </c>
      <c r="B1596" t="s">
        <v>581</v>
      </c>
      <c r="C1596" t="s">
        <v>961</v>
      </c>
      <c r="D1596">
        <v>39.9</v>
      </c>
      <c r="F1596" t="s">
        <v>5532</v>
      </c>
      <c r="H1596" t="s">
        <v>4244</v>
      </c>
      <c r="I1596" t="s">
        <v>4890</v>
      </c>
      <c r="K1596" t="s">
        <v>6025</v>
      </c>
      <c r="L1596" t="s">
        <v>6026</v>
      </c>
    </row>
    <row r="1597" spans="1:12" x14ac:dyDescent="0.35">
      <c r="A1597" t="s">
        <v>116</v>
      </c>
      <c r="B1597" t="s">
        <v>581</v>
      </c>
      <c r="C1597" t="s">
        <v>961</v>
      </c>
      <c r="D1597">
        <v>62.48</v>
      </c>
      <c r="F1597" t="s">
        <v>5533</v>
      </c>
      <c r="H1597" t="s">
        <v>4243</v>
      </c>
      <c r="I1597" t="s">
        <v>4890</v>
      </c>
      <c r="K1597" t="s">
        <v>6025</v>
      </c>
      <c r="L1597" t="s">
        <v>6026</v>
      </c>
    </row>
    <row r="1598" spans="1:12" x14ac:dyDescent="0.35">
      <c r="A1598" t="s">
        <v>116</v>
      </c>
      <c r="B1598" t="s">
        <v>581</v>
      </c>
      <c r="C1598" t="s">
        <v>961</v>
      </c>
      <c r="D1598">
        <v>109.5</v>
      </c>
      <c r="F1598" t="s">
        <v>5257</v>
      </c>
      <c r="H1598" t="s">
        <v>4246</v>
      </c>
      <c r="I1598" t="s">
        <v>4890</v>
      </c>
      <c r="K1598" t="s">
        <v>6025</v>
      </c>
      <c r="L1598" t="s">
        <v>6026</v>
      </c>
    </row>
    <row r="1599" spans="1:12" x14ac:dyDescent="0.35">
      <c r="A1599" t="s">
        <v>116</v>
      </c>
      <c r="B1599" t="s">
        <v>581</v>
      </c>
      <c r="C1599" t="s">
        <v>961</v>
      </c>
      <c r="D1599">
        <v>160.80000000000001</v>
      </c>
      <c r="F1599" t="s">
        <v>5534</v>
      </c>
      <c r="H1599" t="s">
        <v>4247</v>
      </c>
      <c r="I1599" t="s">
        <v>4890</v>
      </c>
      <c r="K1599" t="s">
        <v>6025</v>
      </c>
      <c r="L1599" t="s">
        <v>6026</v>
      </c>
    </row>
    <row r="1600" spans="1:12" x14ac:dyDescent="0.35">
      <c r="A1600" t="s">
        <v>116</v>
      </c>
      <c r="B1600" t="s">
        <v>581</v>
      </c>
      <c r="C1600" t="s">
        <v>961</v>
      </c>
      <c r="D1600">
        <v>262.3</v>
      </c>
      <c r="F1600" t="s">
        <v>5535</v>
      </c>
      <c r="H1600" t="s">
        <v>4245</v>
      </c>
      <c r="I1600" t="s">
        <v>4890</v>
      </c>
      <c r="K1600" t="s">
        <v>6025</v>
      </c>
      <c r="L1600" t="s">
        <v>6026</v>
      </c>
    </row>
    <row r="1601" spans="1:12" x14ac:dyDescent="0.35">
      <c r="A1601" t="s">
        <v>116</v>
      </c>
      <c r="B1601" t="s">
        <v>581</v>
      </c>
      <c r="C1601" t="s">
        <v>961</v>
      </c>
      <c r="D1601">
        <v>474.9</v>
      </c>
      <c r="F1601" t="s">
        <v>5536</v>
      </c>
      <c r="H1601" t="s">
        <v>4248</v>
      </c>
      <c r="I1601" t="s">
        <v>4890</v>
      </c>
      <c r="K1601" t="s">
        <v>6025</v>
      </c>
      <c r="L1601" t="s">
        <v>6026</v>
      </c>
    </row>
    <row r="1602" spans="1:12" x14ac:dyDescent="0.35">
      <c r="A1602" t="s">
        <v>117</v>
      </c>
      <c r="B1602" t="s">
        <v>380</v>
      </c>
      <c r="C1602" t="s">
        <v>169</v>
      </c>
      <c r="D1602">
        <v>983</v>
      </c>
      <c r="F1602" t="s">
        <v>5537</v>
      </c>
      <c r="I1602" t="s">
        <v>1533</v>
      </c>
      <c r="K1602" t="s">
        <v>6025</v>
      </c>
      <c r="L1602" t="s">
        <v>6026</v>
      </c>
    </row>
    <row r="1603" spans="1:12" x14ac:dyDescent="0.35">
      <c r="A1603" t="s">
        <v>117</v>
      </c>
      <c r="B1603" t="s">
        <v>380</v>
      </c>
      <c r="C1603" t="s">
        <v>880</v>
      </c>
      <c r="D1603">
        <v>617</v>
      </c>
      <c r="F1603" t="s">
        <v>5538</v>
      </c>
      <c r="I1603" t="s">
        <v>1533</v>
      </c>
      <c r="K1603" t="s">
        <v>6025</v>
      </c>
      <c r="L1603" t="s">
        <v>6026</v>
      </c>
    </row>
    <row r="1604" spans="1:12" x14ac:dyDescent="0.35">
      <c r="A1604" t="s">
        <v>117</v>
      </c>
      <c r="B1604" t="s">
        <v>502</v>
      </c>
      <c r="C1604" t="s">
        <v>169</v>
      </c>
      <c r="D1604">
        <v>1820</v>
      </c>
      <c r="F1604" t="s">
        <v>5539</v>
      </c>
      <c r="I1604" t="s">
        <v>1533</v>
      </c>
      <c r="K1604" t="s">
        <v>6025</v>
      </c>
      <c r="L1604" t="s">
        <v>6026</v>
      </c>
    </row>
    <row r="1605" spans="1:12" x14ac:dyDescent="0.35">
      <c r="A1605" t="s">
        <v>117</v>
      </c>
      <c r="B1605" t="s">
        <v>502</v>
      </c>
      <c r="C1605" t="s">
        <v>880</v>
      </c>
      <c r="D1605">
        <v>6700</v>
      </c>
      <c r="F1605" t="s">
        <v>5540</v>
      </c>
      <c r="I1605" t="s">
        <v>1533</v>
      </c>
      <c r="K1605" t="s">
        <v>6025</v>
      </c>
      <c r="L1605" t="s">
        <v>6026</v>
      </c>
    </row>
    <row r="1606" spans="1:12" x14ac:dyDescent="0.35">
      <c r="A1606" t="s">
        <v>117</v>
      </c>
      <c r="B1606" t="s">
        <v>502</v>
      </c>
      <c r="C1606" t="s">
        <v>1158</v>
      </c>
      <c r="D1606">
        <v>1700</v>
      </c>
      <c r="F1606" t="s">
        <v>5541</v>
      </c>
      <c r="H1606" t="s">
        <v>4255</v>
      </c>
      <c r="I1606" t="s">
        <v>1569</v>
      </c>
      <c r="K1606" t="s">
        <v>6025</v>
      </c>
      <c r="L1606" t="s">
        <v>6026</v>
      </c>
    </row>
    <row r="1607" spans="1:12" x14ac:dyDescent="0.35">
      <c r="A1607" t="s">
        <v>117</v>
      </c>
      <c r="B1607" t="s">
        <v>502</v>
      </c>
      <c r="C1607" t="s">
        <v>167</v>
      </c>
      <c r="D1607">
        <v>258.3</v>
      </c>
      <c r="F1607" t="s">
        <v>5542</v>
      </c>
      <c r="H1607" t="s">
        <v>5882</v>
      </c>
      <c r="I1607" t="s">
        <v>4983</v>
      </c>
      <c r="K1607" t="s">
        <v>6025</v>
      </c>
      <c r="L1607" t="s">
        <v>6026</v>
      </c>
    </row>
    <row r="1608" spans="1:12" x14ac:dyDescent="0.35">
      <c r="A1608" t="s">
        <v>117</v>
      </c>
      <c r="B1608" t="s">
        <v>585</v>
      </c>
      <c r="C1608" t="s">
        <v>169</v>
      </c>
      <c r="D1608">
        <v>86</v>
      </c>
      <c r="F1608" t="s">
        <v>4892</v>
      </c>
      <c r="H1608" t="s">
        <v>4258</v>
      </c>
      <c r="I1608" t="s">
        <v>4872</v>
      </c>
      <c r="K1608" t="s">
        <v>6025</v>
      </c>
      <c r="L1608" t="s">
        <v>6026</v>
      </c>
    </row>
    <row r="1609" spans="1:12" x14ac:dyDescent="0.35">
      <c r="A1609" t="s">
        <v>117</v>
      </c>
      <c r="B1609" t="s">
        <v>585</v>
      </c>
      <c r="C1609" t="s">
        <v>169</v>
      </c>
      <c r="D1609">
        <v>271</v>
      </c>
      <c r="F1609" t="s">
        <v>5006</v>
      </c>
      <c r="H1609" t="s">
        <v>4257</v>
      </c>
      <c r="I1609" t="s">
        <v>4872</v>
      </c>
      <c r="K1609" t="s">
        <v>6025</v>
      </c>
      <c r="L1609" t="s">
        <v>6026</v>
      </c>
    </row>
    <row r="1610" spans="1:12" x14ac:dyDescent="0.35">
      <c r="A1610" t="s">
        <v>117</v>
      </c>
      <c r="B1610" t="s">
        <v>587</v>
      </c>
      <c r="C1610" t="s">
        <v>169</v>
      </c>
      <c r="D1610">
        <v>146</v>
      </c>
      <c r="F1610" t="s">
        <v>4939</v>
      </c>
      <c r="H1610" t="s">
        <v>4260</v>
      </c>
      <c r="I1610" t="s">
        <v>4872</v>
      </c>
      <c r="K1610" t="s">
        <v>6025</v>
      </c>
      <c r="L1610" t="s">
        <v>6026</v>
      </c>
    </row>
    <row r="1611" spans="1:12" x14ac:dyDescent="0.35">
      <c r="A1611" t="s">
        <v>117</v>
      </c>
      <c r="B1611" t="s">
        <v>587</v>
      </c>
      <c r="C1611" t="s">
        <v>169</v>
      </c>
      <c r="D1611">
        <v>204</v>
      </c>
      <c r="F1611" t="s">
        <v>5160</v>
      </c>
      <c r="H1611" t="s">
        <v>4259</v>
      </c>
      <c r="I1611" t="s">
        <v>4872</v>
      </c>
      <c r="K1611" t="s">
        <v>6025</v>
      </c>
      <c r="L1611" t="s">
        <v>6026</v>
      </c>
    </row>
    <row r="1612" spans="1:12" x14ac:dyDescent="0.35">
      <c r="A1612" t="s">
        <v>117</v>
      </c>
      <c r="B1612" t="s">
        <v>313</v>
      </c>
      <c r="C1612" t="s">
        <v>1163</v>
      </c>
      <c r="D1612">
        <v>105</v>
      </c>
      <c r="F1612" t="s">
        <v>1494</v>
      </c>
      <c r="H1612" t="s">
        <v>4263</v>
      </c>
      <c r="I1612" t="s">
        <v>2334</v>
      </c>
      <c r="K1612" t="s">
        <v>6025</v>
      </c>
      <c r="L1612" t="s">
        <v>6026</v>
      </c>
    </row>
    <row r="1613" spans="1:12" x14ac:dyDescent="0.35">
      <c r="A1613" t="s">
        <v>117</v>
      </c>
      <c r="B1613" t="s">
        <v>313</v>
      </c>
      <c r="C1613" t="s">
        <v>1163</v>
      </c>
      <c r="D1613">
        <v>161</v>
      </c>
      <c r="F1613" t="s">
        <v>4866</v>
      </c>
      <c r="H1613" t="s">
        <v>4262</v>
      </c>
      <c r="I1613" t="s">
        <v>2334</v>
      </c>
      <c r="K1613" t="s">
        <v>6025</v>
      </c>
      <c r="L1613" t="s">
        <v>6026</v>
      </c>
    </row>
    <row r="1614" spans="1:12" x14ac:dyDescent="0.35">
      <c r="A1614" t="s">
        <v>117</v>
      </c>
      <c r="B1614" t="s">
        <v>313</v>
      </c>
      <c r="C1614" t="s">
        <v>945</v>
      </c>
      <c r="D1614">
        <v>265</v>
      </c>
      <c r="F1614" t="s">
        <v>5543</v>
      </c>
      <c r="H1614" t="s">
        <v>4263</v>
      </c>
      <c r="I1614" t="s">
        <v>2334</v>
      </c>
      <c r="K1614" t="s">
        <v>6025</v>
      </c>
      <c r="L1614" t="s">
        <v>6026</v>
      </c>
    </row>
    <row r="1615" spans="1:12" x14ac:dyDescent="0.35">
      <c r="A1615" t="s">
        <v>117</v>
      </c>
      <c r="B1615" t="s">
        <v>313</v>
      </c>
      <c r="C1615" t="s">
        <v>945</v>
      </c>
      <c r="D1615">
        <v>363</v>
      </c>
      <c r="F1615" t="s">
        <v>5544</v>
      </c>
      <c r="H1615" t="s">
        <v>4262</v>
      </c>
      <c r="I1615" t="s">
        <v>2334</v>
      </c>
      <c r="K1615" t="s">
        <v>6025</v>
      </c>
      <c r="L1615" t="s">
        <v>6026</v>
      </c>
    </row>
    <row r="1616" spans="1:12" x14ac:dyDescent="0.35">
      <c r="A1616" t="s">
        <v>117</v>
      </c>
      <c r="B1616" t="s">
        <v>589</v>
      </c>
      <c r="C1616" t="s">
        <v>169</v>
      </c>
      <c r="D1616">
        <v>69</v>
      </c>
      <c r="F1616" t="s">
        <v>4899</v>
      </c>
      <c r="H1616" t="s">
        <v>4265</v>
      </c>
      <c r="I1616" t="s">
        <v>4872</v>
      </c>
      <c r="K1616" t="s">
        <v>6025</v>
      </c>
      <c r="L1616" t="s">
        <v>6026</v>
      </c>
    </row>
    <row r="1617" spans="1:12" x14ac:dyDescent="0.35">
      <c r="A1617" t="s">
        <v>117</v>
      </c>
      <c r="B1617" t="s">
        <v>589</v>
      </c>
      <c r="C1617" t="s">
        <v>169</v>
      </c>
      <c r="D1617">
        <v>306</v>
      </c>
      <c r="F1617" t="s">
        <v>5033</v>
      </c>
      <c r="H1617" t="s">
        <v>4266</v>
      </c>
      <c r="I1617" t="s">
        <v>4872</v>
      </c>
      <c r="K1617" t="s">
        <v>6025</v>
      </c>
      <c r="L1617" t="s">
        <v>6026</v>
      </c>
    </row>
    <row r="1618" spans="1:12" x14ac:dyDescent="0.35">
      <c r="A1618" t="s">
        <v>117</v>
      </c>
      <c r="B1618" t="s">
        <v>466</v>
      </c>
      <c r="C1618" t="s">
        <v>880</v>
      </c>
      <c r="D1618">
        <v>0.53</v>
      </c>
      <c r="F1618" t="s">
        <v>1817</v>
      </c>
      <c r="I1618" t="s">
        <v>1359</v>
      </c>
      <c r="K1618" t="s">
        <v>6025</v>
      </c>
      <c r="L1618" t="s">
        <v>6026</v>
      </c>
    </row>
    <row r="1619" spans="1:12" x14ac:dyDescent="0.35">
      <c r="A1619" t="s">
        <v>117</v>
      </c>
      <c r="B1619" t="s">
        <v>466</v>
      </c>
      <c r="C1619" t="s">
        <v>169</v>
      </c>
      <c r="D1619">
        <v>11.4</v>
      </c>
      <c r="F1619" t="s">
        <v>1668</v>
      </c>
      <c r="I1619" t="s">
        <v>1359</v>
      </c>
      <c r="K1619" t="s">
        <v>6025</v>
      </c>
      <c r="L1619" t="s">
        <v>6026</v>
      </c>
    </row>
    <row r="1620" spans="1:12" x14ac:dyDescent="0.35">
      <c r="A1620" t="s">
        <v>117</v>
      </c>
      <c r="B1620" t="s">
        <v>466</v>
      </c>
      <c r="C1620" t="s">
        <v>880</v>
      </c>
      <c r="D1620">
        <v>81.7</v>
      </c>
      <c r="F1620" t="s">
        <v>5545</v>
      </c>
      <c r="I1620" t="s">
        <v>1359</v>
      </c>
      <c r="K1620" t="s">
        <v>6025</v>
      </c>
      <c r="L1620" t="s">
        <v>6026</v>
      </c>
    </row>
    <row r="1621" spans="1:12" x14ac:dyDescent="0.35">
      <c r="A1621" t="s">
        <v>117</v>
      </c>
      <c r="B1621" t="s">
        <v>377</v>
      </c>
      <c r="C1621" t="s">
        <v>1158</v>
      </c>
      <c r="D1621">
        <v>66.7</v>
      </c>
      <c r="F1621" t="s">
        <v>5343</v>
      </c>
      <c r="I1621" t="s">
        <v>1516</v>
      </c>
      <c r="K1621" t="s">
        <v>6025</v>
      </c>
      <c r="L1621" t="s">
        <v>6026</v>
      </c>
    </row>
    <row r="1622" spans="1:12" x14ac:dyDescent="0.35">
      <c r="A1622" t="s">
        <v>117</v>
      </c>
      <c r="B1622" t="s">
        <v>353</v>
      </c>
      <c r="C1622" t="s">
        <v>1158</v>
      </c>
      <c r="D1622">
        <v>1.5</v>
      </c>
      <c r="F1622" t="s">
        <v>1426</v>
      </c>
      <c r="H1622" t="s">
        <v>5883</v>
      </c>
      <c r="I1622" t="s">
        <v>2009</v>
      </c>
      <c r="K1622" t="s">
        <v>6025</v>
      </c>
      <c r="L1622" t="s">
        <v>6026</v>
      </c>
    </row>
    <row r="1623" spans="1:12" x14ac:dyDescent="0.35">
      <c r="A1623" t="s">
        <v>117</v>
      </c>
      <c r="B1623" t="s">
        <v>353</v>
      </c>
      <c r="C1623" t="s">
        <v>1158</v>
      </c>
      <c r="D1623">
        <v>8</v>
      </c>
      <c r="F1623" t="s">
        <v>1373</v>
      </c>
      <c r="H1623" t="s">
        <v>5884</v>
      </c>
      <c r="I1623" t="s">
        <v>2009</v>
      </c>
      <c r="K1623" t="s">
        <v>6025</v>
      </c>
      <c r="L1623" t="s">
        <v>6026</v>
      </c>
    </row>
    <row r="1624" spans="1:12" x14ac:dyDescent="0.35">
      <c r="A1624" t="s">
        <v>117</v>
      </c>
      <c r="B1624" t="s">
        <v>353</v>
      </c>
      <c r="C1624" t="s">
        <v>1158</v>
      </c>
      <c r="D1624">
        <v>106</v>
      </c>
      <c r="F1624" t="s">
        <v>4918</v>
      </c>
      <c r="H1624" t="s">
        <v>4270</v>
      </c>
      <c r="I1624" t="s">
        <v>2009</v>
      </c>
      <c r="K1624" t="s">
        <v>6025</v>
      </c>
      <c r="L1624" t="s">
        <v>6026</v>
      </c>
    </row>
    <row r="1625" spans="1:12" x14ac:dyDescent="0.35">
      <c r="A1625" t="s">
        <v>117</v>
      </c>
      <c r="B1625" t="s">
        <v>353</v>
      </c>
      <c r="C1625" t="s">
        <v>1158</v>
      </c>
      <c r="D1625">
        <v>21.4</v>
      </c>
      <c r="F1625" t="s">
        <v>1708</v>
      </c>
      <c r="H1625" t="s">
        <v>4273</v>
      </c>
      <c r="I1625" t="s">
        <v>2009</v>
      </c>
      <c r="K1625" t="s">
        <v>6025</v>
      </c>
      <c r="L1625" t="s">
        <v>6026</v>
      </c>
    </row>
    <row r="1626" spans="1:12" x14ac:dyDescent="0.35">
      <c r="A1626" t="s">
        <v>117</v>
      </c>
      <c r="B1626" t="s">
        <v>353</v>
      </c>
      <c r="C1626" t="s">
        <v>1158</v>
      </c>
      <c r="D1626">
        <v>60.2</v>
      </c>
      <c r="F1626" t="s">
        <v>5546</v>
      </c>
      <c r="H1626" t="s">
        <v>5885</v>
      </c>
      <c r="I1626" t="s">
        <v>2009</v>
      </c>
      <c r="K1626" t="s">
        <v>6025</v>
      </c>
      <c r="L1626" t="s">
        <v>6026</v>
      </c>
    </row>
    <row r="1627" spans="1:12" x14ac:dyDescent="0.35">
      <c r="A1627" t="s">
        <v>117</v>
      </c>
      <c r="B1627" t="s">
        <v>353</v>
      </c>
      <c r="C1627" t="s">
        <v>1158</v>
      </c>
      <c r="D1627">
        <v>55.7</v>
      </c>
      <c r="F1627" t="s">
        <v>5547</v>
      </c>
      <c r="H1627" t="s">
        <v>5883</v>
      </c>
      <c r="I1627" t="s">
        <v>2009</v>
      </c>
      <c r="K1627" t="s">
        <v>6025</v>
      </c>
      <c r="L1627" t="s">
        <v>6026</v>
      </c>
    </row>
    <row r="1628" spans="1:12" x14ac:dyDescent="0.35">
      <c r="A1628" t="s">
        <v>117</v>
      </c>
      <c r="B1628" t="s">
        <v>353</v>
      </c>
      <c r="C1628" t="s">
        <v>1158</v>
      </c>
      <c r="D1628">
        <v>338</v>
      </c>
      <c r="F1628" t="s">
        <v>5548</v>
      </c>
      <c r="H1628" t="s">
        <v>4271</v>
      </c>
      <c r="I1628" t="s">
        <v>2009</v>
      </c>
      <c r="K1628" t="s">
        <v>6025</v>
      </c>
      <c r="L1628" t="s">
        <v>6026</v>
      </c>
    </row>
    <row r="1629" spans="1:12" x14ac:dyDescent="0.35">
      <c r="A1629" t="s">
        <v>117</v>
      </c>
      <c r="B1629" t="s">
        <v>446</v>
      </c>
      <c r="C1629" t="s">
        <v>945</v>
      </c>
      <c r="D1629">
        <v>1070</v>
      </c>
      <c r="F1629" t="s">
        <v>5549</v>
      </c>
      <c r="I1629" t="s">
        <v>2326</v>
      </c>
      <c r="K1629" t="s">
        <v>6025</v>
      </c>
      <c r="L1629" t="s">
        <v>6026</v>
      </c>
    </row>
    <row r="1630" spans="1:12" x14ac:dyDescent="0.35">
      <c r="A1630" t="s">
        <v>117</v>
      </c>
      <c r="B1630" t="s">
        <v>446</v>
      </c>
      <c r="C1630" t="s">
        <v>1172</v>
      </c>
      <c r="D1630">
        <v>1170</v>
      </c>
      <c r="F1630" t="s">
        <v>5550</v>
      </c>
      <c r="I1630" t="s">
        <v>2326</v>
      </c>
      <c r="K1630" t="s">
        <v>6025</v>
      </c>
      <c r="L1630" t="s">
        <v>6026</v>
      </c>
    </row>
    <row r="1631" spans="1:12" x14ac:dyDescent="0.35">
      <c r="A1631" t="s">
        <v>117</v>
      </c>
      <c r="B1631" t="s">
        <v>446</v>
      </c>
      <c r="C1631" t="s">
        <v>1175</v>
      </c>
      <c r="D1631">
        <v>1590</v>
      </c>
      <c r="F1631" t="s">
        <v>5551</v>
      </c>
      <c r="H1631" t="s">
        <v>4276</v>
      </c>
      <c r="I1631" t="s">
        <v>2326</v>
      </c>
      <c r="K1631" t="s">
        <v>6025</v>
      </c>
      <c r="L1631" t="s">
        <v>6026</v>
      </c>
    </row>
    <row r="1632" spans="1:12" x14ac:dyDescent="0.35">
      <c r="A1632" t="s">
        <v>117</v>
      </c>
      <c r="B1632" t="s">
        <v>175</v>
      </c>
      <c r="C1632" t="s">
        <v>945</v>
      </c>
      <c r="D1632">
        <v>104</v>
      </c>
      <c r="F1632" t="s">
        <v>4856</v>
      </c>
      <c r="I1632" t="s">
        <v>2326</v>
      </c>
      <c r="K1632" t="s">
        <v>6025</v>
      </c>
      <c r="L1632" t="s">
        <v>6026</v>
      </c>
    </row>
    <row r="1633" spans="1:12" x14ac:dyDescent="0.35">
      <c r="A1633" t="s">
        <v>117</v>
      </c>
      <c r="B1633" t="s">
        <v>175</v>
      </c>
      <c r="C1633" t="s">
        <v>1175</v>
      </c>
      <c r="D1633">
        <v>83</v>
      </c>
      <c r="F1633" t="s">
        <v>4921</v>
      </c>
      <c r="H1633" t="s">
        <v>4276</v>
      </c>
      <c r="I1633" t="s">
        <v>2326</v>
      </c>
      <c r="K1633" t="s">
        <v>6025</v>
      </c>
      <c r="L1633" t="s">
        <v>6026</v>
      </c>
    </row>
    <row r="1634" spans="1:12" x14ac:dyDescent="0.35">
      <c r="A1634" t="s">
        <v>117</v>
      </c>
      <c r="B1634" t="s">
        <v>175</v>
      </c>
      <c r="C1634" t="s">
        <v>167</v>
      </c>
      <c r="D1634">
        <v>1360</v>
      </c>
      <c r="F1634" t="s">
        <v>5552</v>
      </c>
      <c r="I1634" t="s">
        <v>2326</v>
      </c>
      <c r="K1634" t="s">
        <v>6025</v>
      </c>
      <c r="L1634" t="s">
        <v>6026</v>
      </c>
    </row>
    <row r="1635" spans="1:12" x14ac:dyDescent="0.35">
      <c r="A1635" t="s">
        <v>117</v>
      </c>
      <c r="B1635" t="s">
        <v>175</v>
      </c>
      <c r="C1635" t="s">
        <v>1174</v>
      </c>
      <c r="D1635">
        <v>164</v>
      </c>
      <c r="F1635" t="s">
        <v>5553</v>
      </c>
      <c r="I1635" t="s">
        <v>2326</v>
      </c>
      <c r="K1635" t="s">
        <v>6025</v>
      </c>
      <c r="L1635" t="s">
        <v>6026</v>
      </c>
    </row>
    <row r="1636" spans="1:12" x14ac:dyDescent="0.35">
      <c r="A1636" t="s">
        <v>117</v>
      </c>
      <c r="B1636" t="s">
        <v>175</v>
      </c>
      <c r="C1636" t="s">
        <v>1172</v>
      </c>
      <c r="D1636">
        <v>222</v>
      </c>
      <c r="F1636" t="s">
        <v>4969</v>
      </c>
      <c r="I1636" t="s">
        <v>2326</v>
      </c>
      <c r="K1636" t="s">
        <v>6025</v>
      </c>
      <c r="L1636" t="s">
        <v>6026</v>
      </c>
    </row>
    <row r="1637" spans="1:12" x14ac:dyDescent="0.35">
      <c r="A1637" t="s">
        <v>117</v>
      </c>
      <c r="B1637" t="s">
        <v>327</v>
      </c>
      <c r="C1637" t="s">
        <v>1158</v>
      </c>
      <c r="D1637">
        <v>1820</v>
      </c>
      <c r="F1637" t="s">
        <v>5539</v>
      </c>
      <c r="I1637" t="s">
        <v>2258</v>
      </c>
      <c r="K1637" t="s">
        <v>6025</v>
      </c>
      <c r="L1637" t="s">
        <v>6026</v>
      </c>
    </row>
    <row r="1638" spans="1:12" x14ac:dyDescent="0.35">
      <c r="A1638" t="s">
        <v>117</v>
      </c>
      <c r="B1638" t="s">
        <v>327</v>
      </c>
      <c r="C1638" t="s">
        <v>169</v>
      </c>
      <c r="D1638">
        <v>1130</v>
      </c>
      <c r="F1638" t="s">
        <v>5554</v>
      </c>
      <c r="I1638" t="s">
        <v>6024</v>
      </c>
      <c r="K1638" t="s">
        <v>6025</v>
      </c>
      <c r="L1638" t="s">
        <v>6026</v>
      </c>
    </row>
    <row r="1639" spans="1:12" x14ac:dyDescent="0.35">
      <c r="A1639" t="s">
        <v>117</v>
      </c>
      <c r="B1639" t="s">
        <v>327</v>
      </c>
      <c r="C1639" t="s">
        <v>880</v>
      </c>
      <c r="D1639">
        <v>1070</v>
      </c>
      <c r="F1639" t="s">
        <v>5549</v>
      </c>
      <c r="I1639" t="s">
        <v>6024</v>
      </c>
      <c r="K1639" t="s">
        <v>6025</v>
      </c>
      <c r="L1639" t="s">
        <v>6026</v>
      </c>
    </row>
    <row r="1640" spans="1:12" x14ac:dyDescent="0.35">
      <c r="A1640" t="s">
        <v>117</v>
      </c>
      <c r="B1640" t="s">
        <v>327</v>
      </c>
      <c r="C1640" t="s">
        <v>169</v>
      </c>
      <c r="D1640">
        <v>1088</v>
      </c>
      <c r="F1640" t="s">
        <v>5555</v>
      </c>
      <c r="H1640" t="s">
        <v>4277</v>
      </c>
      <c r="I1640" t="s">
        <v>4865</v>
      </c>
      <c r="K1640" t="s">
        <v>6025</v>
      </c>
      <c r="L1640" t="s">
        <v>6026</v>
      </c>
    </row>
    <row r="1641" spans="1:12" x14ac:dyDescent="0.35">
      <c r="A1641" t="s">
        <v>117</v>
      </c>
      <c r="B1641" t="s">
        <v>179</v>
      </c>
      <c r="C1641" t="s">
        <v>880</v>
      </c>
      <c r="D1641">
        <v>1100</v>
      </c>
      <c r="F1641" t="s">
        <v>1648</v>
      </c>
      <c r="I1641" t="s">
        <v>4995</v>
      </c>
      <c r="K1641" t="s">
        <v>6025</v>
      </c>
      <c r="L1641" t="s">
        <v>6026</v>
      </c>
    </row>
    <row r="1642" spans="1:12" x14ac:dyDescent="0.35">
      <c r="A1642" t="s">
        <v>117</v>
      </c>
      <c r="B1642" t="s">
        <v>179</v>
      </c>
      <c r="C1642" t="s">
        <v>169</v>
      </c>
      <c r="D1642">
        <v>1180</v>
      </c>
      <c r="F1642" t="s">
        <v>5556</v>
      </c>
      <c r="I1642" t="s">
        <v>4995</v>
      </c>
      <c r="K1642" t="s">
        <v>6025</v>
      </c>
      <c r="L1642" t="s">
        <v>6026</v>
      </c>
    </row>
    <row r="1643" spans="1:12" x14ac:dyDescent="0.35">
      <c r="A1643" t="s">
        <v>117</v>
      </c>
      <c r="B1643" t="s">
        <v>593</v>
      </c>
      <c r="C1643" t="s">
        <v>1162</v>
      </c>
      <c r="D1643">
        <v>70.959999999999994</v>
      </c>
      <c r="F1643" t="s">
        <v>5557</v>
      </c>
      <c r="H1643" t="s">
        <v>3426</v>
      </c>
      <c r="I1643" t="s">
        <v>1625</v>
      </c>
      <c r="K1643" t="s">
        <v>6025</v>
      </c>
      <c r="L1643" t="s">
        <v>6026</v>
      </c>
    </row>
    <row r="1644" spans="1:12" x14ac:dyDescent="0.35">
      <c r="A1644" t="s">
        <v>118</v>
      </c>
      <c r="B1644" t="s">
        <v>595</v>
      </c>
      <c r="C1644" t="s">
        <v>167</v>
      </c>
      <c r="D1644">
        <v>0.24</v>
      </c>
      <c r="F1644" t="s">
        <v>1488</v>
      </c>
      <c r="H1644" t="s">
        <v>5886</v>
      </c>
      <c r="I1644" t="s">
        <v>4882</v>
      </c>
      <c r="K1644" t="s">
        <v>6025</v>
      </c>
      <c r="L1644" t="s">
        <v>6026</v>
      </c>
    </row>
    <row r="1645" spans="1:12" x14ac:dyDescent="0.35">
      <c r="A1645" t="s">
        <v>118</v>
      </c>
      <c r="B1645" t="s">
        <v>595</v>
      </c>
      <c r="C1645" t="s">
        <v>167</v>
      </c>
      <c r="D1645">
        <v>0.01</v>
      </c>
      <c r="F1645" t="s">
        <v>1376</v>
      </c>
      <c r="H1645" t="s">
        <v>5887</v>
      </c>
      <c r="I1645" t="s">
        <v>4882</v>
      </c>
      <c r="K1645" t="s">
        <v>6025</v>
      </c>
      <c r="L1645" t="s">
        <v>6026</v>
      </c>
    </row>
    <row r="1646" spans="1:12" x14ac:dyDescent="0.35">
      <c r="A1646" t="s">
        <v>118</v>
      </c>
      <c r="B1646" t="s">
        <v>524</v>
      </c>
      <c r="C1646" t="s">
        <v>1188</v>
      </c>
      <c r="D1646">
        <v>62.5</v>
      </c>
      <c r="F1646" t="s">
        <v>5558</v>
      </c>
      <c r="H1646" t="s">
        <v>4290</v>
      </c>
      <c r="I1646" t="s">
        <v>4998</v>
      </c>
      <c r="K1646" t="s">
        <v>6025</v>
      </c>
      <c r="L1646" t="s">
        <v>6026</v>
      </c>
    </row>
    <row r="1647" spans="1:12" x14ac:dyDescent="0.35">
      <c r="A1647" t="s">
        <v>118</v>
      </c>
      <c r="B1647" t="s">
        <v>524</v>
      </c>
      <c r="C1647" t="s">
        <v>1188</v>
      </c>
      <c r="D1647">
        <v>1.99</v>
      </c>
      <c r="F1647" t="s">
        <v>2394</v>
      </c>
      <c r="H1647" t="s">
        <v>4291</v>
      </c>
      <c r="I1647" t="s">
        <v>4998</v>
      </c>
      <c r="K1647" t="s">
        <v>6025</v>
      </c>
      <c r="L1647" t="s">
        <v>6026</v>
      </c>
    </row>
    <row r="1648" spans="1:12" x14ac:dyDescent="0.35">
      <c r="A1648" t="s">
        <v>118</v>
      </c>
      <c r="B1648" t="s">
        <v>524</v>
      </c>
      <c r="C1648" t="s">
        <v>167</v>
      </c>
      <c r="D1648">
        <v>9.6300000000000008</v>
      </c>
      <c r="F1648" t="s">
        <v>5559</v>
      </c>
      <c r="H1648" t="s">
        <v>4580</v>
      </c>
      <c r="I1648" t="s">
        <v>4998</v>
      </c>
      <c r="K1648" t="s">
        <v>6025</v>
      </c>
      <c r="L1648" t="s">
        <v>6026</v>
      </c>
    </row>
    <row r="1649" spans="1:12" x14ac:dyDescent="0.35">
      <c r="A1649" t="s">
        <v>118</v>
      </c>
      <c r="B1649" t="s">
        <v>524</v>
      </c>
      <c r="C1649" t="s">
        <v>167</v>
      </c>
      <c r="D1649">
        <v>2.96</v>
      </c>
      <c r="F1649" t="s">
        <v>1805</v>
      </c>
      <c r="H1649" t="s">
        <v>5888</v>
      </c>
      <c r="I1649" t="s">
        <v>4998</v>
      </c>
      <c r="K1649" t="s">
        <v>6025</v>
      </c>
      <c r="L1649" t="s">
        <v>6026</v>
      </c>
    </row>
    <row r="1650" spans="1:12" x14ac:dyDescent="0.35">
      <c r="A1650" t="s">
        <v>118</v>
      </c>
      <c r="B1650" t="s">
        <v>596</v>
      </c>
      <c r="C1650" t="s">
        <v>167</v>
      </c>
      <c r="D1650">
        <v>48.7</v>
      </c>
      <c r="F1650" t="s">
        <v>5560</v>
      </c>
      <c r="H1650" t="s">
        <v>4293</v>
      </c>
      <c r="I1650" t="s">
        <v>4874</v>
      </c>
      <c r="K1650" t="s">
        <v>6025</v>
      </c>
      <c r="L1650" t="s">
        <v>6026</v>
      </c>
    </row>
    <row r="1651" spans="1:12" x14ac:dyDescent="0.35">
      <c r="A1651" t="s">
        <v>118</v>
      </c>
      <c r="B1651" t="s">
        <v>596</v>
      </c>
      <c r="C1651" t="s">
        <v>1189</v>
      </c>
      <c r="D1651">
        <v>63.4</v>
      </c>
      <c r="F1651" t="s">
        <v>5561</v>
      </c>
      <c r="H1651" t="s">
        <v>4292</v>
      </c>
      <c r="I1651" t="s">
        <v>4874</v>
      </c>
      <c r="K1651" t="s">
        <v>6025</v>
      </c>
      <c r="L1651" t="s">
        <v>6026</v>
      </c>
    </row>
    <row r="1652" spans="1:12" x14ac:dyDescent="0.35">
      <c r="A1652" t="s">
        <v>118</v>
      </c>
      <c r="B1652" t="s">
        <v>597</v>
      </c>
      <c r="C1652" t="s">
        <v>1190</v>
      </c>
      <c r="D1652">
        <v>6</v>
      </c>
      <c r="F1652" t="s">
        <v>1766</v>
      </c>
      <c r="I1652" t="s">
        <v>2326</v>
      </c>
      <c r="K1652" t="s">
        <v>6025</v>
      </c>
      <c r="L1652" t="s">
        <v>6026</v>
      </c>
    </row>
    <row r="1653" spans="1:12" x14ac:dyDescent="0.35">
      <c r="A1653" t="s">
        <v>118</v>
      </c>
      <c r="B1653" t="s">
        <v>597</v>
      </c>
      <c r="C1653" t="s">
        <v>793</v>
      </c>
      <c r="D1653">
        <v>6.7</v>
      </c>
      <c r="F1653" t="s">
        <v>1520</v>
      </c>
      <c r="H1653" t="s">
        <v>5889</v>
      </c>
      <c r="I1653" t="s">
        <v>2326</v>
      </c>
      <c r="K1653" t="s">
        <v>6025</v>
      </c>
      <c r="L1653" t="s">
        <v>6026</v>
      </c>
    </row>
    <row r="1654" spans="1:12" x14ac:dyDescent="0.35">
      <c r="A1654" t="s">
        <v>118</v>
      </c>
      <c r="B1654" t="s">
        <v>598</v>
      </c>
      <c r="C1654" t="s">
        <v>793</v>
      </c>
      <c r="D1654">
        <v>20.3</v>
      </c>
      <c r="F1654" t="s">
        <v>1427</v>
      </c>
      <c r="I1654" t="s">
        <v>4929</v>
      </c>
      <c r="K1654" t="s">
        <v>6025</v>
      </c>
      <c r="L1654" t="s">
        <v>6026</v>
      </c>
    </row>
    <row r="1655" spans="1:12" x14ac:dyDescent="0.35">
      <c r="A1655" t="s">
        <v>118</v>
      </c>
      <c r="B1655" t="s">
        <v>598</v>
      </c>
      <c r="C1655" t="s">
        <v>1188</v>
      </c>
      <c r="D1655">
        <v>20.3</v>
      </c>
      <c r="F1655" t="s">
        <v>1427</v>
      </c>
      <c r="I1655" t="s">
        <v>4929</v>
      </c>
      <c r="K1655" t="s">
        <v>6025</v>
      </c>
      <c r="L1655" t="s">
        <v>6026</v>
      </c>
    </row>
    <row r="1656" spans="1:12" x14ac:dyDescent="0.35">
      <c r="A1656" t="s">
        <v>118</v>
      </c>
      <c r="B1656" t="s">
        <v>327</v>
      </c>
      <c r="C1656" t="s">
        <v>1188</v>
      </c>
      <c r="D1656">
        <v>2.94</v>
      </c>
      <c r="F1656" t="s">
        <v>5300</v>
      </c>
      <c r="H1656" t="s">
        <v>4298</v>
      </c>
      <c r="I1656" t="s">
        <v>4974</v>
      </c>
      <c r="K1656" t="s">
        <v>6025</v>
      </c>
      <c r="L1656" t="s">
        <v>6026</v>
      </c>
    </row>
    <row r="1657" spans="1:12" x14ac:dyDescent="0.35">
      <c r="A1657" t="s">
        <v>118</v>
      </c>
      <c r="B1657" t="s">
        <v>327</v>
      </c>
      <c r="C1657" t="s">
        <v>1196</v>
      </c>
      <c r="D1657">
        <v>0.55000000000000004</v>
      </c>
      <c r="F1657" t="s">
        <v>1432</v>
      </c>
      <c r="H1657" t="s">
        <v>4185</v>
      </c>
      <c r="I1657" t="s">
        <v>4860</v>
      </c>
      <c r="K1657" t="s">
        <v>6025</v>
      </c>
      <c r="L1657" t="s">
        <v>6026</v>
      </c>
    </row>
    <row r="1658" spans="1:12" x14ac:dyDescent="0.35">
      <c r="A1658" t="s">
        <v>118</v>
      </c>
      <c r="B1658" t="s">
        <v>327</v>
      </c>
      <c r="C1658" t="s">
        <v>167</v>
      </c>
      <c r="D1658">
        <v>0.99</v>
      </c>
      <c r="F1658" t="s">
        <v>1586</v>
      </c>
      <c r="H1658" t="s">
        <v>5890</v>
      </c>
      <c r="I1658" t="s">
        <v>4974</v>
      </c>
      <c r="K1658" t="s">
        <v>6025</v>
      </c>
      <c r="L1658" t="s">
        <v>6026</v>
      </c>
    </row>
    <row r="1659" spans="1:12" x14ac:dyDescent="0.35">
      <c r="A1659" t="s">
        <v>118</v>
      </c>
      <c r="B1659" t="s">
        <v>327</v>
      </c>
      <c r="C1659" t="s">
        <v>1200</v>
      </c>
      <c r="D1659">
        <v>1.1000000000000001</v>
      </c>
      <c r="F1659" t="s">
        <v>1505</v>
      </c>
      <c r="H1659" t="s">
        <v>4305</v>
      </c>
      <c r="I1659" t="s">
        <v>4948</v>
      </c>
      <c r="K1659" t="s">
        <v>6025</v>
      </c>
      <c r="L1659" t="s">
        <v>6026</v>
      </c>
    </row>
    <row r="1660" spans="1:12" x14ac:dyDescent="0.35">
      <c r="A1660" t="s">
        <v>118</v>
      </c>
      <c r="B1660" t="s">
        <v>327</v>
      </c>
      <c r="C1660" t="s">
        <v>167</v>
      </c>
      <c r="D1660">
        <v>0.17</v>
      </c>
      <c r="F1660" t="s">
        <v>1409</v>
      </c>
      <c r="H1660" t="s">
        <v>4353</v>
      </c>
      <c r="I1660" t="s">
        <v>4974</v>
      </c>
      <c r="K1660" t="s">
        <v>6025</v>
      </c>
      <c r="L1660" t="s">
        <v>6026</v>
      </c>
    </row>
    <row r="1661" spans="1:12" x14ac:dyDescent="0.35">
      <c r="A1661" t="s">
        <v>118</v>
      </c>
      <c r="B1661" t="s">
        <v>327</v>
      </c>
      <c r="C1661" t="s">
        <v>793</v>
      </c>
      <c r="D1661">
        <v>0.19</v>
      </c>
      <c r="F1661" t="s">
        <v>1538</v>
      </c>
      <c r="H1661" t="s">
        <v>5891</v>
      </c>
      <c r="I1661" t="s">
        <v>4860</v>
      </c>
      <c r="K1661" t="s">
        <v>6025</v>
      </c>
      <c r="L1661" t="s">
        <v>6026</v>
      </c>
    </row>
    <row r="1662" spans="1:12" x14ac:dyDescent="0.35">
      <c r="A1662" t="s">
        <v>118</v>
      </c>
      <c r="B1662" t="s">
        <v>327</v>
      </c>
      <c r="C1662" t="s">
        <v>1196</v>
      </c>
      <c r="D1662">
        <v>0.19</v>
      </c>
      <c r="F1662" t="s">
        <v>1538</v>
      </c>
      <c r="H1662" t="s">
        <v>4185</v>
      </c>
      <c r="I1662" t="s">
        <v>4860</v>
      </c>
      <c r="K1662" t="s">
        <v>6025</v>
      </c>
      <c r="L1662" t="s">
        <v>6026</v>
      </c>
    </row>
    <row r="1663" spans="1:12" x14ac:dyDescent="0.35">
      <c r="A1663" t="s">
        <v>118</v>
      </c>
      <c r="B1663" t="s">
        <v>327</v>
      </c>
      <c r="C1663" t="s">
        <v>1197</v>
      </c>
      <c r="D1663">
        <v>0.2</v>
      </c>
      <c r="F1663" t="s">
        <v>1371</v>
      </c>
      <c r="H1663" t="s">
        <v>4305</v>
      </c>
      <c r="I1663" t="s">
        <v>4948</v>
      </c>
      <c r="K1663" t="s">
        <v>6025</v>
      </c>
      <c r="L1663" t="s">
        <v>6026</v>
      </c>
    </row>
    <row r="1664" spans="1:12" x14ac:dyDescent="0.35">
      <c r="A1664" t="s">
        <v>118</v>
      </c>
      <c r="B1664" t="s">
        <v>327</v>
      </c>
      <c r="C1664" t="s">
        <v>793</v>
      </c>
      <c r="D1664">
        <v>1</v>
      </c>
      <c r="F1664" t="s">
        <v>1317</v>
      </c>
      <c r="H1664" t="s">
        <v>5892</v>
      </c>
      <c r="I1664" t="s">
        <v>4860</v>
      </c>
      <c r="K1664" t="s">
        <v>6025</v>
      </c>
      <c r="L1664" t="s">
        <v>6026</v>
      </c>
    </row>
    <row r="1665" spans="1:12" x14ac:dyDescent="0.35">
      <c r="A1665" t="s">
        <v>118</v>
      </c>
      <c r="B1665" t="s">
        <v>327</v>
      </c>
      <c r="C1665" t="s">
        <v>1196</v>
      </c>
      <c r="D1665">
        <v>1</v>
      </c>
      <c r="F1665" t="s">
        <v>1317</v>
      </c>
      <c r="H1665" t="s">
        <v>4185</v>
      </c>
      <c r="I1665" t="s">
        <v>4860</v>
      </c>
      <c r="K1665" t="s">
        <v>6025</v>
      </c>
      <c r="L1665" t="s">
        <v>6026</v>
      </c>
    </row>
    <row r="1666" spans="1:12" x14ac:dyDescent="0.35">
      <c r="A1666" t="s">
        <v>118</v>
      </c>
      <c r="B1666" t="s">
        <v>327</v>
      </c>
      <c r="C1666" t="s">
        <v>1200</v>
      </c>
      <c r="D1666">
        <v>9</v>
      </c>
      <c r="F1666" t="s">
        <v>1367</v>
      </c>
      <c r="H1666" t="s">
        <v>4305</v>
      </c>
      <c r="I1666" t="s">
        <v>4948</v>
      </c>
      <c r="K1666" t="s">
        <v>6025</v>
      </c>
      <c r="L1666" t="s">
        <v>6026</v>
      </c>
    </row>
    <row r="1667" spans="1:12" x14ac:dyDescent="0.35">
      <c r="A1667" t="s">
        <v>118</v>
      </c>
      <c r="B1667" t="s">
        <v>327</v>
      </c>
      <c r="C1667" t="s">
        <v>1192</v>
      </c>
      <c r="D1667">
        <v>1.3</v>
      </c>
      <c r="F1667" t="s">
        <v>1358</v>
      </c>
      <c r="H1667" t="s">
        <v>4295</v>
      </c>
      <c r="I1667" t="s">
        <v>4948</v>
      </c>
      <c r="K1667" t="s">
        <v>6025</v>
      </c>
      <c r="L1667" t="s">
        <v>6026</v>
      </c>
    </row>
    <row r="1668" spans="1:12" x14ac:dyDescent="0.35">
      <c r="A1668" t="s">
        <v>118</v>
      </c>
      <c r="B1668" t="s">
        <v>327</v>
      </c>
      <c r="C1668" t="s">
        <v>1194</v>
      </c>
      <c r="D1668">
        <v>2.2999999999999998</v>
      </c>
      <c r="F1668" t="s">
        <v>1453</v>
      </c>
      <c r="H1668" t="s">
        <v>2842</v>
      </c>
      <c r="I1668" t="s">
        <v>4948</v>
      </c>
      <c r="K1668" t="s">
        <v>6025</v>
      </c>
      <c r="L1668" t="s">
        <v>6026</v>
      </c>
    </row>
    <row r="1669" spans="1:12" x14ac:dyDescent="0.35">
      <c r="A1669" t="s">
        <v>118</v>
      </c>
      <c r="B1669" t="s">
        <v>327</v>
      </c>
      <c r="C1669" t="s">
        <v>1201</v>
      </c>
      <c r="D1669">
        <v>2.7</v>
      </c>
      <c r="F1669" t="s">
        <v>1557</v>
      </c>
      <c r="H1669" t="s">
        <v>3426</v>
      </c>
      <c r="I1669" t="s">
        <v>4948</v>
      </c>
      <c r="K1669" t="s">
        <v>6025</v>
      </c>
      <c r="L1669" t="s">
        <v>6026</v>
      </c>
    </row>
    <row r="1670" spans="1:12" x14ac:dyDescent="0.35">
      <c r="A1670" t="s">
        <v>118</v>
      </c>
      <c r="B1670" t="s">
        <v>327</v>
      </c>
      <c r="C1670" t="s">
        <v>1194</v>
      </c>
      <c r="D1670">
        <v>3.2</v>
      </c>
      <c r="F1670" t="s">
        <v>1465</v>
      </c>
      <c r="H1670" t="s">
        <v>2842</v>
      </c>
      <c r="I1670" t="s">
        <v>4948</v>
      </c>
      <c r="K1670" t="s">
        <v>6025</v>
      </c>
      <c r="L1670" t="s">
        <v>6026</v>
      </c>
    </row>
    <row r="1671" spans="1:12" x14ac:dyDescent="0.35">
      <c r="A1671" t="s">
        <v>118</v>
      </c>
      <c r="B1671" t="s">
        <v>327</v>
      </c>
      <c r="C1671" t="s">
        <v>1188</v>
      </c>
      <c r="D1671">
        <v>5.5</v>
      </c>
      <c r="F1671" t="s">
        <v>1860</v>
      </c>
      <c r="H1671" t="s">
        <v>5893</v>
      </c>
      <c r="I1671" t="s">
        <v>4974</v>
      </c>
      <c r="K1671" t="s">
        <v>6025</v>
      </c>
      <c r="L1671" t="s">
        <v>6026</v>
      </c>
    </row>
    <row r="1672" spans="1:12" x14ac:dyDescent="0.35">
      <c r="A1672" t="s">
        <v>118</v>
      </c>
      <c r="B1672" t="s">
        <v>327</v>
      </c>
      <c r="C1672" t="s">
        <v>793</v>
      </c>
      <c r="D1672">
        <v>110</v>
      </c>
      <c r="F1672" t="s">
        <v>2331</v>
      </c>
      <c r="H1672" t="s">
        <v>4314</v>
      </c>
      <c r="I1672" t="s">
        <v>4892</v>
      </c>
      <c r="K1672" t="s">
        <v>6025</v>
      </c>
      <c r="L1672" t="s">
        <v>6026</v>
      </c>
    </row>
    <row r="1673" spans="1:12" x14ac:dyDescent="0.35">
      <c r="A1673" t="s">
        <v>118</v>
      </c>
      <c r="B1673" t="s">
        <v>327</v>
      </c>
      <c r="C1673" t="s">
        <v>1198</v>
      </c>
      <c r="D1673">
        <v>110</v>
      </c>
      <c r="F1673" t="s">
        <v>2331</v>
      </c>
      <c r="H1673" t="s">
        <v>5894</v>
      </c>
      <c r="I1673" t="s">
        <v>4892</v>
      </c>
      <c r="K1673" t="s">
        <v>6025</v>
      </c>
      <c r="L1673" t="s">
        <v>6026</v>
      </c>
    </row>
    <row r="1674" spans="1:12" x14ac:dyDescent="0.35">
      <c r="A1674" t="s">
        <v>118</v>
      </c>
      <c r="B1674" t="s">
        <v>327</v>
      </c>
      <c r="C1674" t="s">
        <v>1196</v>
      </c>
      <c r="D1674">
        <v>0.82</v>
      </c>
      <c r="F1674" t="s">
        <v>1930</v>
      </c>
      <c r="H1674" t="s">
        <v>4185</v>
      </c>
      <c r="I1674" t="s">
        <v>4860</v>
      </c>
      <c r="K1674" t="s">
        <v>6025</v>
      </c>
      <c r="L1674" t="s">
        <v>6026</v>
      </c>
    </row>
    <row r="1675" spans="1:12" x14ac:dyDescent="0.35">
      <c r="A1675" t="s">
        <v>118</v>
      </c>
      <c r="B1675" t="s">
        <v>327</v>
      </c>
      <c r="C1675" t="s">
        <v>1201</v>
      </c>
      <c r="D1675">
        <v>4.8</v>
      </c>
      <c r="F1675" t="s">
        <v>1567</v>
      </c>
      <c r="H1675" t="s">
        <v>3426</v>
      </c>
      <c r="I1675" t="s">
        <v>4948</v>
      </c>
      <c r="K1675" t="s">
        <v>6025</v>
      </c>
      <c r="L1675" t="s">
        <v>6026</v>
      </c>
    </row>
    <row r="1676" spans="1:12" x14ac:dyDescent="0.35">
      <c r="A1676" t="s">
        <v>118</v>
      </c>
      <c r="B1676" t="s">
        <v>327</v>
      </c>
      <c r="C1676" t="s">
        <v>1196</v>
      </c>
      <c r="D1676">
        <v>0.59</v>
      </c>
      <c r="F1676" t="s">
        <v>1483</v>
      </c>
      <c r="H1676" t="s">
        <v>4185</v>
      </c>
      <c r="I1676" t="s">
        <v>4860</v>
      </c>
      <c r="K1676" t="s">
        <v>6025</v>
      </c>
      <c r="L1676" t="s">
        <v>6026</v>
      </c>
    </row>
    <row r="1677" spans="1:12" x14ac:dyDescent="0.35">
      <c r="A1677" t="s">
        <v>118</v>
      </c>
      <c r="B1677" t="s">
        <v>327</v>
      </c>
      <c r="C1677" t="s">
        <v>1188</v>
      </c>
      <c r="D1677">
        <v>76</v>
      </c>
      <c r="F1677" t="s">
        <v>2334</v>
      </c>
      <c r="I1677" t="s">
        <v>1360</v>
      </c>
      <c r="K1677" t="s">
        <v>6025</v>
      </c>
      <c r="L1677" t="s">
        <v>6026</v>
      </c>
    </row>
    <row r="1678" spans="1:12" x14ac:dyDescent="0.35">
      <c r="A1678" t="s">
        <v>118</v>
      </c>
      <c r="B1678" t="s">
        <v>327</v>
      </c>
      <c r="C1678" t="s">
        <v>1188</v>
      </c>
      <c r="D1678">
        <v>5</v>
      </c>
      <c r="F1678" t="s">
        <v>1477</v>
      </c>
      <c r="H1678" t="s">
        <v>5895</v>
      </c>
      <c r="I1678" t="s">
        <v>4974</v>
      </c>
      <c r="K1678" t="s">
        <v>6025</v>
      </c>
      <c r="L1678" t="s">
        <v>6026</v>
      </c>
    </row>
    <row r="1679" spans="1:12" x14ac:dyDescent="0.35">
      <c r="A1679" t="s">
        <v>118</v>
      </c>
      <c r="B1679" t="s">
        <v>327</v>
      </c>
      <c r="C1679" t="s">
        <v>1192</v>
      </c>
      <c r="D1679">
        <v>7.7</v>
      </c>
      <c r="F1679" t="s">
        <v>1627</v>
      </c>
      <c r="H1679" t="s">
        <v>4295</v>
      </c>
      <c r="I1679" t="s">
        <v>4948</v>
      </c>
      <c r="K1679" t="s">
        <v>6025</v>
      </c>
      <c r="L1679" t="s">
        <v>6026</v>
      </c>
    </row>
    <row r="1680" spans="1:12" x14ac:dyDescent="0.35">
      <c r="A1680" t="s">
        <v>118</v>
      </c>
      <c r="B1680" t="s">
        <v>327</v>
      </c>
      <c r="C1680" t="s">
        <v>1199</v>
      </c>
      <c r="D1680">
        <v>17.7</v>
      </c>
      <c r="F1680" t="s">
        <v>5562</v>
      </c>
      <c r="H1680" t="s">
        <v>4295</v>
      </c>
      <c r="I1680" t="s">
        <v>4948</v>
      </c>
      <c r="K1680" t="s">
        <v>6025</v>
      </c>
      <c r="L1680" t="s">
        <v>6026</v>
      </c>
    </row>
    <row r="1681" spans="1:12" x14ac:dyDescent="0.35">
      <c r="A1681" t="s">
        <v>118</v>
      </c>
      <c r="B1681" t="s">
        <v>327</v>
      </c>
      <c r="C1681" t="s">
        <v>167</v>
      </c>
      <c r="D1681">
        <v>0.47</v>
      </c>
      <c r="F1681" t="s">
        <v>1795</v>
      </c>
      <c r="H1681" t="s">
        <v>5896</v>
      </c>
      <c r="I1681" t="s">
        <v>4974</v>
      </c>
      <c r="K1681" t="s">
        <v>6025</v>
      </c>
      <c r="L1681" t="s">
        <v>6026</v>
      </c>
    </row>
    <row r="1682" spans="1:12" x14ac:dyDescent="0.35">
      <c r="A1682" t="s">
        <v>118</v>
      </c>
      <c r="B1682" t="s">
        <v>327</v>
      </c>
      <c r="C1682" t="s">
        <v>793</v>
      </c>
      <c r="D1682">
        <v>150</v>
      </c>
      <c r="F1682" t="s">
        <v>1892</v>
      </c>
      <c r="H1682" t="s">
        <v>5897</v>
      </c>
      <c r="I1682" t="s">
        <v>4892</v>
      </c>
      <c r="K1682" t="s">
        <v>6025</v>
      </c>
      <c r="L1682" t="s">
        <v>6026</v>
      </c>
    </row>
    <row r="1683" spans="1:12" x14ac:dyDescent="0.35">
      <c r="A1683" t="s">
        <v>118</v>
      </c>
      <c r="B1683" t="s">
        <v>327</v>
      </c>
      <c r="C1683" t="s">
        <v>793</v>
      </c>
      <c r="D1683">
        <v>107</v>
      </c>
      <c r="F1683" t="s">
        <v>4858</v>
      </c>
      <c r="H1683" t="s">
        <v>4326</v>
      </c>
      <c r="I1683" t="s">
        <v>4892</v>
      </c>
      <c r="K1683" t="s">
        <v>6025</v>
      </c>
      <c r="L1683" t="s">
        <v>6026</v>
      </c>
    </row>
    <row r="1684" spans="1:12" x14ac:dyDescent="0.35">
      <c r="A1684" t="s">
        <v>118</v>
      </c>
      <c r="B1684" t="s">
        <v>327</v>
      </c>
      <c r="C1684" t="s">
        <v>793</v>
      </c>
      <c r="D1684">
        <v>700</v>
      </c>
      <c r="F1684" t="s">
        <v>5418</v>
      </c>
      <c r="H1684" t="s">
        <v>4303</v>
      </c>
      <c r="I1684" t="s">
        <v>4892</v>
      </c>
      <c r="K1684" t="s">
        <v>6025</v>
      </c>
      <c r="L1684" t="s">
        <v>6026</v>
      </c>
    </row>
    <row r="1685" spans="1:12" x14ac:dyDescent="0.35">
      <c r="A1685" t="s">
        <v>118</v>
      </c>
      <c r="B1685" t="s">
        <v>327</v>
      </c>
      <c r="C1685" t="s">
        <v>1199</v>
      </c>
      <c r="D1685">
        <v>0.83</v>
      </c>
      <c r="F1685" t="s">
        <v>1734</v>
      </c>
      <c r="H1685" t="s">
        <v>4295</v>
      </c>
      <c r="I1685" t="s">
        <v>4948</v>
      </c>
      <c r="K1685" t="s">
        <v>6025</v>
      </c>
      <c r="L1685" t="s">
        <v>6026</v>
      </c>
    </row>
    <row r="1686" spans="1:12" x14ac:dyDescent="0.35">
      <c r="A1686" t="s">
        <v>118</v>
      </c>
      <c r="B1686" t="s">
        <v>327</v>
      </c>
      <c r="C1686" t="s">
        <v>1193</v>
      </c>
      <c r="D1686">
        <v>302</v>
      </c>
      <c r="F1686" t="s">
        <v>5026</v>
      </c>
      <c r="H1686" t="s">
        <v>4300</v>
      </c>
      <c r="I1686" t="s">
        <v>4892</v>
      </c>
      <c r="K1686" t="s">
        <v>6025</v>
      </c>
      <c r="L1686" t="s">
        <v>6026</v>
      </c>
    </row>
    <row r="1687" spans="1:12" x14ac:dyDescent="0.35">
      <c r="A1687" t="s">
        <v>118</v>
      </c>
      <c r="B1687" t="s">
        <v>327</v>
      </c>
      <c r="C1687" t="s">
        <v>791</v>
      </c>
      <c r="D1687">
        <v>200</v>
      </c>
      <c r="F1687" t="s">
        <v>2332</v>
      </c>
      <c r="H1687" t="s">
        <v>4311</v>
      </c>
      <c r="I1687" t="s">
        <v>4892</v>
      </c>
      <c r="K1687" t="s">
        <v>6025</v>
      </c>
      <c r="L1687" t="s">
        <v>6026</v>
      </c>
    </row>
    <row r="1688" spans="1:12" x14ac:dyDescent="0.35">
      <c r="A1688" t="s">
        <v>118</v>
      </c>
      <c r="B1688" t="s">
        <v>327</v>
      </c>
      <c r="C1688" t="s">
        <v>167</v>
      </c>
      <c r="D1688">
        <v>0.75</v>
      </c>
      <c r="F1688" t="s">
        <v>1475</v>
      </c>
      <c r="H1688" t="s">
        <v>4355</v>
      </c>
      <c r="I1688" t="s">
        <v>4974</v>
      </c>
      <c r="K1688" t="s">
        <v>6025</v>
      </c>
      <c r="L1688" t="s">
        <v>6026</v>
      </c>
    </row>
    <row r="1689" spans="1:12" x14ac:dyDescent="0.35">
      <c r="A1689" t="s">
        <v>118</v>
      </c>
      <c r="B1689" t="s">
        <v>327</v>
      </c>
      <c r="C1689" t="s">
        <v>1199</v>
      </c>
      <c r="D1689">
        <v>4.5999999999999996</v>
      </c>
      <c r="F1689" t="s">
        <v>1468</v>
      </c>
      <c r="H1689" t="s">
        <v>4295</v>
      </c>
      <c r="I1689" t="s">
        <v>4948</v>
      </c>
      <c r="K1689" t="s">
        <v>6025</v>
      </c>
      <c r="L1689" t="s">
        <v>6026</v>
      </c>
    </row>
    <row r="1690" spans="1:12" x14ac:dyDescent="0.35">
      <c r="A1690" t="s">
        <v>118</v>
      </c>
      <c r="B1690" t="s">
        <v>327</v>
      </c>
      <c r="C1690" t="s">
        <v>1188</v>
      </c>
      <c r="D1690">
        <v>2.4</v>
      </c>
      <c r="F1690" t="s">
        <v>1433</v>
      </c>
      <c r="H1690" t="s">
        <v>5898</v>
      </c>
      <c r="I1690" t="s">
        <v>4974</v>
      </c>
      <c r="K1690" t="s">
        <v>6025</v>
      </c>
      <c r="L1690" t="s">
        <v>6026</v>
      </c>
    </row>
    <row r="1691" spans="1:12" x14ac:dyDescent="0.35">
      <c r="A1691" t="s">
        <v>118</v>
      </c>
      <c r="B1691" t="s">
        <v>327</v>
      </c>
      <c r="C1691" t="s">
        <v>1200</v>
      </c>
      <c r="D1691">
        <v>2.4</v>
      </c>
      <c r="F1691" t="s">
        <v>1433</v>
      </c>
      <c r="H1691" t="s">
        <v>4305</v>
      </c>
      <c r="I1691" t="s">
        <v>4948</v>
      </c>
      <c r="K1691" t="s">
        <v>6025</v>
      </c>
      <c r="L1691" t="s">
        <v>6026</v>
      </c>
    </row>
    <row r="1692" spans="1:12" x14ac:dyDescent="0.35">
      <c r="A1692" t="s">
        <v>118</v>
      </c>
      <c r="B1692" t="s">
        <v>327</v>
      </c>
      <c r="C1692" t="s">
        <v>1196</v>
      </c>
      <c r="D1692">
        <v>13</v>
      </c>
      <c r="F1692" t="s">
        <v>1454</v>
      </c>
      <c r="H1692" t="s">
        <v>4185</v>
      </c>
      <c r="I1692" t="s">
        <v>4860</v>
      </c>
      <c r="K1692" t="s">
        <v>6025</v>
      </c>
      <c r="L1692" t="s">
        <v>6026</v>
      </c>
    </row>
    <row r="1693" spans="1:12" x14ac:dyDescent="0.35">
      <c r="A1693" t="s">
        <v>118</v>
      </c>
      <c r="B1693" t="s">
        <v>327</v>
      </c>
      <c r="C1693" t="s">
        <v>1201</v>
      </c>
      <c r="D1693">
        <v>4.4000000000000004</v>
      </c>
      <c r="F1693" t="s">
        <v>1492</v>
      </c>
      <c r="H1693" t="s">
        <v>3426</v>
      </c>
      <c r="I1693" t="s">
        <v>4948</v>
      </c>
      <c r="K1693" t="s">
        <v>6025</v>
      </c>
      <c r="L1693" t="s">
        <v>6026</v>
      </c>
    </row>
    <row r="1694" spans="1:12" x14ac:dyDescent="0.35">
      <c r="A1694" t="s">
        <v>118</v>
      </c>
      <c r="B1694" t="s">
        <v>327</v>
      </c>
      <c r="C1694" t="s">
        <v>793</v>
      </c>
      <c r="D1694">
        <v>141</v>
      </c>
      <c r="F1694" t="s">
        <v>4973</v>
      </c>
      <c r="H1694" t="s">
        <v>4331</v>
      </c>
      <c r="I1694" t="s">
        <v>4860</v>
      </c>
      <c r="K1694" t="s">
        <v>6025</v>
      </c>
      <c r="L1694" t="s">
        <v>6026</v>
      </c>
    </row>
    <row r="1695" spans="1:12" x14ac:dyDescent="0.35">
      <c r="A1695" t="s">
        <v>118</v>
      </c>
      <c r="B1695" t="s">
        <v>327</v>
      </c>
      <c r="C1695" t="s">
        <v>1202</v>
      </c>
      <c r="D1695">
        <v>141</v>
      </c>
      <c r="F1695" t="s">
        <v>4973</v>
      </c>
      <c r="H1695" t="s">
        <v>4329</v>
      </c>
      <c r="I1695" t="s">
        <v>4860</v>
      </c>
      <c r="K1695" t="s">
        <v>6025</v>
      </c>
      <c r="L1695" t="s">
        <v>6026</v>
      </c>
    </row>
    <row r="1696" spans="1:12" x14ac:dyDescent="0.35">
      <c r="A1696" t="s">
        <v>118</v>
      </c>
      <c r="B1696" t="s">
        <v>327</v>
      </c>
      <c r="C1696" t="s">
        <v>793</v>
      </c>
      <c r="D1696">
        <v>149</v>
      </c>
      <c r="F1696" t="s">
        <v>5023</v>
      </c>
      <c r="H1696" t="s">
        <v>5899</v>
      </c>
      <c r="I1696" t="s">
        <v>4860</v>
      </c>
      <c r="K1696" t="s">
        <v>6025</v>
      </c>
      <c r="L1696" t="s">
        <v>6026</v>
      </c>
    </row>
    <row r="1697" spans="1:12" x14ac:dyDescent="0.35">
      <c r="A1697" t="s">
        <v>118</v>
      </c>
      <c r="B1697" t="s">
        <v>327</v>
      </c>
      <c r="C1697" t="s">
        <v>1202</v>
      </c>
      <c r="D1697">
        <v>149</v>
      </c>
      <c r="F1697" t="s">
        <v>5023</v>
      </c>
      <c r="H1697" t="s">
        <v>4351</v>
      </c>
      <c r="I1697" t="s">
        <v>4860</v>
      </c>
      <c r="K1697" t="s">
        <v>6025</v>
      </c>
      <c r="L1697" t="s">
        <v>6026</v>
      </c>
    </row>
    <row r="1698" spans="1:12" x14ac:dyDescent="0.35">
      <c r="A1698" t="s">
        <v>118</v>
      </c>
      <c r="B1698" t="s">
        <v>327</v>
      </c>
      <c r="C1698" t="s">
        <v>1197</v>
      </c>
      <c r="D1698">
        <v>7.0000000000000007E-2</v>
      </c>
      <c r="F1698" t="s">
        <v>1456</v>
      </c>
      <c r="H1698" t="s">
        <v>4305</v>
      </c>
      <c r="I1698" t="s">
        <v>4948</v>
      </c>
      <c r="K1698" t="s">
        <v>6025</v>
      </c>
      <c r="L1698" t="s">
        <v>6026</v>
      </c>
    </row>
    <row r="1699" spans="1:12" x14ac:dyDescent="0.35">
      <c r="A1699" t="s">
        <v>118</v>
      </c>
      <c r="B1699" t="s">
        <v>327</v>
      </c>
      <c r="C1699" t="s">
        <v>1188</v>
      </c>
      <c r="D1699">
        <v>4.5</v>
      </c>
      <c r="F1699" t="s">
        <v>1828</v>
      </c>
      <c r="H1699" t="s">
        <v>5900</v>
      </c>
      <c r="I1699" t="s">
        <v>1354</v>
      </c>
      <c r="K1699" t="s">
        <v>6025</v>
      </c>
      <c r="L1699" t="s">
        <v>6026</v>
      </c>
    </row>
    <row r="1700" spans="1:12" x14ac:dyDescent="0.35">
      <c r="A1700" t="s">
        <v>118</v>
      </c>
      <c r="B1700" t="s">
        <v>327</v>
      </c>
      <c r="C1700" t="s">
        <v>167</v>
      </c>
      <c r="D1700">
        <v>12.2</v>
      </c>
      <c r="F1700" t="s">
        <v>1471</v>
      </c>
      <c r="H1700" t="s">
        <v>5901</v>
      </c>
      <c r="I1700" t="s">
        <v>1354</v>
      </c>
      <c r="K1700" t="s">
        <v>6025</v>
      </c>
      <c r="L1700" t="s">
        <v>6026</v>
      </c>
    </row>
    <row r="1701" spans="1:12" x14ac:dyDescent="0.35">
      <c r="A1701" t="s">
        <v>118</v>
      </c>
      <c r="B1701" t="s">
        <v>327</v>
      </c>
      <c r="C1701" t="s">
        <v>167</v>
      </c>
      <c r="D1701">
        <v>0.32</v>
      </c>
      <c r="F1701" t="s">
        <v>1470</v>
      </c>
      <c r="H1701" t="s">
        <v>4340</v>
      </c>
      <c r="I1701" t="s">
        <v>4974</v>
      </c>
      <c r="K1701" t="s">
        <v>6025</v>
      </c>
      <c r="L1701" t="s">
        <v>6026</v>
      </c>
    </row>
    <row r="1702" spans="1:12" x14ac:dyDescent="0.35">
      <c r="A1702" t="s">
        <v>118</v>
      </c>
      <c r="B1702" t="s">
        <v>327</v>
      </c>
      <c r="C1702" t="s">
        <v>1192</v>
      </c>
      <c r="D1702">
        <v>0.37</v>
      </c>
      <c r="F1702" t="s">
        <v>1481</v>
      </c>
      <c r="H1702" t="s">
        <v>4295</v>
      </c>
      <c r="I1702" t="s">
        <v>4948</v>
      </c>
      <c r="K1702" t="s">
        <v>6025</v>
      </c>
      <c r="L1702" t="s">
        <v>6026</v>
      </c>
    </row>
    <row r="1703" spans="1:12" x14ac:dyDescent="0.35">
      <c r="A1703" t="s">
        <v>118</v>
      </c>
      <c r="B1703" t="s">
        <v>327</v>
      </c>
      <c r="C1703" t="s">
        <v>1193</v>
      </c>
      <c r="D1703">
        <v>31</v>
      </c>
      <c r="F1703" t="s">
        <v>1390</v>
      </c>
      <c r="H1703" t="s">
        <v>4300</v>
      </c>
      <c r="I1703" t="s">
        <v>4892</v>
      </c>
      <c r="K1703" t="s">
        <v>6025</v>
      </c>
      <c r="L1703" t="s">
        <v>6026</v>
      </c>
    </row>
    <row r="1704" spans="1:12" x14ac:dyDescent="0.35">
      <c r="A1704" t="s">
        <v>118</v>
      </c>
      <c r="B1704" t="s">
        <v>327</v>
      </c>
      <c r="C1704" t="s">
        <v>1187</v>
      </c>
      <c r="D1704">
        <v>3.5000000000000003E-2</v>
      </c>
      <c r="F1704" t="s">
        <v>1341</v>
      </c>
      <c r="H1704" t="s">
        <v>4286</v>
      </c>
      <c r="I1704" t="s">
        <v>2332</v>
      </c>
      <c r="K1704" t="s">
        <v>6025</v>
      </c>
      <c r="L1704" t="s">
        <v>6026</v>
      </c>
    </row>
    <row r="1705" spans="1:12" x14ac:dyDescent="0.35">
      <c r="A1705" t="s">
        <v>118</v>
      </c>
      <c r="B1705" t="s">
        <v>327</v>
      </c>
      <c r="C1705" t="s">
        <v>167</v>
      </c>
      <c r="D1705">
        <v>1.75</v>
      </c>
      <c r="F1705" t="s">
        <v>1523</v>
      </c>
      <c r="H1705" t="s">
        <v>4341</v>
      </c>
      <c r="I1705" t="s">
        <v>4974</v>
      </c>
      <c r="K1705" t="s">
        <v>6025</v>
      </c>
      <c r="L1705" t="s">
        <v>6026</v>
      </c>
    </row>
    <row r="1706" spans="1:12" x14ac:dyDescent="0.35">
      <c r="A1706" t="s">
        <v>118</v>
      </c>
      <c r="B1706" t="s">
        <v>327</v>
      </c>
      <c r="C1706" t="s">
        <v>1188</v>
      </c>
      <c r="D1706">
        <v>3.94</v>
      </c>
      <c r="F1706" t="s">
        <v>5563</v>
      </c>
      <c r="H1706" t="s">
        <v>5902</v>
      </c>
      <c r="I1706" t="s">
        <v>4974</v>
      </c>
      <c r="K1706" t="s">
        <v>6025</v>
      </c>
      <c r="L1706" t="s">
        <v>6026</v>
      </c>
    </row>
    <row r="1707" spans="1:12" x14ac:dyDescent="0.35">
      <c r="A1707" t="s">
        <v>118</v>
      </c>
      <c r="B1707" t="s">
        <v>327</v>
      </c>
      <c r="C1707" t="s">
        <v>1197</v>
      </c>
      <c r="D1707">
        <v>0.46</v>
      </c>
      <c r="F1707" t="s">
        <v>1506</v>
      </c>
      <c r="H1707" t="s">
        <v>4305</v>
      </c>
      <c r="I1707" t="s">
        <v>4948</v>
      </c>
      <c r="K1707" t="s">
        <v>6025</v>
      </c>
      <c r="L1707" t="s">
        <v>6026</v>
      </c>
    </row>
    <row r="1708" spans="1:12" x14ac:dyDescent="0.35">
      <c r="A1708" t="s">
        <v>118</v>
      </c>
      <c r="B1708" t="s">
        <v>327</v>
      </c>
      <c r="C1708" t="s">
        <v>167</v>
      </c>
      <c r="D1708">
        <v>0.67</v>
      </c>
      <c r="F1708" t="s">
        <v>1478</v>
      </c>
      <c r="H1708" t="s">
        <v>4352</v>
      </c>
      <c r="I1708" t="s">
        <v>4974</v>
      </c>
      <c r="K1708" t="s">
        <v>6025</v>
      </c>
      <c r="L1708" t="s">
        <v>6026</v>
      </c>
    </row>
    <row r="1709" spans="1:12" x14ac:dyDescent="0.35">
      <c r="A1709" t="s">
        <v>118</v>
      </c>
      <c r="B1709" t="s">
        <v>327</v>
      </c>
      <c r="C1709" t="s">
        <v>793</v>
      </c>
      <c r="D1709">
        <v>132</v>
      </c>
      <c r="F1709" t="s">
        <v>4881</v>
      </c>
      <c r="H1709" t="s">
        <v>5903</v>
      </c>
      <c r="I1709" t="s">
        <v>4892</v>
      </c>
      <c r="K1709" t="s">
        <v>6025</v>
      </c>
      <c r="L1709" t="s">
        <v>6026</v>
      </c>
    </row>
    <row r="1710" spans="1:12" x14ac:dyDescent="0.35">
      <c r="A1710" t="s">
        <v>118</v>
      </c>
      <c r="B1710" t="s">
        <v>327</v>
      </c>
      <c r="C1710" t="s">
        <v>1198</v>
      </c>
      <c r="D1710">
        <v>210</v>
      </c>
      <c r="F1710" t="s">
        <v>2403</v>
      </c>
      <c r="H1710" t="s">
        <v>4317</v>
      </c>
      <c r="I1710" t="s">
        <v>4892</v>
      </c>
      <c r="K1710" t="s">
        <v>6025</v>
      </c>
      <c r="L1710" t="s">
        <v>6026</v>
      </c>
    </row>
    <row r="1711" spans="1:12" x14ac:dyDescent="0.35">
      <c r="A1711" t="s">
        <v>118</v>
      </c>
      <c r="B1711" t="s">
        <v>327</v>
      </c>
      <c r="C1711" t="s">
        <v>1188</v>
      </c>
      <c r="D1711">
        <v>3.28</v>
      </c>
      <c r="F1711" t="s">
        <v>5378</v>
      </c>
      <c r="H1711" t="s">
        <v>4339</v>
      </c>
      <c r="I1711" t="s">
        <v>4974</v>
      </c>
      <c r="K1711" t="s">
        <v>6025</v>
      </c>
      <c r="L1711" t="s">
        <v>6026</v>
      </c>
    </row>
    <row r="1712" spans="1:12" x14ac:dyDescent="0.35">
      <c r="A1712" t="s">
        <v>118</v>
      </c>
      <c r="B1712" t="s">
        <v>327</v>
      </c>
      <c r="C1712" t="s">
        <v>167</v>
      </c>
      <c r="D1712">
        <v>1.33</v>
      </c>
      <c r="F1712" t="s">
        <v>1443</v>
      </c>
      <c r="H1712" t="s">
        <v>4356</v>
      </c>
      <c r="I1712" t="s">
        <v>4974</v>
      </c>
      <c r="K1712" t="s">
        <v>6025</v>
      </c>
      <c r="L1712" t="s">
        <v>6026</v>
      </c>
    </row>
    <row r="1713" spans="1:12" x14ac:dyDescent="0.35">
      <c r="A1713" t="s">
        <v>118</v>
      </c>
      <c r="B1713" t="s">
        <v>327</v>
      </c>
      <c r="C1713" t="s">
        <v>1193</v>
      </c>
      <c r="D1713">
        <v>112</v>
      </c>
      <c r="F1713" t="s">
        <v>4853</v>
      </c>
      <c r="H1713" t="s">
        <v>4300</v>
      </c>
      <c r="I1713" t="s">
        <v>4892</v>
      </c>
      <c r="K1713" t="s">
        <v>6025</v>
      </c>
      <c r="L1713" t="s">
        <v>6026</v>
      </c>
    </row>
    <row r="1714" spans="1:12" x14ac:dyDescent="0.35">
      <c r="A1714" t="s">
        <v>118</v>
      </c>
      <c r="B1714" t="s">
        <v>327</v>
      </c>
      <c r="C1714" t="s">
        <v>167</v>
      </c>
      <c r="D1714">
        <v>1.18</v>
      </c>
      <c r="F1714" t="s">
        <v>1947</v>
      </c>
      <c r="H1714" t="s">
        <v>5904</v>
      </c>
      <c r="I1714" t="s">
        <v>4974</v>
      </c>
      <c r="K1714" t="s">
        <v>6025</v>
      </c>
      <c r="L1714" t="s">
        <v>6026</v>
      </c>
    </row>
    <row r="1715" spans="1:12" x14ac:dyDescent="0.35">
      <c r="A1715" t="s">
        <v>118</v>
      </c>
      <c r="B1715" t="s">
        <v>327</v>
      </c>
      <c r="C1715" t="s">
        <v>167</v>
      </c>
      <c r="D1715">
        <v>7.67</v>
      </c>
      <c r="F1715" t="s">
        <v>5564</v>
      </c>
      <c r="H1715" t="s">
        <v>5905</v>
      </c>
      <c r="I1715" t="s">
        <v>1354</v>
      </c>
      <c r="K1715" t="s">
        <v>6025</v>
      </c>
      <c r="L1715" t="s">
        <v>6026</v>
      </c>
    </row>
    <row r="1716" spans="1:12" x14ac:dyDescent="0.35">
      <c r="A1716" t="s">
        <v>118</v>
      </c>
      <c r="B1716" t="s">
        <v>327</v>
      </c>
      <c r="C1716" t="s">
        <v>1198</v>
      </c>
      <c r="D1716">
        <v>320</v>
      </c>
      <c r="F1716" t="s">
        <v>2339</v>
      </c>
      <c r="H1716" t="s">
        <v>5906</v>
      </c>
      <c r="I1716" t="s">
        <v>4892</v>
      </c>
      <c r="K1716" t="s">
        <v>6025</v>
      </c>
      <c r="L1716" t="s">
        <v>6026</v>
      </c>
    </row>
    <row r="1717" spans="1:12" x14ac:dyDescent="0.35">
      <c r="A1717" t="s">
        <v>118</v>
      </c>
      <c r="B1717" t="s">
        <v>327</v>
      </c>
      <c r="C1717" t="s">
        <v>793</v>
      </c>
      <c r="D1717">
        <v>368</v>
      </c>
      <c r="F1717" t="s">
        <v>5565</v>
      </c>
      <c r="H1717" t="s">
        <v>5907</v>
      </c>
      <c r="I1717" t="s">
        <v>4860</v>
      </c>
      <c r="K1717" t="s">
        <v>6025</v>
      </c>
      <c r="L1717" t="s">
        <v>6026</v>
      </c>
    </row>
    <row r="1718" spans="1:12" x14ac:dyDescent="0.35">
      <c r="A1718" t="s">
        <v>118</v>
      </c>
      <c r="B1718" t="s">
        <v>327</v>
      </c>
      <c r="C1718" t="s">
        <v>1202</v>
      </c>
      <c r="D1718">
        <v>368</v>
      </c>
      <c r="F1718" t="s">
        <v>5565</v>
      </c>
      <c r="H1718" t="s">
        <v>4343</v>
      </c>
      <c r="I1718" t="s">
        <v>4860</v>
      </c>
      <c r="K1718" t="s">
        <v>6025</v>
      </c>
      <c r="L1718" t="s">
        <v>6026</v>
      </c>
    </row>
    <row r="1719" spans="1:12" x14ac:dyDescent="0.35">
      <c r="A1719" t="s">
        <v>118</v>
      </c>
      <c r="B1719" t="s">
        <v>327</v>
      </c>
      <c r="C1719" t="s">
        <v>1188</v>
      </c>
      <c r="D1719">
        <v>1.19</v>
      </c>
      <c r="F1719" t="s">
        <v>2480</v>
      </c>
      <c r="H1719" t="s">
        <v>4344</v>
      </c>
      <c r="I1719" t="s">
        <v>4974</v>
      </c>
      <c r="K1719" t="s">
        <v>6025</v>
      </c>
      <c r="L1719" t="s">
        <v>6026</v>
      </c>
    </row>
    <row r="1720" spans="1:12" x14ac:dyDescent="0.35">
      <c r="A1720" t="s">
        <v>118</v>
      </c>
      <c r="B1720" t="s">
        <v>327</v>
      </c>
      <c r="C1720" t="s">
        <v>1194</v>
      </c>
      <c r="D1720">
        <v>8.4</v>
      </c>
      <c r="F1720" t="s">
        <v>1565</v>
      </c>
      <c r="H1720" t="s">
        <v>2842</v>
      </c>
      <c r="I1720" t="s">
        <v>4948</v>
      </c>
      <c r="K1720" t="s">
        <v>6025</v>
      </c>
      <c r="L1720" t="s">
        <v>6026</v>
      </c>
    </row>
    <row r="1721" spans="1:12" x14ac:dyDescent="0.35">
      <c r="A1721" t="s">
        <v>118</v>
      </c>
      <c r="B1721" t="s">
        <v>327</v>
      </c>
      <c r="C1721" t="s">
        <v>1247</v>
      </c>
      <c r="D1721">
        <v>106</v>
      </c>
      <c r="F1721" t="s">
        <v>4918</v>
      </c>
      <c r="I1721" t="s">
        <v>1360</v>
      </c>
      <c r="K1721" t="s">
        <v>6025</v>
      </c>
      <c r="L1721" t="s">
        <v>6026</v>
      </c>
    </row>
    <row r="1722" spans="1:12" x14ac:dyDescent="0.35">
      <c r="A1722" t="s">
        <v>118</v>
      </c>
      <c r="B1722" t="s">
        <v>327</v>
      </c>
      <c r="C1722" t="s">
        <v>793</v>
      </c>
      <c r="D1722">
        <v>1020</v>
      </c>
      <c r="F1722" t="s">
        <v>5566</v>
      </c>
      <c r="H1722" t="s">
        <v>4296</v>
      </c>
      <c r="I1722" t="s">
        <v>4892</v>
      </c>
      <c r="K1722" t="s">
        <v>6025</v>
      </c>
      <c r="L1722" t="s">
        <v>6026</v>
      </c>
    </row>
    <row r="1723" spans="1:12" x14ac:dyDescent="0.35">
      <c r="A1723" t="s">
        <v>118</v>
      </c>
      <c r="B1723" t="s">
        <v>327</v>
      </c>
      <c r="C1723" t="s">
        <v>793</v>
      </c>
      <c r="D1723">
        <v>108</v>
      </c>
      <c r="F1723" t="s">
        <v>4884</v>
      </c>
      <c r="H1723" t="s">
        <v>5908</v>
      </c>
      <c r="I1723" t="s">
        <v>4892</v>
      </c>
      <c r="K1723" t="s">
        <v>6025</v>
      </c>
      <c r="L1723" t="s">
        <v>6026</v>
      </c>
    </row>
    <row r="1724" spans="1:12" x14ac:dyDescent="0.35">
      <c r="A1724" t="s">
        <v>118</v>
      </c>
      <c r="B1724" t="s">
        <v>327</v>
      </c>
      <c r="C1724" t="s">
        <v>1193</v>
      </c>
      <c r="D1724">
        <v>201</v>
      </c>
      <c r="F1724" t="s">
        <v>5010</v>
      </c>
      <c r="H1724" t="s">
        <v>4300</v>
      </c>
      <c r="I1724" t="s">
        <v>4892</v>
      </c>
      <c r="K1724" t="s">
        <v>6025</v>
      </c>
      <c r="L1724" t="s">
        <v>6026</v>
      </c>
    </row>
    <row r="1725" spans="1:12" x14ac:dyDescent="0.35">
      <c r="A1725" t="s">
        <v>118</v>
      </c>
      <c r="B1725" t="s">
        <v>327</v>
      </c>
      <c r="C1725" t="s">
        <v>793</v>
      </c>
      <c r="D1725">
        <v>1370</v>
      </c>
      <c r="F1725" t="s">
        <v>5567</v>
      </c>
      <c r="H1725" t="s">
        <v>4297</v>
      </c>
      <c r="I1725" t="s">
        <v>4892</v>
      </c>
      <c r="K1725" t="s">
        <v>6025</v>
      </c>
      <c r="L1725" t="s">
        <v>6026</v>
      </c>
    </row>
    <row r="1726" spans="1:12" x14ac:dyDescent="0.35">
      <c r="A1726" t="s">
        <v>118</v>
      </c>
      <c r="B1726" t="s">
        <v>327</v>
      </c>
      <c r="C1726" t="s">
        <v>793</v>
      </c>
      <c r="D1726">
        <v>410</v>
      </c>
      <c r="F1726" t="s">
        <v>5492</v>
      </c>
      <c r="H1726" t="s">
        <v>5909</v>
      </c>
      <c r="I1726" t="s">
        <v>4892</v>
      </c>
      <c r="K1726" t="s">
        <v>6025</v>
      </c>
      <c r="L1726" t="s">
        <v>6026</v>
      </c>
    </row>
    <row r="1727" spans="1:12" x14ac:dyDescent="0.35">
      <c r="A1727" t="s">
        <v>118</v>
      </c>
      <c r="B1727" t="s">
        <v>327</v>
      </c>
      <c r="C1727" t="s">
        <v>793</v>
      </c>
      <c r="D1727">
        <v>2.5499999999999998</v>
      </c>
      <c r="F1727" t="s">
        <v>5380</v>
      </c>
      <c r="H1727" t="s">
        <v>4338</v>
      </c>
      <c r="I1727" t="s">
        <v>4860</v>
      </c>
      <c r="K1727" t="s">
        <v>6025</v>
      </c>
      <c r="L1727" t="s">
        <v>6026</v>
      </c>
    </row>
    <row r="1728" spans="1:12" x14ac:dyDescent="0.35">
      <c r="A1728" t="s">
        <v>118</v>
      </c>
      <c r="B1728" t="s">
        <v>327</v>
      </c>
      <c r="C1728" t="s">
        <v>1196</v>
      </c>
      <c r="D1728">
        <v>2.5499999999999998</v>
      </c>
      <c r="F1728" t="s">
        <v>5380</v>
      </c>
      <c r="H1728" t="s">
        <v>4185</v>
      </c>
      <c r="I1728" t="s">
        <v>4860</v>
      </c>
      <c r="K1728" t="s">
        <v>6025</v>
      </c>
      <c r="L1728" t="s">
        <v>6026</v>
      </c>
    </row>
    <row r="1729" spans="1:12" x14ac:dyDescent="0.35">
      <c r="A1729" t="s">
        <v>118</v>
      </c>
      <c r="B1729" t="s">
        <v>327</v>
      </c>
      <c r="C1729" t="s">
        <v>167</v>
      </c>
      <c r="D1729">
        <v>47.3</v>
      </c>
      <c r="F1729" t="s">
        <v>2368</v>
      </c>
      <c r="H1729" t="s">
        <v>4318</v>
      </c>
      <c r="I1729" t="s">
        <v>4887</v>
      </c>
      <c r="K1729" t="s">
        <v>6025</v>
      </c>
      <c r="L1729" t="s">
        <v>6026</v>
      </c>
    </row>
    <row r="1730" spans="1:12" x14ac:dyDescent="0.35">
      <c r="A1730" t="s">
        <v>118</v>
      </c>
      <c r="B1730" t="s">
        <v>327</v>
      </c>
      <c r="C1730" t="s">
        <v>1188</v>
      </c>
      <c r="D1730">
        <v>7.83</v>
      </c>
      <c r="F1730" t="s">
        <v>1663</v>
      </c>
      <c r="H1730" t="s">
        <v>5910</v>
      </c>
      <c r="I1730" t="s">
        <v>4974</v>
      </c>
      <c r="K1730" t="s">
        <v>6025</v>
      </c>
      <c r="L1730" t="s">
        <v>6026</v>
      </c>
    </row>
    <row r="1731" spans="1:12" x14ac:dyDescent="0.35">
      <c r="A1731" t="s">
        <v>118</v>
      </c>
      <c r="B1731" t="s">
        <v>327</v>
      </c>
      <c r="C1731" t="s">
        <v>793</v>
      </c>
      <c r="D1731">
        <v>0.61</v>
      </c>
      <c r="F1731" t="s">
        <v>1891</v>
      </c>
      <c r="H1731" t="s">
        <v>5911</v>
      </c>
      <c r="I1731" t="s">
        <v>4860</v>
      </c>
      <c r="K1731" t="s">
        <v>6025</v>
      </c>
      <c r="L1731" t="s">
        <v>6026</v>
      </c>
    </row>
    <row r="1732" spans="1:12" x14ac:dyDescent="0.35">
      <c r="A1732" t="s">
        <v>118</v>
      </c>
      <c r="B1732" t="s">
        <v>327</v>
      </c>
      <c r="C1732" t="s">
        <v>1196</v>
      </c>
      <c r="D1732">
        <v>0.61</v>
      </c>
      <c r="F1732" t="s">
        <v>1891</v>
      </c>
      <c r="H1732" t="s">
        <v>4185</v>
      </c>
      <c r="I1732" t="s">
        <v>4860</v>
      </c>
      <c r="K1732" t="s">
        <v>6025</v>
      </c>
      <c r="L1732" t="s">
        <v>6026</v>
      </c>
    </row>
    <row r="1733" spans="1:12" x14ac:dyDescent="0.35">
      <c r="A1733" t="s">
        <v>118</v>
      </c>
      <c r="B1733" t="s">
        <v>327</v>
      </c>
      <c r="C1733" t="s">
        <v>1188</v>
      </c>
      <c r="D1733">
        <v>2.38</v>
      </c>
      <c r="F1733" t="s">
        <v>5568</v>
      </c>
      <c r="H1733" t="s">
        <v>4316</v>
      </c>
      <c r="I1733" t="s">
        <v>4974</v>
      </c>
      <c r="K1733" t="s">
        <v>6025</v>
      </c>
      <c r="L1733" t="s">
        <v>6026</v>
      </c>
    </row>
    <row r="1734" spans="1:12" x14ac:dyDescent="0.35">
      <c r="A1734" t="s">
        <v>118</v>
      </c>
      <c r="B1734" t="s">
        <v>327</v>
      </c>
      <c r="C1734" t="s">
        <v>793</v>
      </c>
      <c r="D1734">
        <v>1700</v>
      </c>
      <c r="F1734" t="s">
        <v>5541</v>
      </c>
      <c r="H1734" t="s">
        <v>4345</v>
      </c>
      <c r="I1734" t="s">
        <v>4892</v>
      </c>
      <c r="K1734" t="s">
        <v>6025</v>
      </c>
      <c r="L1734" t="s">
        <v>6026</v>
      </c>
    </row>
    <row r="1735" spans="1:12" x14ac:dyDescent="0.35">
      <c r="A1735" t="s">
        <v>118</v>
      </c>
      <c r="B1735" t="s">
        <v>327</v>
      </c>
      <c r="C1735" t="s">
        <v>1202</v>
      </c>
      <c r="D1735">
        <v>0.34699999999999998</v>
      </c>
      <c r="F1735" t="s">
        <v>2437</v>
      </c>
      <c r="H1735" t="s">
        <v>4348</v>
      </c>
      <c r="I1735" t="s">
        <v>4860</v>
      </c>
      <c r="K1735" t="s">
        <v>6025</v>
      </c>
      <c r="L1735" t="s">
        <v>6026</v>
      </c>
    </row>
    <row r="1736" spans="1:12" x14ac:dyDescent="0.35">
      <c r="A1736" t="s">
        <v>118</v>
      </c>
      <c r="B1736" t="s">
        <v>327</v>
      </c>
      <c r="C1736" t="s">
        <v>1188</v>
      </c>
      <c r="D1736">
        <v>761</v>
      </c>
      <c r="F1736" t="s">
        <v>5569</v>
      </c>
      <c r="H1736" t="s">
        <v>5912</v>
      </c>
      <c r="I1736" t="s">
        <v>2009</v>
      </c>
      <c r="K1736" t="s">
        <v>6025</v>
      </c>
      <c r="L1736" t="s">
        <v>6026</v>
      </c>
    </row>
    <row r="1737" spans="1:12" x14ac:dyDescent="0.35">
      <c r="A1737" t="s">
        <v>118</v>
      </c>
      <c r="B1737" t="s">
        <v>327</v>
      </c>
      <c r="C1737" t="s">
        <v>167</v>
      </c>
      <c r="D1737">
        <v>0.89</v>
      </c>
      <c r="F1737" t="s">
        <v>1840</v>
      </c>
      <c r="H1737" t="s">
        <v>4332</v>
      </c>
      <c r="I1737" t="s">
        <v>4974</v>
      </c>
      <c r="K1737" t="s">
        <v>6025</v>
      </c>
      <c r="L1737" t="s">
        <v>6026</v>
      </c>
    </row>
    <row r="1738" spans="1:12" x14ac:dyDescent="0.35">
      <c r="A1738" t="s">
        <v>118</v>
      </c>
      <c r="B1738" t="s">
        <v>327</v>
      </c>
      <c r="C1738" t="s">
        <v>167</v>
      </c>
      <c r="D1738">
        <v>3.74</v>
      </c>
      <c r="F1738" t="s">
        <v>5570</v>
      </c>
      <c r="H1738" t="s">
        <v>4337</v>
      </c>
      <c r="I1738" t="s">
        <v>4974</v>
      </c>
      <c r="K1738" t="s">
        <v>6025</v>
      </c>
      <c r="L1738" t="s">
        <v>6026</v>
      </c>
    </row>
    <row r="1739" spans="1:12" x14ac:dyDescent="0.35">
      <c r="A1739" t="s">
        <v>118</v>
      </c>
      <c r="B1739" t="s">
        <v>327</v>
      </c>
      <c r="C1739" t="s">
        <v>1188</v>
      </c>
      <c r="D1739">
        <v>4.18</v>
      </c>
      <c r="F1739" t="s">
        <v>5571</v>
      </c>
      <c r="H1739" t="s">
        <v>5913</v>
      </c>
      <c r="I1739" t="s">
        <v>4974</v>
      </c>
      <c r="K1739" t="s">
        <v>6025</v>
      </c>
      <c r="L1739" t="s">
        <v>6026</v>
      </c>
    </row>
    <row r="1740" spans="1:12" x14ac:dyDescent="0.35">
      <c r="A1740" t="s">
        <v>118</v>
      </c>
      <c r="B1740" t="s">
        <v>327</v>
      </c>
      <c r="C1740" t="s">
        <v>791</v>
      </c>
      <c r="D1740">
        <v>2700</v>
      </c>
      <c r="F1740" t="s">
        <v>5572</v>
      </c>
      <c r="H1740" t="s">
        <v>4310</v>
      </c>
      <c r="I1740" t="s">
        <v>4892</v>
      </c>
      <c r="K1740" t="s">
        <v>6025</v>
      </c>
      <c r="L1740" t="s">
        <v>6026</v>
      </c>
    </row>
    <row r="1741" spans="1:12" x14ac:dyDescent="0.35">
      <c r="A1741" t="s">
        <v>118</v>
      </c>
      <c r="B1741" t="s">
        <v>327</v>
      </c>
      <c r="C1741" t="s">
        <v>793</v>
      </c>
      <c r="D1741">
        <v>72.599999999999994</v>
      </c>
      <c r="F1741" t="s">
        <v>5573</v>
      </c>
      <c r="H1741" t="s">
        <v>4335</v>
      </c>
      <c r="I1741" t="s">
        <v>4860</v>
      </c>
      <c r="K1741" t="s">
        <v>6025</v>
      </c>
      <c r="L1741" t="s">
        <v>6026</v>
      </c>
    </row>
    <row r="1742" spans="1:12" x14ac:dyDescent="0.35">
      <c r="A1742" t="s">
        <v>118</v>
      </c>
      <c r="B1742" t="s">
        <v>327</v>
      </c>
      <c r="C1742" t="s">
        <v>1202</v>
      </c>
      <c r="D1742">
        <v>72.599999999999994</v>
      </c>
      <c r="F1742" t="s">
        <v>5573</v>
      </c>
      <c r="H1742" t="s">
        <v>4325</v>
      </c>
      <c r="I1742" t="s">
        <v>4860</v>
      </c>
      <c r="K1742" t="s">
        <v>6025</v>
      </c>
      <c r="L1742" t="s">
        <v>6026</v>
      </c>
    </row>
    <row r="1743" spans="1:12" x14ac:dyDescent="0.35">
      <c r="A1743" t="s">
        <v>118</v>
      </c>
      <c r="B1743" t="s">
        <v>327</v>
      </c>
      <c r="C1743" t="s">
        <v>793</v>
      </c>
      <c r="D1743">
        <v>464</v>
      </c>
      <c r="F1743" t="s">
        <v>5574</v>
      </c>
      <c r="H1743" t="s">
        <v>5914</v>
      </c>
      <c r="I1743" t="s">
        <v>4860</v>
      </c>
      <c r="K1743" t="s">
        <v>6025</v>
      </c>
      <c r="L1743" t="s">
        <v>6026</v>
      </c>
    </row>
    <row r="1744" spans="1:12" x14ac:dyDescent="0.35">
      <c r="A1744" t="s">
        <v>118</v>
      </c>
      <c r="B1744" t="s">
        <v>327</v>
      </c>
      <c r="C1744" t="s">
        <v>1202</v>
      </c>
      <c r="D1744">
        <v>464</v>
      </c>
      <c r="F1744" t="s">
        <v>5574</v>
      </c>
      <c r="H1744" t="s">
        <v>4348</v>
      </c>
      <c r="I1744" t="s">
        <v>4860</v>
      </c>
      <c r="K1744" t="s">
        <v>6025</v>
      </c>
      <c r="L1744" t="s">
        <v>6026</v>
      </c>
    </row>
    <row r="1745" spans="1:12" x14ac:dyDescent="0.35">
      <c r="A1745" t="s">
        <v>118</v>
      </c>
      <c r="B1745" t="s">
        <v>327</v>
      </c>
      <c r="C1745" t="s">
        <v>791</v>
      </c>
      <c r="D1745">
        <v>8100</v>
      </c>
      <c r="F1745" t="s">
        <v>5575</v>
      </c>
      <c r="H1745" t="s">
        <v>4321</v>
      </c>
      <c r="I1745" t="s">
        <v>4892</v>
      </c>
      <c r="K1745" t="s">
        <v>6025</v>
      </c>
      <c r="L1745" t="s">
        <v>6026</v>
      </c>
    </row>
    <row r="1746" spans="1:12" x14ac:dyDescent="0.35">
      <c r="A1746" t="s">
        <v>118</v>
      </c>
      <c r="B1746" t="s">
        <v>327</v>
      </c>
      <c r="C1746" t="s">
        <v>791</v>
      </c>
      <c r="D1746">
        <v>9600</v>
      </c>
      <c r="F1746" t="s">
        <v>5576</v>
      </c>
      <c r="H1746" t="s">
        <v>4299</v>
      </c>
      <c r="I1746" t="s">
        <v>4892</v>
      </c>
      <c r="K1746" t="s">
        <v>6025</v>
      </c>
      <c r="L1746" t="s">
        <v>6026</v>
      </c>
    </row>
    <row r="1747" spans="1:12" x14ac:dyDescent="0.35">
      <c r="A1747" t="s">
        <v>118</v>
      </c>
      <c r="B1747" t="s">
        <v>327</v>
      </c>
      <c r="C1747" t="s">
        <v>793</v>
      </c>
      <c r="D1747">
        <v>1610</v>
      </c>
      <c r="F1747" t="s">
        <v>5577</v>
      </c>
      <c r="H1747" t="s">
        <v>4306</v>
      </c>
      <c r="I1747" t="s">
        <v>4892</v>
      </c>
      <c r="K1747" t="s">
        <v>6025</v>
      </c>
      <c r="L1747" t="s">
        <v>6026</v>
      </c>
    </row>
    <row r="1748" spans="1:12" x14ac:dyDescent="0.35">
      <c r="A1748" t="s">
        <v>118</v>
      </c>
      <c r="B1748" t="s">
        <v>327</v>
      </c>
      <c r="C1748" t="s">
        <v>1188</v>
      </c>
      <c r="D1748">
        <v>5.78</v>
      </c>
      <c r="F1748" t="s">
        <v>5578</v>
      </c>
      <c r="H1748" t="s">
        <v>4322</v>
      </c>
      <c r="I1748" t="s">
        <v>4974</v>
      </c>
      <c r="K1748" t="s">
        <v>6025</v>
      </c>
      <c r="L1748" t="s">
        <v>6026</v>
      </c>
    </row>
    <row r="1749" spans="1:12" x14ac:dyDescent="0.35">
      <c r="A1749" t="s">
        <v>118</v>
      </c>
      <c r="B1749" t="s">
        <v>327</v>
      </c>
      <c r="C1749" t="s">
        <v>1188</v>
      </c>
      <c r="D1749">
        <v>103.3</v>
      </c>
      <c r="F1749" t="s">
        <v>5579</v>
      </c>
      <c r="H1749" t="s">
        <v>5915</v>
      </c>
      <c r="I1749" t="s">
        <v>4887</v>
      </c>
      <c r="K1749" t="s">
        <v>6025</v>
      </c>
      <c r="L1749" t="s">
        <v>6026</v>
      </c>
    </row>
    <row r="1750" spans="1:12" x14ac:dyDescent="0.35">
      <c r="A1750" t="s">
        <v>118</v>
      </c>
      <c r="B1750" t="s">
        <v>327</v>
      </c>
      <c r="C1750" t="s">
        <v>1188</v>
      </c>
      <c r="D1750">
        <v>5.1100000000000003</v>
      </c>
      <c r="F1750" t="s">
        <v>2310</v>
      </c>
      <c r="H1750" t="s">
        <v>5916</v>
      </c>
      <c r="I1750" t="s">
        <v>4974</v>
      </c>
      <c r="K1750" t="s">
        <v>6025</v>
      </c>
      <c r="L1750" t="s">
        <v>6026</v>
      </c>
    </row>
    <row r="1751" spans="1:12" x14ac:dyDescent="0.35">
      <c r="A1751" t="s">
        <v>118</v>
      </c>
      <c r="B1751" t="s">
        <v>327</v>
      </c>
      <c r="C1751" t="s">
        <v>1188</v>
      </c>
      <c r="D1751">
        <v>6.24</v>
      </c>
      <c r="F1751" t="s">
        <v>5580</v>
      </c>
      <c r="H1751" t="s">
        <v>5917</v>
      </c>
      <c r="I1751" t="s">
        <v>4974</v>
      </c>
      <c r="K1751" t="s">
        <v>6025</v>
      </c>
      <c r="L1751" t="s">
        <v>6026</v>
      </c>
    </row>
    <row r="1752" spans="1:12" x14ac:dyDescent="0.35">
      <c r="A1752" t="s">
        <v>118</v>
      </c>
      <c r="B1752" t="s">
        <v>327</v>
      </c>
      <c r="C1752" t="s">
        <v>1188</v>
      </c>
      <c r="D1752">
        <v>82</v>
      </c>
      <c r="F1752" t="s">
        <v>4896</v>
      </c>
      <c r="H1752" t="s">
        <v>5918</v>
      </c>
      <c r="I1752" t="s">
        <v>1839</v>
      </c>
      <c r="K1752" t="s">
        <v>6025</v>
      </c>
      <c r="L1752" t="s">
        <v>6026</v>
      </c>
    </row>
    <row r="1753" spans="1:12" x14ac:dyDescent="0.35">
      <c r="A1753" t="s">
        <v>118</v>
      </c>
      <c r="B1753" t="s">
        <v>327</v>
      </c>
      <c r="C1753" t="s">
        <v>167</v>
      </c>
      <c r="D1753">
        <v>2.29</v>
      </c>
      <c r="F1753" t="s">
        <v>1784</v>
      </c>
      <c r="H1753" t="s">
        <v>5919</v>
      </c>
      <c r="I1753" t="s">
        <v>4974</v>
      </c>
      <c r="K1753" t="s">
        <v>6025</v>
      </c>
      <c r="L1753" t="s">
        <v>6026</v>
      </c>
    </row>
    <row r="1754" spans="1:12" x14ac:dyDescent="0.35">
      <c r="A1754" t="s">
        <v>118</v>
      </c>
      <c r="B1754" t="s">
        <v>327</v>
      </c>
      <c r="C1754" t="s">
        <v>1188</v>
      </c>
      <c r="D1754">
        <v>3.18</v>
      </c>
      <c r="F1754" t="s">
        <v>2498</v>
      </c>
      <c r="H1754" t="s">
        <v>5920</v>
      </c>
      <c r="I1754" t="s">
        <v>5029</v>
      </c>
      <c r="K1754" t="s">
        <v>6025</v>
      </c>
      <c r="L1754" t="s">
        <v>6026</v>
      </c>
    </row>
    <row r="1755" spans="1:12" x14ac:dyDescent="0.35">
      <c r="A1755" t="s">
        <v>118</v>
      </c>
      <c r="B1755" t="s">
        <v>327</v>
      </c>
      <c r="C1755" t="s">
        <v>167</v>
      </c>
      <c r="D1755">
        <v>1.56</v>
      </c>
      <c r="F1755" t="s">
        <v>2015</v>
      </c>
      <c r="H1755" t="s">
        <v>5921</v>
      </c>
      <c r="I1755" t="s">
        <v>5029</v>
      </c>
      <c r="K1755" t="s">
        <v>6025</v>
      </c>
      <c r="L1755" t="s">
        <v>6026</v>
      </c>
    </row>
    <row r="1756" spans="1:12" x14ac:dyDescent="0.35">
      <c r="A1756" t="s">
        <v>118</v>
      </c>
      <c r="B1756" t="s">
        <v>327</v>
      </c>
      <c r="C1756" t="s">
        <v>1188</v>
      </c>
      <c r="D1756">
        <v>18.3</v>
      </c>
      <c r="F1756" t="s">
        <v>5581</v>
      </c>
      <c r="H1756" t="s">
        <v>5922</v>
      </c>
      <c r="I1756" t="s">
        <v>1354</v>
      </c>
      <c r="K1756" t="s">
        <v>6025</v>
      </c>
      <c r="L1756" t="s">
        <v>6026</v>
      </c>
    </row>
    <row r="1757" spans="1:12" x14ac:dyDescent="0.35">
      <c r="A1757" t="s">
        <v>118</v>
      </c>
      <c r="B1757" t="s">
        <v>602</v>
      </c>
      <c r="C1757" t="s">
        <v>793</v>
      </c>
      <c r="D1757">
        <v>551</v>
      </c>
      <c r="F1757" t="s">
        <v>5582</v>
      </c>
      <c r="I1757" t="s">
        <v>2346</v>
      </c>
      <c r="K1757" t="s">
        <v>6025</v>
      </c>
      <c r="L1757" t="s">
        <v>6026</v>
      </c>
    </row>
    <row r="1758" spans="1:12" x14ac:dyDescent="0.35">
      <c r="A1758" t="s">
        <v>118</v>
      </c>
      <c r="B1758" t="s">
        <v>602</v>
      </c>
      <c r="C1758" t="s">
        <v>1190</v>
      </c>
      <c r="D1758">
        <v>772</v>
      </c>
      <c r="F1758" t="s">
        <v>5583</v>
      </c>
      <c r="I1758" t="s">
        <v>2346</v>
      </c>
      <c r="K1758" t="s">
        <v>6025</v>
      </c>
      <c r="L1758" t="s">
        <v>6026</v>
      </c>
    </row>
    <row r="1759" spans="1:12" x14ac:dyDescent="0.35">
      <c r="A1759" t="s">
        <v>118</v>
      </c>
      <c r="B1759" t="s">
        <v>5043</v>
      </c>
      <c r="C1759" t="s">
        <v>1188</v>
      </c>
      <c r="D1759">
        <v>193</v>
      </c>
      <c r="F1759" t="s">
        <v>2362</v>
      </c>
      <c r="H1759" t="s">
        <v>5923</v>
      </c>
      <c r="I1759" t="s">
        <v>4983</v>
      </c>
      <c r="K1759" t="s">
        <v>6025</v>
      </c>
      <c r="L1759" t="s">
        <v>6026</v>
      </c>
    </row>
    <row r="1760" spans="1:12" x14ac:dyDescent="0.35">
      <c r="A1760" t="s">
        <v>118</v>
      </c>
      <c r="B1760" t="s">
        <v>597</v>
      </c>
      <c r="C1760" t="s">
        <v>1188</v>
      </c>
      <c r="D1760">
        <v>0.5</v>
      </c>
      <c r="F1760" t="s">
        <v>1440</v>
      </c>
      <c r="H1760" t="s">
        <v>4378</v>
      </c>
      <c r="I1760" t="s">
        <v>4928</v>
      </c>
      <c r="K1760" t="s">
        <v>6025</v>
      </c>
      <c r="L1760" t="s">
        <v>6026</v>
      </c>
    </row>
    <row r="1761" spans="1:12" x14ac:dyDescent="0.35">
      <c r="A1761" t="s">
        <v>118</v>
      </c>
      <c r="B1761" t="s">
        <v>597</v>
      </c>
      <c r="C1761" t="s">
        <v>793</v>
      </c>
      <c r="D1761">
        <v>0.52</v>
      </c>
      <c r="F1761" t="s">
        <v>2037</v>
      </c>
      <c r="H1761" t="s">
        <v>5924</v>
      </c>
      <c r="I1761" t="s">
        <v>4928</v>
      </c>
      <c r="K1761" t="s">
        <v>6025</v>
      </c>
      <c r="L1761" t="s">
        <v>6026</v>
      </c>
    </row>
    <row r="1762" spans="1:12" x14ac:dyDescent="0.35">
      <c r="A1762" t="s">
        <v>118</v>
      </c>
      <c r="B1762" t="s">
        <v>597</v>
      </c>
      <c r="C1762" t="s">
        <v>793</v>
      </c>
      <c r="D1762">
        <v>3.4</v>
      </c>
      <c r="F1762" t="s">
        <v>1706</v>
      </c>
      <c r="H1762" t="s">
        <v>4380</v>
      </c>
      <c r="I1762" t="s">
        <v>4928</v>
      </c>
      <c r="K1762" t="s">
        <v>6025</v>
      </c>
      <c r="L1762" t="s">
        <v>6026</v>
      </c>
    </row>
    <row r="1763" spans="1:12" x14ac:dyDescent="0.35">
      <c r="A1763" t="s">
        <v>118</v>
      </c>
      <c r="B1763" t="s">
        <v>597</v>
      </c>
      <c r="C1763" t="s">
        <v>1188</v>
      </c>
      <c r="D1763">
        <v>1.7</v>
      </c>
      <c r="F1763" t="s">
        <v>1416</v>
      </c>
      <c r="H1763" t="s">
        <v>4382</v>
      </c>
      <c r="I1763" t="s">
        <v>4928</v>
      </c>
      <c r="K1763" t="s">
        <v>6025</v>
      </c>
      <c r="L1763" t="s">
        <v>6026</v>
      </c>
    </row>
    <row r="1764" spans="1:12" x14ac:dyDescent="0.35">
      <c r="A1764" t="s">
        <v>118</v>
      </c>
      <c r="B1764" t="s">
        <v>597</v>
      </c>
      <c r="C1764" t="s">
        <v>793</v>
      </c>
      <c r="D1764">
        <v>0.32</v>
      </c>
      <c r="F1764" t="s">
        <v>1470</v>
      </c>
      <c r="H1764" t="s">
        <v>4376</v>
      </c>
      <c r="I1764" t="s">
        <v>4928</v>
      </c>
      <c r="K1764" t="s">
        <v>6025</v>
      </c>
      <c r="L1764" t="s">
        <v>6026</v>
      </c>
    </row>
    <row r="1765" spans="1:12" x14ac:dyDescent="0.35">
      <c r="A1765" t="s">
        <v>118</v>
      </c>
      <c r="B1765" t="s">
        <v>597</v>
      </c>
      <c r="C1765" t="s">
        <v>793</v>
      </c>
      <c r="D1765">
        <v>0.35</v>
      </c>
      <c r="F1765" t="s">
        <v>1294</v>
      </c>
      <c r="H1765" t="s">
        <v>5925</v>
      </c>
      <c r="I1765" t="s">
        <v>4928</v>
      </c>
      <c r="K1765" t="s">
        <v>6025</v>
      </c>
      <c r="L1765" t="s">
        <v>6026</v>
      </c>
    </row>
    <row r="1766" spans="1:12" x14ac:dyDescent="0.35">
      <c r="A1766" t="s">
        <v>118</v>
      </c>
      <c r="B1766" t="s">
        <v>597</v>
      </c>
      <c r="C1766" t="s">
        <v>1188</v>
      </c>
      <c r="D1766">
        <v>1.08</v>
      </c>
      <c r="F1766" t="s">
        <v>1831</v>
      </c>
      <c r="H1766" t="s">
        <v>4381</v>
      </c>
      <c r="I1766" t="s">
        <v>4928</v>
      </c>
      <c r="K1766" t="s">
        <v>6025</v>
      </c>
      <c r="L1766" t="s">
        <v>6026</v>
      </c>
    </row>
    <row r="1767" spans="1:12" x14ac:dyDescent="0.35">
      <c r="A1767" t="s">
        <v>118</v>
      </c>
      <c r="B1767" t="s">
        <v>597</v>
      </c>
      <c r="C1767" t="s">
        <v>1188</v>
      </c>
      <c r="D1767">
        <v>4.75</v>
      </c>
      <c r="F1767" t="s">
        <v>5479</v>
      </c>
      <c r="H1767" t="s">
        <v>4379</v>
      </c>
      <c r="I1767" t="s">
        <v>4928</v>
      </c>
      <c r="K1767" t="s">
        <v>6025</v>
      </c>
      <c r="L1767" t="s">
        <v>6026</v>
      </c>
    </row>
    <row r="1768" spans="1:12" x14ac:dyDescent="0.35">
      <c r="A1768" t="s">
        <v>118</v>
      </c>
      <c r="B1768" t="s">
        <v>597</v>
      </c>
      <c r="C1768" t="s">
        <v>1188</v>
      </c>
      <c r="D1768">
        <v>6.74</v>
      </c>
      <c r="F1768" t="s">
        <v>5584</v>
      </c>
      <c r="H1768" t="s">
        <v>5926</v>
      </c>
      <c r="I1768" t="s">
        <v>4928</v>
      </c>
      <c r="K1768" t="s">
        <v>6025</v>
      </c>
      <c r="L1768" t="s">
        <v>6026</v>
      </c>
    </row>
    <row r="1769" spans="1:12" x14ac:dyDescent="0.35">
      <c r="A1769" t="s">
        <v>118</v>
      </c>
      <c r="B1769" t="s">
        <v>597</v>
      </c>
      <c r="C1769" t="s">
        <v>793</v>
      </c>
      <c r="D1769">
        <v>6.48</v>
      </c>
      <c r="F1769" t="s">
        <v>5205</v>
      </c>
      <c r="H1769" t="s">
        <v>4377</v>
      </c>
      <c r="I1769" t="s">
        <v>4928</v>
      </c>
      <c r="K1769" t="s">
        <v>6025</v>
      </c>
      <c r="L1769" t="s">
        <v>6026</v>
      </c>
    </row>
    <row r="1770" spans="1:12" x14ac:dyDescent="0.35">
      <c r="A1770" t="s">
        <v>118</v>
      </c>
      <c r="B1770" t="s">
        <v>605</v>
      </c>
      <c r="C1770" t="s">
        <v>1188</v>
      </c>
      <c r="D1770">
        <v>3.56</v>
      </c>
      <c r="F1770" t="s">
        <v>5585</v>
      </c>
      <c r="H1770" t="s">
        <v>5927</v>
      </c>
      <c r="I1770" t="s">
        <v>2212</v>
      </c>
      <c r="K1770" t="s">
        <v>6025</v>
      </c>
      <c r="L1770" t="s">
        <v>6026</v>
      </c>
    </row>
    <row r="1771" spans="1:12" x14ac:dyDescent="0.35">
      <c r="A1771" t="s">
        <v>118</v>
      </c>
      <c r="B1771" t="s">
        <v>328</v>
      </c>
      <c r="C1771" t="s">
        <v>1188</v>
      </c>
      <c r="D1771">
        <v>27</v>
      </c>
      <c r="F1771" t="s">
        <v>2364</v>
      </c>
      <c r="H1771" t="s">
        <v>5928</v>
      </c>
      <c r="I1771" t="s">
        <v>1839</v>
      </c>
      <c r="K1771" t="s">
        <v>6025</v>
      </c>
      <c r="L1771" t="s">
        <v>6026</v>
      </c>
    </row>
    <row r="1772" spans="1:12" x14ac:dyDescent="0.35">
      <c r="A1772" t="s">
        <v>118</v>
      </c>
      <c r="B1772" t="s">
        <v>328</v>
      </c>
      <c r="C1772" t="s">
        <v>1188</v>
      </c>
      <c r="D1772">
        <v>65</v>
      </c>
      <c r="F1772" t="s">
        <v>4927</v>
      </c>
      <c r="H1772" t="s">
        <v>5929</v>
      </c>
      <c r="I1772" t="s">
        <v>1839</v>
      </c>
      <c r="K1772" t="s">
        <v>6025</v>
      </c>
      <c r="L1772" t="s">
        <v>6026</v>
      </c>
    </row>
    <row r="1773" spans="1:12" x14ac:dyDescent="0.35">
      <c r="A1773" t="s">
        <v>118</v>
      </c>
      <c r="B1773" t="s">
        <v>328</v>
      </c>
      <c r="C1773" t="s">
        <v>1188</v>
      </c>
      <c r="D1773">
        <v>54</v>
      </c>
      <c r="F1773" t="s">
        <v>4894</v>
      </c>
      <c r="H1773" t="s">
        <v>5930</v>
      </c>
      <c r="I1773" t="s">
        <v>1839</v>
      </c>
      <c r="K1773" t="s">
        <v>6025</v>
      </c>
      <c r="L1773" t="s">
        <v>6026</v>
      </c>
    </row>
    <row r="1774" spans="1:12" x14ac:dyDescent="0.35">
      <c r="A1774" t="s">
        <v>118</v>
      </c>
      <c r="B1774" t="s">
        <v>328</v>
      </c>
      <c r="C1774" t="s">
        <v>1188</v>
      </c>
      <c r="D1774">
        <v>63</v>
      </c>
      <c r="F1774" t="s">
        <v>1360</v>
      </c>
      <c r="H1774" t="s">
        <v>5931</v>
      </c>
      <c r="I1774" t="s">
        <v>1839</v>
      </c>
      <c r="K1774" t="s">
        <v>6025</v>
      </c>
      <c r="L1774" t="s">
        <v>6026</v>
      </c>
    </row>
    <row r="1775" spans="1:12" x14ac:dyDescent="0.35">
      <c r="A1775" t="s">
        <v>118</v>
      </c>
      <c r="B1775" t="s">
        <v>328</v>
      </c>
      <c r="C1775" t="s">
        <v>167</v>
      </c>
      <c r="D1775">
        <v>7.33</v>
      </c>
      <c r="F1775" t="s">
        <v>5523</v>
      </c>
      <c r="I1775" t="s">
        <v>1626</v>
      </c>
      <c r="K1775" t="s">
        <v>6025</v>
      </c>
      <c r="L1775" t="s">
        <v>6026</v>
      </c>
    </row>
    <row r="1776" spans="1:12" x14ac:dyDescent="0.35">
      <c r="A1776" t="s">
        <v>118</v>
      </c>
      <c r="B1776" t="s">
        <v>328</v>
      </c>
      <c r="C1776" t="s">
        <v>1188</v>
      </c>
      <c r="D1776">
        <v>78</v>
      </c>
      <c r="F1776" t="s">
        <v>2212</v>
      </c>
      <c r="H1776" t="s">
        <v>5932</v>
      </c>
      <c r="I1776" t="s">
        <v>1839</v>
      </c>
      <c r="K1776" t="s">
        <v>6025</v>
      </c>
      <c r="L1776" t="s">
        <v>6026</v>
      </c>
    </row>
    <row r="1777" spans="1:12" x14ac:dyDescent="0.35">
      <c r="A1777" t="s">
        <v>118</v>
      </c>
      <c r="B1777" t="s">
        <v>328</v>
      </c>
      <c r="C1777" t="s">
        <v>1207</v>
      </c>
      <c r="D1777">
        <v>0.215</v>
      </c>
      <c r="F1777" t="s">
        <v>2295</v>
      </c>
      <c r="H1777" t="s">
        <v>4388</v>
      </c>
      <c r="I1777" t="s">
        <v>5003</v>
      </c>
      <c r="K1777" t="s">
        <v>6025</v>
      </c>
      <c r="L1777" t="s">
        <v>6026</v>
      </c>
    </row>
    <row r="1778" spans="1:12" x14ac:dyDescent="0.35">
      <c r="A1778" t="s">
        <v>118</v>
      </c>
      <c r="B1778" t="s">
        <v>328</v>
      </c>
      <c r="C1778" t="s">
        <v>1206</v>
      </c>
      <c r="D1778">
        <v>3.52</v>
      </c>
      <c r="F1778" t="s">
        <v>5376</v>
      </c>
      <c r="H1778" t="s">
        <v>4388</v>
      </c>
      <c r="I1778" t="s">
        <v>5003</v>
      </c>
      <c r="K1778" t="s">
        <v>6025</v>
      </c>
      <c r="L1778" t="s">
        <v>6026</v>
      </c>
    </row>
    <row r="1779" spans="1:12" x14ac:dyDescent="0.35">
      <c r="A1779" t="s">
        <v>118</v>
      </c>
      <c r="B1779" t="s">
        <v>328</v>
      </c>
      <c r="C1779" t="s">
        <v>1208</v>
      </c>
      <c r="D1779">
        <v>349</v>
      </c>
      <c r="F1779" t="s">
        <v>5586</v>
      </c>
      <c r="H1779" t="s">
        <v>4388</v>
      </c>
      <c r="I1779" t="s">
        <v>5003</v>
      </c>
      <c r="K1779" t="s">
        <v>6025</v>
      </c>
      <c r="L1779" t="s">
        <v>6026</v>
      </c>
    </row>
    <row r="1780" spans="1:12" x14ac:dyDescent="0.35">
      <c r="A1780" t="s">
        <v>118</v>
      </c>
      <c r="B1780" t="s">
        <v>477</v>
      </c>
      <c r="C1780" t="s">
        <v>1188</v>
      </c>
      <c r="D1780">
        <v>1515</v>
      </c>
      <c r="F1780" t="s">
        <v>5587</v>
      </c>
      <c r="I1780" t="s">
        <v>1625</v>
      </c>
      <c r="K1780" t="s">
        <v>6025</v>
      </c>
      <c r="L1780" t="s">
        <v>6026</v>
      </c>
    </row>
    <row r="1781" spans="1:12" x14ac:dyDescent="0.35">
      <c r="A1781" t="s">
        <v>118</v>
      </c>
      <c r="B1781" t="s">
        <v>609</v>
      </c>
      <c r="C1781" t="s">
        <v>1212</v>
      </c>
      <c r="D1781">
        <v>3.9</v>
      </c>
      <c r="F1781" t="s">
        <v>1410</v>
      </c>
      <c r="H1781" t="s">
        <v>4423</v>
      </c>
      <c r="I1781" t="s">
        <v>5005</v>
      </c>
      <c r="K1781" t="s">
        <v>6025</v>
      </c>
      <c r="L1781" t="s">
        <v>6026</v>
      </c>
    </row>
    <row r="1782" spans="1:12" x14ac:dyDescent="0.35">
      <c r="A1782" t="s">
        <v>118</v>
      </c>
      <c r="B1782" t="s">
        <v>609</v>
      </c>
      <c r="C1782" t="s">
        <v>1211</v>
      </c>
      <c r="D1782">
        <v>3.47</v>
      </c>
      <c r="F1782" t="s">
        <v>5350</v>
      </c>
      <c r="H1782" t="s">
        <v>4423</v>
      </c>
      <c r="I1782" t="s">
        <v>5005</v>
      </c>
      <c r="K1782" t="s">
        <v>6025</v>
      </c>
      <c r="L1782" t="s">
        <v>6026</v>
      </c>
    </row>
    <row r="1783" spans="1:12" x14ac:dyDescent="0.35">
      <c r="A1783" t="s">
        <v>118</v>
      </c>
      <c r="B1783" t="s">
        <v>609</v>
      </c>
      <c r="C1783" t="s">
        <v>1210</v>
      </c>
      <c r="D1783">
        <v>4.38</v>
      </c>
      <c r="F1783" t="s">
        <v>5588</v>
      </c>
      <c r="H1783" t="s">
        <v>4423</v>
      </c>
      <c r="I1783" t="s">
        <v>5005</v>
      </c>
      <c r="K1783" t="s">
        <v>6025</v>
      </c>
      <c r="L1783" t="s">
        <v>6026</v>
      </c>
    </row>
    <row r="1784" spans="1:12" x14ac:dyDescent="0.35">
      <c r="A1784" t="s">
        <v>118</v>
      </c>
      <c r="B1784" t="s">
        <v>609</v>
      </c>
      <c r="C1784" t="s">
        <v>1209</v>
      </c>
      <c r="D1784">
        <v>11.28</v>
      </c>
      <c r="F1784" t="s">
        <v>5589</v>
      </c>
      <c r="H1784" t="s">
        <v>4424</v>
      </c>
      <c r="I1784" t="s">
        <v>5005</v>
      </c>
      <c r="K1784" t="s">
        <v>6025</v>
      </c>
      <c r="L1784" t="s">
        <v>6026</v>
      </c>
    </row>
    <row r="1785" spans="1:12" x14ac:dyDescent="0.35">
      <c r="A1785" t="s">
        <v>118</v>
      </c>
      <c r="B1785" t="s">
        <v>609</v>
      </c>
      <c r="C1785" t="s">
        <v>1188</v>
      </c>
      <c r="D1785">
        <v>58.77</v>
      </c>
      <c r="F1785" t="s">
        <v>5590</v>
      </c>
      <c r="H1785" t="s">
        <v>4424</v>
      </c>
      <c r="I1785" t="s">
        <v>5005</v>
      </c>
      <c r="K1785" t="s">
        <v>6025</v>
      </c>
      <c r="L1785" t="s">
        <v>6026</v>
      </c>
    </row>
    <row r="1786" spans="1:12" x14ac:dyDescent="0.35">
      <c r="A1786" t="s">
        <v>118</v>
      </c>
      <c r="B1786" t="s">
        <v>380</v>
      </c>
      <c r="C1786" t="s">
        <v>1188</v>
      </c>
      <c r="D1786">
        <v>99</v>
      </c>
      <c r="F1786" t="s">
        <v>4930</v>
      </c>
      <c r="H1786" t="s">
        <v>4426</v>
      </c>
      <c r="I1786" t="s">
        <v>5006</v>
      </c>
      <c r="K1786" t="s">
        <v>6025</v>
      </c>
      <c r="L1786" t="s">
        <v>6026</v>
      </c>
    </row>
    <row r="1787" spans="1:12" x14ac:dyDescent="0.35">
      <c r="A1787" t="s">
        <v>118</v>
      </c>
      <c r="B1787" t="s">
        <v>380</v>
      </c>
      <c r="C1787" t="s">
        <v>167</v>
      </c>
      <c r="D1787">
        <v>141.69999999999999</v>
      </c>
      <c r="F1787" t="s">
        <v>5591</v>
      </c>
      <c r="H1787" t="s">
        <v>4426</v>
      </c>
      <c r="I1787" t="s">
        <v>5006</v>
      </c>
      <c r="K1787" t="s">
        <v>6025</v>
      </c>
      <c r="L1787" t="s">
        <v>6026</v>
      </c>
    </row>
    <row r="1788" spans="1:12" x14ac:dyDescent="0.35">
      <c r="A1788" t="s">
        <v>118</v>
      </c>
      <c r="B1788" t="s">
        <v>317</v>
      </c>
      <c r="C1788" t="s">
        <v>167</v>
      </c>
      <c r="D1788">
        <v>1.7</v>
      </c>
      <c r="F1788" t="s">
        <v>1416</v>
      </c>
      <c r="H1788" t="s">
        <v>5933</v>
      </c>
      <c r="I1788" t="s">
        <v>5007</v>
      </c>
      <c r="K1788" t="s">
        <v>6025</v>
      </c>
      <c r="L1788" t="s">
        <v>6026</v>
      </c>
    </row>
    <row r="1789" spans="1:12" x14ac:dyDescent="0.35">
      <c r="A1789" t="s">
        <v>118</v>
      </c>
      <c r="B1789" t="s">
        <v>317</v>
      </c>
      <c r="C1789" t="s">
        <v>167</v>
      </c>
      <c r="D1789">
        <v>0.3</v>
      </c>
      <c r="F1789" t="s">
        <v>1401</v>
      </c>
      <c r="H1789" t="s">
        <v>5934</v>
      </c>
      <c r="I1789" t="s">
        <v>5019</v>
      </c>
      <c r="K1789" t="s">
        <v>6025</v>
      </c>
      <c r="L1789" t="s">
        <v>6026</v>
      </c>
    </row>
    <row r="1790" spans="1:12" x14ac:dyDescent="0.35">
      <c r="A1790" t="s">
        <v>118</v>
      </c>
      <c r="B1790" t="s">
        <v>614</v>
      </c>
      <c r="C1790" t="s">
        <v>1188</v>
      </c>
      <c r="D1790">
        <v>0.1</v>
      </c>
      <c r="F1790" t="s">
        <v>1309</v>
      </c>
      <c r="H1790" t="s">
        <v>4449</v>
      </c>
      <c r="I1790" t="s">
        <v>5008</v>
      </c>
      <c r="K1790" t="s">
        <v>6025</v>
      </c>
      <c r="L1790" t="s">
        <v>6026</v>
      </c>
    </row>
    <row r="1791" spans="1:12" x14ac:dyDescent="0.35">
      <c r="A1791" t="s">
        <v>118</v>
      </c>
      <c r="B1791" t="s">
        <v>614</v>
      </c>
      <c r="C1791" t="s">
        <v>1188</v>
      </c>
      <c r="D1791">
        <v>1.5</v>
      </c>
      <c r="F1791" t="s">
        <v>1426</v>
      </c>
      <c r="H1791" t="s">
        <v>4450</v>
      </c>
      <c r="I1791" t="s">
        <v>5008</v>
      </c>
      <c r="K1791" t="s">
        <v>6025</v>
      </c>
      <c r="L1791" t="s">
        <v>6026</v>
      </c>
    </row>
    <row r="1792" spans="1:12" x14ac:dyDescent="0.35">
      <c r="A1792" t="s">
        <v>118</v>
      </c>
      <c r="B1792" t="s">
        <v>614</v>
      </c>
      <c r="C1792" t="s">
        <v>1188</v>
      </c>
      <c r="D1792">
        <v>38.18</v>
      </c>
      <c r="F1792" t="s">
        <v>5592</v>
      </c>
      <c r="H1792" t="s">
        <v>5935</v>
      </c>
      <c r="I1792" t="s">
        <v>5008</v>
      </c>
      <c r="K1792" t="s">
        <v>6025</v>
      </c>
      <c r="L1792" t="s">
        <v>6026</v>
      </c>
    </row>
    <row r="1793" spans="1:12" x14ac:dyDescent="0.35">
      <c r="A1793" t="s">
        <v>118</v>
      </c>
      <c r="B1793" t="s">
        <v>473</v>
      </c>
      <c r="C1793" t="s">
        <v>1188</v>
      </c>
      <c r="D1793">
        <v>190.6</v>
      </c>
      <c r="F1793" t="s">
        <v>5593</v>
      </c>
      <c r="I1793" t="s">
        <v>4955</v>
      </c>
      <c r="K1793" t="s">
        <v>6025</v>
      </c>
      <c r="L1793" t="s">
        <v>6026</v>
      </c>
    </row>
    <row r="1794" spans="1:12" x14ac:dyDescent="0.35">
      <c r="A1794" t="s">
        <v>118</v>
      </c>
      <c r="B1794" t="s">
        <v>473</v>
      </c>
      <c r="C1794" t="s">
        <v>167</v>
      </c>
      <c r="D1794">
        <v>7.95</v>
      </c>
      <c r="F1794" t="s">
        <v>5594</v>
      </c>
      <c r="I1794" t="s">
        <v>4955</v>
      </c>
      <c r="K1794" t="s">
        <v>6025</v>
      </c>
      <c r="L1794" t="s">
        <v>6026</v>
      </c>
    </row>
    <row r="1795" spans="1:12" x14ac:dyDescent="0.35">
      <c r="A1795" t="s">
        <v>118</v>
      </c>
      <c r="B1795" t="s">
        <v>617</v>
      </c>
      <c r="C1795" t="s">
        <v>1188</v>
      </c>
      <c r="D1795">
        <v>65.430000000000007</v>
      </c>
      <c r="F1795" t="s">
        <v>5595</v>
      </c>
      <c r="H1795" t="s">
        <v>4460</v>
      </c>
      <c r="I1795" t="s">
        <v>4889</v>
      </c>
      <c r="K1795" t="s">
        <v>6025</v>
      </c>
      <c r="L1795" t="s">
        <v>6026</v>
      </c>
    </row>
    <row r="1796" spans="1:12" x14ac:dyDescent="0.35">
      <c r="A1796" t="s">
        <v>118</v>
      </c>
      <c r="B1796" t="s">
        <v>617</v>
      </c>
      <c r="C1796" t="s">
        <v>167</v>
      </c>
      <c r="D1796">
        <v>57.87</v>
      </c>
      <c r="F1796" t="s">
        <v>5596</v>
      </c>
      <c r="H1796" t="s">
        <v>4460</v>
      </c>
      <c r="I1796" t="s">
        <v>4889</v>
      </c>
      <c r="K1796" t="s">
        <v>6025</v>
      </c>
      <c r="L1796" t="s">
        <v>6026</v>
      </c>
    </row>
    <row r="1797" spans="1:12" x14ac:dyDescent="0.35">
      <c r="A1797" t="s">
        <v>118</v>
      </c>
      <c r="B1797" t="s">
        <v>620</v>
      </c>
      <c r="C1797" t="s">
        <v>1216</v>
      </c>
      <c r="D1797">
        <v>0.2</v>
      </c>
      <c r="F1797" t="s">
        <v>1371</v>
      </c>
      <c r="H1797" t="s">
        <v>4472</v>
      </c>
      <c r="I1797" t="s">
        <v>4865</v>
      </c>
      <c r="K1797" t="s">
        <v>6025</v>
      </c>
      <c r="L1797" t="s">
        <v>6026</v>
      </c>
    </row>
    <row r="1798" spans="1:12" x14ac:dyDescent="0.35">
      <c r="A1798" t="s">
        <v>118</v>
      </c>
      <c r="B1798" t="s">
        <v>620</v>
      </c>
      <c r="C1798" t="s">
        <v>1216</v>
      </c>
      <c r="D1798">
        <v>0.4</v>
      </c>
      <c r="F1798" t="s">
        <v>1315</v>
      </c>
      <c r="H1798" t="s">
        <v>4474</v>
      </c>
      <c r="I1798" t="s">
        <v>4865</v>
      </c>
      <c r="K1798" t="s">
        <v>6025</v>
      </c>
      <c r="L1798" t="s">
        <v>6026</v>
      </c>
    </row>
    <row r="1799" spans="1:12" x14ac:dyDescent="0.35">
      <c r="A1799" t="s">
        <v>118</v>
      </c>
      <c r="B1799" t="s">
        <v>620</v>
      </c>
      <c r="C1799" t="s">
        <v>1188</v>
      </c>
      <c r="D1799">
        <v>17</v>
      </c>
      <c r="F1799" t="s">
        <v>1383</v>
      </c>
      <c r="H1799" t="s">
        <v>5936</v>
      </c>
      <c r="I1799" t="s">
        <v>4865</v>
      </c>
      <c r="K1799" t="s">
        <v>6025</v>
      </c>
      <c r="L1799" t="s">
        <v>6026</v>
      </c>
    </row>
    <row r="1800" spans="1:12" x14ac:dyDescent="0.35">
      <c r="A1800" t="s">
        <v>118</v>
      </c>
      <c r="B1800" t="s">
        <v>620</v>
      </c>
      <c r="C1800" t="s">
        <v>1188</v>
      </c>
      <c r="D1800">
        <v>20.7</v>
      </c>
      <c r="F1800" t="s">
        <v>2525</v>
      </c>
      <c r="H1800" t="s">
        <v>5937</v>
      </c>
      <c r="I1800" t="s">
        <v>4865</v>
      </c>
      <c r="K1800" t="s">
        <v>6025</v>
      </c>
      <c r="L1800" t="s">
        <v>6026</v>
      </c>
    </row>
    <row r="1801" spans="1:12" x14ac:dyDescent="0.35">
      <c r="A1801" t="s">
        <v>118</v>
      </c>
      <c r="B1801" t="s">
        <v>620</v>
      </c>
      <c r="C1801" t="s">
        <v>1188</v>
      </c>
      <c r="D1801">
        <v>20.5</v>
      </c>
      <c r="F1801" t="s">
        <v>5383</v>
      </c>
      <c r="H1801" t="s">
        <v>5938</v>
      </c>
      <c r="I1801" t="s">
        <v>4865</v>
      </c>
      <c r="K1801" t="s">
        <v>6025</v>
      </c>
      <c r="L1801" t="s">
        <v>6026</v>
      </c>
    </row>
    <row r="1802" spans="1:12" x14ac:dyDescent="0.35">
      <c r="A1802" t="s">
        <v>118</v>
      </c>
      <c r="B1802" t="s">
        <v>620</v>
      </c>
      <c r="C1802" t="s">
        <v>1188</v>
      </c>
      <c r="D1802">
        <v>13.9</v>
      </c>
      <c r="F1802" t="s">
        <v>1879</v>
      </c>
      <c r="H1802" t="s">
        <v>5939</v>
      </c>
      <c r="I1802" t="s">
        <v>4865</v>
      </c>
      <c r="K1802" t="s">
        <v>6025</v>
      </c>
      <c r="L1802" t="s">
        <v>6026</v>
      </c>
    </row>
    <row r="1803" spans="1:12" x14ac:dyDescent="0.35">
      <c r="A1803" t="s">
        <v>118</v>
      </c>
      <c r="B1803" t="s">
        <v>620</v>
      </c>
      <c r="C1803" t="s">
        <v>1188</v>
      </c>
      <c r="D1803">
        <v>12.6</v>
      </c>
      <c r="F1803" t="s">
        <v>2028</v>
      </c>
      <c r="H1803" t="s">
        <v>4483</v>
      </c>
      <c r="I1803" t="s">
        <v>4865</v>
      </c>
      <c r="K1803" t="s">
        <v>6025</v>
      </c>
      <c r="L1803" t="s">
        <v>6026</v>
      </c>
    </row>
    <row r="1804" spans="1:12" x14ac:dyDescent="0.35">
      <c r="A1804" t="s">
        <v>118</v>
      </c>
      <c r="B1804" t="s">
        <v>620</v>
      </c>
      <c r="C1804" t="s">
        <v>1216</v>
      </c>
      <c r="D1804">
        <v>0.28000000000000003</v>
      </c>
      <c r="F1804" t="s">
        <v>1732</v>
      </c>
      <c r="H1804" t="s">
        <v>4475</v>
      </c>
      <c r="I1804" t="s">
        <v>4865</v>
      </c>
      <c r="K1804" t="s">
        <v>6025</v>
      </c>
      <c r="L1804" t="s">
        <v>6026</v>
      </c>
    </row>
    <row r="1805" spans="1:12" x14ac:dyDescent="0.35">
      <c r="A1805" t="s">
        <v>118</v>
      </c>
      <c r="B1805" t="s">
        <v>620</v>
      </c>
      <c r="C1805" t="s">
        <v>1216</v>
      </c>
      <c r="D1805">
        <v>0.38</v>
      </c>
      <c r="F1805" t="s">
        <v>1624</v>
      </c>
      <c r="H1805" t="s">
        <v>4478</v>
      </c>
      <c r="I1805" t="s">
        <v>4865</v>
      </c>
      <c r="K1805" t="s">
        <v>6025</v>
      </c>
      <c r="L1805" t="s">
        <v>6026</v>
      </c>
    </row>
    <row r="1806" spans="1:12" x14ac:dyDescent="0.35">
      <c r="A1806" t="s">
        <v>118</v>
      </c>
      <c r="B1806" t="s">
        <v>620</v>
      </c>
      <c r="C1806" t="s">
        <v>1216</v>
      </c>
      <c r="D1806">
        <v>0.36</v>
      </c>
      <c r="F1806" t="s">
        <v>1398</v>
      </c>
      <c r="H1806" t="s">
        <v>4480</v>
      </c>
      <c r="I1806" t="s">
        <v>4865</v>
      </c>
      <c r="K1806" t="s">
        <v>6025</v>
      </c>
      <c r="L1806" t="s">
        <v>6026</v>
      </c>
    </row>
    <row r="1807" spans="1:12" x14ac:dyDescent="0.35">
      <c r="A1807" t="s">
        <v>118</v>
      </c>
      <c r="B1807" t="s">
        <v>620</v>
      </c>
      <c r="C1807" t="s">
        <v>1188</v>
      </c>
      <c r="D1807">
        <v>0.54</v>
      </c>
      <c r="F1807" t="s">
        <v>1748</v>
      </c>
      <c r="H1807" t="s">
        <v>5940</v>
      </c>
      <c r="I1807" t="s">
        <v>4865</v>
      </c>
      <c r="K1807" t="s">
        <v>6025</v>
      </c>
      <c r="L1807" t="s">
        <v>6026</v>
      </c>
    </row>
    <row r="1808" spans="1:12" x14ac:dyDescent="0.35">
      <c r="A1808" t="s">
        <v>118</v>
      </c>
      <c r="B1808" t="s">
        <v>620</v>
      </c>
      <c r="C1808" t="s">
        <v>1188</v>
      </c>
      <c r="D1808">
        <v>3.55</v>
      </c>
      <c r="F1808" t="s">
        <v>5212</v>
      </c>
      <c r="H1808" t="s">
        <v>4485</v>
      </c>
      <c r="I1808" t="s">
        <v>4865</v>
      </c>
      <c r="K1808" t="s">
        <v>6025</v>
      </c>
      <c r="L1808" t="s">
        <v>6026</v>
      </c>
    </row>
    <row r="1809" spans="1:12" x14ac:dyDescent="0.35">
      <c r="A1809" t="s">
        <v>118</v>
      </c>
      <c r="B1809" t="s">
        <v>620</v>
      </c>
      <c r="C1809" t="s">
        <v>1188</v>
      </c>
      <c r="D1809">
        <v>12.8</v>
      </c>
      <c r="F1809" t="s">
        <v>5597</v>
      </c>
      <c r="H1809" t="s">
        <v>4287</v>
      </c>
      <c r="I1809" t="s">
        <v>4865</v>
      </c>
      <c r="K1809" t="s">
        <v>6025</v>
      </c>
      <c r="L1809" t="s">
        <v>6026</v>
      </c>
    </row>
    <row r="1810" spans="1:12" x14ac:dyDescent="0.35">
      <c r="A1810" t="s">
        <v>118</v>
      </c>
      <c r="B1810" t="s">
        <v>620</v>
      </c>
      <c r="C1810" t="s">
        <v>1188</v>
      </c>
      <c r="D1810">
        <v>14.9</v>
      </c>
      <c r="F1810" t="s">
        <v>5598</v>
      </c>
      <c r="H1810" t="s">
        <v>4490</v>
      </c>
      <c r="I1810" t="s">
        <v>4865</v>
      </c>
      <c r="K1810" t="s">
        <v>6025</v>
      </c>
      <c r="L1810" t="s">
        <v>6026</v>
      </c>
    </row>
    <row r="1811" spans="1:12" x14ac:dyDescent="0.35">
      <c r="A1811" t="s">
        <v>118</v>
      </c>
      <c r="B1811" t="s">
        <v>620</v>
      </c>
      <c r="C1811" t="s">
        <v>1188</v>
      </c>
      <c r="D1811">
        <v>18.7</v>
      </c>
      <c r="F1811" t="s">
        <v>5599</v>
      </c>
      <c r="H1811" t="s">
        <v>5941</v>
      </c>
      <c r="I1811" t="s">
        <v>4865</v>
      </c>
      <c r="K1811" t="s">
        <v>6025</v>
      </c>
      <c r="L1811" t="s">
        <v>6026</v>
      </c>
    </row>
    <row r="1812" spans="1:12" x14ac:dyDescent="0.35">
      <c r="A1812" t="s">
        <v>118</v>
      </c>
      <c r="B1812" t="s">
        <v>620</v>
      </c>
      <c r="C1812" t="s">
        <v>1188</v>
      </c>
      <c r="D1812">
        <v>35.700000000000003</v>
      </c>
      <c r="F1812" t="s">
        <v>5178</v>
      </c>
      <c r="H1812" t="s">
        <v>5942</v>
      </c>
      <c r="I1812" t="s">
        <v>4865</v>
      </c>
      <c r="K1812" t="s">
        <v>6025</v>
      </c>
      <c r="L1812" t="s">
        <v>6026</v>
      </c>
    </row>
    <row r="1813" spans="1:12" x14ac:dyDescent="0.35">
      <c r="A1813" t="s">
        <v>118</v>
      </c>
      <c r="B1813" t="s">
        <v>620</v>
      </c>
      <c r="C1813" t="s">
        <v>1188</v>
      </c>
      <c r="D1813">
        <v>2.14</v>
      </c>
      <c r="F1813" t="s">
        <v>5600</v>
      </c>
      <c r="H1813" t="s">
        <v>4489</v>
      </c>
      <c r="I1813" t="s">
        <v>4865</v>
      </c>
      <c r="K1813" t="s">
        <v>6025</v>
      </c>
      <c r="L1813" t="s">
        <v>6026</v>
      </c>
    </row>
    <row r="1814" spans="1:12" x14ac:dyDescent="0.35">
      <c r="A1814" t="s">
        <v>118</v>
      </c>
      <c r="B1814" t="s">
        <v>620</v>
      </c>
      <c r="C1814" t="s">
        <v>1188</v>
      </c>
      <c r="D1814">
        <v>26.4</v>
      </c>
      <c r="F1814" t="s">
        <v>5601</v>
      </c>
      <c r="H1814" t="s">
        <v>4476</v>
      </c>
      <c r="I1814" t="s">
        <v>4865</v>
      </c>
      <c r="K1814" t="s">
        <v>6025</v>
      </c>
      <c r="L1814" t="s">
        <v>6026</v>
      </c>
    </row>
    <row r="1815" spans="1:12" x14ac:dyDescent="0.35">
      <c r="A1815" t="s">
        <v>118</v>
      </c>
      <c r="B1815" t="s">
        <v>620</v>
      </c>
      <c r="C1815" t="s">
        <v>1188</v>
      </c>
      <c r="D1815">
        <v>6.44</v>
      </c>
      <c r="F1815" t="s">
        <v>2396</v>
      </c>
      <c r="H1815" t="s">
        <v>4488</v>
      </c>
      <c r="I1815" t="s">
        <v>4865</v>
      </c>
      <c r="K1815" t="s">
        <v>6025</v>
      </c>
      <c r="L1815" t="s">
        <v>6026</v>
      </c>
    </row>
    <row r="1816" spans="1:12" x14ac:dyDescent="0.35">
      <c r="A1816" t="s">
        <v>118</v>
      </c>
      <c r="B1816" t="s">
        <v>620</v>
      </c>
      <c r="C1816" t="s">
        <v>1188</v>
      </c>
      <c r="D1816">
        <v>8.85</v>
      </c>
      <c r="F1816" t="s">
        <v>5602</v>
      </c>
      <c r="H1816" t="s">
        <v>4486</v>
      </c>
      <c r="I1816" t="s">
        <v>4865</v>
      </c>
      <c r="K1816" t="s">
        <v>6025</v>
      </c>
      <c r="L1816" t="s">
        <v>6026</v>
      </c>
    </row>
    <row r="1817" spans="1:12" x14ac:dyDescent="0.35">
      <c r="A1817" t="s">
        <v>118</v>
      </c>
      <c r="B1817" t="s">
        <v>621</v>
      </c>
      <c r="C1817" t="s">
        <v>167</v>
      </c>
      <c r="D1817">
        <v>17</v>
      </c>
      <c r="F1817" t="s">
        <v>1383</v>
      </c>
      <c r="H1817" t="s">
        <v>4495</v>
      </c>
      <c r="I1817" t="s">
        <v>4874</v>
      </c>
      <c r="K1817" t="s">
        <v>6025</v>
      </c>
      <c r="L1817" t="s">
        <v>6026</v>
      </c>
    </row>
    <row r="1818" spans="1:12" x14ac:dyDescent="0.35">
      <c r="A1818" t="s">
        <v>118</v>
      </c>
      <c r="B1818" t="s">
        <v>621</v>
      </c>
      <c r="C1818" t="s">
        <v>1189</v>
      </c>
      <c r="D1818">
        <v>21.4</v>
      </c>
      <c r="F1818" t="s">
        <v>1708</v>
      </c>
      <c r="H1818" t="s">
        <v>4494</v>
      </c>
      <c r="I1818" t="s">
        <v>4874</v>
      </c>
      <c r="K1818" t="s">
        <v>6025</v>
      </c>
      <c r="L1818" t="s">
        <v>6026</v>
      </c>
    </row>
    <row r="1819" spans="1:12" x14ac:dyDescent="0.35">
      <c r="A1819" t="s">
        <v>118</v>
      </c>
      <c r="B1819" t="s">
        <v>358</v>
      </c>
      <c r="C1819" t="s">
        <v>1188</v>
      </c>
      <c r="D1819">
        <v>10.9</v>
      </c>
      <c r="F1819" t="s">
        <v>2277</v>
      </c>
      <c r="H1819" t="s">
        <v>5943</v>
      </c>
      <c r="I1819" t="s">
        <v>5006</v>
      </c>
      <c r="K1819" t="s">
        <v>6025</v>
      </c>
      <c r="L1819" t="s">
        <v>6026</v>
      </c>
    </row>
    <row r="1820" spans="1:12" x14ac:dyDescent="0.35">
      <c r="A1820" t="s">
        <v>118</v>
      </c>
      <c r="B1820" t="s">
        <v>358</v>
      </c>
      <c r="C1820" t="s">
        <v>167</v>
      </c>
      <c r="D1820">
        <v>16.399999999999999</v>
      </c>
      <c r="F1820" t="s">
        <v>5323</v>
      </c>
      <c r="H1820" t="s">
        <v>5944</v>
      </c>
      <c r="I1820" t="s">
        <v>5006</v>
      </c>
      <c r="K1820" t="s">
        <v>6025</v>
      </c>
      <c r="L1820" t="s">
        <v>6026</v>
      </c>
    </row>
    <row r="1821" spans="1:12" x14ac:dyDescent="0.35">
      <c r="A1821" t="s">
        <v>118</v>
      </c>
      <c r="B1821" t="s">
        <v>5044</v>
      </c>
      <c r="C1821" t="s">
        <v>167</v>
      </c>
      <c r="D1821">
        <v>3.82</v>
      </c>
      <c r="F1821" t="s">
        <v>5501</v>
      </c>
      <c r="H1821" t="s">
        <v>5945</v>
      </c>
      <c r="I1821" t="s">
        <v>1969</v>
      </c>
      <c r="K1821" t="s">
        <v>6025</v>
      </c>
      <c r="L1821" t="s">
        <v>6026</v>
      </c>
    </row>
    <row r="1822" spans="1:12" x14ac:dyDescent="0.35">
      <c r="A1822" t="s">
        <v>118</v>
      </c>
      <c r="B1822" t="s">
        <v>5044</v>
      </c>
      <c r="C1822" t="s">
        <v>1188</v>
      </c>
      <c r="D1822">
        <v>2.44</v>
      </c>
      <c r="F1822" t="s">
        <v>2300</v>
      </c>
      <c r="H1822" t="s">
        <v>5945</v>
      </c>
      <c r="I1822" t="s">
        <v>1969</v>
      </c>
      <c r="K1822" t="s">
        <v>6025</v>
      </c>
      <c r="L1822" t="s">
        <v>6026</v>
      </c>
    </row>
    <row r="1823" spans="1:12" x14ac:dyDescent="0.35">
      <c r="A1823" t="s">
        <v>118</v>
      </c>
      <c r="B1823" t="s">
        <v>175</v>
      </c>
      <c r="C1823" t="s">
        <v>1220</v>
      </c>
      <c r="D1823">
        <v>0.53</v>
      </c>
      <c r="F1823" t="s">
        <v>1817</v>
      </c>
      <c r="H1823" t="s">
        <v>4522</v>
      </c>
      <c r="I1823" t="s">
        <v>4980</v>
      </c>
      <c r="K1823" t="s">
        <v>6025</v>
      </c>
      <c r="L1823" t="s">
        <v>6026</v>
      </c>
    </row>
    <row r="1824" spans="1:12" x14ac:dyDescent="0.35">
      <c r="A1824" t="s">
        <v>118</v>
      </c>
      <c r="B1824" t="s">
        <v>175</v>
      </c>
      <c r="C1824" t="s">
        <v>1224</v>
      </c>
      <c r="D1824">
        <v>1.03</v>
      </c>
      <c r="F1824" t="s">
        <v>1850</v>
      </c>
      <c r="H1824" t="s">
        <v>4538</v>
      </c>
      <c r="I1824" t="s">
        <v>4980</v>
      </c>
      <c r="K1824" t="s">
        <v>6025</v>
      </c>
      <c r="L1824" t="s">
        <v>6026</v>
      </c>
    </row>
    <row r="1825" spans="1:12" x14ac:dyDescent="0.35">
      <c r="A1825" t="s">
        <v>118</v>
      </c>
      <c r="B1825" t="s">
        <v>175</v>
      </c>
      <c r="C1825" t="s">
        <v>1225</v>
      </c>
      <c r="D1825">
        <v>367</v>
      </c>
      <c r="F1825" t="s">
        <v>5410</v>
      </c>
      <c r="H1825" t="s">
        <v>4539</v>
      </c>
      <c r="I1825" t="s">
        <v>5012</v>
      </c>
      <c r="K1825" t="s">
        <v>6025</v>
      </c>
      <c r="L1825" t="s">
        <v>6026</v>
      </c>
    </row>
    <row r="1826" spans="1:12" x14ac:dyDescent="0.35">
      <c r="A1826" t="s">
        <v>118</v>
      </c>
      <c r="B1826" t="s">
        <v>175</v>
      </c>
      <c r="C1826" t="s">
        <v>1223</v>
      </c>
      <c r="D1826">
        <v>1.04</v>
      </c>
      <c r="F1826" t="s">
        <v>2412</v>
      </c>
      <c r="H1826" t="s">
        <v>4530</v>
      </c>
      <c r="I1826" t="s">
        <v>4980</v>
      </c>
      <c r="K1826" t="s">
        <v>6025</v>
      </c>
      <c r="L1826" t="s">
        <v>6026</v>
      </c>
    </row>
    <row r="1827" spans="1:12" x14ac:dyDescent="0.35">
      <c r="A1827" t="s">
        <v>118</v>
      </c>
      <c r="B1827" t="s">
        <v>175</v>
      </c>
      <c r="C1827" t="s">
        <v>1220</v>
      </c>
      <c r="D1827">
        <v>0.39</v>
      </c>
      <c r="F1827" t="s">
        <v>1422</v>
      </c>
      <c r="H1827" t="s">
        <v>4540</v>
      </c>
      <c r="I1827" t="s">
        <v>4980</v>
      </c>
      <c r="K1827" t="s">
        <v>6025</v>
      </c>
      <c r="L1827" t="s">
        <v>6026</v>
      </c>
    </row>
    <row r="1828" spans="1:12" x14ac:dyDescent="0.35">
      <c r="A1828" t="s">
        <v>118</v>
      </c>
      <c r="B1828" t="s">
        <v>175</v>
      </c>
      <c r="C1828" t="s">
        <v>1221</v>
      </c>
      <c r="D1828">
        <v>0.31</v>
      </c>
      <c r="F1828" t="s">
        <v>1714</v>
      </c>
      <c r="H1828" t="s">
        <v>4530</v>
      </c>
      <c r="I1828" t="s">
        <v>4980</v>
      </c>
      <c r="K1828" t="s">
        <v>6025</v>
      </c>
      <c r="L1828" t="s">
        <v>6026</v>
      </c>
    </row>
    <row r="1829" spans="1:12" x14ac:dyDescent="0.35">
      <c r="A1829" t="s">
        <v>118</v>
      </c>
      <c r="B1829" t="s">
        <v>175</v>
      </c>
      <c r="C1829" t="s">
        <v>167</v>
      </c>
      <c r="D1829">
        <v>2.52</v>
      </c>
      <c r="F1829" t="s">
        <v>2019</v>
      </c>
      <c r="H1829" t="s">
        <v>4527</v>
      </c>
      <c r="I1829" t="s">
        <v>4980</v>
      </c>
      <c r="K1829" t="s">
        <v>6025</v>
      </c>
      <c r="L1829" t="s">
        <v>6026</v>
      </c>
    </row>
    <row r="1830" spans="1:12" x14ac:dyDescent="0.35">
      <c r="A1830" t="s">
        <v>118</v>
      </c>
      <c r="B1830" t="s">
        <v>175</v>
      </c>
      <c r="C1830" t="s">
        <v>1220</v>
      </c>
      <c r="D1830">
        <v>0.56000000000000005</v>
      </c>
      <c r="F1830" t="s">
        <v>2170</v>
      </c>
      <c r="H1830" t="s">
        <v>4537</v>
      </c>
      <c r="I1830" t="s">
        <v>4980</v>
      </c>
      <c r="K1830" t="s">
        <v>6025</v>
      </c>
      <c r="L1830" t="s">
        <v>6026</v>
      </c>
    </row>
    <row r="1831" spans="1:12" x14ac:dyDescent="0.35">
      <c r="A1831" t="s">
        <v>118</v>
      </c>
      <c r="B1831" t="s">
        <v>175</v>
      </c>
      <c r="C1831" t="s">
        <v>1222</v>
      </c>
      <c r="D1831">
        <v>1.91</v>
      </c>
      <c r="F1831" t="s">
        <v>1585</v>
      </c>
      <c r="H1831" t="s">
        <v>4540</v>
      </c>
      <c r="I1831" t="s">
        <v>4980</v>
      </c>
      <c r="K1831" t="s">
        <v>6025</v>
      </c>
      <c r="L1831" t="s">
        <v>6026</v>
      </c>
    </row>
    <row r="1832" spans="1:12" x14ac:dyDescent="0.35">
      <c r="A1832" t="s">
        <v>118</v>
      </c>
      <c r="B1832" t="s">
        <v>622</v>
      </c>
      <c r="C1832" t="s">
        <v>167</v>
      </c>
      <c r="D1832">
        <v>0.2</v>
      </c>
      <c r="F1832" t="s">
        <v>1371</v>
      </c>
      <c r="I1832" t="s">
        <v>4949</v>
      </c>
      <c r="K1832" t="s">
        <v>6025</v>
      </c>
      <c r="L1832" t="s">
        <v>6026</v>
      </c>
    </row>
    <row r="1833" spans="1:12" x14ac:dyDescent="0.35">
      <c r="A1833" t="s">
        <v>118</v>
      </c>
      <c r="B1833" t="s">
        <v>622</v>
      </c>
      <c r="C1833" t="s">
        <v>1188</v>
      </c>
      <c r="D1833">
        <v>9.8000000000000004E-2</v>
      </c>
      <c r="F1833" t="s">
        <v>1413</v>
      </c>
      <c r="I1833" t="s">
        <v>4949</v>
      </c>
      <c r="K1833" t="s">
        <v>6025</v>
      </c>
      <c r="L1833" t="s">
        <v>6026</v>
      </c>
    </row>
    <row r="1834" spans="1:12" x14ac:dyDescent="0.35">
      <c r="A1834" t="s">
        <v>118</v>
      </c>
      <c r="B1834" t="s">
        <v>624</v>
      </c>
      <c r="C1834" t="s">
        <v>167</v>
      </c>
      <c r="D1834">
        <v>0.45</v>
      </c>
      <c r="F1834" t="s">
        <v>1316</v>
      </c>
      <c r="H1834" t="s">
        <v>4548</v>
      </c>
      <c r="I1834" t="s">
        <v>1496</v>
      </c>
      <c r="K1834" t="s">
        <v>6025</v>
      </c>
      <c r="L1834" t="s">
        <v>6026</v>
      </c>
    </row>
    <row r="1835" spans="1:12" x14ac:dyDescent="0.35">
      <c r="A1835" t="s">
        <v>118</v>
      </c>
      <c r="B1835" t="s">
        <v>624</v>
      </c>
      <c r="C1835" t="s">
        <v>1188</v>
      </c>
      <c r="D1835">
        <v>0.85</v>
      </c>
      <c r="F1835" t="s">
        <v>1474</v>
      </c>
      <c r="H1835" t="s">
        <v>5946</v>
      </c>
      <c r="I1835" t="s">
        <v>1496</v>
      </c>
      <c r="K1835" t="s">
        <v>6025</v>
      </c>
      <c r="L1835" t="s">
        <v>6026</v>
      </c>
    </row>
    <row r="1836" spans="1:12" x14ac:dyDescent="0.35">
      <c r="A1836" t="s">
        <v>118</v>
      </c>
      <c r="B1836" t="s">
        <v>624</v>
      </c>
      <c r="C1836" t="s">
        <v>1188</v>
      </c>
      <c r="D1836">
        <v>2.35</v>
      </c>
      <c r="F1836" t="s">
        <v>2482</v>
      </c>
      <c r="H1836" t="s">
        <v>4545</v>
      </c>
      <c r="I1836" t="s">
        <v>1496</v>
      </c>
      <c r="K1836" t="s">
        <v>6025</v>
      </c>
      <c r="L1836" t="s">
        <v>6026</v>
      </c>
    </row>
    <row r="1837" spans="1:12" x14ac:dyDescent="0.35">
      <c r="A1837" t="s">
        <v>118</v>
      </c>
      <c r="B1837" t="s">
        <v>624</v>
      </c>
      <c r="C1837" t="s">
        <v>1188</v>
      </c>
      <c r="D1837">
        <v>10.78</v>
      </c>
      <c r="F1837" t="s">
        <v>5603</v>
      </c>
      <c r="H1837" t="s">
        <v>4546</v>
      </c>
      <c r="I1837" t="s">
        <v>1496</v>
      </c>
      <c r="K1837" t="s">
        <v>6025</v>
      </c>
      <c r="L1837" t="s">
        <v>6026</v>
      </c>
    </row>
    <row r="1838" spans="1:12" x14ac:dyDescent="0.35">
      <c r="A1838" t="s">
        <v>118</v>
      </c>
      <c r="B1838" t="s">
        <v>624</v>
      </c>
      <c r="C1838" t="s">
        <v>167</v>
      </c>
      <c r="D1838">
        <v>16.510000000000002</v>
      </c>
      <c r="F1838" t="s">
        <v>5604</v>
      </c>
      <c r="H1838" t="s">
        <v>4544</v>
      </c>
      <c r="I1838" t="s">
        <v>1496</v>
      </c>
      <c r="K1838" t="s">
        <v>6025</v>
      </c>
      <c r="L1838" t="s">
        <v>6026</v>
      </c>
    </row>
    <row r="1839" spans="1:12" x14ac:dyDescent="0.35">
      <c r="A1839" t="s">
        <v>118</v>
      </c>
      <c r="B1839" t="s">
        <v>624</v>
      </c>
      <c r="C1839" t="s">
        <v>167</v>
      </c>
      <c r="D1839">
        <v>11.79</v>
      </c>
      <c r="F1839" t="s">
        <v>5605</v>
      </c>
      <c r="H1839" t="s">
        <v>4547</v>
      </c>
      <c r="I1839" t="s">
        <v>1496</v>
      </c>
      <c r="K1839" t="s">
        <v>6025</v>
      </c>
      <c r="L1839" t="s">
        <v>6026</v>
      </c>
    </row>
    <row r="1840" spans="1:12" x14ac:dyDescent="0.35">
      <c r="A1840" t="s">
        <v>118</v>
      </c>
      <c r="B1840" t="s">
        <v>175</v>
      </c>
      <c r="C1840" t="s">
        <v>1207</v>
      </c>
      <c r="D1840">
        <v>3.6999999999999998E-2</v>
      </c>
      <c r="F1840" t="s">
        <v>1534</v>
      </c>
      <c r="H1840" t="s">
        <v>4549</v>
      </c>
      <c r="I1840" t="s">
        <v>5003</v>
      </c>
      <c r="K1840" t="s">
        <v>6025</v>
      </c>
      <c r="L1840" t="s">
        <v>6026</v>
      </c>
    </row>
    <row r="1841" spans="1:12" x14ac:dyDescent="0.35">
      <c r="A1841" t="s">
        <v>118</v>
      </c>
      <c r="B1841" t="s">
        <v>175</v>
      </c>
      <c r="C1841" t="s">
        <v>1206</v>
      </c>
      <c r="D1841">
        <v>6.8000000000000005E-2</v>
      </c>
      <c r="F1841" t="s">
        <v>2426</v>
      </c>
      <c r="H1841" t="s">
        <v>4549</v>
      </c>
      <c r="I1841" t="s">
        <v>5003</v>
      </c>
      <c r="K1841" t="s">
        <v>6025</v>
      </c>
      <c r="L1841" t="s">
        <v>6026</v>
      </c>
    </row>
    <row r="1842" spans="1:12" x14ac:dyDescent="0.35">
      <c r="A1842" t="s">
        <v>118</v>
      </c>
      <c r="B1842" t="s">
        <v>175</v>
      </c>
      <c r="C1842" t="s">
        <v>1208</v>
      </c>
      <c r="D1842">
        <v>9.16</v>
      </c>
      <c r="F1842" t="s">
        <v>5606</v>
      </c>
      <c r="H1842" t="s">
        <v>4549</v>
      </c>
      <c r="I1842" t="s">
        <v>5003</v>
      </c>
      <c r="K1842" t="s">
        <v>6025</v>
      </c>
      <c r="L1842" t="s">
        <v>6026</v>
      </c>
    </row>
    <row r="1843" spans="1:12" x14ac:dyDescent="0.35">
      <c r="A1843" t="s">
        <v>118</v>
      </c>
      <c r="B1843" t="s">
        <v>626</v>
      </c>
      <c r="C1843" t="s">
        <v>167</v>
      </c>
      <c r="D1843">
        <v>0.02</v>
      </c>
      <c r="F1843" t="s">
        <v>1448</v>
      </c>
      <c r="H1843" t="s">
        <v>4550</v>
      </c>
      <c r="I1843" t="s">
        <v>1610</v>
      </c>
      <c r="K1843" t="s">
        <v>6025</v>
      </c>
      <c r="L1843" t="s">
        <v>6026</v>
      </c>
    </row>
    <row r="1844" spans="1:12" x14ac:dyDescent="0.35">
      <c r="A1844" t="s">
        <v>118</v>
      </c>
      <c r="B1844" t="s">
        <v>626</v>
      </c>
      <c r="C1844" t="s">
        <v>167</v>
      </c>
      <c r="D1844">
        <v>2.7E-2</v>
      </c>
      <c r="F1844" t="s">
        <v>1420</v>
      </c>
      <c r="H1844" t="s">
        <v>5947</v>
      </c>
      <c r="I1844" t="s">
        <v>1610</v>
      </c>
      <c r="K1844" t="s">
        <v>6025</v>
      </c>
      <c r="L1844" t="s">
        <v>6026</v>
      </c>
    </row>
    <row r="1845" spans="1:12" x14ac:dyDescent="0.35">
      <c r="A1845" t="s">
        <v>118</v>
      </c>
      <c r="B1845" t="s">
        <v>626</v>
      </c>
      <c r="C1845" t="s">
        <v>167</v>
      </c>
      <c r="D1845">
        <v>0.39</v>
      </c>
      <c r="F1845" t="s">
        <v>1422</v>
      </c>
      <c r="H1845" t="s">
        <v>4551</v>
      </c>
      <c r="I1845" t="s">
        <v>1610</v>
      </c>
      <c r="K1845" t="s">
        <v>6025</v>
      </c>
      <c r="L1845" t="s">
        <v>6026</v>
      </c>
    </row>
    <row r="1846" spans="1:12" x14ac:dyDescent="0.35">
      <c r="A1846" t="s">
        <v>118</v>
      </c>
      <c r="B1846" t="s">
        <v>626</v>
      </c>
      <c r="C1846" t="s">
        <v>1188</v>
      </c>
      <c r="D1846">
        <v>0.03</v>
      </c>
      <c r="F1846" t="s">
        <v>1266</v>
      </c>
      <c r="H1846" t="s">
        <v>5948</v>
      </c>
      <c r="I1846" t="s">
        <v>1610</v>
      </c>
      <c r="K1846" t="s">
        <v>6025</v>
      </c>
      <c r="L1846" t="s">
        <v>6026</v>
      </c>
    </row>
    <row r="1847" spans="1:12" x14ac:dyDescent="0.35">
      <c r="A1847" t="s">
        <v>118</v>
      </c>
      <c r="B1847" t="s">
        <v>626</v>
      </c>
      <c r="C1847" t="s">
        <v>1188</v>
      </c>
      <c r="D1847">
        <v>0.25</v>
      </c>
      <c r="F1847" t="s">
        <v>1403</v>
      </c>
      <c r="H1847" t="s">
        <v>5949</v>
      </c>
      <c r="I1847" t="s">
        <v>1610</v>
      </c>
      <c r="K1847" t="s">
        <v>6025</v>
      </c>
      <c r="L1847" t="s">
        <v>6026</v>
      </c>
    </row>
    <row r="1848" spans="1:12" x14ac:dyDescent="0.35">
      <c r="A1848" t="s">
        <v>118</v>
      </c>
      <c r="B1848" t="s">
        <v>626</v>
      </c>
      <c r="C1848" t="s">
        <v>1188</v>
      </c>
      <c r="D1848">
        <v>5.0999999999999997E-2</v>
      </c>
      <c r="F1848" t="s">
        <v>2059</v>
      </c>
      <c r="H1848" t="s">
        <v>5950</v>
      </c>
      <c r="I1848" t="s">
        <v>1610</v>
      </c>
      <c r="K1848" t="s">
        <v>6025</v>
      </c>
      <c r="L1848" t="s">
        <v>6026</v>
      </c>
    </row>
    <row r="1849" spans="1:12" x14ac:dyDescent="0.35">
      <c r="A1849" t="s">
        <v>118</v>
      </c>
      <c r="B1849" t="s">
        <v>178</v>
      </c>
      <c r="C1849" t="s">
        <v>1226</v>
      </c>
      <c r="D1849">
        <v>1.78</v>
      </c>
      <c r="F1849" t="s">
        <v>2483</v>
      </c>
      <c r="H1849" t="s">
        <v>4555</v>
      </c>
      <c r="I1849" t="s">
        <v>5016</v>
      </c>
      <c r="K1849" t="s">
        <v>6025</v>
      </c>
      <c r="L1849" t="s">
        <v>6026</v>
      </c>
    </row>
    <row r="1850" spans="1:12" x14ac:dyDescent="0.35">
      <c r="A1850" t="s">
        <v>118</v>
      </c>
      <c r="B1850" t="s">
        <v>340</v>
      </c>
      <c r="C1850" t="s">
        <v>1227</v>
      </c>
      <c r="D1850">
        <v>1.75</v>
      </c>
      <c r="F1850" t="s">
        <v>1523</v>
      </c>
      <c r="H1850" t="s">
        <v>4575</v>
      </c>
      <c r="I1850" t="s">
        <v>5017</v>
      </c>
      <c r="K1850" t="s">
        <v>6025</v>
      </c>
      <c r="L1850" t="s">
        <v>6026</v>
      </c>
    </row>
    <row r="1851" spans="1:12" x14ac:dyDescent="0.35">
      <c r="A1851" t="s">
        <v>118</v>
      </c>
      <c r="B1851" t="s">
        <v>340</v>
      </c>
      <c r="C1851" t="s">
        <v>167</v>
      </c>
      <c r="D1851">
        <v>0.22</v>
      </c>
      <c r="F1851" t="s">
        <v>1438</v>
      </c>
      <c r="H1851" t="s">
        <v>5951</v>
      </c>
      <c r="I1851" t="s">
        <v>5017</v>
      </c>
      <c r="K1851" t="s">
        <v>6025</v>
      </c>
      <c r="L1851" t="s">
        <v>6026</v>
      </c>
    </row>
    <row r="1852" spans="1:12" x14ac:dyDescent="0.35">
      <c r="A1852" t="s">
        <v>118</v>
      </c>
      <c r="B1852" t="s">
        <v>340</v>
      </c>
      <c r="C1852" t="s">
        <v>167</v>
      </c>
      <c r="D1852">
        <v>0.32200000000000001</v>
      </c>
      <c r="F1852" t="s">
        <v>5607</v>
      </c>
      <c r="H1852" t="s">
        <v>4564</v>
      </c>
      <c r="I1852" t="s">
        <v>5017</v>
      </c>
      <c r="K1852" t="s">
        <v>6025</v>
      </c>
      <c r="L1852" t="s">
        <v>6026</v>
      </c>
    </row>
    <row r="1853" spans="1:12" x14ac:dyDescent="0.35">
      <c r="A1853" t="s">
        <v>118</v>
      </c>
      <c r="B1853" t="s">
        <v>340</v>
      </c>
      <c r="C1853" t="s">
        <v>1227</v>
      </c>
      <c r="D1853">
        <v>0.51200000000000001</v>
      </c>
      <c r="F1853" t="s">
        <v>5608</v>
      </c>
      <c r="H1853" t="s">
        <v>4573</v>
      </c>
      <c r="I1853" t="s">
        <v>5017</v>
      </c>
      <c r="K1853" t="s">
        <v>6025</v>
      </c>
      <c r="L1853" t="s">
        <v>6026</v>
      </c>
    </row>
    <row r="1854" spans="1:12" x14ac:dyDescent="0.35">
      <c r="A1854" t="s">
        <v>118</v>
      </c>
      <c r="B1854" t="s">
        <v>340</v>
      </c>
      <c r="C1854" t="s">
        <v>1227</v>
      </c>
      <c r="D1854">
        <v>0.27700000000000002</v>
      </c>
      <c r="F1854" t="s">
        <v>5609</v>
      </c>
      <c r="H1854" t="s">
        <v>4568</v>
      </c>
      <c r="I1854" t="s">
        <v>5017</v>
      </c>
      <c r="K1854" t="s">
        <v>6025</v>
      </c>
      <c r="L1854" t="s">
        <v>6026</v>
      </c>
    </row>
    <row r="1855" spans="1:12" x14ac:dyDescent="0.35">
      <c r="A1855" t="s">
        <v>118</v>
      </c>
      <c r="B1855" t="s">
        <v>340</v>
      </c>
      <c r="C1855" t="s">
        <v>167</v>
      </c>
      <c r="D1855">
        <v>0.19600000000000001</v>
      </c>
      <c r="F1855" t="s">
        <v>5610</v>
      </c>
      <c r="H1855" t="s">
        <v>4569</v>
      </c>
      <c r="I1855" t="s">
        <v>5017</v>
      </c>
      <c r="K1855" t="s">
        <v>6025</v>
      </c>
      <c r="L1855" t="s">
        <v>6026</v>
      </c>
    </row>
    <row r="1856" spans="1:12" x14ac:dyDescent="0.35">
      <c r="A1856" t="s">
        <v>118</v>
      </c>
      <c r="B1856" t="s">
        <v>340</v>
      </c>
      <c r="C1856" t="s">
        <v>1227</v>
      </c>
      <c r="D1856">
        <v>0.26600000000000001</v>
      </c>
      <c r="F1856" t="s">
        <v>5611</v>
      </c>
      <c r="H1856" t="s">
        <v>4572</v>
      </c>
      <c r="I1856" t="s">
        <v>5017</v>
      </c>
      <c r="K1856" t="s">
        <v>6025</v>
      </c>
      <c r="L1856" t="s">
        <v>6026</v>
      </c>
    </row>
    <row r="1857" spans="1:12" x14ac:dyDescent="0.35">
      <c r="A1857" t="s">
        <v>118</v>
      </c>
      <c r="B1857" t="s">
        <v>340</v>
      </c>
      <c r="C1857" t="s">
        <v>167</v>
      </c>
      <c r="D1857">
        <v>0.42099999999999999</v>
      </c>
      <c r="F1857" t="s">
        <v>5612</v>
      </c>
      <c r="H1857" t="s">
        <v>5952</v>
      </c>
      <c r="I1857" t="s">
        <v>5017</v>
      </c>
      <c r="K1857" t="s">
        <v>6025</v>
      </c>
      <c r="L1857" t="s">
        <v>6026</v>
      </c>
    </row>
    <row r="1858" spans="1:12" x14ac:dyDescent="0.35">
      <c r="A1858" t="s">
        <v>118</v>
      </c>
      <c r="B1858" t="s">
        <v>340</v>
      </c>
      <c r="C1858" t="s">
        <v>167</v>
      </c>
      <c r="D1858">
        <v>0.57299999999999995</v>
      </c>
      <c r="F1858" t="s">
        <v>5613</v>
      </c>
      <c r="H1858" t="s">
        <v>4571</v>
      </c>
      <c r="I1858" t="s">
        <v>5017</v>
      </c>
      <c r="K1858" t="s">
        <v>6025</v>
      </c>
      <c r="L1858" t="s">
        <v>6026</v>
      </c>
    </row>
    <row r="1859" spans="1:12" x14ac:dyDescent="0.35">
      <c r="A1859" t="s">
        <v>118</v>
      </c>
      <c r="B1859" t="s">
        <v>340</v>
      </c>
      <c r="C1859" t="s">
        <v>1191</v>
      </c>
      <c r="D1859">
        <v>0.25700000000000001</v>
      </c>
      <c r="F1859" t="s">
        <v>2353</v>
      </c>
      <c r="H1859" t="s">
        <v>4566</v>
      </c>
      <c r="I1859" t="s">
        <v>5018</v>
      </c>
      <c r="K1859" t="s">
        <v>6025</v>
      </c>
      <c r="L1859" t="s">
        <v>6026</v>
      </c>
    </row>
    <row r="1860" spans="1:12" x14ac:dyDescent="0.35">
      <c r="A1860" t="s">
        <v>118</v>
      </c>
      <c r="B1860" t="s">
        <v>340</v>
      </c>
      <c r="C1860" t="s">
        <v>1227</v>
      </c>
      <c r="D1860">
        <v>0.25700000000000001</v>
      </c>
      <c r="F1860" t="s">
        <v>2353</v>
      </c>
      <c r="H1860" t="s">
        <v>4567</v>
      </c>
      <c r="I1860" t="s">
        <v>5017</v>
      </c>
      <c r="K1860" t="s">
        <v>6025</v>
      </c>
      <c r="L1860" t="s">
        <v>6026</v>
      </c>
    </row>
    <row r="1861" spans="1:12" x14ac:dyDescent="0.35">
      <c r="A1861" t="s">
        <v>118</v>
      </c>
      <c r="B1861" t="s">
        <v>340</v>
      </c>
      <c r="C1861" t="s">
        <v>167</v>
      </c>
      <c r="D1861">
        <v>0.26400000000000001</v>
      </c>
      <c r="F1861" t="s">
        <v>5614</v>
      </c>
      <c r="H1861" t="s">
        <v>4565</v>
      </c>
      <c r="I1861" t="s">
        <v>5018</v>
      </c>
      <c r="K1861" t="s">
        <v>6025</v>
      </c>
      <c r="L1861" t="s">
        <v>6026</v>
      </c>
    </row>
    <row r="1862" spans="1:12" x14ac:dyDescent="0.35">
      <c r="A1862" t="s">
        <v>118</v>
      </c>
      <c r="B1862" t="s">
        <v>340</v>
      </c>
      <c r="C1862" t="s">
        <v>167</v>
      </c>
      <c r="D1862">
        <v>0.38700000000000001</v>
      </c>
      <c r="F1862" t="s">
        <v>5615</v>
      </c>
      <c r="H1862" t="s">
        <v>4574</v>
      </c>
      <c r="I1862" t="s">
        <v>5017</v>
      </c>
      <c r="K1862" t="s">
        <v>6025</v>
      </c>
      <c r="L1862" t="s">
        <v>6026</v>
      </c>
    </row>
    <row r="1863" spans="1:12" x14ac:dyDescent="0.35">
      <c r="A1863" t="s">
        <v>118</v>
      </c>
      <c r="B1863" t="s">
        <v>340</v>
      </c>
      <c r="C1863" t="s">
        <v>1227</v>
      </c>
      <c r="D1863">
        <v>0.80900000000000005</v>
      </c>
      <c r="F1863" t="s">
        <v>5616</v>
      </c>
      <c r="H1863" t="s">
        <v>4577</v>
      </c>
      <c r="I1863" t="s">
        <v>5017</v>
      </c>
      <c r="K1863" t="s">
        <v>6025</v>
      </c>
      <c r="L1863" t="s">
        <v>6026</v>
      </c>
    </row>
    <row r="1864" spans="1:12" x14ac:dyDescent="0.35">
      <c r="A1864" t="s">
        <v>118</v>
      </c>
      <c r="B1864" t="s">
        <v>340</v>
      </c>
      <c r="C1864" t="s">
        <v>167</v>
      </c>
      <c r="D1864">
        <v>0.94599999999999995</v>
      </c>
      <c r="F1864" t="s">
        <v>5617</v>
      </c>
      <c r="H1864" t="s">
        <v>4570</v>
      </c>
      <c r="I1864" t="s">
        <v>5017</v>
      </c>
      <c r="K1864" t="s">
        <v>6025</v>
      </c>
      <c r="L1864" t="s">
        <v>6026</v>
      </c>
    </row>
    <row r="1865" spans="1:12" x14ac:dyDescent="0.35">
      <c r="A1865" t="s">
        <v>118</v>
      </c>
      <c r="B1865" t="s">
        <v>340</v>
      </c>
      <c r="C1865" t="s">
        <v>1227</v>
      </c>
      <c r="D1865">
        <v>0.999</v>
      </c>
      <c r="F1865" t="s">
        <v>5618</v>
      </c>
      <c r="H1865" t="s">
        <v>4576</v>
      </c>
      <c r="I1865" t="s">
        <v>5017</v>
      </c>
      <c r="K1865" t="s">
        <v>6025</v>
      </c>
      <c r="L1865" t="s">
        <v>6026</v>
      </c>
    </row>
    <row r="1866" spans="1:12" x14ac:dyDescent="0.35">
      <c r="A1866" t="s">
        <v>118</v>
      </c>
      <c r="B1866" t="s">
        <v>340</v>
      </c>
      <c r="C1866" t="s">
        <v>1227</v>
      </c>
      <c r="D1866">
        <v>1.573</v>
      </c>
      <c r="F1866" t="s">
        <v>5619</v>
      </c>
      <c r="H1866" t="s">
        <v>4578</v>
      </c>
      <c r="I1866" t="s">
        <v>5017</v>
      </c>
      <c r="K1866" t="s">
        <v>6025</v>
      </c>
      <c r="L1866" t="s">
        <v>6026</v>
      </c>
    </row>
    <row r="1867" spans="1:12" x14ac:dyDescent="0.35">
      <c r="A1867" t="s">
        <v>118</v>
      </c>
      <c r="B1867" t="s">
        <v>474</v>
      </c>
      <c r="C1867" t="s">
        <v>1226</v>
      </c>
      <c r="D1867">
        <v>1.1499999999999999</v>
      </c>
      <c r="F1867" t="s">
        <v>1622</v>
      </c>
      <c r="H1867" t="s">
        <v>4579</v>
      </c>
      <c r="I1867" t="s">
        <v>5016</v>
      </c>
      <c r="K1867" t="s">
        <v>6025</v>
      </c>
      <c r="L1867" t="s">
        <v>6026</v>
      </c>
    </row>
    <row r="1868" spans="1:12" x14ac:dyDescent="0.35">
      <c r="A1868" t="s">
        <v>118</v>
      </c>
      <c r="B1868" t="s">
        <v>474</v>
      </c>
      <c r="C1868" t="s">
        <v>1228</v>
      </c>
      <c r="D1868">
        <v>0.26200000000000001</v>
      </c>
      <c r="F1868" t="s">
        <v>2586</v>
      </c>
      <c r="H1868" t="s">
        <v>3849</v>
      </c>
      <c r="I1868" t="s">
        <v>5016</v>
      </c>
      <c r="K1868" t="s">
        <v>6025</v>
      </c>
      <c r="L1868" t="s">
        <v>6026</v>
      </c>
    </row>
    <row r="1869" spans="1:12" x14ac:dyDescent="0.35">
      <c r="A1869" t="s">
        <v>118</v>
      </c>
      <c r="B1869" t="s">
        <v>474</v>
      </c>
      <c r="C1869" t="s">
        <v>167</v>
      </c>
      <c r="D1869">
        <v>7.0900000000000005E-2</v>
      </c>
      <c r="F1869" t="s">
        <v>2523</v>
      </c>
      <c r="H1869" t="s">
        <v>4579</v>
      </c>
      <c r="I1869" t="s">
        <v>5016</v>
      </c>
      <c r="K1869" t="s">
        <v>6025</v>
      </c>
      <c r="L1869" t="s">
        <v>6026</v>
      </c>
    </row>
    <row r="1870" spans="1:12" x14ac:dyDescent="0.35">
      <c r="A1870" t="s">
        <v>118</v>
      </c>
      <c r="B1870" t="s">
        <v>353</v>
      </c>
      <c r="C1870" t="s">
        <v>167</v>
      </c>
      <c r="D1870">
        <v>1.1000000000000001</v>
      </c>
      <c r="F1870" t="s">
        <v>1505</v>
      </c>
      <c r="H1870" t="s">
        <v>4582</v>
      </c>
      <c r="I1870" t="s">
        <v>5019</v>
      </c>
      <c r="K1870" t="s">
        <v>6025</v>
      </c>
      <c r="L1870" t="s">
        <v>6026</v>
      </c>
    </row>
    <row r="1871" spans="1:12" x14ac:dyDescent="0.35">
      <c r="A1871" t="s">
        <v>118</v>
      </c>
      <c r="B1871" t="s">
        <v>353</v>
      </c>
      <c r="C1871" t="s">
        <v>1188</v>
      </c>
      <c r="D1871">
        <v>1.1000000000000001</v>
      </c>
      <c r="F1871" t="s">
        <v>1505</v>
      </c>
      <c r="H1871" t="s">
        <v>5953</v>
      </c>
      <c r="I1871" t="s">
        <v>5019</v>
      </c>
      <c r="K1871" t="s">
        <v>6025</v>
      </c>
      <c r="L1871" t="s">
        <v>6026</v>
      </c>
    </row>
    <row r="1872" spans="1:12" x14ac:dyDescent="0.35">
      <c r="A1872" t="s">
        <v>118</v>
      </c>
      <c r="B1872" t="s">
        <v>353</v>
      </c>
      <c r="C1872" t="s">
        <v>1188</v>
      </c>
      <c r="D1872">
        <v>1.6</v>
      </c>
      <c r="F1872" t="s">
        <v>1328</v>
      </c>
      <c r="H1872" t="s">
        <v>4586</v>
      </c>
      <c r="I1872" t="s">
        <v>5019</v>
      </c>
      <c r="K1872" t="s">
        <v>6025</v>
      </c>
      <c r="L1872" t="s">
        <v>6026</v>
      </c>
    </row>
    <row r="1873" spans="1:12" x14ac:dyDescent="0.35">
      <c r="A1873" t="s">
        <v>118</v>
      </c>
      <c r="B1873" t="s">
        <v>353</v>
      </c>
      <c r="C1873" t="s">
        <v>1188</v>
      </c>
      <c r="D1873">
        <v>4.8</v>
      </c>
      <c r="F1873" t="s">
        <v>1567</v>
      </c>
      <c r="H1873" t="s">
        <v>5954</v>
      </c>
      <c r="I1873" t="s">
        <v>5019</v>
      </c>
      <c r="K1873" t="s">
        <v>6025</v>
      </c>
      <c r="L1873" t="s">
        <v>6026</v>
      </c>
    </row>
    <row r="1874" spans="1:12" x14ac:dyDescent="0.35">
      <c r="A1874" t="s">
        <v>118</v>
      </c>
      <c r="B1874" t="s">
        <v>353</v>
      </c>
      <c r="C1874" t="s">
        <v>167</v>
      </c>
      <c r="D1874">
        <v>7.7</v>
      </c>
      <c r="F1874" t="s">
        <v>1627</v>
      </c>
      <c r="H1874" t="s">
        <v>5955</v>
      </c>
      <c r="I1874" t="s">
        <v>5019</v>
      </c>
      <c r="K1874" t="s">
        <v>6025</v>
      </c>
      <c r="L1874" t="s">
        <v>6026</v>
      </c>
    </row>
    <row r="1875" spans="1:12" x14ac:dyDescent="0.35">
      <c r="A1875" t="s">
        <v>118</v>
      </c>
      <c r="B1875" t="s">
        <v>353</v>
      </c>
      <c r="C1875" t="s">
        <v>167</v>
      </c>
      <c r="D1875">
        <v>41</v>
      </c>
      <c r="F1875" t="s">
        <v>2258</v>
      </c>
      <c r="H1875" t="s">
        <v>4584</v>
      </c>
      <c r="I1875" t="s">
        <v>5019</v>
      </c>
      <c r="K1875" t="s">
        <v>6025</v>
      </c>
      <c r="L1875" t="s">
        <v>6026</v>
      </c>
    </row>
    <row r="1876" spans="1:12" x14ac:dyDescent="0.35">
      <c r="A1876" t="s">
        <v>118</v>
      </c>
      <c r="B1876" t="s">
        <v>353</v>
      </c>
      <c r="C1876" t="s">
        <v>167</v>
      </c>
      <c r="D1876">
        <v>6.8</v>
      </c>
      <c r="F1876" t="s">
        <v>1381</v>
      </c>
      <c r="H1876" t="s">
        <v>4583</v>
      </c>
      <c r="I1876" t="s">
        <v>5019</v>
      </c>
      <c r="K1876" t="s">
        <v>6025</v>
      </c>
      <c r="L1876" t="s">
        <v>6026</v>
      </c>
    </row>
    <row r="1877" spans="1:12" x14ac:dyDescent="0.35">
      <c r="A1877" t="s">
        <v>118</v>
      </c>
      <c r="B1877" t="s">
        <v>353</v>
      </c>
      <c r="C1877" t="s">
        <v>1188</v>
      </c>
      <c r="D1877">
        <v>9.1</v>
      </c>
      <c r="F1877" t="s">
        <v>1877</v>
      </c>
      <c r="H1877" t="s">
        <v>5956</v>
      </c>
      <c r="I1877" t="s">
        <v>5019</v>
      </c>
      <c r="K1877" t="s">
        <v>6025</v>
      </c>
      <c r="L1877" t="s">
        <v>6026</v>
      </c>
    </row>
    <row r="1878" spans="1:12" x14ac:dyDescent="0.35">
      <c r="A1878" t="s">
        <v>118</v>
      </c>
      <c r="B1878" t="s">
        <v>353</v>
      </c>
      <c r="C1878" t="s">
        <v>1188</v>
      </c>
      <c r="D1878">
        <v>55.8</v>
      </c>
      <c r="F1878" t="s">
        <v>5620</v>
      </c>
      <c r="H1878" t="s">
        <v>4585</v>
      </c>
      <c r="I1878" t="s">
        <v>5019</v>
      </c>
      <c r="K1878" t="s">
        <v>6025</v>
      </c>
      <c r="L1878" t="s">
        <v>6026</v>
      </c>
    </row>
    <row r="1879" spans="1:12" x14ac:dyDescent="0.35">
      <c r="A1879" t="s">
        <v>118</v>
      </c>
      <c r="B1879" t="s">
        <v>324</v>
      </c>
      <c r="C1879" t="s">
        <v>1229</v>
      </c>
      <c r="D1879">
        <v>1.1E-4</v>
      </c>
      <c r="F1879" t="s">
        <v>1907</v>
      </c>
      <c r="H1879" t="s">
        <v>4599</v>
      </c>
      <c r="I1879" t="s">
        <v>4908</v>
      </c>
      <c r="K1879" t="s">
        <v>6025</v>
      </c>
      <c r="L1879" t="s">
        <v>6026</v>
      </c>
    </row>
    <row r="1880" spans="1:12" x14ac:dyDescent="0.35">
      <c r="A1880" t="s">
        <v>118</v>
      </c>
      <c r="B1880" t="s">
        <v>324</v>
      </c>
      <c r="C1880" t="s">
        <v>1229</v>
      </c>
      <c r="D1880">
        <v>4.6000000000000001E-4</v>
      </c>
      <c r="F1880" t="s">
        <v>1909</v>
      </c>
      <c r="H1880" t="s">
        <v>4594</v>
      </c>
      <c r="I1880" t="s">
        <v>4908</v>
      </c>
      <c r="K1880" t="s">
        <v>6025</v>
      </c>
      <c r="L1880" t="s">
        <v>6026</v>
      </c>
    </row>
    <row r="1881" spans="1:12" x14ac:dyDescent="0.35">
      <c r="A1881" t="s">
        <v>118</v>
      </c>
      <c r="B1881" t="s">
        <v>324</v>
      </c>
      <c r="C1881" t="s">
        <v>1229</v>
      </c>
      <c r="D1881">
        <v>4.8000000000000001E-4</v>
      </c>
      <c r="F1881" t="s">
        <v>2238</v>
      </c>
      <c r="H1881" t="s">
        <v>4604</v>
      </c>
      <c r="I1881" t="s">
        <v>4908</v>
      </c>
      <c r="K1881" t="s">
        <v>6025</v>
      </c>
      <c r="L1881" t="s">
        <v>6026</v>
      </c>
    </row>
    <row r="1882" spans="1:12" x14ac:dyDescent="0.35">
      <c r="A1882" t="s">
        <v>118</v>
      </c>
      <c r="B1882" t="s">
        <v>324</v>
      </c>
      <c r="C1882" t="s">
        <v>1229</v>
      </c>
      <c r="D1882">
        <v>1.9000000000000001E-4</v>
      </c>
      <c r="F1882" t="s">
        <v>1908</v>
      </c>
      <c r="H1882" t="s">
        <v>4621</v>
      </c>
      <c r="I1882" t="s">
        <v>4908</v>
      </c>
      <c r="K1882" t="s">
        <v>6025</v>
      </c>
      <c r="L1882" t="s">
        <v>6026</v>
      </c>
    </row>
    <row r="1883" spans="1:12" x14ac:dyDescent="0.35">
      <c r="A1883" t="s">
        <v>118</v>
      </c>
      <c r="B1883" t="s">
        <v>380</v>
      </c>
      <c r="C1883" t="s">
        <v>1188</v>
      </c>
      <c r="D1883">
        <v>84</v>
      </c>
      <c r="F1883" t="s">
        <v>4907</v>
      </c>
      <c r="H1883" t="s">
        <v>4624</v>
      </c>
      <c r="I1883" t="s">
        <v>5011</v>
      </c>
      <c r="K1883" t="s">
        <v>6025</v>
      </c>
      <c r="L1883" t="s">
        <v>6026</v>
      </c>
    </row>
    <row r="1884" spans="1:12" x14ac:dyDescent="0.35">
      <c r="A1884" t="s">
        <v>118</v>
      </c>
      <c r="B1884" t="s">
        <v>380</v>
      </c>
      <c r="C1884" t="s">
        <v>1231</v>
      </c>
      <c r="D1884">
        <v>0.01</v>
      </c>
      <c r="F1884" t="s">
        <v>1376</v>
      </c>
      <c r="H1884" t="s">
        <v>4624</v>
      </c>
      <c r="I1884" t="s">
        <v>5011</v>
      </c>
      <c r="K1884" t="s">
        <v>6025</v>
      </c>
      <c r="L1884" t="s">
        <v>6026</v>
      </c>
    </row>
    <row r="1885" spans="1:12" x14ac:dyDescent="0.35">
      <c r="A1885" t="s">
        <v>118</v>
      </c>
      <c r="B1885" t="s">
        <v>380</v>
      </c>
      <c r="C1885" t="s">
        <v>1233</v>
      </c>
      <c r="D1885">
        <v>4.8</v>
      </c>
      <c r="F1885" t="s">
        <v>1567</v>
      </c>
      <c r="H1885" t="s">
        <v>4624</v>
      </c>
      <c r="I1885" t="s">
        <v>5011</v>
      </c>
      <c r="K1885" t="s">
        <v>6025</v>
      </c>
      <c r="L1885" t="s">
        <v>6026</v>
      </c>
    </row>
    <row r="1886" spans="1:12" x14ac:dyDescent="0.35">
      <c r="A1886" t="s">
        <v>118</v>
      </c>
      <c r="B1886" t="s">
        <v>380</v>
      </c>
      <c r="C1886" t="s">
        <v>1232</v>
      </c>
      <c r="D1886">
        <v>9.5</v>
      </c>
      <c r="F1886" t="s">
        <v>2047</v>
      </c>
      <c r="H1886" t="s">
        <v>4624</v>
      </c>
      <c r="I1886" t="s">
        <v>5011</v>
      </c>
      <c r="K1886" t="s">
        <v>6025</v>
      </c>
      <c r="L1886" t="s">
        <v>6026</v>
      </c>
    </row>
    <row r="1887" spans="1:12" x14ac:dyDescent="0.35">
      <c r="A1887" t="s">
        <v>118</v>
      </c>
      <c r="B1887" t="s">
        <v>380</v>
      </c>
      <c r="C1887" t="s">
        <v>1210</v>
      </c>
      <c r="D1887">
        <v>0.155</v>
      </c>
      <c r="F1887" t="s">
        <v>1580</v>
      </c>
      <c r="H1887" t="s">
        <v>4624</v>
      </c>
      <c r="I1887" t="s">
        <v>5011</v>
      </c>
      <c r="K1887" t="s">
        <v>6025</v>
      </c>
      <c r="L1887" t="s">
        <v>6026</v>
      </c>
    </row>
    <row r="1888" spans="1:12" x14ac:dyDescent="0.35">
      <c r="A1888" t="s">
        <v>118</v>
      </c>
      <c r="B1888" t="s">
        <v>630</v>
      </c>
      <c r="C1888" t="s">
        <v>1188</v>
      </c>
      <c r="D1888">
        <v>0.99</v>
      </c>
      <c r="F1888" t="s">
        <v>1586</v>
      </c>
      <c r="H1888" t="s">
        <v>5957</v>
      </c>
      <c r="I1888" t="s">
        <v>4987</v>
      </c>
      <c r="K1888" t="s">
        <v>6025</v>
      </c>
      <c r="L1888" t="s">
        <v>6026</v>
      </c>
    </row>
    <row r="1889" spans="1:12" x14ac:dyDescent="0.35">
      <c r="A1889" t="s">
        <v>118</v>
      </c>
      <c r="B1889" t="s">
        <v>630</v>
      </c>
      <c r="C1889" t="s">
        <v>1188</v>
      </c>
      <c r="D1889">
        <v>8</v>
      </c>
      <c r="F1889" t="s">
        <v>1373</v>
      </c>
      <c r="H1889" t="s">
        <v>5958</v>
      </c>
      <c r="I1889" t="s">
        <v>4987</v>
      </c>
      <c r="K1889" t="s">
        <v>6025</v>
      </c>
      <c r="L1889" t="s">
        <v>6026</v>
      </c>
    </row>
    <row r="1890" spans="1:12" x14ac:dyDescent="0.35">
      <c r="A1890" t="s">
        <v>118</v>
      </c>
      <c r="B1890" t="s">
        <v>630</v>
      </c>
      <c r="C1890" t="s">
        <v>1188</v>
      </c>
      <c r="D1890">
        <v>11.7</v>
      </c>
      <c r="F1890" t="s">
        <v>2227</v>
      </c>
      <c r="H1890" t="s">
        <v>5959</v>
      </c>
      <c r="I1890" t="s">
        <v>4987</v>
      </c>
      <c r="K1890" t="s">
        <v>6025</v>
      </c>
      <c r="L1890" t="s">
        <v>6026</v>
      </c>
    </row>
    <row r="1891" spans="1:12" x14ac:dyDescent="0.35">
      <c r="A1891" t="s">
        <v>118</v>
      </c>
      <c r="B1891" t="s">
        <v>630</v>
      </c>
      <c r="C1891" t="s">
        <v>167</v>
      </c>
      <c r="D1891">
        <v>14</v>
      </c>
      <c r="F1891" t="s">
        <v>1467</v>
      </c>
      <c r="H1891" t="s">
        <v>5960</v>
      </c>
      <c r="I1891" t="s">
        <v>4987</v>
      </c>
      <c r="K1891" t="s">
        <v>6025</v>
      </c>
      <c r="L1891" t="s">
        <v>6026</v>
      </c>
    </row>
    <row r="1892" spans="1:12" x14ac:dyDescent="0.35">
      <c r="A1892" t="s">
        <v>118</v>
      </c>
      <c r="B1892" t="s">
        <v>630</v>
      </c>
      <c r="C1892" t="s">
        <v>167</v>
      </c>
      <c r="D1892">
        <v>1.1299999999999999</v>
      </c>
      <c r="F1892" t="s">
        <v>2013</v>
      </c>
      <c r="H1892" t="s">
        <v>5961</v>
      </c>
      <c r="I1892" t="s">
        <v>4987</v>
      </c>
      <c r="K1892" t="s">
        <v>6025</v>
      </c>
      <c r="L1892" t="s">
        <v>6026</v>
      </c>
    </row>
    <row r="1893" spans="1:12" x14ac:dyDescent="0.35">
      <c r="A1893" t="s">
        <v>118</v>
      </c>
      <c r="B1893" t="s">
        <v>630</v>
      </c>
      <c r="C1893" t="s">
        <v>1188</v>
      </c>
      <c r="D1893">
        <v>25.1</v>
      </c>
      <c r="F1893" t="s">
        <v>5621</v>
      </c>
      <c r="H1893" t="s">
        <v>4625</v>
      </c>
      <c r="I1893" t="s">
        <v>4987</v>
      </c>
      <c r="K1893" t="s">
        <v>6025</v>
      </c>
      <c r="L1893" t="s">
        <v>6026</v>
      </c>
    </row>
    <row r="1894" spans="1:12" x14ac:dyDescent="0.35">
      <c r="A1894" t="s">
        <v>118</v>
      </c>
      <c r="B1894" t="s">
        <v>631</v>
      </c>
      <c r="C1894" t="s">
        <v>1234</v>
      </c>
      <c r="D1894">
        <v>0.28999999999999998</v>
      </c>
      <c r="F1894" t="s">
        <v>1396</v>
      </c>
      <c r="H1894" t="s">
        <v>5962</v>
      </c>
      <c r="I1894" t="s">
        <v>4975</v>
      </c>
      <c r="K1894" t="s">
        <v>6025</v>
      </c>
      <c r="L1894" t="s">
        <v>6026</v>
      </c>
    </row>
    <row r="1895" spans="1:12" x14ac:dyDescent="0.35">
      <c r="A1895" t="s">
        <v>118</v>
      </c>
      <c r="B1895" t="s">
        <v>631</v>
      </c>
      <c r="C1895" t="s">
        <v>1234</v>
      </c>
      <c r="D1895">
        <v>27.6</v>
      </c>
      <c r="F1895" t="s">
        <v>2392</v>
      </c>
      <c r="H1895" t="s">
        <v>4633</v>
      </c>
      <c r="I1895" t="s">
        <v>4975</v>
      </c>
      <c r="K1895" t="s">
        <v>6025</v>
      </c>
      <c r="L1895" t="s">
        <v>6026</v>
      </c>
    </row>
    <row r="1896" spans="1:12" x14ac:dyDescent="0.35">
      <c r="A1896" t="s">
        <v>118</v>
      </c>
      <c r="B1896" t="s">
        <v>631</v>
      </c>
      <c r="C1896" t="s">
        <v>1232</v>
      </c>
      <c r="D1896">
        <v>8.52</v>
      </c>
      <c r="F1896" t="s">
        <v>5622</v>
      </c>
      <c r="H1896" t="s">
        <v>4633</v>
      </c>
      <c r="I1896" t="s">
        <v>4975</v>
      </c>
      <c r="K1896" t="s">
        <v>6025</v>
      </c>
      <c r="L1896" t="s">
        <v>6026</v>
      </c>
    </row>
    <row r="1897" spans="1:12" x14ac:dyDescent="0.35">
      <c r="A1897" t="s">
        <v>118</v>
      </c>
      <c r="B1897" t="s">
        <v>631</v>
      </c>
      <c r="C1897" t="s">
        <v>167</v>
      </c>
      <c r="D1897">
        <v>0.23</v>
      </c>
      <c r="F1897" t="s">
        <v>1362</v>
      </c>
      <c r="H1897" t="s">
        <v>4631</v>
      </c>
      <c r="I1897" t="s">
        <v>4975</v>
      </c>
      <c r="K1897" t="s">
        <v>6025</v>
      </c>
      <c r="L1897" t="s">
        <v>6026</v>
      </c>
    </row>
    <row r="1898" spans="1:12" x14ac:dyDescent="0.35">
      <c r="A1898" t="s">
        <v>118</v>
      </c>
      <c r="B1898" t="s">
        <v>631</v>
      </c>
      <c r="C1898" t="s">
        <v>167</v>
      </c>
      <c r="D1898">
        <v>11.03</v>
      </c>
      <c r="F1898" t="s">
        <v>5623</v>
      </c>
      <c r="H1898" t="s">
        <v>4632</v>
      </c>
      <c r="I1898" t="s">
        <v>4975</v>
      </c>
      <c r="K1898" t="s">
        <v>6025</v>
      </c>
      <c r="L1898" t="s">
        <v>6026</v>
      </c>
    </row>
    <row r="1899" spans="1:12" x14ac:dyDescent="0.35">
      <c r="A1899" t="s">
        <v>118</v>
      </c>
      <c r="B1899" t="s">
        <v>631</v>
      </c>
      <c r="C1899" t="s">
        <v>1188</v>
      </c>
      <c r="D1899">
        <v>29.42</v>
      </c>
      <c r="F1899" t="s">
        <v>5624</v>
      </c>
      <c r="H1899" t="s">
        <v>4634</v>
      </c>
      <c r="I1899" t="s">
        <v>4975</v>
      </c>
      <c r="K1899" t="s">
        <v>6025</v>
      </c>
      <c r="L1899" t="s">
        <v>6026</v>
      </c>
    </row>
    <row r="1900" spans="1:12" x14ac:dyDescent="0.35">
      <c r="A1900" t="s">
        <v>118</v>
      </c>
      <c r="B1900" t="s">
        <v>478</v>
      </c>
      <c r="C1900" t="s">
        <v>1188</v>
      </c>
      <c r="D1900">
        <v>5.9</v>
      </c>
      <c r="F1900" t="s">
        <v>1852</v>
      </c>
      <c r="H1900" t="s">
        <v>5963</v>
      </c>
      <c r="I1900" t="s">
        <v>5014</v>
      </c>
      <c r="K1900" t="s">
        <v>6025</v>
      </c>
      <c r="L1900" t="s">
        <v>6026</v>
      </c>
    </row>
    <row r="1901" spans="1:12" x14ac:dyDescent="0.35">
      <c r="A1901" t="s">
        <v>118</v>
      </c>
      <c r="B1901" t="s">
        <v>478</v>
      </c>
      <c r="C1901" t="s">
        <v>1188</v>
      </c>
      <c r="D1901">
        <v>1.45</v>
      </c>
      <c r="F1901" t="s">
        <v>1742</v>
      </c>
      <c r="H1901" t="s">
        <v>5964</v>
      </c>
      <c r="I1901" t="s">
        <v>5014</v>
      </c>
      <c r="K1901" t="s">
        <v>6025</v>
      </c>
      <c r="L1901" t="s">
        <v>6026</v>
      </c>
    </row>
    <row r="1902" spans="1:12" x14ac:dyDescent="0.35">
      <c r="A1902" t="s">
        <v>118</v>
      </c>
      <c r="B1902" t="s">
        <v>478</v>
      </c>
      <c r="C1902" t="s">
        <v>1188</v>
      </c>
      <c r="D1902">
        <v>2.48</v>
      </c>
      <c r="F1902" t="s">
        <v>5625</v>
      </c>
      <c r="H1902" t="s">
        <v>4637</v>
      </c>
      <c r="I1902" t="s">
        <v>5014</v>
      </c>
      <c r="K1902" t="s">
        <v>6025</v>
      </c>
      <c r="L1902" t="s">
        <v>6026</v>
      </c>
    </row>
    <row r="1903" spans="1:12" x14ac:dyDescent="0.35">
      <c r="A1903" t="s">
        <v>118</v>
      </c>
      <c r="B1903" t="s">
        <v>478</v>
      </c>
      <c r="C1903" t="s">
        <v>1188</v>
      </c>
      <c r="D1903">
        <v>8.9700000000000002E-2</v>
      </c>
      <c r="F1903" t="s">
        <v>5626</v>
      </c>
      <c r="H1903" t="s">
        <v>4636</v>
      </c>
      <c r="I1903" t="s">
        <v>5014</v>
      </c>
      <c r="K1903" t="s">
        <v>6025</v>
      </c>
      <c r="L1903" t="s">
        <v>6026</v>
      </c>
    </row>
    <row r="1904" spans="1:12" x14ac:dyDescent="0.35">
      <c r="A1904" t="s">
        <v>118</v>
      </c>
      <c r="B1904" t="s">
        <v>478</v>
      </c>
      <c r="C1904" t="s">
        <v>167</v>
      </c>
      <c r="D1904">
        <v>0.26</v>
      </c>
      <c r="F1904" t="s">
        <v>1447</v>
      </c>
      <c r="H1904" t="s">
        <v>4641</v>
      </c>
      <c r="I1904" t="s">
        <v>2363</v>
      </c>
      <c r="K1904" t="s">
        <v>6025</v>
      </c>
      <c r="L1904" t="s">
        <v>6026</v>
      </c>
    </row>
    <row r="1905" spans="1:12" x14ac:dyDescent="0.35">
      <c r="A1905" t="s">
        <v>118</v>
      </c>
      <c r="B1905" t="s">
        <v>478</v>
      </c>
      <c r="C1905" t="s">
        <v>167</v>
      </c>
      <c r="D1905">
        <v>0.82</v>
      </c>
      <c r="F1905" t="s">
        <v>1930</v>
      </c>
      <c r="H1905" t="s">
        <v>5965</v>
      </c>
      <c r="I1905" t="s">
        <v>2363</v>
      </c>
      <c r="K1905" t="s">
        <v>6025</v>
      </c>
      <c r="L1905" t="s">
        <v>6026</v>
      </c>
    </row>
    <row r="1906" spans="1:12" x14ac:dyDescent="0.35">
      <c r="A1906" t="s">
        <v>118</v>
      </c>
      <c r="B1906" t="s">
        <v>478</v>
      </c>
      <c r="C1906" t="s">
        <v>167</v>
      </c>
      <c r="D1906">
        <v>2.65</v>
      </c>
      <c r="F1906" t="s">
        <v>5627</v>
      </c>
      <c r="H1906" t="s">
        <v>4642</v>
      </c>
      <c r="I1906" t="s">
        <v>2363</v>
      </c>
      <c r="K1906" t="s">
        <v>6025</v>
      </c>
      <c r="L1906" t="s">
        <v>6026</v>
      </c>
    </row>
    <row r="1907" spans="1:12" x14ac:dyDescent="0.35">
      <c r="A1907" t="s">
        <v>118</v>
      </c>
      <c r="B1907" t="s">
        <v>478</v>
      </c>
      <c r="C1907" t="s">
        <v>167</v>
      </c>
      <c r="D1907">
        <v>0.57999999999999996</v>
      </c>
      <c r="F1907" t="s">
        <v>1444</v>
      </c>
      <c r="H1907" t="s">
        <v>5966</v>
      </c>
      <c r="I1907" t="s">
        <v>5015</v>
      </c>
      <c r="K1907" t="s">
        <v>6025</v>
      </c>
      <c r="L1907" t="s">
        <v>6026</v>
      </c>
    </row>
    <row r="1908" spans="1:12" x14ac:dyDescent="0.35">
      <c r="A1908" t="s">
        <v>118</v>
      </c>
      <c r="B1908" t="s">
        <v>454</v>
      </c>
      <c r="C1908" t="s">
        <v>1237</v>
      </c>
      <c r="D1908">
        <v>7.2999999999999995E-2</v>
      </c>
      <c r="F1908" t="s">
        <v>1787</v>
      </c>
      <c r="H1908" t="s">
        <v>4645</v>
      </c>
      <c r="I1908" t="s">
        <v>5020</v>
      </c>
      <c r="K1908" t="s">
        <v>6025</v>
      </c>
      <c r="L1908" t="s">
        <v>6026</v>
      </c>
    </row>
    <row r="1909" spans="1:12" x14ac:dyDescent="0.35">
      <c r="A1909" t="s">
        <v>118</v>
      </c>
      <c r="B1909" t="s">
        <v>454</v>
      </c>
      <c r="C1909" t="s">
        <v>1188</v>
      </c>
      <c r="D1909">
        <v>5.3</v>
      </c>
      <c r="F1909" t="s">
        <v>1671</v>
      </c>
      <c r="H1909" t="s">
        <v>4644</v>
      </c>
      <c r="I1909" t="s">
        <v>5020</v>
      </c>
      <c r="K1909" t="s">
        <v>6025</v>
      </c>
      <c r="L1909" t="s">
        <v>6026</v>
      </c>
    </row>
    <row r="1910" spans="1:12" x14ac:dyDescent="0.35">
      <c r="A1910" t="s">
        <v>118</v>
      </c>
      <c r="B1910" t="s">
        <v>454</v>
      </c>
      <c r="C1910" t="s">
        <v>1232</v>
      </c>
      <c r="D1910">
        <v>0.14000000000000001</v>
      </c>
      <c r="F1910" t="s">
        <v>1361</v>
      </c>
      <c r="H1910" t="s">
        <v>4644</v>
      </c>
      <c r="I1910" t="s">
        <v>5020</v>
      </c>
      <c r="K1910" t="s">
        <v>6025</v>
      </c>
      <c r="L1910" t="s">
        <v>6026</v>
      </c>
    </row>
    <row r="1911" spans="1:12" x14ac:dyDescent="0.35">
      <c r="A1911" t="s">
        <v>118</v>
      </c>
      <c r="B1911" t="s">
        <v>454</v>
      </c>
      <c r="C1911" t="s">
        <v>1236</v>
      </c>
      <c r="D1911">
        <v>0.25</v>
      </c>
      <c r="F1911" t="s">
        <v>1403</v>
      </c>
      <c r="H1911" t="s">
        <v>4644</v>
      </c>
      <c r="I1911" t="s">
        <v>5020</v>
      </c>
      <c r="K1911" t="s">
        <v>6025</v>
      </c>
      <c r="L1911" t="s">
        <v>6026</v>
      </c>
    </row>
    <row r="1912" spans="1:12" x14ac:dyDescent="0.35">
      <c r="A1912" t="s">
        <v>118</v>
      </c>
      <c r="B1912" t="s">
        <v>454</v>
      </c>
      <c r="C1912" t="s">
        <v>791</v>
      </c>
      <c r="D1912">
        <v>0.27</v>
      </c>
      <c r="F1912" t="s">
        <v>1738</v>
      </c>
      <c r="H1912" t="s">
        <v>4644</v>
      </c>
      <c r="I1912" t="s">
        <v>5020</v>
      </c>
      <c r="K1912" t="s">
        <v>6025</v>
      </c>
      <c r="L1912" t="s">
        <v>6026</v>
      </c>
    </row>
    <row r="1913" spans="1:12" x14ac:dyDescent="0.35">
      <c r="A1913" t="s">
        <v>118</v>
      </c>
      <c r="B1913" t="s">
        <v>314</v>
      </c>
      <c r="C1913" t="s">
        <v>1238</v>
      </c>
      <c r="D1913">
        <v>925.2</v>
      </c>
      <c r="F1913" t="s">
        <v>5628</v>
      </c>
      <c r="H1913" t="s">
        <v>4646</v>
      </c>
      <c r="I1913" t="s">
        <v>5021</v>
      </c>
      <c r="K1913" t="s">
        <v>6025</v>
      </c>
      <c r="L1913" t="s">
        <v>6026</v>
      </c>
    </row>
    <row r="1914" spans="1:12" x14ac:dyDescent="0.35">
      <c r="A1914" t="s">
        <v>118</v>
      </c>
      <c r="B1914" t="s">
        <v>314</v>
      </c>
      <c r="C1914" t="s">
        <v>167</v>
      </c>
      <c r="D1914">
        <v>905.8</v>
      </c>
      <c r="F1914" t="s">
        <v>5629</v>
      </c>
      <c r="H1914" t="s">
        <v>4647</v>
      </c>
      <c r="I1914" t="s">
        <v>5021</v>
      </c>
      <c r="K1914" t="s">
        <v>6025</v>
      </c>
      <c r="L1914" t="s">
        <v>6026</v>
      </c>
    </row>
    <row r="1915" spans="1:12" x14ac:dyDescent="0.35">
      <c r="A1915" t="s">
        <v>118</v>
      </c>
      <c r="B1915" t="s">
        <v>478</v>
      </c>
      <c r="C1915" t="s">
        <v>167</v>
      </c>
      <c r="D1915">
        <v>1.42</v>
      </c>
      <c r="F1915" t="s">
        <v>1865</v>
      </c>
      <c r="H1915" t="s">
        <v>4651</v>
      </c>
      <c r="I1915" t="s">
        <v>4977</v>
      </c>
      <c r="K1915" t="s">
        <v>6025</v>
      </c>
      <c r="L1915" t="s">
        <v>6026</v>
      </c>
    </row>
    <row r="1916" spans="1:12" x14ac:dyDescent="0.35">
      <c r="A1916" t="s">
        <v>118</v>
      </c>
      <c r="B1916" t="s">
        <v>478</v>
      </c>
      <c r="C1916" t="s">
        <v>167</v>
      </c>
      <c r="D1916">
        <v>1.43</v>
      </c>
      <c r="F1916" t="s">
        <v>1482</v>
      </c>
      <c r="H1916" t="s">
        <v>5967</v>
      </c>
      <c r="I1916" t="s">
        <v>4977</v>
      </c>
      <c r="K1916" t="s">
        <v>6025</v>
      </c>
      <c r="L1916" t="s">
        <v>6026</v>
      </c>
    </row>
    <row r="1917" spans="1:12" x14ac:dyDescent="0.35">
      <c r="A1917" t="s">
        <v>118</v>
      </c>
      <c r="B1917" t="s">
        <v>478</v>
      </c>
      <c r="C1917" t="s">
        <v>167</v>
      </c>
      <c r="D1917">
        <v>9.7999999999999997E-4</v>
      </c>
      <c r="F1917" t="s">
        <v>5630</v>
      </c>
      <c r="H1917" t="s">
        <v>4653</v>
      </c>
      <c r="I1917" t="s">
        <v>4977</v>
      </c>
      <c r="K1917" t="s">
        <v>6025</v>
      </c>
      <c r="L1917" t="s">
        <v>6026</v>
      </c>
    </row>
    <row r="1918" spans="1:12" x14ac:dyDescent="0.35">
      <c r="A1918" t="s">
        <v>118</v>
      </c>
      <c r="B1918" t="s">
        <v>478</v>
      </c>
      <c r="C1918" t="s">
        <v>167</v>
      </c>
      <c r="D1918">
        <v>0.16</v>
      </c>
      <c r="F1918" t="s">
        <v>1573</v>
      </c>
      <c r="H1918" t="s">
        <v>5968</v>
      </c>
      <c r="I1918" t="s">
        <v>4882</v>
      </c>
      <c r="K1918" t="s">
        <v>6025</v>
      </c>
      <c r="L1918" t="s">
        <v>6026</v>
      </c>
    </row>
    <row r="1919" spans="1:12" x14ac:dyDescent="0.35">
      <c r="A1919" t="s">
        <v>118</v>
      </c>
      <c r="B1919" t="s">
        <v>314</v>
      </c>
      <c r="C1919" t="s">
        <v>1238</v>
      </c>
      <c r="D1919">
        <v>673.7</v>
      </c>
      <c r="F1919" t="s">
        <v>5631</v>
      </c>
      <c r="H1919" t="s">
        <v>4654</v>
      </c>
      <c r="I1919" t="s">
        <v>5021</v>
      </c>
      <c r="K1919" t="s">
        <v>6025</v>
      </c>
      <c r="L1919" t="s">
        <v>6026</v>
      </c>
    </row>
    <row r="1920" spans="1:12" x14ac:dyDescent="0.35">
      <c r="A1920" t="s">
        <v>118</v>
      </c>
      <c r="B1920" t="s">
        <v>314</v>
      </c>
      <c r="C1920" t="s">
        <v>167</v>
      </c>
      <c r="D1920">
        <v>692.8</v>
      </c>
      <c r="F1920" t="s">
        <v>5632</v>
      </c>
      <c r="H1920" t="s">
        <v>4655</v>
      </c>
      <c r="I1920" t="s">
        <v>5021</v>
      </c>
      <c r="K1920" t="s">
        <v>6025</v>
      </c>
      <c r="L1920" t="s">
        <v>6026</v>
      </c>
    </row>
    <row r="1921" spans="1:12" x14ac:dyDescent="0.35">
      <c r="A1921" t="s">
        <v>118</v>
      </c>
      <c r="B1921" t="s">
        <v>632</v>
      </c>
      <c r="C1921" t="s">
        <v>167</v>
      </c>
      <c r="D1921">
        <v>0.52</v>
      </c>
      <c r="F1921" t="s">
        <v>2037</v>
      </c>
      <c r="H1921" t="s">
        <v>4657</v>
      </c>
      <c r="I1921" t="s">
        <v>5015</v>
      </c>
      <c r="K1921" t="s">
        <v>6025</v>
      </c>
      <c r="L1921" t="s">
        <v>6026</v>
      </c>
    </row>
    <row r="1922" spans="1:12" x14ac:dyDescent="0.35">
      <c r="A1922" t="s">
        <v>118</v>
      </c>
      <c r="B1922" t="s">
        <v>632</v>
      </c>
      <c r="C1922" t="s">
        <v>1188</v>
      </c>
      <c r="D1922">
        <v>3</v>
      </c>
      <c r="F1922" t="s">
        <v>1368</v>
      </c>
      <c r="H1922" t="s">
        <v>5969</v>
      </c>
      <c r="I1922" t="s">
        <v>5015</v>
      </c>
      <c r="K1922" t="s">
        <v>6025</v>
      </c>
      <c r="L1922" t="s">
        <v>6026</v>
      </c>
    </row>
    <row r="1923" spans="1:12" x14ac:dyDescent="0.35">
      <c r="A1923" t="s">
        <v>118</v>
      </c>
      <c r="B1923" t="s">
        <v>632</v>
      </c>
      <c r="C1923" t="s">
        <v>167</v>
      </c>
      <c r="D1923">
        <v>0.78</v>
      </c>
      <c r="F1923" t="s">
        <v>1442</v>
      </c>
      <c r="H1923" t="s">
        <v>4660</v>
      </c>
      <c r="I1923" t="s">
        <v>5015</v>
      </c>
      <c r="K1923" t="s">
        <v>6025</v>
      </c>
      <c r="L1923" t="s">
        <v>6026</v>
      </c>
    </row>
    <row r="1924" spans="1:12" x14ac:dyDescent="0.35">
      <c r="A1924" t="s">
        <v>118</v>
      </c>
      <c r="B1924" t="s">
        <v>632</v>
      </c>
      <c r="C1924" t="s">
        <v>1188</v>
      </c>
      <c r="D1924">
        <v>1.27</v>
      </c>
      <c r="F1924" t="s">
        <v>1364</v>
      </c>
      <c r="H1924" t="s">
        <v>5970</v>
      </c>
      <c r="I1924" t="s">
        <v>5015</v>
      </c>
      <c r="K1924" t="s">
        <v>6025</v>
      </c>
      <c r="L1924" t="s">
        <v>6026</v>
      </c>
    </row>
    <row r="1925" spans="1:12" x14ac:dyDescent="0.35">
      <c r="A1925" t="s">
        <v>118</v>
      </c>
      <c r="B1925" t="s">
        <v>632</v>
      </c>
      <c r="C1925" t="s">
        <v>167</v>
      </c>
      <c r="D1925">
        <v>2.67</v>
      </c>
      <c r="F1925" t="s">
        <v>2475</v>
      </c>
      <c r="H1925" t="s">
        <v>5971</v>
      </c>
      <c r="I1925" t="s">
        <v>5015</v>
      </c>
      <c r="K1925" t="s">
        <v>6025</v>
      </c>
      <c r="L1925" t="s">
        <v>6026</v>
      </c>
    </row>
    <row r="1926" spans="1:12" x14ac:dyDescent="0.35">
      <c r="A1926" t="s">
        <v>118</v>
      </c>
      <c r="B1926" t="s">
        <v>632</v>
      </c>
      <c r="C1926" t="s">
        <v>1188</v>
      </c>
      <c r="D1926">
        <v>2.67</v>
      </c>
      <c r="F1926" t="s">
        <v>2475</v>
      </c>
      <c r="H1926" t="s">
        <v>5972</v>
      </c>
      <c r="I1926" t="s">
        <v>5015</v>
      </c>
      <c r="K1926" t="s">
        <v>6025</v>
      </c>
      <c r="L1926" t="s">
        <v>6026</v>
      </c>
    </row>
    <row r="1927" spans="1:12" x14ac:dyDescent="0.35">
      <c r="A1927" t="s">
        <v>118</v>
      </c>
      <c r="B1927" t="s">
        <v>632</v>
      </c>
      <c r="C1927" t="s">
        <v>1188</v>
      </c>
      <c r="D1927">
        <v>1.07</v>
      </c>
      <c r="F1927" t="s">
        <v>1713</v>
      </c>
      <c r="H1927" t="s">
        <v>5973</v>
      </c>
      <c r="I1927" t="s">
        <v>5015</v>
      </c>
      <c r="K1927" t="s">
        <v>6025</v>
      </c>
      <c r="L1927" t="s">
        <v>6026</v>
      </c>
    </row>
    <row r="1928" spans="1:12" x14ac:dyDescent="0.35">
      <c r="A1928" t="s">
        <v>118</v>
      </c>
      <c r="B1928" t="s">
        <v>632</v>
      </c>
      <c r="C1928" t="s">
        <v>167</v>
      </c>
      <c r="D1928">
        <v>0.85</v>
      </c>
      <c r="F1928" t="s">
        <v>1474</v>
      </c>
      <c r="H1928" t="s">
        <v>4661</v>
      </c>
      <c r="I1928" t="s">
        <v>5015</v>
      </c>
      <c r="K1928" t="s">
        <v>6025</v>
      </c>
      <c r="L1928" t="s">
        <v>6026</v>
      </c>
    </row>
    <row r="1929" spans="1:12" x14ac:dyDescent="0.35">
      <c r="A1929" t="s">
        <v>118</v>
      </c>
      <c r="B1929" t="s">
        <v>632</v>
      </c>
      <c r="C1929" t="s">
        <v>1188</v>
      </c>
      <c r="D1929">
        <v>0.27</v>
      </c>
      <c r="F1929" t="s">
        <v>1738</v>
      </c>
      <c r="H1929" t="s">
        <v>5974</v>
      </c>
      <c r="I1929" t="s">
        <v>5015</v>
      </c>
      <c r="K1929" t="s">
        <v>6025</v>
      </c>
      <c r="L1929" t="s">
        <v>6026</v>
      </c>
    </row>
    <row r="1930" spans="1:12" x14ac:dyDescent="0.35">
      <c r="A1930" t="s">
        <v>118</v>
      </c>
      <c r="B1930" t="s">
        <v>632</v>
      </c>
      <c r="C1930" t="s">
        <v>1188</v>
      </c>
      <c r="D1930">
        <v>0.33</v>
      </c>
      <c r="F1930" t="s">
        <v>1397</v>
      </c>
      <c r="H1930" t="s">
        <v>4662</v>
      </c>
      <c r="I1930" t="s">
        <v>5015</v>
      </c>
      <c r="K1930" t="s">
        <v>6025</v>
      </c>
      <c r="L1930" t="s">
        <v>6026</v>
      </c>
    </row>
    <row r="1931" spans="1:12" x14ac:dyDescent="0.35">
      <c r="A1931" t="s">
        <v>118</v>
      </c>
      <c r="B1931" t="s">
        <v>632</v>
      </c>
      <c r="C1931" t="s">
        <v>167</v>
      </c>
      <c r="D1931">
        <v>1.83</v>
      </c>
      <c r="F1931" t="s">
        <v>5113</v>
      </c>
      <c r="H1931" t="s">
        <v>5975</v>
      </c>
      <c r="I1931" t="s">
        <v>5015</v>
      </c>
      <c r="K1931" t="s">
        <v>6025</v>
      </c>
      <c r="L1931" t="s">
        <v>6026</v>
      </c>
    </row>
    <row r="1932" spans="1:12" x14ac:dyDescent="0.35">
      <c r="A1932" t="s">
        <v>118</v>
      </c>
      <c r="B1932" t="s">
        <v>632</v>
      </c>
      <c r="C1932" t="s">
        <v>1188</v>
      </c>
      <c r="D1932">
        <v>3.17</v>
      </c>
      <c r="F1932" t="s">
        <v>5457</v>
      </c>
      <c r="H1932" t="s">
        <v>5976</v>
      </c>
      <c r="I1932" t="s">
        <v>5015</v>
      </c>
      <c r="K1932" t="s">
        <v>6025</v>
      </c>
      <c r="L1932" t="s">
        <v>6026</v>
      </c>
    </row>
    <row r="1933" spans="1:12" x14ac:dyDescent="0.35">
      <c r="A1933" t="s">
        <v>118</v>
      </c>
      <c r="B1933" t="s">
        <v>632</v>
      </c>
      <c r="C1933" t="s">
        <v>167</v>
      </c>
      <c r="D1933">
        <v>1.62</v>
      </c>
      <c r="F1933" t="s">
        <v>2494</v>
      </c>
      <c r="H1933" t="s">
        <v>4656</v>
      </c>
      <c r="I1933" t="s">
        <v>5015</v>
      </c>
      <c r="K1933" t="s">
        <v>6025</v>
      </c>
      <c r="L1933" t="s">
        <v>6026</v>
      </c>
    </row>
    <row r="1934" spans="1:12" x14ac:dyDescent="0.35">
      <c r="A1934" t="s">
        <v>118</v>
      </c>
      <c r="B1934" t="s">
        <v>454</v>
      </c>
      <c r="C1934" t="s">
        <v>1236</v>
      </c>
      <c r="D1934">
        <v>3.6</v>
      </c>
      <c r="F1934" t="s">
        <v>1391</v>
      </c>
      <c r="H1934" t="s">
        <v>4663</v>
      </c>
      <c r="I1934" t="s">
        <v>5020</v>
      </c>
      <c r="K1934" t="s">
        <v>6025</v>
      </c>
      <c r="L1934" t="s">
        <v>6026</v>
      </c>
    </row>
    <row r="1935" spans="1:12" x14ac:dyDescent="0.35">
      <c r="A1935" t="s">
        <v>118</v>
      </c>
      <c r="B1935" t="s">
        <v>454</v>
      </c>
      <c r="C1935" t="s">
        <v>1232</v>
      </c>
      <c r="D1935">
        <v>62.9</v>
      </c>
      <c r="F1935" t="s">
        <v>5633</v>
      </c>
      <c r="H1935" t="s">
        <v>4663</v>
      </c>
      <c r="I1935" t="s">
        <v>5020</v>
      </c>
      <c r="K1935" t="s">
        <v>6025</v>
      </c>
      <c r="L1935" t="s">
        <v>6026</v>
      </c>
    </row>
    <row r="1936" spans="1:12" x14ac:dyDescent="0.35">
      <c r="A1936" t="s">
        <v>118</v>
      </c>
      <c r="B1936" t="s">
        <v>454</v>
      </c>
      <c r="C1936" t="s">
        <v>791</v>
      </c>
      <c r="D1936">
        <v>0.57999999999999996</v>
      </c>
      <c r="F1936" t="s">
        <v>1444</v>
      </c>
      <c r="H1936" t="s">
        <v>4663</v>
      </c>
      <c r="I1936" t="s">
        <v>5020</v>
      </c>
      <c r="K1936" t="s">
        <v>6025</v>
      </c>
      <c r="L1936" t="s">
        <v>6026</v>
      </c>
    </row>
    <row r="1937" spans="1:12" x14ac:dyDescent="0.35">
      <c r="A1937" t="s">
        <v>118</v>
      </c>
      <c r="B1937" t="s">
        <v>454</v>
      </c>
      <c r="C1937" t="s">
        <v>1237</v>
      </c>
      <c r="D1937">
        <v>2.57</v>
      </c>
      <c r="F1937" t="s">
        <v>2441</v>
      </c>
      <c r="H1937" t="s">
        <v>4664</v>
      </c>
      <c r="I1937" t="s">
        <v>5020</v>
      </c>
      <c r="K1937" t="s">
        <v>6025</v>
      </c>
      <c r="L1937" t="s">
        <v>6026</v>
      </c>
    </row>
    <row r="1938" spans="1:12" x14ac:dyDescent="0.35">
      <c r="A1938" t="s">
        <v>118</v>
      </c>
      <c r="B1938" t="s">
        <v>454</v>
      </c>
      <c r="C1938" t="s">
        <v>1188</v>
      </c>
      <c r="D1938">
        <v>2.89</v>
      </c>
      <c r="F1938" t="s">
        <v>5370</v>
      </c>
      <c r="H1938" t="s">
        <v>4663</v>
      </c>
      <c r="I1938" t="s">
        <v>5020</v>
      </c>
      <c r="K1938" t="s">
        <v>6025</v>
      </c>
      <c r="L1938" t="s">
        <v>6026</v>
      </c>
    </row>
    <row r="1939" spans="1:12" x14ac:dyDescent="0.35">
      <c r="A1939" t="s">
        <v>118</v>
      </c>
      <c r="B1939" t="s">
        <v>631</v>
      </c>
      <c r="C1939" t="s">
        <v>1232</v>
      </c>
      <c r="D1939">
        <v>1.69</v>
      </c>
      <c r="F1939" t="s">
        <v>1987</v>
      </c>
      <c r="H1939" t="s">
        <v>4665</v>
      </c>
      <c r="I1939" t="s">
        <v>5022</v>
      </c>
      <c r="K1939" t="s">
        <v>6025</v>
      </c>
      <c r="L1939" t="s">
        <v>6026</v>
      </c>
    </row>
    <row r="1940" spans="1:12" x14ac:dyDescent="0.35">
      <c r="A1940" t="s">
        <v>118</v>
      </c>
      <c r="B1940" t="s">
        <v>631</v>
      </c>
      <c r="C1940" t="s">
        <v>1188</v>
      </c>
      <c r="D1940">
        <v>2.08</v>
      </c>
      <c r="F1940" t="s">
        <v>1753</v>
      </c>
      <c r="H1940" t="s">
        <v>4666</v>
      </c>
      <c r="I1940" t="s">
        <v>5022</v>
      </c>
      <c r="K1940" t="s">
        <v>6025</v>
      </c>
      <c r="L1940" t="s">
        <v>6026</v>
      </c>
    </row>
    <row r="1941" spans="1:12" x14ac:dyDescent="0.35">
      <c r="A1941" t="s">
        <v>118</v>
      </c>
      <c r="B1941" t="s">
        <v>633</v>
      </c>
      <c r="C1941" t="s">
        <v>1188</v>
      </c>
      <c r="D1941">
        <v>610</v>
      </c>
      <c r="F1941" t="s">
        <v>5634</v>
      </c>
      <c r="H1941" t="s">
        <v>4667</v>
      </c>
      <c r="I1941" t="s">
        <v>5006</v>
      </c>
      <c r="K1941" t="s">
        <v>6025</v>
      </c>
      <c r="L1941" t="s">
        <v>6026</v>
      </c>
    </row>
    <row r="1942" spans="1:12" x14ac:dyDescent="0.35">
      <c r="A1942" t="s">
        <v>118</v>
      </c>
      <c r="B1942" t="s">
        <v>634</v>
      </c>
      <c r="C1942" t="s">
        <v>167</v>
      </c>
      <c r="D1942">
        <v>12.281000000000001</v>
      </c>
      <c r="F1942" t="s">
        <v>5635</v>
      </c>
      <c r="H1942" t="s">
        <v>4668</v>
      </c>
      <c r="I1942" t="s">
        <v>4978</v>
      </c>
      <c r="K1942" t="s">
        <v>6025</v>
      </c>
      <c r="L1942" t="s">
        <v>6026</v>
      </c>
    </row>
    <row r="1943" spans="1:12" x14ac:dyDescent="0.35">
      <c r="A1943" t="s">
        <v>118</v>
      </c>
      <c r="B1943" t="s">
        <v>634</v>
      </c>
      <c r="C1943" t="s">
        <v>1188</v>
      </c>
      <c r="D1943">
        <v>41.823</v>
      </c>
      <c r="F1943" t="s">
        <v>5636</v>
      </c>
      <c r="H1943" t="s">
        <v>5977</v>
      </c>
      <c r="I1943" t="s">
        <v>4978</v>
      </c>
      <c r="K1943" t="s">
        <v>6025</v>
      </c>
      <c r="L1943" t="s">
        <v>6026</v>
      </c>
    </row>
    <row r="1944" spans="1:12" x14ac:dyDescent="0.35">
      <c r="A1944" t="s">
        <v>118</v>
      </c>
      <c r="B1944" t="s">
        <v>634</v>
      </c>
      <c r="C1944" t="s">
        <v>167</v>
      </c>
      <c r="D1944">
        <v>6.2830000000000004</v>
      </c>
      <c r="F1944" t="s">
        <v>5637</v>
      </c>
      <c r="H1944" t="s">
        <v>4670</v>
      </c>
      <c r="I1944" t="s">
        <v>4978</v>
      </c>
      <c r="K1944" t="s">
        <v>6025</v>
      </c>
      <c r="L1944" t="s">
        <v>6026</v>
      </c>
    </row>
    <row r="1945" spans="1:12" x14ac:dyDescent="0.35">
      <c r="A1945" t="s">
        <v>118</v>
      </c>
      <c r="B1945" t="s">
        <v>634</v>
      </c>
      <c r="C1945" t="s">
        <v>1188</v>
      </c>
      <c r="D1945">
        <v>6.056</v>
      </c>
      <c r="F1945" t="s">
        <v>5638</v>
      </c>
      <c r="H1945" t="s">
        <v>4671</v>
      </c>
      <c r="I1945" t="s">
        <v>4978</v>
      </c>
      <c r="K1945" t="s">
        <v>6025</v>
      </c>
      <c r="L1945" t="s">
        <v>6026</v>
      </c>
    </row>
    <row r="1946" spans="1:12" x14ac:dyDescent="0.35">
      <c r="A1946" t="s">
        <v>118</v>
      </c>
      <c r="B1946" t="s">
        <v>634</v>
      </c>
      <c r="C1946" t="s">
        <v>167</v>
      </c>
      <c r="D1946">
        <v>2.496</v>
      </c>
      <c r="F1946" t="s">
        <v>5639</v>
      </c>
      <c r="H1946" t="s">
        <v>4672</v>
      </c>
      <c r="I1946" t="s">
        <v>4978</v>
      </c>
      <c r="K1946" t="s">
        <v>6025</v>
      </c>
      <c r="L1946" t="s">
        <v>6026</v>
      </c>
    </row>
    <row r="1947" spans="1:12" x14ac:dyDescent="0.35">
      <c r="A1947" t="s">
        <v>118</v>
      </c>
      <c r="B1947" t="s">
        <v>634</v>
      </c>
      <c r="C1947" t="s">
        <v>167</v>
      </c>
      <c r="D1947">
        <v>16.713999999999999</v>
      </c>
      <c r="F1947" t="s">
        <v>5640</v>
      </c>
      <c r="H1947" t="s">
        <v>5978</v>
      </c>
      <c r="I1947" t="s">
        <v>4978</v>
      </c>
      <c r="K1947" t="s">
        <v>6025</v>
      </c>
      <c r="L1947" t="s">
        <v>6026</v>
      </c>
    </row>
    <row r="1948" spans="1:12" x14ac:dyDescent="0.35">
      <c r="A1948" t="s">
        <v>118</v>
      </c>
      <c r="B1948" t="s">
        <v>634</v>
      </c>
      <c r="C1948" t="s">
        <v>1188</v>
      </c>
      <c r="D1948">
        <v>28.818999999999999</v>
      </c>
      <c r="F1948" t="s">
        <v>5641</v>
      </c>
      <c r="H1948" t="s">
        <v>4674</v>
      </c>
      <c r="I1948" t="s">
        <v>4978</v>
      </c>
      <c r="K1948" t="s">
        <v>6025</v>
      </c>
      <c r="L1948" t="s">
        <v>6026</v>
      </c>
    </row>
    <row r="1949" spans="1:12" x14ac:dyDescent="0.35">
      <c r="A1949" t="s">
        <v>118</v>
      </c>
      <c r="B1949" t="s">
        <v>634</v>
      </c>
      <c r="C1949" t="s">
        <v>167</v>
      </c>
      <c r="D1949">
        <v>2.9630000000000001</v>
      </c>
      <c r="F1949" t="s">
        <v>5642</v>
      </c>
      <c r="H1949" t="s">
        <v>4675</v>
      </c>
      <c r="I1949" t="s">
        <v>4978</v>
      </c>
      <c r="K1949" t="s">
        <v>6025</v>
      </c>
      <c r="L1949" t="s">
        <v>6026</v>
      </c>
    </row>
    <row r="1950" spans="1:12" x14ac:dyDescent="0.35">
      <c r="A1950" t="s">
        <v>118</v>
      </c>
      <c r="B1950" t="s">
        <v>634</v>
      </c>
      <c r="C1950" t="s">
        <v>1188</v>
      </c>
      <c r="D1950">
        <v>24.481999999999999</v>
      </c>
      <c r="F1950" t="s">
        <v>5643</v>
      </c>
      <c r="H1950" t="s">
        <v>4676</v>
      </c>
      <c r="I1950" t="s">
        <v>4978</v>
      </c>
      <c r="K1950" t="s">
        <v>6025</v>
      </c>
      <c r="L1950" t="s">
        <v>6026</v>
      </c>
    </row>
    <row r="1951" spans="1:12" x14ac:dyDescent="0.35">
      <c r="A1951" t="s">
        <v>118</v>
      </c>
      <c r="B1951" t="s">
        <v>586</v>
      </c>
      <c r="C1951" t="s">
        <v>1186</v>
      </c>
      <c r="D1951">
        <v>39</v>
      </c>
      <c r="F1951" t="s">
        <v>2050</v>
      </c>
      <c r="H1951" t="s">
        <v>5979</v>
      </c>
      <c r="I1951" t="s">
        <v>5023</v>
      </c>
      <c r="K1951" t="s">
        <v>6025</v>
      </c>
      <c r="L1951" t="s">
        <v>6026</v>
      </c>
    </row>
    <row r="1952" spans="1:12" x14ac:dyDescent="0.35">
      <c r="A1952" t="s">
        <v>118</v>
      </c>
      <c r="B1952" t="s">
        <v>586</v>
      </c>
      <c r="C1952" t="s">
        <v>1240</v>
      </c>
      <c r="D1952">
        <v>19</v>
      </c>
      <c r="F1952" t="s">
        <v>1968</v>
      </c>
      <c r="H1952" t="s">
        <v>4679</v>
      </c>
      <c r="I1952" t="s">
        <v>5023</v>
      </c>
      <c r="K1952" t="s">
        <v>6025</v>
      </c>
      <c r="L1952" t="s">
        <v>6026</v>
      </c>
    </row>
    <row r="1953" spans="1:12" x14ac:dyDescent="0.35">
      <c r="A1953" t="s">
        <v>118</v>
      </c>
      <c r="B1953" t="s">
        <v>586</v>
      </c>
      <c r="C1953" t="s">
        <v>1241</v>
      </c>
      <c r="D1953">
        <v>47</v>
      </c>
      <c r="F1953" t="s">
        <v>4868</v>
      </c>
      <c r="H1953" t="s">
        <v>4679</v>
      </c>
      <c r="I1953" t="s">
        <v>5023</v>
      </c>
      <c r="K1953" t="s">
        <v>6025</v>
      </c>
      <c r="L1953" t="s">
        <v>6026</v>
      </c>
    </row>
    <row r="1954" spans="1:12" x14ac:dyDescent="0.35">
      <c r="A1954" t="s">
        <v>118</v>
      </c>
      <c r="B1954" t="s">
        <v>634</v>
      </c>
      <c r="C1954" t="s">
        <v>167</v>
      </c>
      <c r="D1954">
        <v>3.3759999999999999</v>
      </c>
      <c r="F1954" t="s">
        <v>5644</v>
      </c>
      <c r="H1954" t="s">
        <v>4680</v>
      </c>
      <c r="I1954" t="s">
        <v>4978</v>
      </c>
      <c r="K1954" t="s">
        <v>6025</v>
      </c>
      <c r="L1954" t="s">
        <v>6026</v>
      </c>
    </row>
    <row r="1955" spans="1:12" x14ac:dyDescent="0.35">
      <c r="A1955" t="s">
        <v>118</v>
      </c>
      <c r="B1955" t="s">
        <v>634</v>
      </c>
      <c r="C1955" t="s">
        <v>1188</v>
      </c>
      <c r="D1955">
        <v>7.782</v>
      </c>
      <c r="F1955" t="s">
        <v>5645</v>
      </c>
      <c r="H1955" t="s">
        <v>4681</v>
      </c>
      <c r="I1955" t="s">
        <v>4978</v>
      </c>
      <c r="K1955" t="s">
        <v>6025</v>
      </c>
      <c r="L1955" t="s">
        <v>6026</v>
      </c>
    </row>
    <row r="1956" spans="1:12" x14ac:dyDescent="0.35">
      <c r="A1956" t="s">
        <v>118</v>
      </c>
      <c r="B1956" t="s">
        <v>634</v>
      </c>
      <c r="C1956" t="s">
        <v>167</v>
      </c>
      <c r="D1956">
        <v>16.483000000000001</v>
      </c>
      <c r="F1956" t="s">
        <v>5646</v>
      </c>
      <c r="H1956" t="s">
        <v>4682</v>
      </c>
      <c r="I1956" t="s">
        <v>4978</v>
      </c>
      <c r="K1956" t="s">
        <v>6025</v>
      </c>
      <c r="L1956" t="s">
        <v>6026</v>
      </c>
    </row>
    <row r="1957" spans="1:12" x14ac:dyDescent="0.35">
      <c r="A1957" t="s">
        <v>118</v>
      </c>
      <c r="B1957" t="s">
        <v>634</v>
      </c>
      <c r="C1957" t="s">
        <v>1188</v>
      </c>
      <c r="D1957">
        <v>112.98699999999999</v>
      </c>
      <c r="F1957" t="s">
        <v>5647</v>
      </c>
      <c r="H1957" t="s">
        <v>5980</v>
      </c>
      <c r="I1957" t="s">
        <v>4978</v>
      </c>
      <c r="K1957" t="s">
        <v>6025</v>
      </c>
      <c r="L1957" t="s">
        <v>6026</v>
      </c>
    </row>
    <row r="1958" spans="1:12" x14ac:dyDescent="0.35">
      <c r="A1958" t="s">
        <v>118</v>
      </c>
      <c r="B1958" t="s">
        <v>634</v>
      </c>
      <c r="C1958" t="s">
        <v>167</v>
      </c>
      <c r="D1958">
        <v>0.80400000000000005</v>
      </c>
      <c r="F1958" t="s">
        <v>5648</v>
      </c>
      <c r="H1958" t="s">
        <v>4684</v>
      </c>
      <c r="I1958" t="s">
        <v>4978</v>
      </c>
      <c r="K1958" t="s">
        <v>6025</v>
      </c>
      <c r="L1958" t="s">
        <v>6026</v>
      </c>
    </row>
    <row r="1959" spans="1:12" x14ac:dyDescent="0.35">
      <c r="A1959" t="s">
        <v>118</v>
      </c>
      <c r="B1959" t="s">
        <v>634</v>
      </c>
      <c r="C1959" t="s">
        <v>1188</v>
      </c>
      <c r="D1959">
        <v>1.415</v>
      </c>
      <c r="F1959" t="s">
        <v>5649</v>
      </c>
      <c r="H1959" t="s">
        <v>4685</v>
      </c>
      <c r="I1959" t="s">
        <v>4978</v>
      </c>
      <c r="K1959" t="s">
        <v>6025</v>
      </c>
      <c r="L1959" t="s">
        <v>6026</v>
      </c>
    </row>
    <row r="1960" spans="1:12" x14ac:dyDescent="0.35">
      <c r="A1960" t="s">
        <v>118</v>
      </c>
      <c r="B1960" t="s">
        <v>634</v>
      </c>
      <c r="C1960" t="s">
        <v>167</v>
      </c>
      <c r="D1960">
        <v>1.1970000000000001</v>
      </c>
      <c r="F1960" t="s">
        <v>5650</v>
      </c>
      <c r="H1960" t="s">
        <v>4686</v>
      </c>
      <c r="I1960" t="s">
        <v>4978</v>
      </c>
      <c r="K1960" t="s">
        <v>6025</v>
      </c>
      <c r="L1960" t="s">
        <v>6026</v>
      </c>
    </row>
    <row r="1961" spans="1:12" x14ac:dyDescent="0.35">
      <c r="A1961" t="s">
        <v>118</v>
      </c>
      <c r="B1961" t="s">
        <v>634</v>
      </c>
      <c r="C1961" t="s">
        <v>1188</v>
      </c>
      <c r="D1961">
        <v>2.0609999999999999</v>
      </c>
      <c r="F1961" t="s">
        <v>5651</v>
      </c>
      <c r="H1961" t="s">
        <v>4687</v>
      </c>
      <c r="I1961" t="s">
        <v>4978</v>
      </c>
      <c r="K1961" t="s">
        <v>6025</v>
      </c>
      <c r="L1961" t="s">
        <v>6026</v>
      </c>
    </row>
    <row r="1962" spans="1:12" x14ac:dyDescent="0.35">
      <c r="A1962" t="s">
        <v>118</v>
      </c>
      <c r="B1962" t="s">
        <v>634</v>
      </c>
      <c r="C1962" t="s">
        <v>167</v>
      </c>
      <c r="D1962">
        <v>7.5640000000000001</v>
      </c>
      <c r="F1962" t="s">
        <v>5652</v>
      </c>
      <c r="H1962" t="s">
        <v>4688</v>
      </c>
      <c r="I1962" t="s">
        <v>4978</v>
      </c>
      <c r="K1962" t="s">
        <v>6025</v>
      </c>
      <c r="L1962" t="s">
        <v>6026</v>
      </c>
    </row>
    <row r="1963" spans="1:12" x14ac:dyDescent="0.35">
      <c r="A1963" t="s">
        <v>118</v>
      </c>
      <c r="B1963" t="s">
        <v>634</v>
      </c>
      <c r="C1963" t="s">
        <v>1188</v>
      </c>
      <c r="D1963">
        <v>21.06</v>
      </c>
      <c r="F1963" t="s">
        <v>5653</v>
      </c>
      <c r="H1963" t="s">
        <v>4689</v>
      </c>
      <c r="I1963" t="s">
        <v>4978</v>
      </c>
      <c r="K1963" t="s">
        <v>6025</v>
      </c>
      <c r="L1963" t="s">
        <v>6026</v>
      </c>
    </row>
    <row r="1964" spans="1:12" x14ac:dyDescent="0.35">
      <c r="A1964" t="s">
        <v>118</v>
      </c>
      <c r="B1964" t="s">
        <v>634</v>
      </c>
      <c r="C1964" t="s">
        <v>167</v>
      </c>
      <c r="D1964">
        <v>7.391</v>
      </c>
      <c r="F1964" t="s">
        <v>5654</v>
      </c>
      <c r="H1964" t="s">
        <v>4690</v>
      </c>
      <c r="I1964" t="s">
        <v>4978</v>
      </c>
      <c r="K1964" t="s">
        <v>6025</v>
      </c>
      <c r="L1964" t="s">
        <v>6026</v>
      </c>
    </row>
    <row r="1965" spans="1:12" x14ac:dyDescent="0.35">
      <c r="A1965" t="s">
        <v>118</v>
      </c>
      <c r="B1965" t="s">
        <v>634</v>
      </c>
      <c r="C1965" t="s">
        <v>1188</v>
      </c>
      <c r="D1965">
        <v>16.183</v>
      </c>
      <c r="F1965" t="s">
        <v>5655</v>
      </c>
      <c r="H1965" t="s">
        <v>5981</v>
      </c>
      <c r="I1965" t="s">
        <v>4978</v>
      </c>
      <c r="K1965" t="s">
        <v>6025</v>
      </c>
      <c r="L1965" t="s">
        <v>6026</v>
      </c>
    </row>
    <row r="1966" spans="1:12" x14ac:dyDescent="0.35">
      <c r="A1966" t="s">
        <v>118</v>
      </c>
      <c r="B1966" t="s">
        <v>634</v>
      </c>
      <c r="C1966" t="s">
        <v>167</v>
      </c>
      <c r="D1966">
        <v>16.302</v>
      </c>
      <c r="F1966" t="s">
        <v>5656</v>
      </c>
      <c r="H1966" t="s">
        <v>4692</v>
      </c>
      <c r="I1966" t="s">
        <v>4978</v>
      </c>
      <c r="K1966" t="s">
        <v>6025</v>
      </c>
      <c r="L1966" t="s">
        <v>6026</v>
      </c>
    </row>
    <row r="1967" spans="1:12" x14ac:dyDescent="0.35">
      <c r="A1967" t="s">
        <v>118</v>
      </c>
      <c r="B1967" t="s">
        <v>634</v>
      </c>
      <c r="C1967" t="s">
        <v>1188</v>
      </c>
      <c r="D1967">
        <v>22.472000000000001</v>
      </c>
      <c r="F1967" t="s">
        <v>5657</v>
      </c>
      <c r="H1967" t="s">
        <v>5982</v>
      </c>
      <c r="I1967" t="s">
        <v>4978</v>
      </c>
      <c r="K1967" t="s">
        <v>6025</v>
      </c>
      <c r="L1967" t="s">
        <v>6026</v>
      </c>
    </row>
    <row r="1968" spans="1:12" x14ac:dyDescent="0.35">
      <c r="A1968" t="s">
        <v>118</v>
      </c>
      <c r="B1968" t="s">
        <v>634</v>
      </c>
      <c r="C1968" t="s">
        <v>167</v>
      </c>
      <c r="D1968">
        <v>1.3140000000000001</v>
      </c>
      <c r="F1968" t="s">
        <v>5658</v>
      </c>
      <c r="H1968" t="s">
        <v>4694</v>
      </c>
      <c r="I1968" t="s">
        <v>4978</v>
      </c>
      <c r="K1968" t="s">
        <v>6025</v>
      </c>
      <c r="L1968" t="s">
        <v>6026</v>
      </c>
    </row>
    <row r="1969" spans="1:12" x14ac:dyDescent="0.35">
      <c r="A1969" t="s">
        <v>118</v>
      </c>
      <c r="B1969" t="s">
        <v>634</v>
      </c>
      <c r="C1969" t="s">
        <v>1188</v>
      </c>
      <c r="D1969">
        <v>1.9339999999999999</v>
      </c>
      <c r="F1969" t="s">
        <v>5659</v>
      </c>
      <c r="H1969" t="s">
        <v>4695</v>
      </c>
      <c r="I1969" t="s">
        <v>4978</v>
      </c>
      <c r="K1969" t="s">
        <v>6025</v>
      </c>
      <c r="L1969" t="s">
        <v>6026</v>
      </c>
    </row>
    <row r="1970" spans="1:12" x14ac:dyDescent="0.35">
      <c r="A1970" t="s">
        <v>118</v>
      </c>
      <c r="B1970" t="s">
        <v>634</v>
      </c>
      <c r="C1970" t="s">
        <v>167</v>
      </c>
      <c r="D1970">
        <v>11.4</v>
      </c>
      <c r="F1970" t="s">
        <v>1668</v>
      </c>
      <c r="H1970" t="s">
        <v>4696</v>
      </c>
      <c r="I1970" t="s">
        <v>4978</v>
      </c>
      <c r="K1970" t="s">
        <v>6025</v>
      </c>
      <c r="L1970" t="s">
        <v>6026</v>
      </c>
    </row>
    <row r="1971" spans="1:12" x14ac:dyDescent="0.35">
      <c r="A1971" t="s">
        <v>118</v>
      </c>
      <c r="B1971" t="s">
        <v>634</v>
      </c>
      <c r="C1971" t="s">
        <v>1188</v>
      </c>
      <c r="D1971">
        <v>14.948</v>
      </c>
      <c r="F1971" t="s">
        <v>5660</v>
      </c>
      <c r="H1971" t="s">
        <v>5983</v>
      </c>
      <c r="I1971" t="s">
        <v>4978</v>
      </c>
      <c r="K1971" t="s">
        <v>6025</v>
      </c>
      <c r="L1971" t="s">
        <v>6026</v>
      </c>
    </row>
    <row r="1972" spans="1:12" x14ac:dyDescent="0.35">
      <c r="A1972" t="s">
        <v>118</v>
      </c>
      <c r="B1972" t="s">
        <v>609</v>
      </c>
      <c r="C1972" t="s">
        <v>1188</v>
      </c>
      <c r="D1972">
        <v>87.87</v>
      </c>
      <c r="F1972" t="s">
        <v>5661</v>
      </c>
      <c r="H1972" t="s">
        <v>4698</v>
      </c>
      <c r="I1972" t="s">
        <v>5024</v>
      </c>
      <c r="K1972" t="s">
        <v>6025</v>
      </c>
      <c r="L1972" t="s">
        <v>6026</v>
      </c>
    </row>
    <row r="1973" spans="1:12" x14ac:dyDescent="0.35">
      <c r="A1973" t="s">
        <v>118</v>
      </c>
      <c r="B1973" t="s">
        <v>609</v>
      </c>
      <c r="C1973" t="s">
        <v>1188</v>
      </c>
      <c r="D1973">
        <v>100.25</v>
      </c>
      <c r="F1973" t="s">
        <v>5662</v>
      </c>
      <c r="H1973" t="s">
        <v>4699</v>
      </c>
      <c r="I1973" t="s">
        <v>5024</v>
      </c>
      <c r="K1973" t="s">
        <v>6025</v>
      </c>
      <c r="L1973" t="s">
        <v>6026</v>
      </c>
    </row>
    <row r="1974" spans="1:12" x14ac:dyDescent="0.35">
      <c r="A1974" t="s">
        <v>118</v>
      </c>
      <c r="B1974" t="s">
        <v>635</v>
      </c>
      <c r="C1974" t="s">
        <v>791</v>
      </c>
      <c r="D1974">
        <v>0.21</v>
      </c>
      <c r="F1974" t="s">
        <v>1572</v>
      </c>
      <c r="H1974" t="s">
        <v>4700</v>
      </c>
      <c r="I1974" t="s">
        <v>5025</v>
      </c>
      <c r="K1974" t="s">
        <v>6025</v>
      </c>
      <c r="L1974" t="s">
        <v>6026</v>
      </c>
    </row>
    <row r="1975" spans="1:12" x14ac:dyDescent="0.35">
      <c r="A1975" t="s">
        <v>118</v>
      </c>
      <c r="B1975" t="s">
        <v>635</v>
      </c>
      <c r="C1975" t="s">
        <v>1188</v>
      </c>
      <c r="D1975">
        <v>0.18</v>
      </c>
      <c r="F1975" t="s">
        <v>1531</v>
      </c>
      <c r="H1975" t="s">
        <v>4702</v>
      </c>
      <c r="I1975" t="s">
        <v>5025</v>
      </c>
      <c r="K1975" t="s">
        <v>6025</v>
      </c>
      <c r="L1975" t="s">
        <v>6026</v>
      </c>
    </row>
    <row r="1976" spans="1:12" x14ac:dyDescent="0.35">
      <c r="A1976" t="s">
        <v>118</v>
      </c>
      <c r="B1976" t="s">
        <v>635</v>
      </c>
      <c r="C1976" t="s">
        <v>1243</v>
      </c>
      <c r="D1976">
        <v>3.3300000000000001E-3</v>
      </c>
      <c r="F1976" t="s">
        <v>5663</v>
      </c>
      <c r="H1976" t="s">
        <v>4706</v>
      </c>
      <c r="I1976" t="s">
        <v>5025</v>
      </c>
      <c r="K1976" t="s">
        <v>6025</v>
      </c>
      <c r="L1976" t="s">
        <v>6026</v>
      </c>
    </row>
    <row r="1977" spans="1:12" x14ac:dyDescent="0.35">
      <c r="A1977" t="s">
        <v>118</v>
      </c>
      <c r="B1977" t="s">
        <v>635</v>
      </c>
      <c r="C1977" t="s">
        <v>791</v>
      </c>
      <c r="D1977">
        <v>6.9999999999999999E-4</v>
      </c>
      <c r="F1977" t="s">
        <v>2402</v>
      </c>
      <c r="H1977" t="s">
        <v>4708</v>
      </c>
      <c r="I1977" t="s">
        <v>5025</v>
      </c>
      <c r="K1977" t="s">
        <v>6025</v>
      </c>
      <c r="L1977" t="s">
        <v>6026</v>
      </c>
    </row>
    <row r="1978" spans="1:12" x14ac:dyDescent="0.35">
      <c r="A1978" t="s">
        <v>118</v>
      </c>
      <c r="B1978" t="s">
        <v>635</v>
      </c>
      <c r="C1978" t="s">
        <v>1188</v>
      </c>
      <c r="D1978">
        <v>6.7799999999999999E-2</v>
      </c>
      <c r="F1978" t="s">
        <v>5664</v>
      </c>
      <c r="H1978" t="s">
        <v>4707</v>
      </c>
      <c r="I1978" t="s">
        <v>5025</v>
      </c>
      <c r="K1978" t="s">
        <v>6025</v>
      </c>
      <c r="L1978" t="s">
        <v>6026</v>
      </c>
    </row>
    <row r="1979" spans="1:12" x14ac:dyDescent="0.35">
      <c r="A1979" t="s">
        <v>118</v>
      </c>
      <c r="B1979" t="s">
        <v>635</v>
      </c>
      <c r="C1979" t="s">
        <v>1242</v>
      </c>
      <c r="D1979">
        <v>1.46E-4</v>
      </c>
      <c r="F1979" t="s">
        <v>5665</v>
      </c>
      <c r="H1979" t="s">
        <v>4705</v>
      </c>
      <c r="I1979" t="s">
        <v>5025</v>
      </c>
      <c r="K1979" t="s">
        <v>6025</v>
      </c>
      <c r="L1979" t="s">
        <v>6026</v>
      </c>
    </row>
    <row r="1980" spans="1:12" x14ac:dyDescent="0.35">
      <c r="A1980" t="s">
        <v>118</v>
      </c>
      <c r="B1980" t="s">
        <v>635</v>
      </c>
      <c r="C1980" t="s">
        <v>1244</v>
      </c>
      <c r="D1980">
        <v>4.51E-7</v>
      </c>
      <c r="F1980" t="s">
        <v>5666</v>
      </c>
      <c r="H1980" t="s">
        <v>4709</v>
      </c>
      <c r="I1980" t="s">
        <v>5025</v>
      </c>
      <c r="K1980" t="s">
        <v>6025</v>
      </c>
      <c r="L1980" t="s">
        <v>6026</v>
      </c>
    </row>
    <row r="1981" spans="1:12" x14ac:dyDescent="0.35">
      <c r="A1981" t="s">
        <v>118</v>
      </c>
      <c r="B1981" t="s">
        <v>635</v>
      </c>
      <c r="C1981" t="s">
        <v>1242</v>
      </c>
      <c r="D1981">
        <v>7.1400000000000001E-4</v>
      </c>
      <c r="F1981" t="s">
        <v>5667</v>
      </c>
      <c r="H1981" t="s">
        <v>4710</v>
      </c>
      <c r="I1981" t="s">
        <v>5025</v>
      </c>
      <c r="K1981" t="s">
        <v>6025</v>
      </c>
      <c r="L1981" t="s">
        <v>6026</v>
      </c>
    </row>
    <row r="1982" spans="1:12" x14ac:dyDescent="0.35">
      <c r="A1982" t="s">
        <v>118</v>
      </c>
      <c r="B1982" t="s">
        <v>635</v>
      </c>
      <c r="C1982" t="s">
        <v>1242</v>
      </c>
      <c r="D1982">
        <v>9.0600000000000001E-4</v>
      </c>
      <c r="F1982" t="s">
        <v>5668</v>
      </c>
      <c r="H1982" t="s">
        <v>4701</v>
      </c>
      <c r="I1982" t="s">
        <v>5025</v>
      </c>
      <c r="K1982" t="s">
        <v>6025</v>
      </c>
      <c r="L1982" t="s">
        <v>6026</v>
      </c>
    </row>
    <row r="1983" spans="1:12" x14ac:dyDescent="0.35">
      <c r="A1983" t="s">
        <v>118</v>
      </c>
      <c r="B1983" t="s">
        <v>635</v>
      </c>
      <c r="C1983" t="s">
        <v>1242</v>
      </c>
      <c r="D1983">
        <v>3.21E-4</v>
      </c>
      <c r="F1983" t="s">
        <v>5669</v>
      </c>
      <c r="H1983" t="s">
        <v>4703</v>
      </c>
      <c r="I1983" t="s">
        <v>5025</v>
      </c>
      <c r="K1983" t="s">
        <v>6025</v>
      </c>
      <c r="L1983" t="s">
        <v>6026</v>
      </c>
    </row>
    <row r="1984" spans="1:12" x14ac:dyDescent="0.35">
      <c r="A1984" t="s">
        <v>118</v>
      </c>
      <c r="B1984" t="s">
        <v>635</v>
      </c>
      <c r="C1984" t="s">
        <v>1243</v>
      </c>
      <c r="D1984">
        <v>1.6300000000000001E-6</v>
      </c>
      <c r="F1984" t="s">
        <v>5670</v>
      </c>
      <c r="H1984" t="s">
        <v>4704</v>
      </c>
      <c r="I1984" t="s">
        <v>5025</v>
      </c>
      <c r="K1984" t="s">
        <v>6025</v>
      </c>
      <c r="L1984" t="s">
        <v>6026</v>
      </c>
    </row>
    <row r="1985" spans="1:12" x14ac:dyDescent="0.35">
      <c r="A1985" t="s">
        <v>118</v>
      </c>
      <c r="B1985" t="s">
        <v>637</v>
      </c>
      <c r="C1985" t="s">
        <v>1245</v>
      </c>
      <c r="D1985">
        <v>2.8</v>
      </c>
      <c r="F1985" t="s">
        <v>1504</v>
      </c>
      <c r="H1985" t="s">
        <v>4713</v>
      </c>
      <c r="I1985" t="s">
        <v>5026</v>
      </c>
      <c r="K1985" t="s">
        <v>6025</v>
      </c>
      <c r="L1985" t="s">
        <v>6026</v>
      </c>
    </row>
    <row r="1986" spans="1:12" x14ac:dyDescent="0.35">
      <c r="A1986" t="s">
        <v>118</v>
      </c>
      <c r="B1986" t="s">
        <v>637</v>
      </c>
      <c r="C1986" t="s">
        <v>1245</v>
      </c>
      <c r="D1986">
        <v>2.9</v>
      </c>
      <c r="F1986" t="s">
        <v>1576</v>
      </c>
      <c r="H1986" t="s">
        <v>4713</v>
      </c>
      <c r="I1986" t="s">
        <v>5026</v>
      </c>
      <c r="K1986" t="s">
        <v>6025</v>
      </c>
      <c r="L1986" t="s">
        <v>6026</v>
      </c>
    </row>
    <row r="1987" spans="1:12" x14ac:dyDescent="0.35">
      <c r="A1987" t="s">
        <v>118</v>
      </c>
      <c r="B1987" t="s">
        <v>637</v>
      </c>
      <c r="C1987" t="s">
        <v>1245</v>
      </c>
      <c r="D1987">
        <v>2.4</v>
      </c>
      <c r="F1987" t="s">
        <v>1433</v>
      </c>
      <c r="H1987" t="s">
        <v>4713</v>
      </c>
      <c r="I1987" t="s">
        <v>5026</v>
      </c>
      <c r="K1987" t="s">
        <v>6025</v>
      </c>
      <c r="L1987" t="s">
        <v>6026</v>
      </c>
    </row>
    <row r="1988" spans="1:12" x14ac:dyDescent="0.35">
      <c r="A1988" t="s">
        <v>118</v>
      </c>
      <c r="B1988" t="s">
        <v>637</v>
      </c>
      <c r="C1988" t="s">
        <v>1245</v>
      </c>
      <c r="D1988">
        <v>0.14000000000000001</v>
      </c>
      <c r="F1988" t="s">
        <v>1361</v>
      </c>
      <c r="H1988" t="s">
        <v>4713</v>
      </c>
      <c r="I1988" t="s">
        <v>5026</v>
      </c>
      <c r="K1988" t="s">
        <v>6025</v>
      </c>
      <c r="L1988" t="s">
        <v>6026</v>
      </c>
    </row>
    <row r="1989" spans="1:12" x14ac:dyDescent="0.35">
      <c r="A1989" t="s">
        <v>118</v>
      </c>
      <c r="B1989" t="s">
        <v>639</v>
      </c>
      <c r="C1989" t="s">
        <v>1246</v>
      </c>
      <c r="D1989">
        <v>8.3000000000000004E-2</v>
      </c>
      <c r="F1989" t="s">
        <v>1603</v>
      </c>
      <c r="H1989" t="s">
        <v>4718</v>
      </c>
      <c r="I1989" t="s">
        <v>5027</v>
      </c>
      <c r="K1989" t="s">
        <v>6025</v>
      </c>
      <c r="L1989" t="s">
        <v>6026</v>
      </c>
    </row>
    <row r="1990" spans="1:12" x14ac:dyDescent="0.35">
      <c r="A1990" t="s">
        <v>118</v>
      </c>
      <c r="B1990" t="s">
        <v>639</v>
      </c>
      <c r="C1990" t="s">
        <v>167</v>
      </c>
      <c r="D1990">
        <v>2.1999999999999999E-2</v>
      </c>
      <c r="F1990" t="s">
        <v>1890</v>
      </c>
      <c r="H1990" t="s">
        <v>4718</v>
      </c>
      <c r="I1990" t="s">
        <v>5027</v>
      </c>
      <c r="K1990" t="s">
        <v>6025</v>
      </c>
      <c r="L1990" t="s">
        <v>6026</v>
      </c>
    </row>
    <row r="1991" spans="1:12" x14ac:dyDescent="0.35">
      <c r="A1991" t="s">
        <v>118</v>
      </c>
      <c r="B1991" t="s">
        <v>639</v>
      </c>
      <c r="C1991" t="s">
        <v>1246</v>
      </c>
      <c r="D1991">
        <v>0.27</v>
      </c>
      <c r="F1991" t="s">
        <v>1738</v>
      </c>
      <c r="H1991" t="s">
        <v>4715</v>
      </c>
      <c r="I1991" t="s">
        <v>5027</v>
      </c>
      <c r="K1991" t="s">
        <v>6025</v>
      </c>
      <c r="L1991" t="s">
        <v>6026</v>
      </c>
    </row>
    <row r="1992" spans="1:12" x14ac:dyDescent="0.35">
      <c r="A1992" t="s">
        <v>118</v>
      </c>
      <c r="B1992" t="s">
        <v>639</v>
      </c>
      <c r="C1992" t="s">
        <v>167</v>
      </c>
      <c r="D1992">
        <v>8.5999999999999993E-2</v>
      </c>
      <c r="F1992" t="s">
        <v>1582</v>
      </c>
      <c r="H1992" t="s">
        <v>4717</v>
      </c>
      <c r="I1992" t="s">
        <v>5027</v>
      </c>
      <c r="K1992" t="s">
        <v>6025</v>
      </c>
      <c r="L1992" t="s">
        <v>6026</v>
      </c>
    </row>
    <row r="1993" spans="1:12" x14ac:dyDescent="0.35">
      <c r="A1993" t="s">
        <v>118</v>
      </c>
      <c r="B1993" t="s">
        <v>457</v>
      </c>
      <c r="C1993" t="s">
        <v>1188</v>
      </c>
      <c r="D1993">
        <v>0.2</v>
      </c>
      <c r="F1993" t="s">
        <v>1371</v>
      </c>
      <c r="H1993" t="s">
        <v>4728</v>
      </c>
      <c r="I1993" t="s">
        <v>5029</v>
      </c>
      <c r="K1993" t="s">
        <v>6025</v>
      </c>
      <c r="L1993" t="s">
        <v>6026</v>
      </c>
    </row>
    <row r="1994" spans="1:12" x14ac:dyDescent="0.35">
      <c r="A1994" t="s">
        <v>118</v>
      </c>
      <c r="B1994" t="s">
        <v>457</v>
      </c>
      <c r="C1994" t="s">
        <v>1247</v>
      </c>
      <c r="D1994">
        <v>1.03</v>
      </c>
      <c r="F1994" t="s">
        <v>1850</v>
      </c>
      <c r="H1994" t="s">
        <v>4728</v>
      </c>
      <c r="I1994" t="s">
        <v>5029</v>
      </c>
      <c r="K1994" t="s">
        <v>6025</v>
      </c>
      <c r="L1994" t="s">
        <v>6026</v>
      </c>
    </row>
    <row r="1995" spans="1:12" x14ac:dyDescent="0.35">
      <c r="A1995" t="s">
        <v>118</v>
      </c>
      <c r="B1995" t="s">
        <v>457</v>
      </c>
      <c r="C1995" t="s">
        <v>167</v>
      </c>
      <c r="D1995">
        <v>0.12</v>
      </c>
      <c r="F1995" t="s">
        <v>1473</v>
      </c>
      <c r="H1995" t="s">
        <v>4729</v>
      </c>
      <c r="I1995" t="s">
        <v>5029</v>
      </c>
      <c r="K1995" t="s">
        <v>6025</v>
      </c>
      <c r="L1995" t="s">
        <v>6026</v>
      </c>
    </row>
    <row r="1996" spans="1:12" x14ac:dyDescent="0.35">
      <c r="A1996" t="s">
        <v>118</v>
      </c>
      <c r="B1996" t="s">
        <v>457</v>
      </c>
      <c r="C1996" t="s">
        <v>1247</v>
      </c>
      <c r="D1996">
        <v>12.2</v>
      </c>
      <c r="F1996" t="s">
        <v>1471</v>
      </c>
      <c r="H1996" t="s">
        <v>4727</v>
      </c>
      <c r="I1996" t="s">
        <v>5029</v>
      </c>
      <c r="K1996" t="s">
        <v>6025</v>
      </c>
      <c r="L1996" t="s">
        <v>6026</v>
      </c>
    </row>
    <row r="1997" spans="1:12" x14ac:dyDescent="0.35">
      <c r="A1997" t="s">
        <v>118</v>
      </c>
      <c r="B1997" t="s">
        <v>457</v>
      </c>
      <c r="C1997" t="s">
        <v>167</v>
      </c>
      <c r="D1997">
        <v>12.4</v>
      </c>
      <c r="F1997" t="s">
        <v>2371</v>
      </c>
      <c r="H1997" t="s">
        <v>4726</v>
      </c>
      <c r="I1997" t="s">
        <v>5029</v>
      </c>
      <c r="K1997" t="s">
        <v>6025</v>
      </c>
      <c r="L1997" t="s">
        <v>6026</v>
      </c>
    </row>
    <row r="1998" spans="1:12" x14ac:dyDescent="0.35">
      <c r="A1998" t="s">
        <v>118</v>
      </c>
      <c r="B1998" t="s">
        <v>457</v>
      </c>
      <c r="C1998" t="s">
        <v>1188</v>
      </c>
      <c r="D1998">
        <v>4.7</v>
      </c>
      <c r="F1998" t="s">
        <v>1570</v>
      </c>
      <c r="H1998" t="s">
        <v>4730</v>
      </c>
      <c r="I1998" t="s">
        <v>5029</v>
      </c>
      <c r="K1998" t="s">
        <v>6025</v>
      </c>
      <c r="L1998" t="s">
        <v>6026</v>
      </c>
    </row>
    <row r="1999" spans="1:12" x14ac:dyDescent="0.35">
      <c r="A1999" t="s">
        <v>118</v>
      </c>
      <c r="B1999" t="s">
        <v>457</v>
      </c>
      <c r="C1999" t="s">
        <v>167</v>
      </c>
      <c r="D1999">
        <v>0.43</v>
      </c>
      <c r="F1999" t="s">
        <v>1441</v>
      </c>
      <c r="H1999" t="s">
        <v>4721</v>
      </c>
      <c r="I1999" t="s">
        <v>5029</v>
      </c>
      <c r="K1999" t="s">
        <v>6025</v>
      </c>
      <c r="L1999" t="s">
        <v>6026</v>
      </c>
    </row>
    <row r="2000" spans="1:12" x14ac:dyDescent="0.35">
      <c r="A2000" t="s">
        <v>118</v>
      </c>
      <c r="B2000" t="s">
        <v>457</v>
      </c>
      <c r="C2000" t="s">
        <v>167</v>
      </c>
      <c r="D2000">
        <v>29.7</v>
      </c>
      <c r="F2000" t="s">
        <v>5671</v>
      </c>
      <c r="H2000" t="s">
        <v>4724</v>
      </c>
      <c r="I2000" t="s">
        <v>5029</v>
      </c>
      <c r="K2000" t="s">
        <v>6025</v>
      </c>
      <c r="L2000" t="s">
        <v>6026</v>
      </c>
    </row>
    <row r="2001" spans="1:12" x14ac:dyDescent="0.35">
      <c r="A2001" t="s">
        <v>118</v>
      </c>
      <c r="B2001" t="s">
        <v>457</v>
      </c>
      <c r="C2001" t="s">
        <v>1247</v>
      </c>
      <c r="D2001">
        <v>6.78</v>
      </c>
      <c r="F2001" t="s">
        <v>5672</v>
      </c>
      <c r="H2001" t="s">
        <v>4723</v>
      </c>
      <c r="I2001" t="s">
        <v>5029</v>
      </c>
      <c r="K2001" t="s">
        <v>6025</v>
      </c>
      <c r="L2001" t="s">
        <v>6026</v>
      </c>
    </row>
    <row r="2002" spans="1:12" x14ac:dyDescent="0.35">
      <c r="A2002" t="s">
        <v>118</v>
      </c>
      <c r="B2002" t="s">
        <v>457</v>
      </c>
      <c r="C2002" t="s">
        <v>1188</v>
      </c>
      <c r="D2002">
        <v>2.13</v>
      </c>
      <c r="F2002" t="s">
        <v>1960</v>
      </c>
      <c r="H2002" t="s">
        <v>4723</v>
      </c>
      <c r="I2002" t="s">
        <v>5029</v>
      </c>
      <c r="K2002" t="s">
        <v>6025</v>
      </c>
      <c r="L2002" t="s">
        <v>6026</v>
      </c>
    </row>
    <row r="2003" spans="1:12" x14ac:dyDescent="0.35">
      <c r="A2003" t="s">
        <v>118</v>
      </c>
      <c r="B2003" t="s">
        <v>457</v>
      </c>
      <c r="C2003" t="s">
        <v>167</v>
      </c>
      <c r="D2003">
        <v>0.88</v>
      </c>
      <c r="F2003" t="s">
        <v>1915</v>
      </c>
      <c r="H2003" t="s">
        <v>4726</v>
      </c>
      <c r="I2003" t="s">
        <v>5029</v>
      </c>
      <c r="K2003" t="s">
        <v>6025</v>
      </c>
      <c r="L2003" t="s">
        <v>6026</v>
      </c>
    </row>
    <row r="2004" spans="1:12" x14ac:dyDescent="0.35">
      <c r="A2004" t="s">
        <v>118</v>
      </c>
      <c r="B2004" t="s">
        <v>457</v>
      </c>
      <c r="C2004" t="s">
        <v>1247</v>
      </c>
      <c r="D2004">
        <v>2.59</v>
      </c>
      <c r="F2004" t="s">
        <v>2434</v>
      </c>
      <c r="H2004" t="s">
        <v>4725</v>
      </c>
      <c r="I2004" t="s">
        <v>5029</v>
      </c>
      <c r="K2004" t="s">
        <v>6025</v>
      </c>
      <c r="L2004" t="s">
        <v>6026</v>
      </c>
    </row>
    <row r="2005" spans="1:12" x14ac:dyDescent="0.35">
      <c r="A2005" t="s">
        <v>118</v>
      </c>
      <c r="B2005" t="s">
        <v>457</v>
      </c>
      <c r="C2005" t="s">
        <v>167</v>
      </c>
      <c r="D2005">
        <v>6.38</v>
      </c>
      <c r="F2005" t="s">
        <v>2637</v>
      </c>
      <c r="H2005" t="s">
        <v>4729</v>
      </c>
      <c r="I2005" t="s">
        <v>5029</v>
      </c>
      <c r="K2005" t="s">
        <v>6025</v>
      </c>
      <c r="L2005" t="s">
        <v>6026</v>
      </c>
    </row>
    <row r="2006" spans="1:12" x14ac:dyDescent="0.35">
      <c r="A2006" t="s">
        <v>118</v>
      </c>
      <c r="B2006" t="s">
        <v>457</v>
      </c>
      <c r="C2006" t="s">
        <v>167</v>
      </c>
      <c r="D2006">
        <v>6.44</v>
      </c>
      <c r="F2006" t="s">
        <v>2396</v>
      </c>
      <c r="H2006" t="s">
        <v>4722</v>
      </c>
      <c r="I2006" t="s">
        <v>5029</v>
      </c>
      <c r="K2006" t="s">
        <v>6025</v>
      </c>
      <c r="L2006" t="s">
        <v>6026</v>
      </c>
    </row>
    <row r="2007" spans="1:12" x14ac:dyDescent="0.35">
      <c r="A2007" t="s">
        <v>118</v>
      </c>
      <c r="B2007" t="s">
        <v>457</v>
      </c>
      <c r="C2007" t="s">
        <v>167</v>
      </c>
      <c r="D2007">
        <v>4.37</v>
      </c>
      <c r="F2007" t="s">
        <v>5673</v>
      </c>
      <c r="H2007" t="s">
        <v>4721</v>
      </c>
      <c r="I2007" t="s">
        <v>5029</v>
      </c>
      <c r="K2007" t="s">
        <v>6025</v>
      </c>
      <c r="L2007" t="s">
        <v>6026</v>
      </c>
    </row>
    <row r="2008" spans="1:12" x14ac:dyDescent="0.35">
      <c r="A2008" t="s">
        <v>118</v>
      </c>
      <c r="B2008" t="s">
        <v>457</v>
      </c>
      <c r="C2008" t="s">
        <v>1247</v>
      </c>
      <c r="D2008">
        <v>8.66</v>
      </c>
      <c r="F2008" t="s">
        <v>5674</v>
      </c>
      <c r="H2008" t="s">
        <v>4730</v>
      </c>
      <c r="I2008" t="s">
        <v>5029</v>
      </c>
      <c r="K2008" t="s">
        <v>6025</v>
      </c>
      <c r="L2008" t="s">
        <v>6026</v>
      </c>
    </row>
    <row r="2009" spans="1:12" x14ac:dyDescent="0.35">
      <c r="A2009" t="s">
        <v>118</v>
      </c>
      <c r="B2009" t="s">
        <v>457</v>
      </c>
      <c r="C2009" t="s">
        <v>167</v>
      </c>
      <c r="D2009">
        <v>14.99</v>
      </c>
      <c r="F2009" t="s">
        <v>5675</v>
      </c>
      <c r="H2009" t="s">
        <v>4724</v>
      </c>
      <c r="I2009" t="s">
        <v>5029</v>
      </c>
      <c r="K2009" t="s">
        <v>6025</v>
      </c>
      <c r="L2009" t="s">
        <v>6026</v>
      </c>
    </row>
    <row r="2010" spans="1:12" x14ac:dyDescent="0.35">
      <c r="A2010" t="s">
        <v>118</v>
      </c>
      <c r="B2010" t="s">
        <v>457</v>
      </c>
      <c r="C2010" t="s">
        <v>1188</v>
      </c>
      <c r="D2010">
        <v>21.44</v>
      </c>
      <c r="F2010" t="s">
        <v>5676</v>
      </c>
      <c r="H2010" t="s">
        <v>4727</v>
      </c>
      <c r="I2010" t="s">
        <v>5029</v>
      </c>
      <c r="K2010" t="s">
        <v>6025</v>
      </c>
      <c r="L2010" t="s">
        <v>6026</v>
      </c>
    </row>
    <row r="2011" spans="1:12" x14ac:dyDescent="0.35">
      <c r="A2011" t="s">
        <v>118</v>
      </c>
      <c r="B2011" t="s">
        <v>642</v>
      </c>
      <c r="C2011" t="s">
        <v>167</v>
      </c>
      <c r="D2011">
        <v>6</v>
      </c>
      <c r="F2011" t="s">
        <v>1766</v>
      </c>
      <c r="H2011" t="s">
        <v>5984</v>
      </c>
      <c r="I2011" t="s">
        <v>2211</v>
      </c>
      <c r="K2011" t="s">
        <v>6025</v>
      </c>
      <c r="L2011" t="s">
        <v>6026</v>
      </c>
    </row>
    <row r="2012" spans="1:12" x14ac:dyDescent="0.35">
      <c r="A2012" t="s">
        <v>118</v>
      </c>
      <c r="B2012" t="s">
        <v>642</v>
      </c>
      <c r="C2012" t="s">
        <v>1188</v>
      </c>
      <c r="D2012">
        <v>6</v>
      </c>
      <c r="F2012" t="s">
        <v>1766</v>
      </c>
      <c r="H2012" t="s">
        <v>5985</v>
      </c>
      <c r="I2012" t="s">
        <v>2211</v>
      </c>
      <c r="K2012" t="s">
        <v>6025</v>
      </c>
      <c r="L2012" t="s">
        <v>6026</v>
      </c>
    </row>
    <row r="2013" spans="1:12" x14ac:dyDescent="0.35">
      <c r="A2013" t="s">
        <v>118</v>
      </c>
      <c r="B2013" t="s">
        <v>642</v>
      </c>
      <c r="C2013" t="s">
        <v>167</v>
      </c>
      <c r="D2013">
        <v>7</v>
      </c>
      <c r="F2013" t="s">
        <v>1335</v>
      </c>
      <c r="H2013" t="s">
        <v>5986</v>
      </c>
      <c r="I2013" t="s">
        <v>2211</v>
      </c>
      <c r="K2013" t="s">
        <v>6025</v>
      </c>
      <c r="L2013" t="s">
        <v>6026</v>
      </c>
    </row>
    <row r="2014" spans="1:12" x14ac:dyDescent="0.35">
      <c r="A2014" t="s">
        <v>118</v>
      </c>
      <c r="B2014" t="s">
        <v>642</v>
      </c>
      <c r="C2014" t="s">
        <v>1188</v>
      </c>
      <c r="D2014">
        <v>7</v>
      </c>
      <c r="F2014" t="s">
        <v>1335</v>
      </c>
      <c r="H2014" t="s">
        <v>5987</v>
      </c>
      <c r="I2014" t="s">
        <v>2211</v>
      </c>
      <c r="K2014" t="s">
        <v>6025</v>
      </c>
      <c r="L2014" t="s">
        <v>6026</v>
      </c>
    </row>
    <row r="2015" spans="1:12" x14ac:dyDescent="0.35">
      <c r="A2015" t="s">
        <v>118</v>
      </c>
      <c r="B2015" t="s">
        <v>642</v>
      </c>
      <c r="C2015" t="s">
        <v>167</v>
      </c>
      <c r="D2015">
        <v>10</v>
      </c>
      <c r="F2015" t="s">
        <v>1533</v>
      </c>
      <c r="H2015" t="s">
        <v>4740</v>
      </c>
      <c r="I2015" t="s">
        <v>2211</v>
      </c>
      <c r="K2015" t="s">
        <v>6025</v>
      </c>
      <c r="L2015" t="s">
        <v>6026</v>
      </c>
    </row>
    <row r="2016" spans="1:12" x14ac:dyDescent="0.35">
      <c r="A2016" t="s">
        <v>118</v>
      </c>
      <c r="B2016" t="s">
        <v>642</v>
      </c>
      <c r="C2016" t="s">
        <v>1188</v>
      </c>
      <c r="D2016">
        <v>10</v>
      </c>
      <c r="F2016" t="s">
        <v>1533</v>
      </c>
      <c r="H2016" t="s">
        <v>4739</v>
      </c>
      <c r="I2016" t="s">
        <v>2211</v>
      </c>
      <c r="K2016" t="s">
        <v>6025</v>
      </c>
      <c r="L2016" t="s">
        <v>6026</v>
      </c>
    </row>
    <row r="2017" spans="1:12" x14ac:dyDescent="0.35">
      <c r="A2017" t="s">
        <v>118</v>
      </c>
      <c r="B2017" t="s">
        <v>642</v>
      </c>
      <c r="C2017" t="s">
        <v>167</v>
      </c>
      <c r="D2017">
        <v>46</v>
      </c>
      <c r="F2017" t="s">
        <v>4863</v>
      </c>
      <c r="H2017" t="s">
        <v>5988</v>
      </c>
      <c r="I2017" t="s">
        <v>2211</v>
      </c>
      <c r="K2017" t="s">
        <v>6025</v>
      </c>
      <c r="L2017" t="s">
        <v>6026</v>
      </c>
    </row>
    <row r="2018" spans="1:12" x14ac:dyDescent="0.35">
      <c r="A2018" t="s">
        <v>118</v>
      </c>
      <c r="B2018" t="s">
        <v>642</v>
      </c>
      <c r="C2018" t="s">
        <v>1188</v>
      </c>
      <c r="D2018">
        <v>46</v>
      </c>
      <c r="F2018" t="s">
        <v>4863</v>
      </c>
      <c r="H2018" t="s">
        <v>5989</v>
      </c>
      <c r="I2018" t="s">
        <v>2211</v>
      </c>
      <c r="K2018" t="s">
        <v>6025</v>
      </c>
      <c r="L2018" t="s">
        <v>6026</v>
      </c>
    </row>
    <row r="2019" spans="1:12" x14ac:dyDescent="0.35">
      <c r="A2019" t="s">
        <v>118</v>
      </c>
      <c r="B2019" t="s">
        <v>642</v>
      </c>
      <c r="C2019" t="s">
        <v>167</v>
      </c>
      <c r="D2019">
        <v>51</v>
      </c>
      <c r="F2019" t="s">
        <v>2009</v>
      </c>
      <c r="H2019" t="s">
        <v>4737</v>
      </c>
      <c r="I2019" t="s">
        <v>2211</v>
      </c>
      <c r="K2019" t="s">
        <v>6025</v>
      </c>
      <c r="L2019" t="s">
        <v>6026</v>
      </c>
    </row>
    <row r="2020" spans="1:12" x14ac:dyDescent="0.35">
      <c r="A2020" t="s">
        <v>118</v>
      </c>
      <c r="B2020" t="s">
        <v>642</v>
      </c>
      <c r="C2020" t="s">
        <v>1188</v>
      </c>
      <c r="D2020">
        <v>51</v>
      </c>
      <c r="F2020" t="s">
        <v>2009</v>
      </c>
      <c r="H2020" t="s">
        <v>5990</v>
      </c>
      <c r="I2020" t="s">
        <v>2211</v>
      </c>
      <c r="K2020" t="s">
        <v>6025</v>
      </c>
      <c r="L2020" t="s">
        <v>6026</v>
      </c>
    </row>
    <row r="2021" spans="1:12" x14ac:dyDescent="0.35">
      <c r="A2021" t="s">
        <v>118</v>
      </c>
      <c r="B2021" t="s">
        <v>642</v>
      </c>
      <c r="C2021" t="s">
        <v>1188</v>
      </c>
      <c r="D2021">
        <v>11</v>
      </c>
      <c r="F2021" t="s">
        <v>1841</v>
      </c>
      <c r="H2021" t="s">
        <v>4732</v>
      </c>
      <c r="I2021" t="s">
        <v>2211</v>
      </c>
      <c r="K2021" t="s">
        <v>6025</v>
      </c>
      <c r="L2021" t="s">
        <v>6026</v>
      </c>
    </row>
    <row r="2022" spans="1:12" x14ac:dyDescent="0.35">
      <c r="A2022" t="s">
        <v>118</v>
      </c>
      <c r="B2022" t="s">
        <v>642</v>
      </c>
      <c r="C2022" t="s">
        <v>167</v>
      </c>
      <c r="D2022">
        <v>23</v>
      </c>
      <c r="F2022" t="s">
        <v>1851</v>
      </c>
      <c r="H2022" t="s">
        <v>5991</v>
      </c>
      <c r="I2022" t="s">
        <v>2211</v>
      </c>
      <c r="K2022" t="s">
        <v>6025</v>
      </c>
      <c r="L2022" t="s">
        <v>6026</v>
      </c>
    </row>
    <row r="2023" spans="1:12" x14ac:dyDescent="0.35">
      <c r="A2023" t="s">
        <v>118</v>
      </c>
      <c r="B2023" t="s">
        <v>642</v>
      </c>
      <c r="C2023" t="s">
        <v>1188</v>
      </c>
      <c r="D2023">
        <v>23</v>
      </c>
      <c r="F2023" t="s">
        <v>1851</v>
      </c>
      <c r="H2023" t="s">
        <v>5992</v>
      </c>
      <c r="I2023" t="s">
        <v>2211</v>
      </c>
      <c r="K2023" t="s">
        <v>6025</v>
      </c>
      <c r="L2023" t="s">
        <v>6026</v>
      </c>
    </row>
    <row r="2024" spans="1:12" x14ac:dyDescent="0.35">
      <c r="A2024" t="s">
        <v>118</v>
      </c>
      <c r="B2024" t="s">
        <v>642</v>
      </c>
      <c r="C2024" t="s">
        <v>167</v>
      </c>
      <c r="D2024">
        <v>11</v>
      </c>
      <c r="F2024" t="s">
        <v>1841</v>
      </c>
      <c r="H2024" t="s">
        <v>5993</v>
      </c>
      <c r="I2024" t="s">
        <v>4987</v>
      </c>
      <c r="K2024" t="s">
        <v>6025</v>
      </c>
      <c r="L2024" t="s">
        <v>6026</v>
      </c>
    </row>
    <row r="2025" spans="1:12" x14ac:dyDescent="0.35">
      <c r="A2025" t="s">
        <v>118</v>
      </c>
      <c r="B2025" t="s">
        <v>616</v>
      </c>
      <c r="C2025" t="s">
        <v>5077</v>
      </c>
      <c r="D2025">
        <v>0.63</v>
      </c>
      <c r="F2025" t="s">
        <v>1931</v>
      </c>
      <c r="H2025" t="s">
        <v>5994</v>
      </c>
      <c r="I2025" t="s">
        <v>4876</v>
      </c>
      <c r="K2025" t="s">
        <v>6025</v>
      </c>
      <c r="L2025" t="s">
        <v>6026</v>
      </c>
    </row>
    <row r="2026" spans="1:12" x14ac:dyDescent="0.35">
      <c r="A2026" t="s">
        <v>118</v>
      </c>
      <c r="B2026" t="s">
        <v>616</v>
      </c>
      <c r="C2026" t="s">
        <v>793</v>
      </c>
      <c r="D2026">
        <v>2.6</v>
      </c>
      <c r="F2026" t="s">
        <v>1428</v>
      </c>
      <c r="H2026" t="s">
        <v>5995</v>
      </c>
      <c r="I2026" t="s">
        <v>2334</v>
      </c>
      <c r="K2026" t="s">
        <v>6025</v>
      </c>
      <c r="L2026" t="s">
        <v>6026</v>
      </c>
    </row>
    <row r="2027" spans="1:12" x14ac:dyDescent="0.35">
      <c r="A2027" t="s">
        <v>118</v>
      </c>
      <c r="B2027" t="s">
        <v>616</v>
      </c>
      <c r="C2027" t="s">
        <v>5078</v>
      </c>
      <c r="D2027">
        <v>39</v>
      </c>
      <c r="F2027" t="s">
        <v>2050</v>
      </c>
      <c r="H2027" t="s">
        <v>5994</v>
      </c>
      <c r="I2027" t="s">
        <v>4876</v>
      </c>
      <c r="K2027" t="s">
        <v>6025</v>
      </c>
      <c r="L2027" t="s">
        <v>6026</v>
      </c>
    </row>
    <row r="2028" spans="1:12" x14ac:dyDescent="0.35">
      <c r="A2028" t="s">
        <v>118</v>
      </c>
      <c r="B2028" t="s">
        <v>616</v>
      </c>
      <c r="C2028" t="s">
        <v>1188</v>
      </c>
      <c r="D2028">
        <v>187</v>
      </c>
      <c r="F2028" t="s">
        <v>5001</v>
      </c>
      <c r="H2028" t="s">
        <v>5996</v>
      </c>
      <c r="I2028" t="s">
        <v>4876</v>
      </c>
      <c r="K2028" t="s">
        <v>6025</v>
      </c>
      <c r="L2028" t="s">
        <v>6026</v>
      </c>
    </row>
    <row r="2029" spans="1:12" x14ac:dyDescent="0.35">
      <c r="A2029" t="s">
        <v>118</v>
      </c>
      <c r="B2029" t="s">
        <v>616</v>
      </c>
      <c r="C2029" t="s">
        <v>5079</v>
      </c>
      <c r="D2029">
        <v>3.6999999999999998E-2</v>
      </c>
      <c r="F2029" t="s">
        <v>1534</v>
      </c>
      <c r="H2029" t="s">
        <v>5996</v>
      </c>
      <c r="I2029" t="s">
        <v>4876</v>
      </c>
      <c r="K2029" t="s">
        <v>6025</v>
      </c>
      <c r="L2029" t="s">
        <v>6026</v>
      </c>
    </row>
    <row r="2030" spans="1:12" x14ac:dyDescent="0.35">
      <c r="A2030" t="s">
        <v>118</v>
      </c>
      <c r="B2030" t="s">
        <v>616</v>
      </c>
      <c r="C2030" t="s">
        <v>5080</v>
      </c>
      <c r="D2030">
        <v>4.3999999999999997E-2</v>
      </c>
      <c r="F2030" t="s">
        <v>1429</v>
      </c>
      <c r="H2030" t="s">
        <v>5997</v>
      </c>
      <c r="I2030" t="s">
        <v>4876</v>
      </c>
      <c r="K2030" t="s">
        <v>6025</v>
      </c>
      <c r="L2030" t="s">
        <v>6026</v>
      </c>
    </row>
    <row r="2031" spans="1:12" x14ac:dyDescent="0.35">
      <c r="A2031" t="s">
        <v>118</v>
      </c>
      <c r="B2031" t="s">
        <v>616</v>
      </c>
      <c r="C2031" t="s">
        <v>793</v>
      </c>
      <c r="D2031">
        <v>16.600000000000001</v>
      </c>
      <c r="F2031" t="s">
        <v>1721</v>
      </c>
      <c r="H2031" t="s">
        <v>4748</v>
      </c>
      <c r="I2031" t="s">
        <v>2334</v>
      </c>
      <c r="K2031" t="s">
        <v>6025</v>
      </c>
      <c r="L2031" t="s">
        <v>6026</v>
      </c>
    </row>
    <row r="2032" spans="1:12" x14ac:dyDescent="0.35">
      <c r="A2032" t="s">
        <v>118</v>
      </c>
      <c r="B2032" t="s">
        <v>462</v>
      </c>
      <c r="C2032" t="s">
        <v>167</v>
      </c>
      <c r="D2032">
        <v>0.53</v>
      </c>
      <c r="F2032" t="s">
        <v>1817</v>
      </c>
      <c r="H2032" t="s">
        <v>5998</v>
      </c>
      <c r="I2032" t="s">
        <v>5030</v>
      </c>
      <c r="K2032" t="s">
        <v>6025</v>
      </c>
      <c r="L2032" t="s">
        <v>6026</v>
      </c>
    </row>
    <row r="2033" spans="1:12" x14ac:dyDescent="0.35">
      <c r="A2033" t="s">
        <v>118</v>
      </c>
      <c r="B2033" t="s">
        <v>462</v>
      </c>
      <c r="C2033" t="s">
        <v>1188</v>
      </c>
      <c r="D2033">
        <v>0.53</v>
      </c>
      <c r="F2033" t="s">
        <v>1817</v>
      </c>
      <c r="H2033" t="s">
        <v>5999</v>
      </c>
      <c r="I2033" t="s">
        <v>5030</v>
      </c>
      <c r="K2033" t="s">
        <v>6025</v>
      </c>
      <c r="L2033" t="s">
        <v>6026</v>
      </c>
    </row>
    <row r="2034" spans="1:12" x14ac:dyDescent="0.35">
      <c r="A2034" t="s">
        <v>118</v>
      </c>
      <c r="B2034" t="s">
        <v>462</v>
      </c>
      <c r="C2034" t="s">
        <v>167</v>
      </c>
      <c r="D2034">
        <v>0.04</v>
      </c>
      <c r="F2034" t="s">
        <v>1334</v>
      </c>
      <c r="H2034" t="s">
        <v>4752</v>
      </c>
      <c r="I2034" t="s">
        <v>5030</v>
      </c>
      <c r="K2034" t="s">
        <v>6025</v>
      </c>
      <c r="L2034" t="s">
        <v>6026</v>
      </c>
    </row>
    <row r="2035" spans="1:12" x14ac:dyDescent="0.35">
      <c r="A2035" t="s">
        <v>118</v>
      </c>
      <c r="B2035" t="s">
        <v>462</v>
      </c>
      <c r="C2035" t="s">
        <v>1249</v>
      </c>
      <c r="D2035">
        <v>0.04</v>
      </c>
      <c r="F2035" t="s">
        <v>1334</v>
      </c>
      <c r="H2035" t="s">
        <v>4754</v>
      </c>
      <c r="I2035" t="s">
        <v>5030</v>
      </c>
      <c r="K2035" t="s">
        <v>6025</v>
      </c>
      <c r="L2035" t="s">
        <v>6026</v>
      </c>
    </row>
    <row r="2036" spans="1:12" x14ac:dyDescent="0.35">
      <c r="A2036" t="s">
        <v>118</v>
      </c>
      <c r="B2036" t="s">
        <v>469</v>
      </c>
      <c r="C2036" t="s">
        <v>167</v>
      </c>
      <c r="D2036">
        <v>15.48</v>
      </c>
      <c r="F2036" t="s">
        <v>5677</v>
      </c>
      <c r="H2036" t="s">
        <v>4761</v>
      </c>
      <c r="I2036" t="s">
        <v>5032</v>
      </c>
      <c r="K2036" t="s">
        <v>6025</v>
      </c>
      <c r="L2036" t="s">
        <v>6026</v>
      </c>
    </row>
    <row r="2037" spans="1:12" x14ac:dyDescent="0.35">
      <c r="A2037" t="s">
        <v>118</v>
      </c>
      <c r="B2037" t="s">
        <v>469</v>
      </c>
      <c r="C2037" t="s">
        <v>1250</v>
      </c>
      <c r="D2037">
        <v>82.17</v>
      </c>
      <c r="F2037" t="s">
        <v>5678</v>
      </c>
      <c r="H2037" t="s">
        <v>4761</v>
      </c>
      <c r="I2037" t="s">
        <v>5032</v>
      </c>
      <c r="K2037" t="s">
        <v>6025</v>
      </c>
      <c r="L2037" t="s">
        <v>6026</v>
      </c>
    </row>
    <row r="2038" spans="1:12" x14ac:dyDescent="0.35">
      <c r="A2038" t="s">
        <v>118</v>
      </c>
      <c r="B2038" t="s">
        <v>513</v>
      </c>
      <c r="C2038" t="s">
        <v>167</v>
      </c>
      <c r="D2038">
        <v>3</v>
      </c>
      <c r="F2038" t="s">
        <v>1368</v>
      </c>
      <c r="H2038" t="s">
        <v>6000</v>
      </c>
      <c r="I2038" t="s">
        <v>4960</v>
      </c>
      <c r="K2038" t="s">
        <v>6025</v>
      </c>
      <c r="L2038" t="s">
        <v>6026</v>
      </c>
    </row>
    <row r="2039" spans="1:12" x14ac:dyDescent="0.35">
      <c r="A2039" t="s">
        <v>118</v>
      </c>
      <c r="B2039" t="s">
        <v>513</v>
      </c>
      <c r="C2039" t="s">
        <v>1232</v>
      </c>
      <c r="D2039">
        <v>3</v>
      </c>
      <c r="F2039" t="s">
        <v>1368</v>
      </c>
      <c r="H2039" t="s">
        <v>4763</v>
      </c>
      <c r="I2039" t="s">
        <v>4960</v>
      </c>
      <c r="K2039" t="s">
        <v>6025</v>
      </c>
      <c r="L2039" t="s">
        <v>6026</v>
      </c>
    </row>
    <row r="2040" spans="1:12" x14ac:dyDescent="0.35">
      <c r="A2040" t="s">
        <v>118</v>
      </c>
      <c r="B2040" t="s">
        <v>513</v>
      </c>
      <c r="C2040" t="s">
        <v>167</v>
      </c>
      <c r="D2040">
        <v>4.62</v>
      </c>
      <c r="F2040" t="s">
        <v>1728</v>
      </c>
      <c r="H2040" t="s">
        <v>6001</v>
      </c>
      <c r="I2040" t="s">
        <v>4960</v>
      </c>
      <c r="K2040" t="s">
        <v>6025</v>
      </c>
      <c r="L2040" t="s">
        <v>6026</v>
      </c>
    </row>
    <row r="2041" spans="1:12" x14ac:dyDescent="0.35">
      <c r="A2041" t="s">
        <v>118</v>
      </c>
      <c r="B2041" t="s">
        <v>513</v>
      </c>
      <c r="C2041" t="s">
        <v>1188</v>
      </c>
      <c r="D2041">
        <v>4.62</v>
      </c>
      <c r="F2041" t="s">
        <v>1728</v>
      </c>
      <c r="H2041" t="s">
        <v>4762</v>
      </c>
      <c r="I2041" t="s">
        <v>4960</v>
      </c>
      <c r="K2041" t="s">
        <v>6025</v>
      </c>
      <c r="L2041" t="s">
        <v>6026</v>
      </c>
    </row>
    <row r="2042" spans="1:12" x14ac:dyDescent="0.35">
      <c r="A2042" t="s">
        <v>118</v>
      </c>
      <c r="B2042" t="s">
        <v>513</v>
      </c>
      <c r="C2042" t="s">
        <v>167</v>
      </c>
      <c r="D2042">
        <v>9.0299999999999994</v>
      </c>
      <c r="F2042" t="s">
        <v>2264</v>
      </c>
      <c r="H2042" t="s">
        <v>6002</v>
      </c>
      <c r="I2042" t="s">
        <v>4960</v>
      </c>
      <c r="K2042" t="s">
        <v>6025</v>
      </c>
      <c r="L2042" t="s">
        <v>6026</v>
      </c>
    </row>
    <row r="2043" spans="1:12" x14ac:dyDescent="0.35">
      <c r="A2043" t="s">
        <v>118</v>
      </c>
      <c r="B2043" t="s">
        <v>513</v>
      </c>
      <c r="C2043" t="s">
        <v>791</v>
      </c>
      <c r="D2043">
        <v>9.0299999999999994</v>
      </c>
      <c r="F2043" t="s">
        <v>2264</v>
      </c>
      <c r="H2043" t="s">
        <v>4763</v>
      </c>
      <c r="I2043" t="s">
        <v>4960</v>
      </c>
      <c r="K2043" t="s">
        <v>6025</v>
      </c>
      <c r="L2043" t="s">
        <v>6026</v>
      </c>
    </row>
    <row r="2044" spans="1:12" x14ac:dyDescent="0.35">
      <c r="A2044" t="s">
        <v>118</v>
      </c>
      <c r="B2044" t="s">
        <v>631</v>
      </c>
      <c r="C2044" t="s">
        <v>1251</v>
      </c>
      <c r="D2044">
        <v>180</v>
      </c>
      <c r="F2044" t="s">
        <v>2407</v>
      </c>
      <c r="H2044" t="s">
        <v>4767</v>
      </c>
      <c r="I2044" t="s">
        <v>5022</v>
      </c>
      <c r="K2044" t="s">
        <v>6025</v>
      </c>
      <c r="L2044" t="s">
        <v>6026</v>
      </c>
    </row>
    <row r="2045" spans="1:12" x14ac:dyDescent="0.35">
      <c r="A2045" t="s">
        <v>118</v>
      </c>
      <c r="B2045" t="s">
        <v>631</v>
      </c>
      <c r="C2045" t="s">
        <v>1238</v>
      </c>
      <c r="D2045">
        <v>1.26</v>
      </c>
      <c r="F2045" t="s">
        <v>2020</v>
      </c>
      <c r="H2045" t="s">
        <v>4766</v>
      </c>
      <c r="I2045" t="s">
        <v>5022</v>
      </c>
      <c r="K2045" t="s">
        <v>6025</v>
      </c>
      <c r="L2045" t="s">
        <v>6026</v>
      </c>
    </row>
    <row r="2046" spans="1:12" x14ac:dyDescent="0.35">
      <c r="A2046" t="s">
        <v>118</v>
      </c>
      <c r="B2046" t="s">
        <v>647</v>
      </c>
      <c r="C2046" t="s">
        <v>1188</v>
      </c>
      <c r="D2046">
        <v>1.1499999999999999</v>
      </c>
      <c r="F2046" t="s">
        <v>1622</v>
      </c>
      <c r="H2046" t="s">
        <v>4770</v>
      </c>
      <c r="I2046" t="s">
        <v>1893</v>
      </c>
      <c r="K2046" t="s">
        <v>6025</v>
      </c>
      <c r="L2046" t="s">
        <v>6026</v>
      </c>
    </row>
    <row r="2047" spans="1:12" x14ac:dyDescent="0.35">
      <c r="A2047" t="s">
        <v>118</v>
      </c>
      <c r="B2047" t="s">
        <v>647</v>
      </c>
      <c r="C2047" t="s">
        <v>167</v>
      </c>
      <c r="D2047">
        <v>274.39999999999998</v>
      </c>
      <c r="F2047" t="s">
        <v>5679</v>
      </c>
      <c r="H2047" t="s">
        <v>4770</v>
      </c>
      <c r="I2047" t="s">
        <v>1893</v>
      </c>
      <c r="K2047" t="s">
        <v>6025</v>
      </c>
      <c r="L2047" t="s">
        <v>6026</v>
      </c>
    </row>
    <row r="2048" spans="1:12" x14ac:dyDescent="0.35">
      <c r="A2048" t="s">
        <v>118</v>
      </c>
      <c r="B2048" t="s">
        <v>647</v>
      </c>
      <c r="C2048" t="s">
        <v>1188</v>
      </c>
      <c r="D2048">
        <v>251.2</v>
      </c>
      <c r="F2048" t="s">
        <v>5680</v>
      </c>
      <c r="H2048" t="s">
        <v>4770</v>
      </c>
      <c r="I2048" t="s">
        <v>1893</v>
      </c>
      <c r="K2048" t="s">
        <v>6025</v>
      </c>
      <c r="L2048" t="s">
        <v>6026</v>
      </c>
    </row>
    <row r="2049" spans="1:12" x14ac:dyDescent="0.35">
      <c r="A2049" t="s">
        <v>118</v>
      </c>
      <c r="B2049" t="s">
        <v>648</v>
      </c>
      <c r="C2049" t="s">
        <v>1188</v>
      </c>
      <c r="D2049">
        <v>18</v>
      </c>
      <c r="F2049" t="s">
        <v>1389</v>
      </c>
      <c r="H2049" t="s">
        <v>4773</v>
      </c>
      <c r="I2049" t="s">
        <v>5034</v>
      </c>
      <c r="K2049" t="s">
        <v>6025</v>
      </c>
      <c r="L2049" t="s">
        <v>6026</v>
      </c>
    </row>
    <row r="2050" spans="1:12" x14ac:dyDescent="0.35">
      <c r="A2050" t="s">
        <v>118</v>
      </c>
      <c r="B2050" t="s">
        <v>648</v>
      </c>
      <c r="C2050" t="s">
        <v>167</v>
      </c>
      <c r="D2050">
        <v>4.3</v>
      </c>
      <c r="F2050" t="s">
        <v>1674</v>
      </c>
      <c r="H2050" t="s">
        <v>4773</v>
      </c>
      <c r="I2050" t="s">
        <v>5034</v>
      </c>
      <c r="K2050" t="s">
        <v>6025</v>
      </c>
      <c r="L2050" t="s">
        <v>6026</v>
      </c>
    </row>
    <row r="2051" spans="1:12" x14ac:dyDescent="0.35">
      <c r="A2051" t="s">
        <v>118</v>
      </c>
      <c r="B2051" t="s">
        <v>636</v>
      </c>
      <c r="C2051" t="s">
        <v>167</v>
      </c>
      <c r="D2051">
        <v>5.0000000000000001E-3</v>
      </c>
      <c r="F2051" t="s">
        <v>1264</v>
      </c>
      <c r="H2051" t="s">
        <v>6003</v>
      </c>
      <c r="I2051" t="s">
        <v>2328</v>
      </c>
      <c r="K2051" t="s">
        <v>6025</v>
      </c>
      <c r="L2051" t="s">
        <v>6026</v>
      </c>
    </row>
    <row r="2052" spans="1:12" x14ac:dyDescent="0.35">
      <c r="A2052" t="s">
        <v>118</v>
      </c>
      <c r="B2052" t="s">
        <v>636</v>
      </c>
      <c r="C2052" t="s">
        <v>1216</v>
      </c>
      <c r="D2052">
        <v>1.23</v>
      </c>
      <c r="F2052" t="s">
        <v>1267</v>
      </c>
      <c r="H2052" t="s">
        <v>4775</v>
      </c>
      <c r="I2052" t="s">
        <v>2328</v>
      </c>
      <c r="K2052" t="s">
        <v>6025</v>
      </c>
      <c r="L2052" t="s">
        <v>6026</v>
      </c>
    </row>
    <row r="2053" spans="1:12" x14ac:dyDescent="0.35">
      <c r="A2053" t="s">
        <v>118</v>
      </c>
      <c r="B2053" t="s">
        <v>636</v>
      </c>
      <c r="C2053" t="s">
        <v>1252</v>
      </c>
      <c r="D2053">
        <v>2E-3</v>
      </c>
      <c r="F2053" t="s">
        <v>1286</v>
      </c>
      <c r="H2053" t="s">
        <v>4783</v>
      </c>
      <c r="I2053" t="s">
        <v>2328</v>
      </c>
      <c r="K2053" t="s">
        <v>6025</v>
      </c>
      <c r="L2053" t="s">
        <v>6026</v>
      </c>
    </row>
    <row r="2054" spans="1:12" x14ac:dyDescent="0.35">
      <c r="A2054" t="s">
        <v>118</v>
      </c>
      <c r="B2054" t="s">
        <v>636</v>
      </c>
      <c r="C2054" t="s">
        <v>167</v>
      </c>
      <c r="D2054">
        <v>14.1</v>
      </c>
      <c r="F2054" t="s">
        <v>2349</v>
      </c>
      <c r="H2054" t="s">
        <v>6004</v>
      </c>
      <c r="I2054" t="s">
        <v>2328</v>
      </c>
      <c r="K2054" t="s">
        <v>6025</v>
      </c>
      <c r="L2054" t="s">
        <v>6026</v>
      </c>
    </row>
    <row r="2055" spans="1:12" x14ac:dyDescent="0.35">
      <c r="A2055" t="s">
        <v>118</v>
      </c>
      <c r="B2055" t="s">
        <v>636</v>
      </c>
      <c r="C2055" t="s">
        <v>167</v>
      </c>
      <c r="D2055">
        <v>11.2</v>
      </c>
      <c r="F2055" t="s">
        <v>1880</v>
      </c>
      <c r="H2055" t="s">
        <v>4790</v>
      </c>
      <c r="I2055" t="s">
        <v>2328</v>
      </c>
      <c r="K2055" t="s">
        <v>6025</v>
      </c>
      <c r="L2055" t="s">
        <v>6026</v>
      </c>
    </row>
    <row r="2056" spans="1:12" x14ac:dyDescent="0.35">
      <c r="A2056" t="s">
        <v>118</v>
      </c>
      <c r="B2056" t="s">
        <v>636</v>
      </c>
      <c r="C2056" t="s">
        <v>1238</v>
      </c>
      <c r="D2056">
        <v>11.9</v>
      </c>
      <c r="F2056" t="s">
        <v>2218</v>
      </c>
      <c r="H2056" t="s">
        <v>4786</v>
      </c>
      <c r="I2056" t="s">
        <v>2328</v>
      </c>
      <c r="K2056" t="s">
        <v>6025</v>
      </c>
      <c r="L2056" t="s">
        <v>6026</v>
      </c>
    </row>
    <row r="2057" spans="1:12" x14ac:dyDescent="0.35">
      <c r="A2057" t="s">
        <v>118</v>
      </c>
      <c r="B2057" t="s">
        <v>636</v>
      </c>
      <c r="C2057" t="s">
        <v>167</v>
      </c>
      <c r="D2057">
        <v>20.8</v>
      </c>
      <c r="F2057" t="s">
        <v>5421</v>
      </c>
      <c r="H2057" t="s">
        <v>6005</v>
      </c>
      <c r="I2057" t="s">
        <v>2328</v>
      </c>
      <c r="K2057" t="s">
        <v>6025</v>
      </c>
      <c r="L2057" t="s">
        <v>6026</v>
      </c>
    </row>
    <row r="2058" spans="1:12" x14ac:dyDescent="0.35">
      <c r="A2058" t="s">
        <v>118</v>
      </c>
      <c r="B2058" t="s">
        <v>636</v>
      </c>
      <c r="C2058" t="s">
        <v>167</v>
      </c>
      <c r="D2058">
        <v>129</v>
      </c>
      <c r="F2058" t="s">
        <v>4882</v>
      </c>
      <c r="H2058" t="s">
        <v>4780</v>
      </c>
      <c r="I2058" t="s">
        <v>2328</v>
      </c>
      <c r="K2058" t="s">
        <v>6025</v>
      </c>
      <c r="L2058" t="s">
        <v>6026</v>
      </c>
    </row>
    <row r="2059" spans="1:12" x14ac:dyDescent="0.35">
      <c r="A2059" t="s">
        <v>118</v>
      </c>
      <c r="B2059" t="s">
        <v>636</v>
      </c>
      <c r="C2059" t="s">
        <v>167</v>
      </c>
      <c r="D2059">
        <v>22.7</v>
      </c>
      <c r="F2059" t="s">
        <v>5277</v>
      </c>
      <c r="H2059" t="s">
        <v>4781</v>
      </c>
      <c r="I2059" t="s">
        <v>2328</v>
      </c>
      <c r="K2059" t="s">
        <v>6025</v>
      </c>
      <c r="L2059" t="s">
        <v>6026</v>
      </c>
    </row>
    <row r="2060" spans="1:12" x14ac:dyDescent="0.35">
      <c r="A2060" t="s">
        <v>118</v>
      </c>
      <c r="B2060" t="s">
        <v>636</v>
      </c>
      <c r="C2060" t="s">
        <v>167</v>
      </c>
      <c r="D2060">
        <v>16.600000000000001</v>
      </c>
      <c r="F2060" t="s">
        <v>1721</v>
      </c>
      <c r="H2060" t="s">
        <v>4784</v>
      </c>
      <c r="I2060" t="s">
        <v>2328</v>
      </c>
      <c r="K2060" t="s">
        <v>6025</v>
      </c>
      <c r="L2060" t="s">
        <v>6026</v>
      </c>
    </row>
    <row r="2061" spans="1:12" x14ac:dyDescent="0.35">
      <c r="A2061" t="s">
        <v>118</v>
      </c>
      <c r="B2061" t="s">
        <v>636</v>
      </c>
      <c r="C2061" t="s">
        <v>167</v>
      </c>
      <c r="D2061">
        <v>57.2</v>
      </c>
      <c r="F2061" t="s">
        <v>5681</v>
      </c>
      <c r="H2061" t="s">
        <v>4787</v>
      </c>
      <c r="I2061" t="s">
        <v>2328</v>
      </c>
      <c r="K2061" t="s">
        <v>6025</v>
      </c>
      <c r="L2061" t="s">
        <v>6026</v>
      </c>
    </row>
    <row r="2062" spans="1:12" x14ac:dyDescent="0.35">
      <c r="A2062" t="s">
        <v>118</v>
      </c>
      <c r="B2062" t="s">
        <v>636</v>
      </c>
      <c r="C2062" t="s">
        <v>1216</v>
      </c>
      <c r="D2062">
        <v>2.2400000000000002</v>
      </c>
      <c r="F2062" t="s">
        <v>2496</v>
      </c>
      <c r="H2062" t="s">
        <v>4778</v>
      </c>
      <c r="I2062" t="s">
        <v>2328</v>
      </c>
      <c r="K2062" t="s">
        <v>6025</v>
      </c>
      <c r="L2062" t="s">
        <v>6026</v>
      </c>
    </row>
    <row r="2063" spans="1:12" x14ac:dyDescent="0.35">
      <c r="A2063" t="s">
        <v>118</v>
      </c>
      <c r="B2063" t="s">
        <v>636</v>
      </c>
      <c r="C2063" t="s">
        <v>167</v>
      </c>
      <c r="D2063">
        <v>8.69</v>
      </c>
      <c r="F2063" t="s">
        <v>5682</v>
      </c>
      <c r="H2063" t="s">
        <v>4788</v>
      </c>
      <c r="I2063" t="s">
        <v>2328</v>
      </c>
      <c r="K2063" t="s">
        <v>6025</v>
      </c>
      <c r="L2063" t="s">
        <v>6026</v>
      </c>
    </row>
    <row r="2064" spans="1:12" x14ac:dyDescent="0.35">
      <c r="A2064" t="s">
        <v>118</v>
      </c>
      <c r="B2064" t="s">
        <v>649</v>
      </c>
      <c r="C2064" t="s">
        <v>167</v>
      </c>
      <c r="D2064">
        <v>39.799999999999997</v>
      </c>
      <c r="F2064" t="s">
        <v>2276</v>
      </c>
      <c r="H2064" t="s">
        <v>4795</v>
      </c>
      <c r="I2064" t="s">
        <v>4943</v>
      </c>
      <c r="K2064" t="s">
        <v>6025</v>
      </c>
      <c r="L2064" t="s">
        <v>6026</v>
      </c>
    </row>
    <row r="2065" spans="1:12" x14ac:dyDescent="0.35">
      <c r="A2065" t="s">
        <v>118</v>
      </c>
      <c r="B2065" t="s">
        <v>649</v>
      </c>
      <c r="C2065" t="s">
        <v>1188</v>
      </c>
      <c r="D2065">
        <v>39.799999999999997</v>
      </c>
      <c r="F2065" t="s">
        <v>2276</v>
      </c>
      <c r="H2065" t="s">
        <v>4797</v>
      </c>
      <c r="I2065" t="s">
        <v>4943</v>
      </c>
      <c r="K2065" t="s">
        <v>6025</v>
      </c>
      <c r="L2065" t="s">
        <v>6026</v>
      </c>
    </row>
    <row r="2066" spans="1:12" x14ac:dyDescent="0.35">
      <c r="A2066" t="s">
        <v>118</v>
      </c>
      <c r="B2066" t="s">
        <v>649</v>
      </c>
      <c r="C2066" t="s">
        <v>167</v>
      </c>
      <c r="D2066">
        <v>552</v>
      </c>
      <c r="F2066" t="s">
        <v>5683</v>
      </c>
      <c r="H2066" t="s">
        <v>6006</v>
      </c>
      <c r="I2066" t="s">
        <v>4943</v>
      </c>
      <c r="K2066" t="s">
        <v>6025</v>
      </c>
      <c r="L2066" t="s">
        <v>6026</v>
      </c>
    </row>
    <row r="2067" spans="1:12" x14ac:dyDescent="0.35">
      <c r="A2067" t="s">
        <v>118</v>
      </c>
      <c r="B2067" t="s">
        <v>649</v>
      </c>
      <c r="C2067" t="s">
        <v>1188</v>
      </c>
      <c r="D2067">
        <v>552</v>
      </c>
      <c r="F2067" t="s">
        <v>5683</v>
      </c>
      <c r="H2067" t="s">
        <v>4796</v>
      </c>
      <c r="I2067" t="s">
        <v>4943</v>
      </c>
      <c r="K2067" t="s">
        <v>6025</v>
      </c>
      <c r="L2067" t="s">
        <v>6026</v>
      </c>
    </row>
    <row r="2068" spans="1:12" x14ac:dyDescent="0.35">
      <c r="A2068" t="s">
        <v>118</v>
      </c>
      <c r="B2068" t="s">
        <v>480</v>
      </c>
      <c r="C2068" t="s">
        <v>167</v>
      </c>
      <c r="D2068">
        <v>0.28000000000000003</v>
      </c>
      <c r="F2068" t="s">
        <v>1732</v>
      </c>
      <c r="H2068" t="s">
        <v>6007</v>
      </c>
      <c r="I2068" t="s">
        <v>1359</v>
      </c>
      <c r="K2068" t="s">
        <v>6025</v>
      </c>
      <c r="L2068" t="s">
        <v>6026</v>
      </c>
    </row>
    <row r="2069" spans="1:12" x14ac:dyDescent="0.35">
      <c r="A2069" t="s">
        <v>118</v>
      </c>
      <c r="B2069" t="s">
        <v>480</v>
      </c>
      <c r="C2069" t="s">
        <v>167</v>
      </c>
      <c r="D2069">
        <v>53</v>
      </c>
      <c r="F2069" t="s">
        <v>2254</v>
      </c>
      <c r="H2069" t="s">
        <v>6008</v>
      </c>
      <c r="I2069" t="s">
        <v>1359</v>
      </c>
      <c r="K2069" t="s">
        <v>6025</v>
      </c>
      <c r="L2069" t="s">
        <v>6026</v>
      </c>
    </row>
    <row r="2070" spans="1:12" x14ac:dyDescent="0.35">
      <c r="A2070" t="s">
        <v>118</v>
      </c>
      <c r="B2070" t="s">
        <v>480</v>
      </c>
      <c r="C2070" t="s">
        <v>167</v>
      </c>
      <c r="D2070">
        <v>144</v>
      </c>
      <c r="F2070" t="s">
        <v>4908</v>
      </c>
      <c r="H2070" t="s">
        <v>6009</v>
      </c>
      <c r="I2070" t="s">
        <v>1359</v>
      </c>
      <c r="K2070" t="s">
        <v>6025</v>
      </c>
      <c r="L2070" t="s">
        <v>6026</v>
      </c>
    </row>
    <row r="2071" spans="1:12" x14ac:dyDescent="0.35">
      <c r="A2071" t="s">
        <v>118</v>
      </c>
      <c r="B2071" t="s">
        <v>652</v>
      </c>
      <c r="C2071" t="s">
        <v>1253</v>
      </c>
      <c r="D2071">
        <v>3.13</v>
      </c>
      <c r="F2071" t="s">
        <v>1736</v>
      </c>
      <c r="H2071" t="s">
        <v>4805</v>
      </c>
      <c r="I2071" t="s">
        <v>4959</v>
      </c>
      <c r="K2071" t="s">
        <v>6025</v>
      </c>
      <c r="L2071" t="s">
        <v>6026</v>
      </c>
    </row>
    <row r="2072" spans="1:12" x14ac:dyDescent="0.35">
      <c r="A2072" t="s">
        <v>118</v>
      </c>
      <c r="B2072" t="s">
        <v>652</v>
      </c>
      <c r="C2072" t="s">
        <v>1254</v>
      </c>
      <c r="D2072">
        <v>0.5</v>
      </c>
      <c r="F2072" t="s">
        <v>1440</v>
      </c>
      <c r="H2072" t="s">
        <v>6010</v>
      </c>
      <c r="I2072" t="s">
        <v>4959</v>
      </c>
      <c r="K2072" t="s">
        <v>6025</v>
      </c>
      <c r="L2072" t="s">
        <v>6026</v>
      </c>
    </row>
    <row r="2073" spans="1:12" x14ac:dyDescent="0.35">
      <c r="A2073" t="s">
        <v>118</v>
      </c>
      <c r="B2073" t="s">
        <v>652</v>
      </c>
      <c r="C2073" t="s">
        <v>1254</v>
      </c>
      <c r="D2073">
        <v>0.55000000000000004</v>
      </c>
      <c r="F2073" t="s">
        <v>1432</v>
      </c>
      <c r="H2073" t="s">
        <v>4805</v>
      </c>
      <c r="I2073" t="s">
        <v>4959</v>
      </c>
      <c r="K2073" t="s">
        <v>6025</v>
      </c>
      <c r="L2073" t="s">
        <v>6026</v>
      </c>
    </row>
    <row r="2074" spans="1:12" x14ac:dyDescent="0.35">
      <c r="A2074" t="s">
        <v>118</v>
      </c>
      <c r="B2074" t="s">
        <v>652</v>
      </c>
      <c r="C2074" t="s">
        <v>1254</v>
      </c>
      <c r="D2074">
        <v>1.1000000000000001</v>
      </c>
      <c r="F2074" t="s">
        <v>1505</v>
      </c>
      <c r="H2074" t="s">
        <v>6011</v>
      </c>
      <c r="I2074" t="s">
        <v>4959</v>
      </c>
      <c r="K2074" t="s">
        <v>6025</v>
      </c>
      <c r="L2074" t="s">
        <v>6026</v>
      </c>
    </row>
    <row r="2075" spans="1:12" x14ac:dyDescent="0.35">
      <c r="A2075" t="s">
        <v>118</v>
      </c>
      <c r="B2075" t="s">
        <v>652</v>
      </c>
      <c r="C2075" t="s">
        <v>1254</v>
      </c>
      <c r="D2075">
        <v>0.8</v>
      </c>
      <c r="F2075" t="s">
        <v>1319</v>
      </c>
      <c r="H2075" t="s">
        <v>6012</v>
      </c>
      <c r="I2075" t="s">
        <v>4959</v>
      </c>
      <c r="K2075" t="s">
        <v>6025</v>
      </c>
      <c r="L2075" t="s">
        <v>6026</v>
      </c>
    </row>
    <row r="2076" spans="1:12" x14ac:dyDescent="0.35">
      <c r="A2076" t="s">
        <v>118</v>
      </c>
      <c r="B2076" t="s">
        <v>652</v>
      </c>
      <c r="C2076" t="s">
        <v>1254</v>
      </c>
      <c r="D2076">
        <v>0.62</v>
      </c>
      <c r="F2076" t="s">
        <v>1635</v>
      </c>
      <c r="H2076" t="s">
        <v>4806</v>
      </c>
      <c r="I2076" t="s">
        <v>4959</v>
      </c>
      <c r="K2076" t="s">
        <v>6025</v>
      </c>
      <c r="L2076" t="s">
        <v>6026</v>
      </c>
    </row>
    <row r="2077" spans="1:12" x14ac:dyDescent="0.35">
      <c r="A2077" t="s">
        <v>118</v>
      </c>
      <c r="B2077" t="s">
        <v>652</v>
      </c>
      <c r="C2077" t="s">
        <v>1253</v>
      </c>
      <c r="D2077">
        <v>2.4</v>
      </c>
      <c r="F2077" t="s">
        <v>1433</v>
      </c>
      <c r="H2077" t="s">
        <v>6013</v>
      </c>
      <c r="I2077" t="s">
        <v>4959</v>
      </c>
      <c r="K2077" t="s">
        <v>6025</v>
      </c>
      <c r="L2077" t="s">
        <v>6026</v>
      </c>
    </row>
    <row r="2078" spans="1:12" x14ac:dyDescent="0.35">
      <c r="A2078" t="s">
        <v>118</v>
      </c>
      <c r="B2078" t="s">
        <v>652</v>
      </c>
      <c r="C2078" t="s">
        <v>1253</v>
      </c>
      <c r="D2078">
        <v>1.78</v>
      </c>
      <c r="F2078" t="s">
        <v>2483</v>
      </c>
      <c r="H2078" t="s">
        <v>4808</v>
      </c>
      <c r="I2078" t="s">
        <v>4959</v>
      </c>
      <c r="K2078" t="s">
        <v>6025</v>
      </c>
      <c r="L2078" t="s">
        <v>6026</v>
      </c>
    </row>
    <row r="2079" spans="1:12" x14ac:dyDescent="0.35">
      <c r="A2079" t="s">
        <v>118</v>
      </c>
      <c r="B2079" t="s">
        <v>652</v>
      </c>
      <c r="C2079" t="s">
        <v>1253</v>
      </c>
      <c r="D2079">
        <v>2.2200000000000002</v>
      </c>
      <c r="F2079" t="s">
        <v>2460</v>
      </c>
      <c r="H2079" t="s">
        <v>4802</v>
      </c>
      <c r="I2079" t="s">
        <v>4959</v>
      </c>
      <c r="K2079" t="s">
        <v>6025</v>
      </c>
      <c r="L2079" t="s">
        <v>6026</v>
      </c>
    </row>
    <row r="2080" spans="1:12" x14ac:dyDescent="0.35">
      <c r="A2080" t="s">
        <v>118</v>
      </c>
      <c r="B2080" t="s">
        <v>652</v>
      </c>
      <c r="C2080" t="s">
        <v>1253</v>
      </c>
      <c r="D2080">
        <v>4.12</v>
      </c>
      <c r="F2080" t="s">
        <v>1493</v>
      </c>
      <c r="H2080" t="s">
        <v>4804</v>
      </c>
      <c r="I2080" t="s">
        <v>4959</v>
      </c>
      <c r="K2080" t="s">
        <v>6025</v>
      </c>
      <c r="L2080" t="s">
        <v>6026</v>
      </c>
    </row>
    <row r="2081" spans="1:12" x14ac:dyDescent="0.35">
      <c r="A2081" t="s">
        <v>118</v>
      </c>
      <c r="B2081" t="s">
        <v>326</v>
      </c>
      <c r="C2081" t="s">
        <v>1187</v>
      </c>
      <c r="D2081">
        <v>2.2999999999999998</v>
      </c>
      <c r="F2081" t="s">
        <v>1453</v>
      </c>
      <c r="H2081" t="s">
        <v>4286</v>
      </c>
      <c r="I2081" t="s">
        <v>2332</v>
      </c>
      <c r="K2081" t="s">
        <v>6025</v>
      </c>
      <c r="L2081" t="s">
        <v>6026</v>
      </c>
    </row>
    <row r="2082" spans="1:12" x14ac:dyDescent="0.35">
      <c r="A2082" t="s">
        <v>118</v>
      </c>
      <c r="B2082" t="s">
        <v>326</v>
      </c>
      <c r="C2082" t="s">
        <v>1255</v>
      </c>
      <c r="D2082">
        <v>0.13700000000000001</v>
      </c>
      <c r="F2082" t="s">
        <v>2344</v>
      </c>
      <c r="H2082" t="s">
        <v>4809</v>
      </c>
      <c r="I2082" t="s">
        <v>5003</v>
      </c>
      <c r="K2082" t="s">
        <v>6025</v>
      </c>
      <c r="L2082" t="s">
        <v>6026</v>
      </c>
    </row>
    <row r="2083" spans="1:12" x14ac:dyDescent="0.35">
      <c r="A2083" t="s">
        <v>118</v>
      </c>
      <c r="B2083" t="s">
        <v>326</v>
      </c>
      <c r="C2083" t="s">
        <v>1254</v>
      </c>
      <c r="D2083">
        <v>3.17</v>
      </c>
      <c r="F2083" t="s">
        <v>5457</v>
      </c>
      <c r="H2083" t="s">
        <v>4809</v>
      </c>
      <c r="I2083" t="s">
        <v>5003</v>
      </c>
      <c r="K2083" t="s">
        <v>6025</v>
      </c>
      <c r="L2083" t="s">
        <v>6026</v>
      </c>
    </row>
    <row r="2084" spans="1:12" x14ac:dyDescent="0.35">
      <c r="A2084" t="s">
        <v>118</v>
      </c>
      <c r="B2084" t="s">
        <v>326</v>
      </c>
      <c r="C2084" t="s">
        <v>1256</v>
      </c>
      <c r="D2084">
        <v>238</v>
      </c>
      <c r="F2084" t="s">
        <v>5684</v>
      </c>
      <c r="H2084" t="s">
        <v>4809</v>
      </c>
      <c r="I2084" t="s">
        <v>5003</v>
      </c>
      <c r="K2084" t="s">
        <v>6025</v>
      </c>
      <c r="L2084" t="s">
        <v>6026</v>
      </c>
    </row>
    <row r="2085" spans="1:12" x14ac:dyDescent="0.35">
      <c r="A2085" t="s">
        <v>118</v>
      </c>
      <c r="B2085" t="s">
        <v>326</v>
      </c>
      <c r="C2085" t="s">
        <v>167</v>
      </c>
      <c r="D2085">
        <v>2286</v>
      </c>
      <c r="F2085" t="s">
        <v>5685</v>
      </c>
      <c r="H2085" t="s">
        <v>4810</v>
      </c>
      <c r="I2085" t="s">
        <v>4881</v>
      </c>
      <c r="K2085" t="s">
        <v>6025</v>
      </c>
      <c r="L2085" t="s">
        <v>6026</v>
      </c>
    </row>
    <row r="2086" spans="1:12" x14ac:dyDescent="0.35">
      <c r="A2086" t="s">
        <v>118</v>
      </c>
      <c r="B2086" t="s">
        <v>326</v>
      </c>
      <c r="C2086" t="s">
        <v>1188</v>
      </c>
      <c r="D2086">
        <v>2286</v>
      </c>
      <c r="F2086" t="s">
        <v>5685</v>
      </c>
      <c r="H2086" t="s">
        <v>4811</v>
      </c>
      <c r="I2086" t="s">
        <v>4881</v>
      </c>
      <c r="K2086" t="s">
        <v>6025</v>
      </c>
      <c r="L2086" t="s">
        <v>6026</v>
      </c>
    </row>
    <row r="2087" spans="1:12" x14ac:dyDescent="0.35">
      <c r="A2087" t="s">
        <v>118</v>
      </c>
      <c r="B2087" t="s">
        <v>326</v>
      </c>
      <c r="C2087" t="s">
        <v>1187</v>
      </c>
      <c r="D2087">
        <v>3.6</v>
      </c>
      <c r="F2087" t="s">
        <v>1391</v>
      </c>
      <c r="H2087" t="s">
        <v>4286</v>
      </c>
      <c r="I2087" t="s">
        <v>2332</v>
      </c>
      <c r="K2087" t="s">
        <v>6025</v>
      </c>
      <c r="L2087" t="s">
        <v>6026</v>
      </c>
    </row>
    <row r="2088" spans="1:12" x14ac:dyDescent="0.35">
      <c r="A2088" t="s">
        <v>118</v>
      </c>
      <c r="B2088" t="s">
        <v>654</v>
      </c>
      <c r="C2088" t="s">
        <v>793</v>
      </c>
      <c r="D2088">
        <v>74.5</v>
      </c>
      <c r="F2088" t="s">
        <v>5686</v>
      </c>
      <c r="I2088" t="s">
        <v>4885</v>
      </c>
      <c r="K2088" t="s">
        <v>6025</v>
      </c>
      <c r="L2088" t="s">
        <v>6026</v>
      </c>
    </row>
    <row r="2089" spans="1:12" x14ac:dyDescent="0.35">
      <c r="A2089" t="s">
        <v>118</v>
      </c>
      <c r="B2089" t="s">
        <v>654</v>
      </c>
      <c r="C2089" t="s">
        <v>1188</v>
      </c>
      <c r="D2089">
        <v>74.5</v>
      </c>
      <c r="F2089" t="s">
        <v>5686</v>
      </c>
      <c r="I2089" t="s">
        <v>4885</v>
      </c>
      <c r="K2089" t="s">
        <v>6025</v>
      </c>
      <c r="L2089" t="s">
        <v>6026</v>
      </c>
    </row>
    <row r="2090" spans="1:12" x14ac:dyDescent="0.35">
      <c r="A2090" t="s">
        <v>118</v>
      </c>
      <c r="B2090" t="s">
        <v>620</v>
      </c>
      <c r="C2090" t="s">
        <v>1188</v>
      </c>
      <c r="D2090">
        <v>0.26</v>
      </c>
      <c r="F2090" t="s">
        <v>1447</v>
      </c>
      <c r="H2090" t="s">
        <v>4846</v>
      </c>
      <c r="I2090" t="s">
        <v>4873</v>
      </c>
      <c r="K2090" t="s">
        <v>6025</v>
      </c>
      <c r="L2090" t="s">
        <v>6026</v>
      </c>
    </row>
    <row r="2091" spans="1:12" x14ac:dyDescent="0.35">
      <c r="A2091" t="s">
        <v>118</v>
      </c>
      <c r="B2091" t="s">
        <v>620</v>
      </c>
      <c r="C2091" t="s">
        <v>1186</v>
      </c>
      <c r="D2091">
        <v>0.26</v>
      </c>
      <c r="F2091" t="s">
        <v>1447</v>
      </c>
      <c r="H2091" t="s">
        <v>4846</v>
      </c>
      <c r="I2091" t="s">
        <v>4873</v>
      </c>
      <c r="K2091" t="s">
        <v>6025</v>
      </c>
      <c r="L2091" t="s">
        <v>6026</v>
      </c>
    </row>
    <row r="2092" spans="1:12" x14ac:dyDescent="0.35">
      <c r="A2092" t="s">
        <v>118</v>
      </c>
      <c r="B2092" t="s">
        <v>620</v>
      </c>
      <c r="C2092" t="s">
        <v>1188</v>
      </c>
      <c r="D2092">
        <v>0.65</v>
      </c>
      <c r="F2092" t="s">
        <v>1819</v>
      </c>
      <c r="H2092" t="s">
        <v>4841</v>
      </c>
      <c r="I2092" t="s">
        <v>4873</v>
      </c>
      <c r="K2092" t="s">
        <v>6025</v>
      </c>
      <c r="L2092" t="s">
        <v>6026</v>
      </c>
    </row>
    <row r="2093" spans="1:12" x14ac:dyDescent="0.35">
      <c r="A2093" t="s">
        <v>118</v>
      </c>
      <c r="B2093" t="s">
        <v>620</v>
      </c>
      <c r="C2093" t="s">
        <v>1186</v>
      </c>
      <c r="D2093">
        <v>0.65</v>
      </c>
      <c r="F2093" t="s">
        <v>1819</v>
      </c>
      <c r="H2093" t="s">
        <v>4841</v>
      </c>
      <c r="I2093" t="s">
        <v>4873</v>
      </c>
      <c r="K2093" t="s">
        <v>6025</v>
      </c>
      <c r="L2093" t="s">
        <v>6026</v>
      </c>
    </row>
    <row r="2094" spans="1:12" x14ac:dyDescent="0.35">
      <c r="A2094" t="s">
        <v>118</v>
      </c>
      <c r="B2094" t="s">
        <v>620</v>
      </c>
      <c r="C2094" t="s">
        <v>1186</v>
      </c>
      <c r="D2094">
        <v>18.3</v>
      </c>
      <c r="F2094" t="s">
        <v>5581</v>
      </c>
      <c r="H2094" t="s">
        <v>4816</v>
      </c>
      <c r="I2094" t="s">
        <v>4873</v>
      </c>
      <c r="K2094" t="s">
        <v>6025</v>
      </c>
      <c r="L2094" t="s">
        <v>6026</v>
      </c>
    </row>
    <row r="2095" spans="1:12" x14ac:dyDescent="0.35">
      <c r="A2095" t="s">
        <v>118</v>
      </c>
      <c r="B2095" t="s">
        <v>620</v>
      </c>
      <c r="C2095" t="s">
        <v>1188</v>
      </c>
      <c r="D2095">
        <v>9.6999999999999993</v>
      </c>
      <c r="F2095" t="s">
        <v>2023</v>
      </c>
      <c r="H2095" t="s">
        <v>4839</v>
      </c>
      <c r="I2095" t="s">
        <v>4873</v>
      </c>
      <c r="K2095" t="s">
        <v>6025</v>
      </c>
      <c r="L2095" t="s">
        <v>6026</v>
      </c>
    </row>
    <row r="2096" spans="1:12" x14ac:dyDescent="0.35">
      <c r="A2096" t="s">
        <v>118</v>
      </c>
      <c r="B2096" t="s">
        <v>620</v>
      </c>
      <c r="C2096" t="s">
        <v>1186</v>
      </c>
      <c r="D2096">
        <v>9.6999999999999993</v>
      </c>
      <c r="F2096" t="s">
        <v>2023</v>
      </c>
      <c r="H2096" t="s">
        <v>4839</v>
      </c>
      <c r="I2096" t="s">
        <v>4873</v>
      </c>
      <c r="K2096" t="s">
        <v>6025</v>
      </c>
      <c r="L2096" t="s">
        <v>6026</v>
      </c>
    </row>
    <row r="2097" spans="1:12" x14ac:dyDescent="0.35">
      <c r="A2097" t="s">
        <v>118</v>
      </c>
      <c r="B2097" t="s">
        <v>620</v>
      </c>
      <c r="C2097" t="s">
        <v>1188</v>
      </c>
      <c r="D2097">
        <v>20.399999999999999</v>
      </c>
      <c r="F2097" t="s">
        <v>1667</v>
      </c>
      <c r="H2097" t="s">
        <v>4827</v>
      </c>
      <c r="I2097" t="s">
        <v>4873</v>
      </c>
      <c r="K2097" t="s">
        <v>6025</v>
      </c>
      <c r="L2097" t="s">
        <v>6026</v>
      </c>
    </row>
    <row r="2098" spans="1:12" x14ac:dyDescent="0.35">
      <c r="A2098" t="s">
        <v>118</v>
      </c>
      <c r="B2098" t="s">
        <v>620</v>
      </c>
      <c r="C2098" t="s">
        <v>1186</v>
      </c>
      <c r="D2098">
        <v>20.399999999999999</v>
      </c>
      <c r="F2098" t="s">
        <v>1667</v>
      </c>
      <c r="H2098" t="s">
        <v>4827</v>
      </c>
      <c r="I2098" t="s">
        <v>4873</v>
      </c>
      <c r="K2098" t="s">
        <v>6025</v>
      </c>
      <c r="L2098" t="s">
        <v>6026</v>
      </c>
    </row>
    <row r="2099" spans="1:12" x14ac:dyDescent="0.35">
      <c r="A2099" t="s">
        <v>118</v>
      </c>
      <c r="B2099" t="s">
        <v>620</v>
      </c>
      <c r="C2099" t="s">
        <v>1188</v>
      </c>
      <c r="D2099">
        <v>17.7</v>
      </c>
      <c r="F2099" t="s">
        <v>5562</v>
      </c>
      <c r="H2099" t="s">
        <v>4818</v>
      </c>
      <c r="I2099" t="s">
        <v>4873</v>
      </c>
      <c r="K2099" t="s">
        <v>6025</v>
      </c>
      <c r="L2099" t="s">
        <v>6026</v>
      </c>
    </row>
    <row r="2100" spans="1:12" x14ac:dyDescent="0.35">
      <c r="A2100" t="s">
        <v>118</v>
      </c>
      <c r="B2100" t="s">
        <v>620</v>
      </c>
      <c r="C2100" t="s">
        <v>1186</v>
      </c>
      <c r="D2100">
        <v>17.7</v>
      </c>
      <c r="F2100" t="s">
        <v>5562</v>
      </c>
      <c r="H2100" t="s">
        <v>4818</v>
      </c>
      <c r="I2100" t="s">
        <v>4873</v>
      </c>
      <c r="K2100" t="s">
        <v>6025</v>
      </c>
      <c r="L2100" t="s">
        <v>6026</v>
      </c>
    </row>
    <row r="2101" spans="1:12" x14ac:dyDescent="0.35">
      <c r="A2101" t="s">
        <v>118</v>
      </c>
      <c r="B2101" t="s">
        <v>620</v>
      </c>
      <c r="C2101" t="s">
        <v>1188</v>
      </c>
      <c r="D2101">
        <v>24.9</v>
      </c>
      <c r="F2101" t="s">
        <v>5446</v>
      </c>
      <c r="H2101" t="s">
        <v>6014</v>
      </c>
      <c r="I2101" t="s">
        <v>4898</v>
      </c>
      <c r="K2101" t="s">
        <v>6025</v>
      </c>
      <c r="L2101" t="s">
        <v>6026</v>
      </c>
    </row>
    <row r="2102" spans="1:12" x14ac:dyDescent="0.35">
      <c r="A2102" t="s">
        <v>118</v>
      </c>
      <c r="B2102" t="s">
        <v>620</v>
      </c>
      <c r="C2102" t="s">
        <v>1186</v>
      </c>
      <c r="D2102">
        <v>24.9</v>
      </c>
      <c r="F2102" t="s">
        <v>5446</v>
      </c>
      <c r="H2102" t="s">
        <v>4817</v>
      </c>
      <c r="I2102" t="s">
        <v>4898</v>
      </c>
      <c r="K2102" t="s">
        <v>6025</v>
      </c>
      <c r="L2102" t="s">
        <v>6026</v>
      </c>
    </row>
    <row r="2103" spans="1:12" x14ac:dyDescent="0.35">
      <c r="A2103" t="s">
        <v>118</v>
      </c>
      <c r="B2103" t="s">
        <v>620</v>
      </c>
      <c r="C2103" t="s">
        <v>1188</v>
      </c>
      <c r="D2103">
        <v>25.2</v>
      </c>
      <c r="F2103" t="s">
        <v>5687</v>
      </c>
      <c r="H2103" t="s">
        <v>4814</v>
      </c>
      <c r="I2103" t="s">
        <v>4898</v>
      </c>
      <c r="K2103" t="s">
        <v>6025</v>
      </c>
      <c r="L2103" t="s">
        <v>6026</v>
      </c>
    </row>
    <row r="2104" spans="1:12" x14ac:dyDescent="0.35">
      <c r="A2104" t="s">
        <v>118</v>
      </c>
      <c r="B2104" t="s">
        <v>620</v>
      </c>
      <c r="C2104" t="s">
        <v>1186</v>
      </c>
      <c r="D2104">
        <v>25.2</v>
      </c>
      <c r="F2104" t="s">
        <v>5687</v>
      </c>
      <c r="H2104" t="s">
        <v>4826</v>
      </c>
      <c r="I2104" t="s">
        <v>4898</v>
      </c>
      <c r="K2104" t="s">
        <v>6025</v>
      </c>
      <c r="L2104" t="s">
        <v>6026</v>
      </c>
    </row>
    <row r="2105" spans="1:12" x14ac:dyDescent="0.35">
      <c r="A2105" t="s">
        <v>118</v>
      </c>
      <c r="B2105" t="s">
        <v>620</v>
      </c>
      <c r="C2105" t="s">
        <v>1188</v>
      </c>
      <c r="D2105">
        <v>22.4</v>
      </c>
      <c r="F2105" t="s">
        <v>5288</v>
      </c>
      <c r="H2105" t="s">
        <v>4837</v>
      </c>
      <c r="I2105" t="s">
        <v>4873</v>
      </c>
      <c r="K2105" t="s">
        <v>6025</v>
      </c>
      <c r="L2105" t="s">
        <v>6026</v>
      </c>
    </row>
    <row r="2106" spans="1:12" x14ac:dyDescent="0.35">
      <c r="A2106" t="s">
        <v>118</v>
      </c>
      <c r="B2106" t="s">
        <v>620</v>
      </c>
      <c r="C2106" t="s">
        <v>1186</v>
      </c>
      <c r="D2106">
        <v>22.4</v>
      </c>
      <c r="F2106" t="s">
        <v>5288</v>
      </c>
      <c r="H2106" t="s">
        <v>4837</v>
      </c>
      <c r="I2106" t="s">
        <v>4873</v>
      </c>
      <c r="K2106" t="s">
        <v>6025</v>
      </c>
      <c r="L2106" t="s">
        <v>6026</v>
      </c>
    </row>
    <row r="2107" spans="1:12" x14ac:dyDescent="0.35">
      <c r="A2107" t="s">
        <v>118</v>
      </c>
      <c r="B2107" t="s">
        <v>620</v>
      </c>
      <c r="C2107" t="s">
        <v>1188</v>
      </c>
      <c r="D2107">
        <v>0.14000000000000001</v>
      </c>
      <c r="F2107" t="s">
        <v>1361</v>
      </c>
      <c r="H2107" t="s">
        <v>4829</v>
      </c>
      <c r="I2107" t="s">
        <v>4873</v>
      </c>
      <c r="K2107" t="s">
        <v>6025</v>
      </c>
      <c r="L2107" t="s">
        <v>6026</v>
      </c>
    </row>
    <row r="2108" spans="1:12" x14ac:dyDescent="0.35">
      <c r="A2108" t="s">
        <v>118</v>
      </c>
      <c r="B2108" t="s">
        <v>620</v>
      </c>
      <c r="C2108" t="s">
        <v>1186</v>
      </c>
      <c r="D2108">
        <v>0.14000000000000001</v>
      </c>
      <c r="F2108" t="s">
        <v>1361</v>
      </c>
      <c r="H2108" t="s">
        <v>4829</v>
      </c>
      <c r="I2108" t="s">
        <v>4873</v>
      </c>
      <c r="K2108" t="s">
        <v>6025</v>
      </c>
      <c r="L2108" t="s">
        <v>6026</v>
      </c>
    </row>
    <row r="2109" spans="1:12" x14ac:dyDescent="0.35">
      <c r="A2109" t="s">
        <v>118</v>
      </c>
      <c r="B2109" t="s">
        <v>620</v>
      </c>
      <c r="C2109" t="s">
        <v>1188</v>
      </c>
      <c r="D2109">
        <v>21.5</v>
      </c>
      <c r="F2109" t="s">
        <v>5688</v>
      </c>
      <c r="H2109" t="s">
        <v>4842</v>
      </c>
      <c r="I2109" t="s">
        <v>4873</v>
      </c>
      <c r="K2109" t="s">
        <v>6025</v>
      </c>
      <c r="L2109" t="s">
        <v>6026</v>
      </c>
    </row>
    <row r="2110" spans="1:12" x14ac:dyDescent="0.35">
      <c r="A2110" t="s">
        <v>118</v>
      </c>
      <c r="B2110" t="s">
        <v>620</v>
      </c>
      <c r="C2110" t="s">
        <v>1186</v>
      </c>
      <c r="D2110">
        <v>21.5</v>
      </c>
      <c r="F2110" t="s">
        <v>5688</v>
      </c>
      <c r="H2110" t="s">
        <v>4842</v>
      </c>
      <c r="I2110" t="s">
        <v>4873</v>
      </c>
      <c r="K2110" t="s">
        <v>6025</v>
      </c>
      <c r="L2110" t="s">
        <v>6026</v>
      </c>
    </row>
    <row r="2111" spans="1:12" x14ac:dyDescent="0.35">
      <c r="A2111" t="s">
        <v>118</v>
      </c>
      <c r="B2111" t="s">
        <v>620</v>
      </c>
      <c r="C2111" t="s">
        <v>1186</v>
      </c>
      <c r="D2111">
        <v>26.5</v>
      </c>
      <c r="F2111" t="s">
        <v>5689</v>
      </c>
      <c r="H2111" t="s">
        <v>4835</v>
      </c>
      <c r="I2111" t="s">
        <v>4873</v>
      </c>
      <c r="K2111" t="s">
        <v>6025</v>
      </c>
      <c r="L2111" t="s">
        <v>6026</v>
      </c>
    </row>
    <row r="2112" spans="1:12" x14ac:dyDescent="0.35">
      <c r="A2112" t="s">
        <v>118</v>
      </c>
      <c r="B2112" t="s">
        <v>620</v>
      </c>
      <c r="C2112" t="s">
        <v>793</v>
      </c>
      <c r="D2112">
        <v>18.600000000000001</v>
      </c>
      <c r="F2112" t="s">
        <v>1856</v>
      </c>
      <c r="H2112" t="s">
        <v>4828</v>
      </c>
      <c r="I2112" t="s">
        <v>1571</v>
      </c>
      <c r="K2112" t="s">
        <v>6025</v>
      </c>
      <c r="L2112" t="s">
        <v>6026</v>
      </c>
    </row>
    <row r="2113" spans="1:12" x14ac:dyDescent="0.35">
      <c r="A2113" t="s">
        <v>118</v>
      </c>
      <c r="B2113" t="s">
        <v>620</v>
      </c>
      <c r="C2113" t="s">
        <v>1188</v>
      </c>
      <c r="D2113">
        <v>18.600000000000001</v>
      </c>
      <c r="F2113" t="s">
        <v>1856</v>
      </c>
      <c r="H2113" t="s">
        <v>4828</v>
      </c>
      <c r="I2113" t="s">
        <v>1571</v>
      </c>
      <c r="K2113" t="s">
        <v>6025</v>
      </c>
      <c r="L2113" t="s">
        <v>6026</v>
      </c>
    </row>
    <row r="2114" spans="1:12" x14ac:dyDescent="0.35">
      <c r="A2114" t="s">
        <v>118</v>
      </c>
      <c r="B2114" t="s">
        <v>620</v>
      </c>
      <c r="C2114" t="s">
        <v>1188</v>
      </c>
      <c r="D2114">
        <v>26.3</v>
      </c>
      <c r="F2114" t="s">
        <v>1807</v>
      </c>
      <c r="H2114" t="s">
        <v>4843</v>
      </c>
      <c r="I2114" t="s">
        <v>4873</v>
      </c>
      <c r="K2114" t="s">
        <v>6025</v>
      </c>
      <c r="L2114" t="s">
        <v>6026</v>
      </c>
    </row>
    <row r="2115" spans="1:12" x14ac:dyDescent="0.35">
      <c r="A2115" t="s">
        <v>118</v>
      </c>
      <c r="B2115" t="s">
        <v>620</v>
      </c>
      <c r="C2115" t="s">
        <v>1186</v>
      </c>
      <c r="D2115">
        <v>26.3</v>
      </c>
      <c r="F2115" t="s">
        <v>1807</v>
      </c>
      <c r="H2115" t="s">
        <v>4843</v>
      </c>
      <c r="I2115" t="s">
        <v>4873</v>
      </c>
      <c r="K2115" t="s">
        <v>6025</v>
      </c>
      <c r="L2115" t="s">
        <v>6026</v>
      </c>
    </row>
    <row r="2116" spans="1:12" x14ac:dyDescent="0.35">
      <c r="A2116" t="s">
        <v>118</v>
      </c>
      <c r="B2116" t="s">
        <v>620</v>
      </c>
      <c r="C2116" t="s">
        <v>1188</v>
      </c>
      <c r="D2116">
        <v>29.5</v>
      </c>
      <c r="F2116" t="s">
        <v>5486</v>
      </c>
      <c r="H2116" t="s">
        <v>4821</v>
      </c>
      <c r="I2116" t="s">
        <v>4898</v>
      </c>
      <c r="K2116" t="s">
        <v>6025</v>
      </c>
      <c r="L2116" t="s">
        <v>6026</v>
      </c>
    </row>
    <row r="2117" spans="1:12" x14ac:dyDescent="0.35">
      <c r="A2117" t="s">
        <v>118</v>
      </c>
      <c r="B2117" t="s">
        <v>620</v>
      </c>
      <c r="C2117" t="s">
        <v>1186</v>
      </c>
      <c r="D2117">
        <v>29.5</v>
      </c>
      <c r="F2117" t="s">
        <v>5486</v>
      </c>
      <c r="H2117" t="s">
        <v>4819</v>
      </c>
      <c r="I2117" t="s">
        <v>4898</v>
      </c>
      <c r="K2117" t="s">
        <v>6025</v>
      </c>
      <c r="L2117" t="s">
        <v>6026</v>
      </c>
    </row>
    <row r="2118" spans="1:12" x14ac:dyDescent="0.35">
      <c r="A2118" t="s">
        <v>118</v>
      </c>
      <c r="B2118" t="s">
        <v>620</v>
      </c>
      <c r="C2118" t="s">
        <v>1188</v>
      </c>
      <c r="D2118">
        <v>26.1</v>
      </c>
      <c r="F2118" t="s">
        <v>2621</v>
      </c>
      <c r="H2118" t="s">
        <v>4820</v>
      </c>
      <c r="I2118" t="s">
        <v>4873</v>
      </c>
      <c r="K2118" t="s">
        <v>6025</v>
      </c>
      <c r="L2118" t="s">
        <v>6026</v>
      </c>
    </row>
    <row r="2119" spans="1:12" x14ac:dyDescent="0.35">
      <c r="A2119" t="s">
        <v>118</v>
      </c>
      <c r="B2119" t="s">
        <v>620</v>
      </c>
      <c r="C2119" t="s">
        <v>1186</v>
      </c>
      <c r="D2119">
        <v>26.1</v>
      </c>
      <c r="F2119" t="s">
        <v>2621</v>
      </c>
      <c r="H2119" t="s">
        <v>4820</v>
      </c>
      <c r="I2119" t="s">
        <v>4873</v>
      </c>
      <c r="K2119" t="s">
        <v>6025</v>
      </c>
      <c r="L2119" t="s">
        <v>6026</v>
      </c>
    </row>
    <row r="2120" spans="1:12" x14ac:dyDescent="0.35">
      <c r="A2120" t="s">
        <v>118</v>
      </c>
      <c r="B2120" t="s">
        <v>620</v>
      </c>
      <c r="C2120" t="s">
        <v>1188</v>
      </c>
      <c r="D2120">
        <v>31.7</v>
      </c>
      <c r="F2120" t="s">
        <v>2354</v>
      </c>
      <c r="H2120" t="s">
        <v>6015</v>
      </c>
      <c r="I2120" t="s">
        <v>4898</v>
      </c>
      <c r="K2120" t="s">
        <v>6025</v>
      </c>
      <c r="L2120" t="s">
        <v>6026</v>
      </c>
    </row>
    <row r="2121" spans="1:12" x14ac:dyDescent="0.35">
      <c r="A2121" t="s">
        <v>118</v>
      </c>
      <c r="B2121" t="s">
        <v>620</v>
      </c>
      <c r="C2121" t="s">
        <v>1186</v>
      </c>
      <c r="D2121">
        <v>31.7</v>
      </c>
      <c r="F2121" t="s">
        <v>2354</v>
      </c>
      <c r="H2121" t="s">
        <v>4830</v>
      </c>
      <c r="I2121" t="s">
        <v>4898</v>
      </c>
      <c r="K2121" t="s">
        <v>6025</v>
      </c>
      <c r="L2121" t="s">
        <v>6026</v>
      </c>
    </row>
    <row r="2122" spans="1:12" x14ac:dyDescent="0.35">
      <c r="A2122" t="s">
        <v>118</v>
      </c>
      <c r="B2122" t="s">
        <v>620</v>
      </c>
      <c r="C2122" t="s">
        <v>1188</v>
      </c>
      <c r="D2122">
        <v>27.8</v>
      </c>
      <c r="F2122" t="s">
        <v>5690</v>
      </c>
      <c r="H2122" t="s">
        <v>4822</v>
      </c>
      <c r="I2122" t="s">
        <v>4898</v>
      </c>
      <c r="K2122" t="s">
        <v>6025</v>
      </c>
      <c r="L2122" t="s">
        <v>6026</v>
      </c>
    </row>
    <row r="2123" spans="1:12" x14ac:dyDescent="0.35">
      <c r="A2123" t="s">
        <v>118</v>
      </c>
      <c r="B2123" t="s">
        <v>620</v>
      </c>
      <c r="C2123" t="s">
        <v>1186</v>
      </c>
      <c r="D2123">
        <v>27.8</v>
      </c>
      <c r="F2123" t="s">
        <v>5690</v>
      </c>
      <c r="H2123" t="s">
        <v>4815</v>
      </c>
      <c r="I2123" t="s">
        <v>4898</v>
      </c>
      <c r="K2123" t="s">
        <v>6025</v>
      </c>
      <c r="L2123" t="s">
        <v>6026</v>
      </c>
    </row>
    <row r="2124" spans="1:12" x14ac:dyDescent="0.35">
      <c r="A2124" t="s">
        <v>118</v>
      </c>
      <c r="B2124" t="s">
        <v>620</v>
      </c>
      <c r="C2124" t="s">
        <v>1188</v>
      </c>
      <c r="D2124">
        <v>29.1</v>
      </c>
      <c r="F2124" t="s">
        <v>5691</v>
      </c>
      <c r="H2124" t="s">
        <v>6016</v>
      </c>
      <c r="I2124" t="s">
        <v>4898</v>
      </c>
      <c r="K2124" t="s">
        <v>6025</v>
      </c>
      <c r="L2124" t="s">
        <v>6026</v>
      </c>
    </row>
    <row r="2125" spans="1:12" x14ac:dyDescent="0.35">
      <c r="A2125" t="s">
        <v>118</v>
      </c>
      <c r="B2125" t="s">
        <v>620</v>
      </c>
      <c r="C2125" t="s">
        <v>1186</v>
      </c>
      <c r="D2125">
        <v>29.1</v>
      </c>
      <c r="F2125" t="s">
        <v>5691</v>
      </c>
      <c r="H2125" t="s">
        <v>4824</v>
      </c>
      <c r="I2125" t="s">
        <v>4898</v>
      </c>
      <c r="K2125" t="s">
        <v>6025</v>
      </c>
      <c r="L2125" t="s">
        <v>6026</v>
      </c>
    </row>
    <row r="2126" spans="1:12" x14ac:dyDescent="0.35">
      <c r="A2126" t="s">
        <v>118</v>
      </c>
      <c r="B2126" t="s">
        <v>620</v>
      </c>
      <c r="C2126" t="s">
        <v>1188</v>
      </c>
      <c r="D2126">
        <v>46.8</v>
      </c>
      <c r="F2126" t="s">
        <v>5692</v>
      </c>
      <c r="H2126" t="s">
        <v>4834</v>
      </c>
      <c r="I2126" t="s">
        <v>4898</v>
      </c>
      <c r="K2126" t="s">
        <v>6025</v>
      </c>
      <c r="L2126" t="s">
        <v>6026</v>
      </c>
    </row>
    <row r="2127" spans="1:12" x14ac:dyDescent="0.35">
      <c r="A2127" t="s">
        <v>118</v>
      </c>
      <c r="B2127" t="s">
        <v>620</v>
      </c>
      <c r="C2127" t="s">
        <v>1186</v>
      </c>
      <c r="D2127">
        <v>46.8</v>
      </c>
      <c r="F2127" t="s">
        <v>5692</v>
      </c>
      <c r="H2127" t="s">
        <v>4840</v>
      </c>
      <c r="I2127" t="s">
        <v>4898</v>
      </c>
      <c r="K2127" t="s">
        <v>6025</v>
      </c>
      <c r="L2127" t="s">
        <v>6026</v>
      </c>
    </row>
    <row r="2128" spans="1:12" x14ac:dyDescent="0.35">
      <c r="A2128" t="s">
        <v>118</v>
      </c>
      <c r="B2128" t="s">
        <v>620</v>
      </c>
      <c r="C2128" t="s">
        <v>1188</v>
      </c>
      <c r="D2128">
        <v>21.6</v>
      </c>
      <c r="F2128" t="s">
        <v>5193</v>
      </c>
      <c r="H2128" t="s">
        <v>6017</v>
      </c>
      <c r="I2128" t="s">
        <v>4898</v>
      </c>
      <c r="K2128" t="s">
        <v>6025</v>
      </c>
      <c r="L2128" t="s">
        <v>6026</v>
      </c>
    </row>
    <row r="2129" spans="1:12" x14ac:dyDescent="0.35">
      <c r="A2129" t="s">
        <v>118</v>
      </c>
      <c r="B2129" t="s">
        <v>620</v>
      </c>
      <c r="C2129" t="s">
        <v>1186</v>
      </c>
      <c r="D2129">
        <v>21.6</v>
      </c>
      <c r="F2129" t="s">
        <v>5193</v>
      </c>
      <c r="H2129" t="s">
        <v>4832</v>
      </c>
      <c r="I2129" t="s">
        <v>4898</v>
      </c>
      <c r="K2129" t="s">
        <v>6025</v>
      </c>
      <c r="L2129" t="s">
        <v>6026</v>
      </c>
    </row>
    <row r="2130" spans="1:12" x14ac:dyDescent="0.35">
      <c r="A2130" t="s">
        <v>118</v>
      </c>
      <c r="B2130" t="s">
        <v>620</v>
      </c>
      <c r="C2130" t="s">
        <v>1186</v>
      </c>
      <c r="D2130">
        <v>22.2</v>
      </c>
      <c r="F2130" t="s">
        <v>1873</v>
      </c>
      <c r="H2130" t="s">
        <v>4836</v>
      </c>
      <c r="I2130" t="s">
        <v>4873</v>
      </c>
      <c r="K2130" t="s">
        <v>6025</v>
      </c>
      <c r="L2130" t="s">
        <v>6026</v>
      </c>
    </row>
    <row r="2131" spans="1:12" x14ac:dyDescent="0.35">
      <c r="A2131" t="s">
        <v>118</v>
      </c>
      <c r="B2131" t="s">
        <v>620</v>
      </c>
      <c r="C2131" t="s">
        <v>793</v>
      </c>
      <c r="D2131">
        <v>31.9</v>
      </c>
      <c r="F2131" t="s">
        <v>5693</v>
      </c>
      <c r="H2131" t="s">
        <v>4844</v>
      </c>
      <c r="I2131" t="s">
        <v>1571</v>
      </c>
      <c r="K2131" t="s">
        <v>6025</v>
      </c>
      <c r="L2131" t="s">
        <v>6026</v>
      </c>
    </row>
    <row r="2132" spans="1:12" x14ac:dyDescent="0.35">
      <c r="A2132" t="s">
        <v>118</v>
      </c>
      <c r="B2132" t="s">
        <v>620</v>
      </c>
      <c r="C2132" t="s">
        <v>1188</v>
      </c>
      <c r="D2132">
        <v>31.9</v>
      </c>
      <c r="F2132" t="s">
        <v>5693</v>
      </c>
      <c r="H2132" t="s">
        <v>6018</v>
      </c>
      <c r="I2132" t="s">
        <v>1571</v>
      </c>
      <c r="K2132" t="s">
        <v>6025</v>
      </c>
      <c r="L2132" t="s">
        <v>6026</v>
      </c>
    </row>
    <row r="2133" spans="1:12" x14ac:dyDescent="0.35">
      <c r="A2133" t="s">
        <v>118</v>
      </c>
      <c r="B2133" t="s">
        <v>620</v>
      </c>
      <c r="C2133" t="s">
        <v>1188</v>
      </c>
      <c r="D2133">
        <v>9.73</v>
      </c>
      <c r="F2133" t="s">
        <v>5694</v>
      </c>
      <c r="H2133" t="s">
        <v>4838</v>
      </c>
      <c r="I2133" t="s">
        <v>4873</v>
      </c>
      <c r="K2133" t="s">
        <v>6025</v>
      </c>
      <c r="L2133" t="s">
        <v>6026</v>
      </c>
    </row>
    <row r="2134" spans="1:12" x14ac:dyDescent="0.35">
      <c r="A2134" t="s">
        <v>118</v>
      </c>
      <c r="B2134" t="s">
        <v>620</v>
      </c>
      <c r="C2134" t="s">
        <v>1186</v>
      </c>
      <c r="D2134">
        <v>9.73</v>
      </c>
      <c r="F2134" t="s">
        <v>5694</v>
      </c>
      <c r="H2134" t="s">
        <v>4838</v>
      </c>
      <c r="I2134" t="s">
        <v>4873</v>
      </c>
      <c r="K2134" t="s">
        <v>6025</v>
      </c>
      <c r="L2134" t="s">
        <v>6026</v>
      </c>
    </row>
    <row r="2135" spans="1:12" x14ac:dyDescent="0.35">
      <c r="A2135" t="s">
        <v>118</v>
      </c>
      <c r="B2135" t="s">
        <v>620</v>
      </c>
      <c r="C2135" t="s">
        <v>793</v>
      </c>
      <c r="D2135">
        <v>19.78</v>
      </c>
      <c r="F2135" t="s">
        <v>5695</v>
      </c>
      <c r="H2135" t="s">
        <v>4825</v>
      </c>
      <c r="I2135" t="s">
        <v>1571</v>
      </c>
      <c r="K2135" t="s">
        <v>6025</v>
      </c>
      <c r="L2135" t="s">
        <v>6026</v>
      </c>
    </row>
    <row r="2136" spans="1:12" x14ac:dyDescent="0.35">
      <c r="A2136" t="s">
        <v>118</v>
      </c>
      <c r="B2136" t="s">
        <v>620</v>
      </c>
      <c r="C2136" t="s">
        <v>1188</v>
      </c>
      <c r="D2136">
        <v>19.78</v>
      </c>
      <c r="F2136" t="s">
        <v>5695</v>
      </c>
      <c r="H2136" t="s">
        <v>6019</v>
      </c>
      <c r="I2136" t="s">
        <v>1571</v>
      </c>
      <c r="K2136" t="s">
        <v>6025</v>
      </c>
      <c r="L2136" t="s">
        <v>6026</v>
      </c>
    </row>
    <row r="2137" spans="1:12" x14ac:dyDescent="0.35">
      <c r="A2137" t="s">
        <v>118</v>
      </c>
      <c r="B2137" t="s">
        <v>620</v>
      </c>
      <c r="C2137" t="s">
        <v>793</v>
      </c>
      <c r="D2137">
        <v>36.21</v>
      </c>
      <c r="F2137" t="s">
        <v>5696</v>
      </c>
      <c r="H2137" t="s">
        <v>4833</v>
      </c>
      <c r="I2137" t="s">
        <v>1571</v>
      </c>
      <c r="K2137" t="s">
        <v>6025</v>
      </c>
      <c r="L2137" t="s">
        <v>6026</v>
      </c>
    </row>
    <row r="2138" spans="1:12" x14ac:dyDescent="0.35">
      <c r="A2138" t="s">
        <v>118</v>
      </c>
      <c r="B2138" t="s">
        <v>620</v>
      </c>
      <c r="C2138" t="s">
        <v>1188</v>
      </c>
      <c r="D2138">
        <v>36.21</v>
      </c>
      <c r="F2138" t="s">
        <v>5696</v>
      </c>
      <c r="H2138" t="s">
        <v>4823</v>
      </c>
      <c r="I2138" t="s">
        <v>1571</v>
      </c>
      <c r="K2138" t="s">
        <v>6025</v>
      </c>
      <c r="L2138" t="s">
        <v>6026</v>
      </c>
    </row>
    <row r="2139" spans="1:12" x14ac:dyDescent="0.35">
      <c r="A2139" t="s">
        <v>118</v>
      </c>
      <c r="B2139" t="s">
        <v>620</v>
      </c>
      <c r="C2139" t="s">
        <v>793</v>
      </c>
      <c r="D2139">
        <v>30.16</v>
      </c>
      <c r="F2139" t="s">
        <v>5697</v>
      </c>
      <c r="H2139" t="s">
        <v>4847</v>
      </c>
      <c r="I2139" t="s">
        <v>1571</v>
      </c>
      <c r="K2139" t="s">
        <v>6025</v>
      </c>
      <c r="L2139" t="s">
        <v>6026</v>
      </c>
    </row>
    <row r="2140" spans="1:12" x14ac:dyDescent="0.35">
      <c r="A2140" t="s">
        <v>118</v>
      </c>
      <c r="B2140" t="s">
        <v>620</v>
      </c>
      <c r="C2140" t="s">
        <v>1188</v>
      </c>
      <c r="D2140">
        <v>30.16</v>
      </c>
      <c r="F2140" t="s">
        <v>5697</v>
      </c>
      <c r="H2140" t="s">
        <v>6020</v>
      </c>
      <c r="I2140" t="s">
        <v>1571</v>
      </c>
      <c r="K2140" t="s">
        <v>6025</v>
      </c>
      <c r="L2140" t="s">
        <v>6026</v>
      </c>
    </row>
    <row r="2141" spans="1:12" x14ac:dyDescent="0.35">
      <c r="A2141" t="s">
        <v>118</v>
      </c>
      <c r="B2141" t="s">
        <v>620</v>
      </c>
      <c r="C2141" t="s">
        <v>793</v>
      </c>
      <c r="D2141">
        <v>21.94</v>
      </c>
      <c r="F2141" t="s">
        <v>5698</v>
      </c>
      <c r="H2141" t="s">
        <v>4845</v>
      </c>
      <c r="I2141" t="s">
        <v>1571</v>
      </c>
      <c r="K2141" t="s">
        <v>6025</v>
      </c>
      <c r="L2141" t="s">
        <v>6026</v>
      </c>
    </row>
    <row r="2142" spans="1:12" x14ac:dyDescent="0.35">
      <c r="A2142" t="s">
        <v>118</v>
      </c>
      <c r="B2142" t="s">
        <v>620</v>
      </c>
      <c r="C2142" t="s">
        <v>1188</v>
      </c>
      <c r="D2142">
        <v>21.94</v>
      </c>
      <c r="F2142" t="s">
        <v>5698</v>
      </c>
      <c r="H2142" t="s">
        <v>6021</v>
      </c>
      <c r="I2142" t="s">
        <v>1571</v>
      </c>
      <c r="K2142" t="s">
        <v>6025</v>
      </c>
      <c r="L2142" t="s">
        <v>6026</v>
      </c>
    </row>
    <row r="2143" spans="1:12" x14ac:dyDescent="0.35">
      <c r="A2143" t="s">
        <v>118</v>
      </c>
      <c r="B2143" t="s">
        <v>620</v>
      </c>
      <c r="C2143" t="s">
        <v>1188</v>
      </c>
      <c r="D2143">
        <v>22.2</v>
      </c>
      <c r="F2143" t="s">
        <v>1873</v>
      </c>
      <c r="H2143" t="s">
        <v>6022</v>
      </c>
      <c r="I2143" t="s">
        <v>4873</v>
      </c>
      <c r="K2143" t="s">
        <v>6025</v>
      </c>
      <c r="L2143" t="s">
        <v>6026</v>
      </c>
    </row>
    <row r="2144" spans="1:12" x14ac:dyDescent="0.35">
      <c r="A2144" t="s">
        <v>118</v>
      </c>
      <c r="B2144" t="s">
        <v>620</v>
      </c>
      <c r="C2144" t="s">
        <v>1188</v>
      </c>
      <c r="D2144">
        <v>26.5</v>
      </c>
      <c r="F2144" t="s">
        <v>5689</v>
      </c>
      <c r="H2144" t="s">
        <v>6023</v>
      </c>
      <c r="I2144" t="s">
        <v>4873</v>
      </c>
      <c r="K2144" t="s">
        <v>6025</v>
      </c>
      <c r="L2144" t="s">
        <v>6026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25"/>
  <sheetViews>
    <sheetView workbookViewId="0"/>
  </sheetViews>
  <sheetFormatPr defaultRowHeight="14.5" x14ac:dyDescent="0.35"/>
  <cols>
    <col min="1" max="1" width="8.81640625" customWidth="1"/>
    <col min="2" max="2" width="39.453125" customWidth="1"/>
    <col min="3" max="3" width="9.453125" customWidth="1"/>
    <col min="4" max="4" width="9.7265625" customWidth="1"/>
    <col min="5" max="5" width="14.81640625" customWidth="1"/>
    <col min="6" max="6" width="9.7265625" customWidth="1"/>
    <col min="7" max="7" width="18.453125" customWidth="1"/>
    <col min="8" max="8" width="579.1796875" customWidth="1"/>
    <col min="9" max="9" width="9.54296875" customWidth="1"/>
    <col min="10" max="10" width="16.453125" customWidth="1"/>
    <col min="11" max="11" width="10.453125" customWidth="1"/>
    <col min="12" max="12" width="13.54296875" customWidth="1"/>
  </cols>
  <sheetData>
    <row r="1" spans="1:12" x14ac:dyDescent="0.35">
      <c r="A1" t="s">
        <v>306</v>
      </c>
      <c r="B1" t="s">
        <v>307</v>
      </c>
      <c r="C1" t="s">
        <v>655</v>
      </c>
      <c r="D1" t="s">
        <v>1258</v>
      </c>
      <c r="E1" t="s">
        <v>1259</v>
      </c>
      <c r="F1" t="s">
        <v>1260</v>
      </c>
      <c r="G1" t="s">
        <v>2638</v>
      </c>
      <c r="H1" t="s">
        <v>2639</v>
      </c>
      <c r="I1" t="s">
        <v>4851</v>
      </c>
      <c r="J1" t="s">
        <v>5035</v>
      </c>
      <c r="K1" t="s">
        <v>5036</v>
      </c>
      <c r="L1" t="s">
        <v>5038</v>
      </c>
    </row>
    <row r="2" spans="1:12" x14ac:dyDescent="0.35">
      <c r="A2" t="s">
        <v>98</v>
      </c>
      <c r="B2" t="s">
        <v>171</v>
      </c>
      <c r="D2">
        <v>2.07E-2</v>
      </c>
      <c r="F2" t="s">
        <v>2062</v>
      </c>
      <c r="H2" t="s">
        <v>6477</v>
      </c>
      <c r="I2" t="s">
        <v>4855</v>
      </c>
      <c r="K2" t="s">
        <v>7400</v>
      </c>
      <c r="L2" t="s">
        <v>7401</v>
      </c>
    </row>
    <row r="3" spans="1:12" x14ac:dyDescent="0.35">
      <c r="A3" t="s">
        <v>98</v>
      </c>
      <c r="B3" t="s">
        <v>171</v>
      </c>
      <c r="D3">
        <v>3.09E-2</v>
      </c>
      <c r="F3" t="s">
        <v>6101</v>
      </c>
      <c r="H3" t="s">
        <v>6478</v>
      </c>
      <c r="I3" t="s">
        <v>4855</v>
      </c>
      <c r="K3" t="s">
        <v>7400</v>
      </c>
      <c r="L3" t="s">
        <v>7401</v>
      </c>
    </row>
    <row r="4" spans="1:12" x14ac:dyDescent="0.35">
      <c r="A4" t="s">
        <v>98</v>
      </c>
      <c r="B4" t="s">
        <v>315</v>
      </c>
      <c r="D4">
        <v>9.6000000000000002E-2</v>
      </c>
      <c r="F4" t="s">
        <v>2055</v>
      </c>
      <c r="I4" t="s">
        <v>1317</v>
      </c>
      <c r="K4" t="s">
        <v>7400</v>
      </c>
      <c r="L4" t="s">
        <v>7401</v>
      </c>
    </row>
    <row r="5" spans="1:12" x14ac:dyDescent="0.35">
      <c r="A5" t="s">
        <v>98</v>
      </c>
      <c r="B5" t="s">
        <v>315</v>
      </c>
      <c r="D5">
        <v>0.72699999999999998</v>
      </c>
      <c r="F5" t="s">
        <v>6102</v>
      </c>
      <c r="I5" t="s">
        <v>1841</v>
      </c>
      <c r="K5" t="s">
        <v>7400</v>
      </c>
      <c r="L5" t="s">
        <v>7401</v>
      </c>
    </row>
    <row r="6" spans="1:12" x14ac:dyDescent="0.35">
      <c r="A6" t="s">
        <v>98</v>
      </c>
      <c r="B6" t="s">
        <v>321</v>
      </c>
      <c r="D6">
        <v>1.33</v>
      </c>
      <c r="F6" t="s">
        <v>1443</v>
      </c>
      <c r="I6" t="s">
        <v>1335</v>
      </c>
      <c r="K6" t="s">
        <v>7400</v>
      </c>
      <c r="L6" t="s">
        <v>7401</v>
      </c>
    </row>
    <row r="7" spans="1:12" x14ac:dyDescent="0.35">
      <c r="A7" t="s">
        <v>98</v>
      </c>
      <c r="B7" t="s">
        <v>321</v>
      </c>
      <c r="D7">
        <v>0.36</v>
      </c>
      <c r="F7" t="s">
        <v>1398</v>
      </c>
      <c r="I7" t="s">
        <v>4877</v>
      </c>
      <c r="K7" t="s">
        <v>7400</v>
      </c>
      <c r="L7" t="s">
        <v>7401</v>
      </c>
    </row>
    <row r="8" spans="1:12" x14ac:dyDescent="0.35">
      <c r="A8" t="s">
        <v>100</v>
      </c>
      <c r="B8" t="s">
        <v>323</v>
      </c>
      <c r="D8">
        <v>66</v>
      </c>
      <c r="F8" t="s">
        <v>2226</v>
      </c>
      <c r="I8" t="s">
        <v>1368</v>
      </c>
      <c r="K8" t="s">
        <v>7400</v>
      </c>
      <c r="L8" t="s">
        <v>7401</v>
      </c>
    </row>
    <row r="9" spans="1:12" x14ac:dyDescent="0.35">
      <c r="A9" t="s">
        <v>100</v>
      </c>
      <c r="B9" t="s">
        <v>175</v>
      </c>
      <c r="D9">
        <v>1.4</v>
      </c>
      <c r="F9" t="s">
        <v>1469</v>
      </c>
      <c r="H9" t="s">
        <v>6479</v>
      </c>
      <c r="I9" t="s">
        <v>1383</v>
      </c>
      <c r="K9" t="s">
        <v>7400</v>
      </c>
      <c r="L9" t="s">
        <v>7401</v>
      </c>
    </row>
    <row r="10" spans="1:12" x14ac:dyDescent="0.35">
      <c r="A10" t="s">
        <v>100</v>
      </c>
      <c r="B10" t="s">
        <v>175</v>
      </c>
      <c r="D10">
        <v>3</v>
      </c>
      <c r="F10" t="s">
        <v>1368</v>
      </c>
      <c r="H10" t="s">
        <v>6480</v>
      </c>
      <c r="I10" t="s">
        <v>1383</v>
      </c>
      <c r="K10" t="s">
        <v>7400</v>
      </c>
      <c r="L10" t="s">
        <v>7401</v>
      </c>
    </row>
    <row r="11" spans="1:12" x14ac:dyDescent="0.35">
      <c r="A11" t="s">
        <v>100</v>
      </c>
      <c r="B11" t="s">
        <v>175</v>
      </c>
      <c r="D11">
        <v>0.51</v>
      </c>
      <c r="F11" t="s">
        <v>1418</v>
      </c>
      <c r="H11" t="s">
        <v>6481</v>
      </c>
      <c r="I11" t="s">
        <v>1383</v>
      </c>
      <c r="K11" t="s">
        <v>7400</v>
      </c>
      <c r="L11" t="s">
        <v>7401</v>
      </c>
    </row>
    <row r="12" spans="1:12" x14ac:dyDescent="0.35">
      <c r="A12" t="s">
        <v>100</v>
      </c>
      <c r="B12" t="s">
        <v>175</v>
      </c>
      <c r="D12">
        <v>3.4</v>
      </c>
      <c r="F12" t="s">
        <v>1706</v>
      </c>
      <c r="H12" t="s">
        <v>6482</v>
      </c>
      <c r="I12" t="s">
        <v>1383</v>
      </c>
      <c r="K12" t="s">
        <v>7400</v>
      </c>
      <c r="L12" t="s">
        <v>7401</v>
      </c>
    </row>
    <row r="13" spans="1:12" x14ac:dyDescent="0.35">
      <c r="A13" t="s">
        <v>100</v>
      </c>
      <c r="B13" t="s">
        <v>325</v>
      </c>
      <c r="D13">
        <v>10.9</v>
      </c>
      <c r="F13" t="s">
        <v>2277</v>
      </c>
      <c r="I13" t="s">
        <v>1368</v>
      </c>
      <c r="K13" t="s">
        <v>7400</v>
      </c>
      <c r="L13" t="s">
        <v>7401</v>
      </c>
    </row>
    <row r="14" spans="1:12" x14ac:dyDescent="0.35">
      <c r="A14" t="s">
        <v>100</v>
      </c>
      <c r="B14" t="s">
        <v>325</v>
      </c>
      <c r="D14">
        <v>0.59</v>
      </c>
      <c r="F14" t="s">
        <v>1483</v>
      </c>
      <c r="I14" t="s">
        <v>1379</v>
      </c>
      <c r="K14" t="s">
        <v>7400</v>
      </c>
      <c r="L14" t="s">
        <v>7401</v>
      </c>
    </row>
    <row r="15" spans="1:12" x14ac:dyDescent="0.35">
      <c r="A15" t="s">
        <v>100</v>
      </c>
      <c r="B15" t="s">
        <v>328</v>
      </c>
      <c r="D15">
        <v>126</v>
      </c>
      <c r="F15" t="s">
        <v>4875</v>
      </c>
      <c r="H15" t="s">
        <v>6483</v>
      </c>
      <c r="I15" t="s">
        <v>1450</v>
      </c>
      <c r="K15" t="s">
        <v>7400</v>
      </c>
      <c r="L15" t="s">
        <v>7401</v>
      </c>
    </row>
    <row r="16" spans="1:12" x14ac:dyDescent="0.35">
      <c r="A16" t="s">
        <v>100</v>
      </c>
      <c r="B16" t="s">
        <v>328</v>
      </c>
      <c r="D16">
        <v>17.399999999999999</v>
      </c>
      <c r="F16" t="s">
        <v>1472</v>
      </c>
      <c r="H16" t="s">
        <v>6484</v>
      </c>
      <c r="I16" t="s">
        <v>1477</v>
      </c>
      <c r="K16" t="s">
        <v>7400</v>
      </c>
      <c r="L16" t="s">
        <v>7401</v>
      </c>
    </row>
    <row r="17" spans="1:12" x14ac:dyDescent="0.35">
      <c r="A17" t="s">
        <v>100</v>
      </c>
      <c r="B17" t="s">
        <v>328</v>
      </c>
      <c r="D17">
        <v>11.7</v>
      </c>
      <c r="F17" t="s">
        <v>2227</v>
      </c>
      <c r="I17" t="s">
        <v>1367</v>
      </c>
      <c r="K17" t="s">
        <v>7400</v>
      </c>
      <c r="L17" t="s">
        <v>7401</v>
      </c>
    </row>
    <row r="18" spans="1:12" x14ac:dyDescent="0.35">
      <c r="A18" t="s">
        <v>100</v>
      </c>
      <c r="B18" t="s">
        <v>328</v>
      </c>
      <c r="D18">
        <v>570</v>
      </c>
      <c r="F18" t="s">
        <v>6103</v>
      </c>
      <c r="H18" t="s">
        <v>6485</v>
      </c>
      <c r="I18" t="s">
        <v>1450</v>
      </c>
      <c r="K18" t="s">
        <v>7400</v>
      </c>
      <c r="L18" t="s">
        <v>7401</v>
      </c>
    </row>
    <row r="19" spans="1:12" x14ac:dyDescent="0.35">
      <c r="A19" t="s">
        <v>100</v>
      </c>
      <c r="B19" t="s">
        <v>328</v>
      </c>
      <c r="D19">
        <v>42.4</v>
      </c>
      <c r="F19" t="s">
        <v>6104</v>
      </c>
      <c r="H19" t="s">
        <v>6486</v>
      </c>
      <c r="I19" t="s">
        <v>1317</v>
      </c>
      <c r="K19" t="s">
        <v>7400</v>
      </c>
      <c r="L19" t="s">
        <v>7401</v>
      </c>
    </row>
    <row r="20" spans="1:12" x14ac:dyDescent="0.35">
      <c r="A20" t="s">
        <v>100</v>
      </c>
      <c r="B20" t="s">
        <v>328</v>
      </c>
      <c r="D20">
        <v>17.670000000000002</v>
      </c>
      <c r="F20" t="s">
        <v>6105</v>
      </c>
      <c r="H20" t="s">
        <v>6487</v>
      </c>
      <c r="I20" t="s">
        <v>1317</v>
      </c>
      <c r="K20" t="s">
        <v>7400</v>
      </c>
      <c r="L20" t="s">
        <v>7401</v>
      </c>
    </row>
    <row r="21" spans="1:12" x14ac:dyDescent="0.35">
      <c r="A21" t="s">
        <v>100</v>
      </c>
      <c r="B21" t="s">
        <v>6027</v>
      </c>
      <c r="D21">
        <v>1.6E-2</v>
      </c>
      <c r="F21" t="s">
        <v>1614</v>
      </c>
      <c r="I21" t="s">
        <v>1372</v>
      </c>
      <c r="K21" t="s">
        <v>7400</v>
      </c>
      <c r="L21" t="s">
        <v>7401</v>
      </c>
    </row>
    <row r="22" spans="1:12" x14ac:dyDescent="0.35">
      <c r="A22" t="s">
        <v>101</v>
      </c>
      <c r="B22" t="s">
        <v>329</v>
      </c>
      <c r="D22">
        <v>150</v>
      </c>
      <c r="F22" t="s">
        <v>1892</v>
      </c>
      <c r="H22" t="s">
        <v>6488</v>
      </c>
      <c r="I22" t="s">
        <v>1389</v>
      </c>
      <c r="K22" t="s">
        <v>7400</v>
      </c>
      <c r="L22" t="s">
        <v>7401</v>
      </c>
    </row>
    <row r="23" spans="1:12" x14ac:dyDescent="0.35">
      <c r="A23" t="s">
        <v>101</v>
      </c>
      <c r="B23" t="s">
        <v>329</v>
      </c>
      <c r="D23">
        <v>74</v>
      </c>
      <c r="F23" t="s">
        <v>4904</v>
      </c>
      <c r="H23" t="s">
        <v>6489</v>
      </c>
      <c r="I23" t="s">
        <v>4894</v>
      </c>
      <c r="K23" t="s">
        <v>7400</v>
      </c>
      <c r="L23" t="s">
        <v>7401</v>
      </c>
    </row>
    <row r="24" spans="1:12" x14ac:dyDescent="0.35">
      <c r="A24" t="s">
        <v>101</v>
      </c>
      <c r="B24" t="s">
        <v>329</v>
      </c>
      <c r="D24">
        <v>18.8</v>
      </c>
      <c r="F24" t="s">
        <v>2256</v>
      </c>
      <c r="H24" t="s">
        <v>6490</v>
      </c>
      <c r="I24" t="s">
        <v>4894</v>
      </c>
      <c r="K24" t="s">
        <v>7400</v>
      </c>
      <c r="L24" t="s">
        <v>7401</v>
      </c>
    </row>
    <row r="25" spans="1:12" x14ac:dyDescent="0.35">
      <c r="A25" t="s">
        <v>101</v>
      </c>
      <c r="B25" t="s">
        <v>329</v>
      </c>
      <c r="D25">
        <v>22.6</v>
      </c>
      <c r="F25" t="s">
        <v>6106</v>
      </c>
      <c r="H25" t="s">
        <v>6491</v>
      </c>
      <c r="I25" t="s">
        <v>4894</v>
      </c>
      <c r="K25" t="s">
        <v>7400</v>
      </c>
      <c r="L25" t="s">
        <v>7401</v>
      </c>
    </row>
    <row r="26" spans="1:12" x14ac:dyDescent="0.35">
      <c r="A26" t="s">
        <v>101</v>
      </c>
      <c r="B26" t="s">
        <v>329</v>
      </c>
      <c r="D26">
        <v>83.5</v>
      </c>
      <c r="F26" t="s">
        <v>6107</v>
      </c>
      <c r="H26" t="s">
        <v>6492</v>
      </c>
      <c r="I26" t="s">
        <v>4894</v>
      </c>
      <c r="K26" t="s">
        <v>7400</v>
      </c>
      <c r="L26" t="s">
        <v>7401</v>
      </c>
    </row>
    <row r="27" spans="1:12" x14ac:dyDescent="0.35">
      <c r="A27" t="s">
        <v>101</v>
      </c>
      <c r="B27" t="s">
        <v>330</v>
      </c>
      <c r="D27">
        <v>11</v>
      </c>
      <c r="F27" t="s">
        <v>1841</v>
      </c>
      <c r="H27" t="s">
        <v>6493</v>
      </c>
      <c r="I27" t="s">
        <v>4866</v>
      </c>
      <c r="K27" t="s">
        <v>7400</v>
      </c>
      <c r="L27" t="s">
        <v>7401</v>
      </c>
    </row>
    <row r="28" spans="1:12" x14ac:dyDescent="0.35">
      <c r="A28" t="s">
        <v>101</v>
      </c>
      <c r="B28" t="s">
        <v>330</v>
      </c>
      <c r="D28">
        <v>104</v>
      </c>
      <c r="F28" t="s">
        <v>4856</v>
      </c>
      <c r="H28" t="s">
        <v>6494</v>
      </c>
      <c r="I28" t="s">
        <v>4866</v>
      </c>
      <c r="K28" t="s">
        <v>7400</v>
      </c>
      <c r="L28" t="s">
        <v>7401</v>
      </c>
    </row>
    <row r="29" spans="1:12" x14ac:dyDescent="0.35">
      <c r="A29" t="s">
        <v>101</v>
      </c>
      <c r="B29" t="s">
        <v>321</v>
      </c>
      <c r="D29">
        <v>136</v>
      </c>
      <c r="F29" t="s">
        <v>4915</v>
      </c>
      <c r="H29" t="s">
        <v>6495</v>
      </c>
      <c r="I29" t="s">
        <v>1851</v>
      </c>
      <c r="K29" t="s">
        <v>7400</v>
      </c>
      <c r="L29" t="s">
        <v>7401</v>
      </c>
    </row>
    <row r="30" spans="1:12" x14ac:dyDescent="0.35">
      <c r="A30" t="s">
        <v>101</v>
      </c>
      <c r="B30" t="s">
        <v>332</v>
      </c>
      <c r="D30">
        <v>231</v>
      </c>
      <c r="F30" t="s">
        <v>6108</v>
      </c>
      <c r="H30" t="s">
        <v>6496</v>
      </c>
      <c r="I30" t="s">
        <v>2051</v>
      </c>
      <c r="K30" t="s">
        <v>7400</v>
      </c>
      <c r="L30" t="s">
        <v>7401</v>
      </c>
    </row>
    <row r="31" spans="1:12" x14ac:dyDescent="0.35">
      <c r="A31" t="s">
        <v>101</v>
      </c>
      <c r="B31" t="s">
        <v>332</v>
      </c>
      <c r="D31">
        <v>443</v>
      </c>
      <c r="F31" t="s">
        <v>6109</v>
      </c>
      <c r="H31" t="s">
        <v>6497</v>
      </c>
      <c r="I31" t="s">
        <v>2051</v>
      </c>
      <c r="K31" t="s">
        <v>7400</v>
      </c>
      <c r="L31" t="s">
        <v>7401</v>
      </c>
    </row>
    <row r="32" spans="1:12" x14ac:dyDescent="0.35">
      <c r="A32" t="s">
        <v>101</v>
      </c>
      <c r="B32" t="s">
        <v>6028</v>
      </c>
      <c r="D32">
        <v>21.8</v>
      </c>
      <c r="F32" t="s">
        <v>5167</v>
      </c>
      <c r="H32" t="s">
        <v>6498</v>
      </c>
      <c r="I32" t="s">
        <v>1707</v>
      </c>
      <c r="K32" t="s">
        <v>7400</v>
      </c>
      <c r="L32" t="s">
        <v>7401</v>
      </c>
    </row>
    <row r="33" spans="1:12" x14ac:dyDescent="0.35">
      <c r="A33" t="s">
        <v>101</v>
      </c>
      <c r="B33" t="s">
        <v>6028</v>
      </c>
      <c r="D33">
        <v>8.44</v>
      </c>
      <c r="F33" t="s">
        <v>6110</v>
      </c>
      <c r="H33" t="s">
        <v>6499</v>
      </c>
      <c r="I33" t="s">
        <v>2253</v>
      </c>
      <c r="K33" t="s">
        <v>7400</v>
      </c>
      <c r="L33" t="s">
        <v>7401</v>
      </c>
    </row>
    <row r="34" spans="1:12" x14ac:dyDescent="0.35">
      <c r="A34" t="s">
        <v>101</v>
      </c>
      <c r="B34" t="s">
        <v>333</v>
      </c>
      <c r="D34">
        <v>217</v>
      </c>
      <c r="F34" t="s">
        <v>4956</v>
      </c>
      <c r="H34" t="s">
        <v>6500</v>
      </c>
      <c r="I34" t="s">
        <v>1394</v>
      </c>
      <c r="K34" t="s">
        <v>7400</v>
      </c>
      <c r="L34" t="s">
        <v>7401</v>
      </c>
    </row>
    <row r="35" spans="1:12" x14ac:dyDescent="0.35">
      <c r="A35" t="s">
        <v>101</v>
      </c>
      <c r="B35" t="s">
        <v>333</v>
      </c>
      <c r="D35">
        <v>151.5</v>
      </c>
      <c r="F35" t="s">
        <v>6111</v>
      </c>
      <c r="H35" t="s">
        <v>6501</v>
      </c>
      <c r="I35" t="s">
        <v>1509</v>
      </c>
      <c r="K35" t="s">
        <v>7400</v>
      </c>
      <c r="L35" t="s">
        <v>7401</v>
      </c>
    </row>
    <row r="36" spans="1:12" x14ac:dyDescent="0.35">
      <c r="A36" t="s">
        <v>101</v>
      </c>
      <c r="B36" t="s">
        <v>6029</v>
      </c>
      <c r="D36">
        <v>69.400000000000006</v>
      </c>
      <c r="F36" t="s">
        <v>6112</v>
      </c>
      <c r="H36" t="s">
        <v>6502</v>
      </c>
      <c r="I36" t="s">
        <v>1387</v>
      </c>
      <c r="K36" t="s">
        <v>7400</v>
      </c>
      <c r="L36" t="s">
        <v>7401</v>
      </c>
    </row>
    <row r="37" spans="1:12" x14ac:dyDescent="0.35">
      <c r="A37" t="s">
        <v>101</v>
      </c>
      <c r="B37" t="s">
        <v>478</v>
      </c>
      <c r="D37">
        <v>0.57599999999999996</v>
      </c>
      <c r="F37" t="s">
        <v>6113</v>
      </c>
      <c r="H37" t="s">
        <v>6503</v>
      </c>
      <c r="I37" t="s">
        <v>1387</v>
      </c>
      <c r="K37" t="s">
        <v>7400</v>
      </c>
      <c r="L37" t="s">
        <v>7401</v>
      </c>
    </row>
    <row r="38" spans="1:12" x14ac:dyDescent="0.35">
      <c r="A38" t="s">
        <v>101</v>
      </c>
      <c r="B38" t="s">
        <v>178</v>
      </c>
      <c r="D38">
        <v>454</v>
      </c>
      <c r="F38" t="s">
        <v>6114</v>
      </c>
      <c r="H38" t="s">
        <v>6504</v>
      </c>
      <c r="I38" t="s">
        <v>4927</v>
      </c>
      <c r="K38" t="s">
        <v>7400</v>
      </c>
      <c r="L38" t="s">
        <v>7401</v>
      </c>
    </row>
    <row r="39" spans="1:12" x14ac:dyDescent="0.35">
      <c r="A39" t="s">
        <v>101</v>
      </c>
      <c r="B39" t="s">
        <v>178</v>
      </c>
      <c r="D39">
        <v>2934</v>
      </c>
      <c r="F39" t="s">
        <v>6115</v>
      </c>
      <c r="H39" t="s">
        <v>6505</v>
      </c>
      <c r="I39" t="s">
        <v>4927</v>
      </c>
      <c r="K39" t="s">
        <v>7400</v>
      </c>
      <c r="L39" t="s">
        <v>7401</v>
      </c>
    </row>
    <row r="40" spans="1:12" x14ac:dyDescent="0.35">
      <c r="A40" t="s">
        <v>101</v>
      </c>
      <c r="B40" t="s">
        <v>178</v>
      </c>
      <c r="D40">
        <v>165</v>
      </c>
      <c r="F40" t="s">
        <v>4993</v>
      </c>
      <c r="H40" t="s">
        <v>6506</v>
      </c>
      <c r="I40" t="s">
        <v>4927</v>
      </c>
      <c r="K40" t="s">
        <v>7400</v>
      </c>
      <c r="L40" t="s">
        <v>7401</v>
      </c>
    </row>
    <row r="41" spans="1:12" x14ac:dyDescent="0.35">
      <c r="A41" t="s">
        <v>101</v>
      </c>
      <c r="B41" t="s">
        <v>6030</v>
      </c>
      <c r="D41">
        <v>120</v>
      </c>
      <c r="F41" t="s">
        <v>2329</v>
      </c>
      <c r="I41" t="s">
        <v>2009</v>
      </c>
      <c r="K41" t="s">
        <v>7400</v>
      </c>
      <c r="L41" t="s">
        <v>7401</v>
      </c>
    </row>
    <row r="42" spans="1:12" x14ac:dyDescent="0.35">
      <c r="A42" t="s">
        <v>101</v>
      </c>
      <c r="B42" t="s">
        <v>586</v>
      </c>
      <c r="D42">
        <v>45.15</v>
      </c>
      <c r="F42" t="s">
        <v>6116</v>
      </c>
      <c r="H42" t="s">
        <v>6507</v>
      </c>
      <c r="I42" t="s">
        <v>1458</v>
      </c>
      <c r="K42" t="s">
        <v>7400</v>
      </c>
      <c r="L42" t="s">
        <v>7401</v>
      </c>
    </row>
    <row r="43" spans="1:12" x14ac:dyDescent="0.35">
      <c r="A43" t="s">
        <v>101</v>
      </c>
      <c r="B43" t="s">
        <v>334</v>
      </c>
      <c r="D43">
        <v>172</v>
      </c>
      <c r="F43" t="s">
        <v>4914</v>
      </c>
      <c r="H43" t="s">
        <v>6508</v>
      </c>
      <c r="I43" t="s">
        <v>1373</v>
      </c>
      <c r="K43" t="s">
        <v>7400</v>
      </c>
      <c r="L43" t="s">
        <v>7401</v>
      </c>
    </row>
    <row r="44" spans="1:12" x14ac:dyDescent="0.35">
      <c r="A44" t="s">
        <v>101</v>
      </c>
      <c r="B44" t="s">
        <v>335</v>
      </c>
      <c r="D44">
        <v>341</v>
      </c>
      <c r="F44" t="s">
        <v>6117</v>
      </c>
      <c r="H44" t="s">
        <v>6509</v>
      </c>
      <c r="I44" t="s">
        <v>1390</v>
      </c>
      <c r="K44" t="s">
        <v>7400</v>
      </c>
      <c r="L44" t="s">
        <v>7401</v>
      </c>
    </row>
    <row r="45" spans="1:12" x14ac:dyDescent="0.35">
      <c r="A45" t="s">
        <v>101</v>
      </c>
      <c r="B45" t="s">
        <v>335</v>
      </c>
      <c r="D45">
        <v>156</v>
      </c>
      <c r="F45" t="s">
        <v>4865</v>
      </c>
      <c r="H45" t="s">
        <v>6510</v>
      </c>
      <c r="I45" t="s">
        <v>1390</v>
      </c>
      <c r="K45" t="s">
        <v>7400</v>
      </c>
      <c r="L45" t="s">
        <v>7401</v>
      </c>
    </row>
    <row r="46" spans="1:12" x14ac:dyDescent="0.35">
      <c r="A46" t="s">
        <v>101</v>
      </c>
      <c r="B46" t="s">
        <v>336</v>
      </c>
      <c r="D46">
        <v>130</v>
      </c>
      <c r="F46" t="s">
        <v>1893</v>
      </c>
      <c r="H46" t="s">
        <v>6511</v>
      </c>
      <c r="I46" t="s">
        <v>4868</v>
      </c>
      <c r="K46" t="s">
        <v>7400</v>
      </c>
      <c r="L46" t="s">
        <v>7401</v>
      </c>
    </row>
    <row r="47" spans="1:12" x14ac:dyDescent="0.35">
      <c r="A47" t="s">
        <v>101</v>
      </c>
      <c r="B47" t="s">
        <v>336</v>
      </c>
      <c r="D47">
        <v>240</v>
      </c>
      <c r="F47" t="s">
        <v>2333</v>
      </c>
      <c r="H47" t="s">
        <v>6512</v>
      </c>
      <c r="I47" t="s">
        <v>4868</v>
      </c>
      <c r="K47" t="s">
        <v>7400</v>
      </c>
      <c r="L47" t="s">
        <v>7401</v>
      </c>
    </row>
    <row r="48" spans="1:12" x14ac:dyDescent="0.35">
      <c r="A48" t="s">
        <v>101</v>
      </c>
      <c r="B48" t="s">
        <v>336</v>
      </c>
      <c r="D48">
        <v>140</v>
      </c>
      <c r="F48" t="s">
        <v>1515</v>
      </c>
      <c r="H48" t="s">
        <v>6513</v>
      </c>
      <c r="I48" t="s">
        <v>4868</v>
      </c>
      <c r="K48" t="s">
        <v>7400</v>
      </c>
      <c r="L48" t="s">
        <v>7401</v>
      </c>
    </row>
    <row r="49" spans="1:12" x14ac:dyDescent="0.35">
      <c r="A49" t="s">
        <v>101</v>
      </c>
      <c r="B49" t="s">
        <v>338</v>
      </c>
      <c r="D49">
        <v>220</v>
      </c>
      <c r="F49" t="s">
        <v>2210</v>
      </c>
      <c r="I49" t="s">
        <v>2258</v>
      </c>
      <c r="K49" t="s">
        <v>7400</v>
      </c>
      <c r="L49" t="s">
        <v>7401</v>
      </c>
    </row>
    <row r="50" spans="1:12" x14ac:dyDescent="0.35">
      <c r="A50" t="s">
        <v>101</v>
      </c>
      <c r="B50" t="s">
        <v>6031</v>
      </c>
      <c r="D50">
        <v>546.5</v>
      </c>
      <c r="F50" t="s">
        <v>6118</v>
      </c>
      <c r="H50" t="s">
        <v>6514</v>
      </c>
      <c r="I50" t="s">
        <v>1518</v>
      </c>
      <c r="K50" t="s">
        <v>7400</v>
      </c>
      <c r="L50" t="s">
        <v>7401</v>
      </c>
    </row>
    <row r="51" spans="1:12" x14ac:dyDescent="0.35">
      <c r="A51" t="s">
        <v>101</v>
      </c>
      <c r="B51" t="s">
        <v>6031</v>
      </c>
      <c r="D51">
        <v>805.6</v>
      </c>
      <c r="F51" t="s">
        <v>6119</v>
      </c>
      <c r="H51" t="s">
        <v>6515</v>
      </c>
      <c r="I51" t="s">
        <v>1518</v>
      </c>
      <c r="K51" t="s">
        <v>7400</v>
      </c>
      <c r="L51" t="s">
        <v>7401</v>
      </c>
    </row>
    <row r="52" spans="1:12" x14ac:dyDescent="0.35">
      <c r="A52" t="s">
        <v>101</v>
      </c>
      <c r="B52" t="s">
        <v>339</v>
      </c>
      <c r="D52">
        <v>84</v>
      </c>
      <c r="F52" t="s">
        <v>4907</v>
      </c>
      <c r="H52" t="s">
        <v>6516</v>
      </c>
      <c r="I52" t="s">
        <v>7389</v>
      </c>
      <c r="K52" t="s">
        <v>7400</v>
      </c>
      <c r="L52" t="s">
        <v>7401</v>
      </c>
    </row>
    <row r="53" spans="1:12" x14ac:dyDescent="0.35">
      <c r="A53" t="s">
        <v>101</v>
      </c>
      <c r="B53" t="s">
        <v>6032</v>
      </c>
      <c r="D53">
        <v>2.5</v>
      </c>
      <c r="F53" t="s">
        <v>1406</v>
      </c>
      <c r="H53" t="s">
        <v>6517</v>
      </c>
      <c r="I53" t="s">
        <v>2050</v>
      </c>
      <c r="K53" t="s">
        <v>7400</v>
      </c>
      <c r="L53" t="s">
        <v>7401</v>
      </c>
    </row>
    <row r="54" spans="1:12" x14ac:dyDescent="0.35">
      <c r="A54" t="s">
        <v>101</v>
      </c>
      <c r="B54" t="s">
        <v>6032</v>
      </c>
      <c r="D54">
        <v>292.3</v>
      </c>
      <c r="F54" t="s">
        <v>6120</v>
      </c>
      <c r="I54" t="s">
        <v>2050</v>
      </c>
      <c r="K54" t="s">
        <v>7400</v>
      </c>
      <c r="L54" t="s">
        <v>7401</v>
      </c>
    </row>
    <row r="55" spans="1:12" x14ac:dyDescent="0.35">
      <c r="A55" t="s">
        <v>101</v>
      </c>
      <c r="B55" t="s">
        <v>6032</v>
      </c>
      <c r="D55">
        <v>0.24</v>
      </c>
      <c r="F55" t="s">
        <v>1488</v>
      </c>
      <c r="H55" t="s">
        <v>6518</v>
      </c>
      <c r="I55" t="s">
        <v>4882</v>
      </c>
      <c r="K55" t="s">
        <v>7400</v>
      </c>
      <c r="L55" t="s">
        <v>7401</v>
      </c>
    </row>
    <row r="56" spans="1:12" x14ac:dyDescent="0.35">
      <c r="A56" t="s">
        <v>101</v>
      </c>
      <c r="B56" t="s">
        <v>340</v>
      </c>
      <c r="D56">
        <v>450</v>
      </c>
      <c r="F56" t="s">
        <v>6121</v>
      </c>
      <c r="H56" t="s">
        <v>6519</v>
      </c>
      <c r="I56" t="s">
        <v>1450</v>
      </c>
      <c r="K56" t="s">
        <v>7400</v>
      </c>
      <c r="L56" t="s">
        <v>7401</v>
      </c>
    </row>
    <row r="57" spans="1:12" x14ac:dyDescent="0.35">
      <c r="A57" t="s">
        <v>101</v>
      </c>
      <c r="B57" t="s">
        <v>340</v>
      </c>
      <c r="D57">
        <v>390</v>
      </c>
      <c r="F57" t="s">
        <v>6122</v>
      </c>
      <c r="H57" t="s">
        <v>6520</v>
      </c>
      <c r="I57" t="s">
        <v>1450</v>
      </c>
      <c r="K57" t="s">
        <v>7400</v>
      </c>
      <c r="L57" t="s">
        <v>7401</v>
      </c>
    </row>
    <row r="58" spans="1:12" x14ac:dyDescent="0.35">
      <c r="A58" t="s">
        <v>101</v>
      </c>
      <c r="B58" t="s">
        <v>341</v>
      </c>
      <c r="D58">
        <v>93</v>
      </c>
      <c r="F58" t="s">
        <v>1551</v>
      </c>
      <c r="H58" t="s">
        <v>6521</v>
      </c>
      <c r="I58" t="s">
        <v>1893</v>
      </c>
      <c r="K58" t="s">
        <v>7400</v>
      </c>
      <c r="L58" t="s">
        <v>7401</v>
      </c>
    </row>
    <row r="59" spans="1:12" x14ac:dyDescent="0.35">
      <c r="A59" t="s">
        <v>101</v>
      </c>
      <c r="B59" t="s">
        <v>342</v>
      </c>
      <c r="D59">
        <v>1.4999999999999999E-2</v>
      </c>
      <c r="F59" t="s">
        <v>1336</v>
      </c>
      <c r="H59" t="s">
        <v>6522</v>
      </c>
      <c r="I59" t="s">
        <v>4869</v>
      </c>
      <c r="K59" t="s">
        <v>7400</v>
      </c>
      <c r="L59" t="s">
        <v>7401</v>
      </c>
    </row>
    <row r="60" spans="1:12" x14ac:dyDescent="0.35">
      <c r="A60" t="s">
        <v>101</v>
      </c>
      <c r="B60" t="s">
        <v>342</v>
      </c>
      <c r="D60">
        <v>0.04</v>
      </c>
      <c r="F60" t="s">
        <v>1334</v>
      </c>
      <c r="H60" t="s">
        <v>6523</v>
      </c>
      <c r="I60" t="s">
        <v>4869</v>
      </c>
      <c r="K60" t="s">
        <v>7400</v>
      </c>
      <c r="L60" t="s">
        <v>7401</v>
      </c>
    </row>
    <row r="61" spans="1:12" x14ac:dyDescent="0.35">
      <c r="A61" t="s">
        <v>101</v>
      </c>
      <c r="B61" t="s">
        <v>342</v>
      </c>
      <c r="D61">
        <v>1.41</v>
      </c>
      <c r="F61" t="s">
        <v>1906</v>
      </c>
      <c r="H61" t="s">
        <v>6524</v>
      </c>
      <c r="I61" t="s">
        <v>4869</v>
      </c>
      <c r="K61" t="s">
        <v>7400</v>
      </c>
      <c r="L61" t="s">
        <v>7401</v>
      </c>
    </row>
    <row r="62" spans="1:12" x14ac:dyDescent="0.35">
      <c r="A62" t="s">
        <v>101</v>
      </c>
      <c r="B62" t="s">
        <v>342</v>
      </c>
      <c r="D62">
        <v>0.45900000000000002</v>
      </c>
      <c r="F62" t="s">
        <v>6123</v>
      </c>
      <c r="H62" t="s">
        <v>6525</v>
      </c>
      <c r="I62" t="s">
        <v>4869</v>
      </c>
      <c r="K62" t="s">
        <v>7400</v>
      </c>
      <c r="L62" t="s">
        <v>7401</v>
      </c>
    </row>
    <row r="63" spans="1:12" x14ac:dyDescent="0.35">
      <c r="A63" t="s">
        <v>101</v>
      </c>
      <c r="B63" t="s">
        <v>6033</v>
      </c>
      <c r="D63">
        <v>1.53</v>
      </c>
      <c r="F63" t="s">
        <v>6124</v>
      </c>
      <c r="H63" t="s">
        <v>6526</v>
      </c>
      <c r="I63" t="s">
        <v>1359</v>
      </c>
      <c r="K63" t="s">
        <v>7400</v>
      </c>
      <c r="L63" t="s">
        <v>7401</v>
      </c>
    </row>
    <row r="64" spans="1:12" x14ac:dyDescent="0.35">
      <c r="A64" t="s">
        <v>101</v>
      </c>
      <c r="B64" t="s">
        <v>343</v>
      </c>
      <c r="D64">
        <v>105</v>
      </c>
      <c r="F64" t="s">
        <v>1494</v>
      </c>
      <c r="H64" t="s">
        <v>6527</v>
      </c>
      <c r="I64" t="s">
        <v>2345</v>
      </c>
      <c r="K64" t="s">
        <v>7400</v>
      </c>
      <c r="L64" t="s">
        <v>7401</v>
      </c>
    </row>
    <row r="65" spans="1:12" x14ac:dyDescent="0.35">
      <c r="A65" t="s">
        <v>101</v>
      </c>
      <c r="B65" t="s">
        <v>344</v>
      </c>
      <c r="D65">
        <v>0.3</v>
      </c>
      <c r="F65" t="s">
        <v>1401</v>
      </c>
      <c r="H65" t="s">
        <v>6528</v>
      </c>
      <c r="I65" t="s">
        <v>1368</v>
      </c>
      <c r="K65" t="s">
        <v>7400</v>
      </c>
      <c r="L65" t="s">
        <v>7401</v>
      </c>
    </row>
    <row r="66" spans="1:12" x14ac:dyDescent="0.35">
      <c r="A66" t="s">
        <v>101</v>
      </c>
      <c r="B66" t="s">
        <v>344</v>
      </c>
      <c r="D66">
        <v>25.3</v>
      </c>
      <c r="F66" t="s">
        <v>1882</v>
      </c>
      <c r="H66" t="s">
        <v>6529</v>
      </c>
      <c r="I66" t="s">
        <v>1368</v>
      </c>
      <c r="K66" t="s">
        <v>7400</v>
      </c>
      <c r="L66" t="s">
        <v>7401</v>
      </c>
    </row>
    <row r="67" spans="1:12" x14ac:dyDescent="0.35">
      <c r="A67" t="s">
        <v>101</v>
      </c>
      <c r="B67" t="s">
        <v>345</v>
      </c>
      <c r="D67">
        <v>182</v>
      </c>
      <c r="F67" t="s">
        <v>4903</v>
      </c>
      <c r="H67" t="s">
        <v>6530</v>
      </c>
      <c r="I67" t="s">
        <v>1961</v>
      </c>
      <c r="K67" t="s">
        <v>7400</v>
      </c>
      <c r="L67" t="s">
        <v>7401</v>
      </c>
    </row>
    <row r="68" spans="1:12" x14ac:dyDescent="0.35">
      <c r="A68" t="s">
        <v>101</v>
      </c>
      <c r="B68" t="s">
        <v>346</v>
      </c>
      <c r="D68">
        <v>178</v>
      </c>
      <c r="F68" t="s">
        <v>4950</v>
      </c>
      <c r="H68" t="s">
        <v>6531</v>
      </c>
      <c r="I68" t="s">
        <v>1516</v>
      </c>
      <c r="K68" t="s">
        <v>7400</v>
      </c>
      <c r="L68" t="s">
        <v>7401</v>
      </c>
    </row>
    <row r="69" spans="1:12" x14ac:dyDescent="0.35">
      <c r="A69" t="s">
        <v>101</v>
      </c>
      <c r="B69" t="s">
        <v>346</v>
      </c>
      <c r="D69">
        <v>512</v>
      </c>
      <c r="F69" t="s">
        <v>6125</v>
      </c>
      <c r="H69" t="s">
        <v>6532</v>
      </c>
      <c r="I69" t="s">
        <v>1516</v>
      </c>
      <c r="K69" t="s">
        <v>7400</v>
      </c>
      <c r="L69" t="s">
        <v>7401</v>
      </c>
    </row>
    <row r="70" spans="1:12" x14ac:dyDescent="0.35">
      <c r="A70" t="s">
        <v>101</v>
      </c>
      <c r="B70" t="s">
        <v>346</v>
      </c>
      <c r="D70">
        <v>322</v>
      </c>
      <c r="F70" t="s">
        <v>5100</v>
      </c>
      <c r="H70" t="s">
        <v>6533</v>
      </c>
      <c r="I70" t="s">
        <v>1516</v>
      </c>
      <c r="K70" t="s">
        <v>7400</v>
      </c>
      <c r="L70" t="s">
        <v>7401</v>
      </c>
    </row>
    <row r="71" spans="1:12" x14ac:dyDescent="0.35">
      <c r="A71" t="s">
        <v>101</v>
      </c>
      <c r="B71" t="s">
        <v>346</v>
      </c>
      <c r="D71">
        <v>252</v>
      </c>
      <c r="F71" t="s">
        <v>6126</v>
      </c>
      <c r="H71" t="s">
        <v>6534</v>
      </c>
      <c r="I71" t="s">
        <v>1516</v>
      </c>
      <c r="K71" t="s">
        <v>7400</v>
      </c>
      <c r="L71" t="s">
        <v>7401</v>
      </c>
    </row>
    <row r="72" spans="1:12" x14ac:dyDescent="0.35">
      <c r="A72" t="s">
        <v>101</v>
      </c>
      <c r="B72" t="s">
        <v>346</v>
      </c>
      <c r="D72">
        <v>671</v>
      </c>
      <c r="F72" t="s">
        <v>6127</v>
      </c>
      <c r="H72" t="s">
        <v>6535</v>
      </c>
      <c r="I72" t="s">
        <v>1516</v>
      </c>
      <c r="K72" t="s">
        <v>7400</v>
      </c>
      <c r="L72" t="s">
        <v>7401</v>
      </c>
    </row>
    <row r="73" spans="1:12" x14ac:dyDescent="0.35">
      <c r="A73" t="s">
        <v>101</v>
      </c>
      <c r="B73" t="s">
        <v>346</v>
      </c>
      <c r="D73">
        <v>953</v>
      </c>
      <c r="F73" t="s">
        <v>6128</v>
      </c>
      <c r="H73" t="s">
        <v>6536</v>
      </c>
      <c r="I73" t="s">
        <v>1516</v>
      </c>
      <c r="K73" t="s">
        <v>7400</v>
      </c>
      <c r="L73" t="s">
        <v>7401</v>
      </c>
    </row>
    <row r="74" spans="1:12" x14ac:dyDescent="0.35">
      <c r="A74" t="s">
        <v>101</v>
      </c>
      <c r="B74" t="s">
        <v>346</v>
      </c>
      <c r="D74">
        <v>1035</v>
      </c>
      <c r="F74" t="s">
        <v>6129</v>
      </c>
      <c r="H74" t="s">
        <v>6537</v>
      </c>
      <c r="I74" t="s">
        <v>1516</v>
      </c>
      <c r="K74" t="s">
        <v>7400</v>
      </c>
      <c r="L74" t="s">
        <v>7401</v>
      </c>
    </row>
    <row r="75" spans="1:12" x14ac:dyDescent="0.35">
      <c r="A75" t="s">
        <v>101</v>
      </c>
      <c r="B75" t="s">
        <v>6034</v>
      </c>
      <c r="D75">
        <v>112.1</v>
      </c>
      <c r="F75" t="s">
        <v>6130</v>
      </c>
      <c r="H75" t="s">
        <v>6538</v>
      </c>
      <c r="I75" t="s">
        <v>1569</v>
      </c>
      <c r="K75" t="s">
        <v>7400</v>
      </c>
      <c r="L75" t="s">
        <v>7401</v>
      </c>
    </row>
    <row r="76" spans="1:12" x14ac:dyDescent="0.35">
      <c r="A76" t="s">
        <v>101</v>
      </c>
      <c r="B76" t="s">
        <v>6035</v>
      </c>
      <c r="D76">
        <v>16.87</v>
      </c>
      <c r="F76" t="s">
        <v>6131</v>
      </c>
      <c r="H76" t="s">
        <v>6539</v>
      </c>
      <c r="I76" t="s">
        <v>4918</v>
      </c>
      <c r="K76" t="s">
        <v>7400</v>
      </c>
      <c r="L76" t="s">
        <v>7401</v>
      </c>
    </row>
    <row r="77" spans="1:12" x14ac:dyDescent="0.35">
      <c r="A77" t="s">
        <v>101</v>
      </c>
      <c r="B77" t="s">
        <v>350</v>
      </c>
      <c r="D77">
        <v>0.11</v>
      </c>
      <c r="F77" t="s">
        <v>1295</v>
      </c>
      <c r="H77" t="s">
        <v>6540</v>
      </c>
      <c r="I77" t="s">
        <v>1360</v>
      </c>
      <c r="K77" t="s">
        <v>7400</v>
      </c>
      <c r="L77" t="s">
        <v>7401</v>
      </c>
    </row>
    <row r="78" spans="1:12" x14ac:dyDescent="0.35">
      <c r="A78" t="s">
        <v>101</v>
      </c>
      <c r="B78" t="s">
        <v>350</v>
      </c>
      <c r="D78">
        <v>221</v>
      </c>
      <c r="F78" t="s">
        <v>4970</v>
      </c>
      <c r="H78" t="s">
        <v>6541</v>
      </c>
      <c r="I78" t="s">
        <v>1360</v>
      </c>
      <c r="K78" t="s">
        <v>7400</v>
      </c>
      <c r="L78" t="s">
        <v>7401</v>
      </c>
    </row>
    <row r="79" spans="1:12" x14ac:dyDescent="0.35">
      <c r="A79" t="s">
        <v>101</v>
      </c>
      <c r="B79" t="s">
        <v>351</v>
      </c>
      <c r="D79">
        <v>6.0999999999999999E-2</v>
      </c>
      <c r="F79" t="s">
        <v>1646</v>
      </c>
      <c r="H79" t="s">
        <v>6542</v>
      </c>
      <c r="I79" t="s">
        <v>4871</v>
      </c>
      <c r="K79" t="s">
        <v>7400</v>
      </c>
      <c r="L79" t="s">
        <v>7401</v>
      </c>
    </row>
    <row r="80" spans="1:12" x14ac:dyDescent="0.35">
      <c r="A80" t="s">
        <v>101</v>
      </c>
      <c r="B80" t="s">
        <v>352</v>
      </c>
      <c r="D80">
        <v>200</v>
      </c>
      <c r="F80" t="s">
        <v>2332</v>
      </c>
      <c r="H80" t="s">
        <v>6543</v>
      </c>
      <c r="I80" t="s">
        <v>1367</v>
      </c>
      <c r="K80" t="s">
        <v>7400</v>
      </c>
      <c r="L80" t="s">
        <v>7401</v>
      </c>
    </row>
    <row r="81" spans="1:12" x14ac:dyDescent="0.35">
      <c r="A81" t="s">
        <v>101</v>
      </c>
      <c r="B81" t="s">
        <v>352</v>
      </c>
      <c r="D81">
        <v>210</v>
      </c>
      <c r="F81" t="s">
        <v>2403</v>
      </c>
      <c r="H81" t="s">
        <v>6544</v>
      </c>
      <c r="I81" t="s">
        <v>7390</v>
      </c>
      <c r="K81" t="s">
        <v>7400</v>
      </c>
      <c r="L81" t="s">
        <v>7401</v>
      </c>
    </row>
    <row r="82" spans="1:12" x14ac:dyDescent="0.35">
      <c r="A82" t="s">
        <v>101</v>
      </c>
      <c r="B82" t="s">
        <v>352</v>
      </c>
      <c r="D82">
        <v>108</v>
      </c>
      <c r="F82" t="s">
        <v>4884</v>
      </c>
      <c r="H82" t="s">
        <v>6545</v>
      </c>
      <c r="I82" t="s">
        <v>1848</v>
      </c>
      <c r="K82" t="s">
        <v>7400</v>
      </c>
      <c r="L82" t="s">
        <v>7401</v>
      </c>
    </row>
    <row r="83" spans="1:12" x14ac:dyDescent="0.35">
      <c r="A83" t="s">
        <v>101</v>
      </c>
      <c r="B83" t="s">
        <v>352</v>
      </c>
      <c r="D83">
        <v>232</v>
      </c>
      <c r="F83" t="s">
        <v>5011</v>
      </c>
      <c r="H83" t="s">
        <v>6546</v>
      </c>
      <c r="I83" t="s">
        <v>1383</v>
      </c>
      <c r="K83" t="s">
        <v>7400</v>
      </c>
      <c r="L83" t="s">
        <v>7401</v>
      </c>
    </row>
    <row r="84" spans="1:12" x14ac:dyDescent="0.35">
      <c r="A84" t="s">
        <v>101</v>
      </c>
      <c r="B84" t="s">
        <v>6036</v>
      </c>
      <c r="D84">
        <v>2.4</v>
      </c>
      <c r="F84" t="s">
        <v>1433</v>
      </c>
      <c r="I84" t="s">
        <v>2050</v>
      </c>
      <c r="K84" t="s">
        <v>7400</v>
      </c>
      <c r="L84" t="s">
        <v>7401</v>
      </c>
    </row>
    <row r="85" spans="1:12" x14ac:dyDescent="0.35">
      <c r="A85" t="s">
        <v>101</v>
      </c>
      <c r="B85" t="s">
        <v>6036</v>
      </c>
      <c r="D85">
        <v>403.4</v>
      </c>
      <c r="F85" t="s">
        <v>6132</v>
      </c>
      <c r="H85" t="s">
        <v>6547</v>
      </c>
      <c r="I85" t="s">
        <v>2050</v>
      </c>
      <c r="K85" t="s">
        <v>7400</v>
      </c>
      <c r="L85" t="s">
        <v>7401</v>
      </c>
    </row>
    <row r="86" spans="1:12" x14ac:dyDescent="0.35">
      <c r="A86" t="s">
        <v>101</v>
      </c>
      <c r="B86" t="s">
        <v>6037</v>
      </c>
      <c r="D86">
        <v>100</v>
      </c>
      <c r="F86" t="s">
        <v>1353</v>
      </c>
      <c r="H86" t="s">
        <v>6548</v>
      </c>
      <c r="I86" t="s">
        <v>1379</v>
      </c>
      <c r="K86" t="s">
        <v>7400</v>
      </c>
      <c r="L86" t="s">
        <v>7401</v>
      </c>
    </row>
    <row r="87" spans="1:12" x14ac:dyDescent="0.35">
      <c r="A87" t="s">
        <v>101</v>
      </c>
      <c r="B87" t="s">
        <v>6037</v>
      </c>
      <c r="D87">
        <v>228</v>
      </c>
      <c r="F87" t="s">
        <v>5018</v>
      </c>
      <c r="H87" t="s">
        <v>6549</v>
      </c>
      <c r="I87" t="s">
        <v>1379</v>
      </c>
      <c r="K87" t="s">
        <v>7400</v>
      </c>
      <c r="L87" t="s">
        <v>7401</v>
      </c>
    </row>
    <row r="88" spans="1:12" x14ac:dyDescent="0.35">
      <c r="A88" t="s">
        <v>101</v>
      </c>
      <c r="B88" t="s">
        <v>472</v>
      </c>
      <c r="D88">
        <v>12.92</v>
      </c>
      <c r="F88" t="s">
        <v>6133</v>
      </c>
      <c r="H88" t="s">
        <v>6550</v>
      </c>
      <c r="I88" t="s">
        <v>4899</v>
      </c>
      <c r="K88" t="s">
        <v>7400</v>
      </c>
      <c r="L88" t="s">
        <v>7401</v>
      </c>
    </row>
    <row r="89" spans="1:12" x14ac:dyDescent="0.35">
      <c r="A89" t="s">
        <v>101</v>
      </c>
      <c r="B89" t="s">
        <v>472</v>
      </c>
      <c r="D89">
        <v>137.69999999999999</v>
      </c>
      <c r="F89" t="s">
        <v>6134</v>
      </c>
      <c r="H89" t="s">
        <v>6551</v>
      </c>
      <c r="I89" t="s">
        <v>4899</v>
      </c>
      <c r="K89" t="s">
        <v>7400</v>
      </c>
      <c r="L89" t="s">
        <v>7401</v>
      </c>
    </row>
    <row r="90" spans="1:12" x14ac:dyDescent="0.35">
      <c r="A90" t="s">
        <v>101</v>
      </c>
      <c r="B90" t="s">
        <v>6035</v>
      </c>
      <c r="D90">
        <v>0.186</v>
      </c>
      <c r="F90" t="s">
        <v>1945</v>
      </c>
      <c r="I90" t="s">
        <v>1494</v>
      </c>
      <c r="K90" t="s">
        <v>7400</v>
      </c>
      <c r="L90" t="s">
        <v>7401</v>
      </c>
    </row>
    <row r="91" spans="1:12" x14ac:dyDescent="0.35">
      <c r="A91" t="s">
        <v>101</v>
      </c>
      <c r="B91" t="s">
        <v>353</v>
      </c>
      <c r="D91">
        <v>0.06</v>
      </c>
      <c r="F91" t="s">
        <v>1370</v>
      </c>
      <c r="H91" t="s">
        <v>6552</v>
      </c>
      <c r="I91" t="s">
        <v>1551</v>
      </c>
      <c r="K91" t="s">
        <v>7400</v>
      </c>
      <c r="L91" t="s">
        <v>7401</v>
      </c>
    </row>
    <row r="92" spans="1:12" x14ac:dyDescent="0.35">
      <c r="A92" t="s">
        <v>101</v>
      </c>
      <c r="B92" t="s">
        <v>179</v>
      </c>
      <c r="D92">
        <v>202</v>
      </c>
      <c r="F92" t="s">
        <v>4996</v>
      </c>
      <c r="H92" t="s">
        <v>6553</v>
      </c>
      <c r="I92" t="s">
        <v>1449</v>
      </c>
      <c r="K92" t="s">
        <v>7400</v>
      </c>
      <c r="L92" t="s">
        <v>7401</v>
      </c>
    </row>
    <row r="93" spans="1:12" x14ac:dyDescent="0.35">
      <c r="A93" t="s">
        <v>101</v>
      </c>
      <c r="B93" t="s">
        <v>179</v>
      </c>
      <c r="D93">
        <v>215</v>
      </c>
      <c r="F93" t="s">
        <v>5505</v>
      </c>
      <c r="H93" t="s">
        <v>6554</v>
      </c>
      <c r="I93" t="s">
        <v>1449</v>
      </c>
      <c r="K93" t="s">
        <v>7400</v>
      </c>
      <c r="L93" t="s">
        <v>7401</v>
      </c>
    </row>
    <row r="94" spans="1:12" x14ac:dyDescent="0.35">
      <c r="A94" t="s">
        <v>101</v>
      </c>
      <c r="B94" t="s">
        <v>179</v>
      </c>
      <c r="D94">
        <v>8.7500000000000008E-3</v>
      </c>
      <c r="F94" t="s">
        <v>6135</v>
      </c>
      <c r="H94" t="s">
        <v>6555</v>
      </c>
      <c r="I94" t="s">
        <v>4857</v>
      </c>
      <c r="K94" t="s">
        <v>7400</v>
      </c>
      <c r="L94" t="s">
        <v>7401</v>
      </c>
    </row>
    <row r="95" spans="1:12" x14ac:dyDescent="0.35">
      <c r="A95" t="s">
        <v>101</v>
      </c>
      <c r="B95" t="s">
        <v>179</v>
      </c>
      <c r="D95">
        <v>9.6700000000000006E-6</v>
      </c>
      <c r="F95" t="s">
        <v>6136</v>
      </c>
      <c r="H95" t="s">
        <v>6556</v>
      </c>
      <c r="I95" t="s">
        <v>4857</v>
      </c>
      <c r="K95" t="s">
        <v>7400</v>
      </c>
      <c r="L95" t="s">
        <v>7401</v>
      </c>
    </row>
    <row r="96" spans="1:12" x14ac:dyDescent="0.35">
      <c r="A96" t="s">
        <v>101</v>
      </c>
      <c r="B96" t="s">
        <v>179</v>
      </c>
      <c r="D96">
        <v>48.45</v>
      </c>
      <c r="F96" t="s">
        <v>6137</v>
      </c>
      <c r="H96" t="s">
        <v>2821</v>
      </c>
      <c r="I96" t="s">
        <v>4854</v>
      </c>
      <c r="K96" t="s">
        <v>7400</v>
      </c>
      <c r="L96" t="s">
        <v>7401</v>
      </c>
    </row>
    <row r="97" spans="1:12" x14ac:dyDescent="0.35">
      <c r="A97" t="s">
        <v>101</v>
      </c>
      <c r="B97" t="s">
        <v>179</v>
      </c>
      <c r="D97">
        <v>22.37</v>
      </c>
      <c r="F97" t="s">
        <v>6138</v>
      </c>
      <c r="H97" t="s">
        <v>2822</v>
      </c>
      <c r="I97" t="s">
        <v>4854</v>
      </c>
      <c r="K97" t="s">
        <v>7400</v>
      </c>
      <c r="L97" t="s">
        <v>7401</v>
      </c>
    </row>
    <row r="98" spans="1:12" x14ac:dyDescent="0.35">
      <c r="A98" t="s">
        <v>101</v>
      </c>
      <c r="B98" t="s">
        <v>377</v>
      </c>
      <c r="D98">
        <v>0.14000000000000001</v>
      </c>
      <c r="F98" t="s">
        <v>1361</v>
      </c>
      <c r="H98" t="s">
        <v>6557</v>
      </c>
      <c r="I98" t="s">
        <v>4882</v>
      </c>
      <c r="K98" t="s">
        <v>7400</v>
      </c>
      <c r="L98" t="s">
        <v>7401</v>
      </c>
    </row>
    <row r="99" spans="1:12" x14ac:dyDescent="0.35">
      <c r="A99" t="s">
        <v>101</v>
      </c>
      <c r="B99" t="s">
        <v>377</v>
      </c>
      <c r="D99">
        <v>0.16</v>
      </c>
      <c r="F99" t="s">
        <v>1573</v>
      </c>
      <c r="H99" t="s">
        <v>6558</v>
      </c>
      <c r="I99" t="s">
        <v>4882</v>
      </c>
      <c r="K99" t="s">
        <v>7400</v>
      </c>
      <c r="L99" t="s">
        <v>7401</v>
      </c>
    </row>
    <row r="100" spans="1:12" x14ac:dyDescent="0.35">
      <c r="A100" t="s">
        <v>101</v>
      </c>
      <c r="B100" t="s">
        <v>377</v>
      </c>
      <c r="D100">
        <v>0.28000000000000003</v>
      </c>
      <c r="F100" t="s">
        <v>1732</v>
      </c>
      <c r="H100" t="s">
        <v>6559</v>
      </c>
      <c r="I100" t="s">
        <v>4882</v>
      </c>
      <c r="K100" t="s">
        <v>7400</v>
      </c>
      <c r="L100" t="s">
        <v>7401</v>
      </c>
    </row>
    <row r="101" spans="1:12" x14ac:dyDescent="0.35">
      <c r="A101" t="s">
        <v>101</v>
      </c>
      <c r="B101" t="s">
        <v>377</v>
      </c>
      <c r="D101">
        <v>2.67</v>
      </c>
      <c r="F101" t="s">
        <v>2475</v>
      </c>
      <c r="H101" t="s">
        <v>6560</v>
      </c>
      <c r="I101" t="s">
        <v>4882</v>
      </c>
      <c r="K101" t="s">
        <v>7400</v>
      </c>
      <c r="L101" t="s">
        <v>7401</v>
      </c>
    </row>
    <row r="102" spans="1:12" x14ac:dyDescent="0.35">
      <c r="A102" t="s">
        <v>101</v>
      </c>
      <c r="B102" t="s">
        <v>464</v>
      </c>
      <c r="D102">
        <v>2.4169999999999998</v>
      </c>
      <c r="F102" t="s">
        <v>6139</v>
      </c>
      <c r="H102" t="s">
        <v>6561</v>
      </c>
      <c r="I102" t="s">
        <v>4923</v>
      </c>
      <c r="K102" t="s">
        <v>7400</v>
      </c>
      <c r="L102" t="s">
        <v>7401</v>
      </c>
    </row>
    <row r="103" spans="1:12" x14ac:dyDescent="0.35">
      <c r="A103" t="s">
        <v>101</v>
      </c>
      <c r="B103" t="s">
        <v>380</v>
      </c>
      <c r="D103">
        <v>170</v>
      </c>
      <c r="F103" t="s">
        <v>1969</v>
      </c>
      <c r="H103" t="s">
        <v>6562</v>
      </c>
      <c r="I103" t="s">
        <v>1878</v>
      </c>
      <c r="K103" t="s">
        <v>7400</v>
      </c>
      <c r="L103" t="s">
        <v>7401</v>
      </c>
    </row>
    <row r="104" spans="1:12" x14ac:dyDescent="0.35">
      <c r="A104" t="s">
        <v>102</v>
      </c>
      <c r="B104" t="s">
        <v>321</v>
      </c>
      <c r="D104">
        <v>5.0999999999999996</v>
      </c>
      <c r="F104" t="s">
        <v>1710</v>
      </c>
      <c r="H104" t="s">
        <v>6563</v>
      </c>
      <c r="I104" t="s">
        <v>4983</v>
      </c>
      <c r="K104" t="s">
        <v>7400</v>
      </c>
      <c r="L104" t="s">
        <v>7401</v>
      </c>
    </row>
    <row r="105" spans="1:12" x14ac:dyDescent="0.35">
      <c r="A105" t="s">
        <v>102</v>
      </c>
      <c r="B105" t="s">
        <v>321</v>
      </c>
      <c r="D105">
        <v>11.5</v>
      </c>
      <c r="F105" t="s">
        <v>1741</v>
      </c>
      <c r="H105" t="s">
        <v>6564</v>
      </c>
      <c r="I105" t="s">
        <v>4983</v>
      </c>
      <c r="K105" t="s">
        <v>7400</v>
      </c>
      <c r="L105" t="s">
        <v>7401</v>
      </c>
    </row>
    <row r="106" spans="1:12" x14ac:dyDescent="0.35">
      <c r="A106" t="s">
        <v>102</v>
      </c>
      <c r="B106" t="s">
        <v>332</v>
      </c>
      <c r="D106">
        <v>30</v>
      </c>
      <c r="F106" t="s">
        <v>1354</v>
      </c>
      <c r="H106" t="s">
        <v>6565</v>
      </c>
      <c r="I106" t="s">
        <v>1705</v>
      </c>
      <c r="K106" t="s">
        <v>7400</v>
      </c>
      <c r="L106" t="s">
        <v>7401</v>
      </c>
    </row>
    <row r="107" spans="1:12" x14ac:dyDescent="0.35">
      <c r="A107" t="s">
        <v>102</v>
      </c>
      <c r="B107" t="s">
        <v>362</v>
      </c>
      <c r="D107">
        <v>53</v>
      </c>
      <c r="F107" t="s">
        <v>2254</v>
      </c>
      <c r="I107" t="s">
        <v>1889</v>
      </c>
      <c r="K107" t="s">
        <v>7400</v>
      </c>
      <c r="L107" t="s">
        <v>7401</v>
      </c>
    </row>
    <row r="108" spans="1:12" x14ac:dyDescent="0.35">
      <c r="A108" t="s">
        <v>102</v>
      </c>
      <c r="B108" t="s">
        <v>364</v>
      </c>
      <c r="D108">
        <v>216</v>
      </c>
      <c r="F108" t="s">
        <v>6140</v>
      </c>
      <c r="H108" t="s">
        <v>6566</v>
      </c>
      <c r="I108" t="s">
        <v>1394</v>
      </c>
      <c r="K108" t="s">
        <v>7400</v>
      </c>
      <c r="L108" t="s">
        <v>7401</v>
      </c>
    </row>
    <row r="109" spans="1:12" x14ac:dyDescent="0.35">
      <c r="A109" t="s">
        <v>102</v>
      </c>
      <c r="B109" t="s">
        <v>365</v>
      </c>
      <c r="D109">
        <v>215</v>
      </c>
      <c r="F109" t="s">
        <v>5505</v>
      </c>
      <c r="H109" t="s">
        <v>6567</v>
      </c>
      <c r="I109" t="s">
        <v>1394</v>
      </c>
      <c r="K109" t="s">
        <v>7400</v>
      </c>
      <c r="L109" t="s">
        <v>7401</v>
      </c>
    </row>
    <row r="110" spans="1:12" x14ac:dyDescent="0.35">
      <c r="A110" t="s">
        <v>102</v>
      </c>
      <c r="B110" t="s">
        <v>369</v>
      </c>
      <c r="D110">
        <v>456</v>
      </c>
      <c r="F110" t="s">
        <v>6141</v>
      </c>
      <c r="H110" t="s">
        <v>6568</v>
      </c>
      <c r="I110" t="s">
        <v>1494</v>
      </c>
      <c r="K110" t="s">
        <v>7400</v>
      </c>
      <c r="L110" t="s">
        <v>7401</v>
      </c>
    </row>
    <row r="111" spans="1:12" x14ac:dyDescent="0.35">
      <c r="A111" t="s">
        <v>102</v>
      </c>
      <c r="B111" t="s">
        <v>373</v>
      </c>
      <c r="D111">
        <v>18.5</v>
      </c>
      <c r="F111" t="s">
        <v>1425</v>
      </c>
      <c r="I111" t="s">
        <v>1450</v>
      </c>
      <c r="K111" t="s">
        <v>7400</v>
      </c>
      <c r="L111" t="s">
        <v>7401</v>
      </c>
    </row>
    <row r="112" spans="1:12" x14ac:dyDescent="0.35">
      <c r="A112" t="s">
        <v>102</v>
      </c>
      <c r="B112" t="s">
        <v>376</v>
      </c>
      <c r="D112">
        <v>450</v>
      </c>
      <c r="F112" t="s">
        <v>6121</v>
      </c>
      <c r="H112" t="s">
        <v>6569</v>
      </c>
      <c r="I112" t="s">
        <v>1394</v>
      </c>
      <c r="K112" t="s">
        <v>7400</v>
      </c>
      <c r="L112" t="s">
        <v>7401</v>
      </c>
    </row>
    <row r="113" spans="1:12" x14ac:dyDescent="0.35">
      <c r="A113" t="s">
        <v>102</v>
      </c>
      <c r="B113" t="s">
        <v>377</v>
      </c>
      <c r="D113">
        <v>253</v>
      </c>
      <c r="F113" t="s">
        <v>5188</v>
      </c>
      <c r="H113" t="s">
        <v>6570</v>
      </c>
      <c r="I113" t="s">
        <v>1394</v>
      </c>
      <c r="K113" t="s">
        <v>7400</v>
      </c>
      <c r="L113" t="s">
        <v>7401</v>
      </c>
    </row>
    <row r="114" spans="1:12" x14ac:dyDescent="0.35">
      <c r="A114" t="s">
        <v>102</v>
      </c>
      <c r="B114" t="s">
        <v>6038</v>
      </c>
      <c r="D114">
        <v>0.11</v>
      </c>
      <c r="F114" t="s">
        <v>1295</v>
      </c>
      <c r="H114" t="s">
        <v>6571</v>
      </c>
      <c r="I114" t="s">
        <v>4931</v>
      </c>
      <c r="K114" t="s">
        <v>7400</v>
      </c>
      <c r="L114" t="s">
        <v>7401</v>
      </c>
    </row>
    <row r="115" spans="1:12" x14ac:dyDescent="0.35">
      <c r="A115" t="s">
        <v>102</v>
      </c>
      <c r="B115" t="s">
        <v>6038</v>
      </c>
      <c r="D115">
        <v>0.65</v>
      </c>
      <c r="F115" t="s">
        <v>1819</v>
      </c>
      <c r="H115" t="s">
        <v>6572</v>
      </c>
      <c r="I115" t="s">
        <v>4931</v>
      </c>
      <c r="K115" t="s">
        <v>7400</v>
      </c>
      <c r="L115" t="s">
        <v>7401</v>
      </c>
    </row>
    <row r="116" spans="1:12" x14ac:dyDescent="0.35">
      <c r="A116" t="s">
        <v>102</v>
      </c>
      <c r="B116" t="s">
        <v>6038</v>
      </c>
      <c r="D116">
        <v>0.57999999999999996</v>
      </c>
      <c r="F116" t="s">
        <v>1444</v>
      </c>
      <c r="H116" t="s">
        <v>6573</v>
      </c>
      <c r="I116" t="s">
        <v>4931</v>
      </c>
      <c r="K116" t="s">
        <v>7400</v>
      </c>
      <c r="L116" t="s">
        <v>7401</v>
      </c>
    </row>
    <row r="117" spans="1:12" x14ac:dyDescent="0.35">
      <c r="A117" t="s">
        <v>102</v>
      </c>
      <c r="B117" t="s">
        <v>6038</v>
      </c>
      <c r="D117">
        <v>1.27</v>
      </c>
      <c r="F117" t="s">
        <v>1364</v>
      </c>
      <c r="H117" t="s">
        <v>6574</v>
      </c>
      <c r="I117" t="s">
        <v>4931</v>
      </c>
      <c r="K117" t="s">
        <v>7400</v>
      </c>
      <c r="L117" t="s">
        <v>7401</v>
      </c>
    </row>
    <row r="118" spans="1:12" x14ac:dyDescent="0.35">
      <c r="A118" t="s">
        <v>102</v>
      </c>
      <c r="B118" t="s">
        <v>6038</v>
      </c>
      <c r="D118">
        <v>1.44</v>
      </c>
      <c r="F118" t="s">
        <v>1718</v>
      </c>
      <c r="H118" t="s">
        <v>6575</v>
      </c>
      <c r="I118" t="s">
        <v>4931</v>
      </c>
      <c r="K118" t="s">
        <v>7400</v>
      </c>
      <c r="L118" t="s">
        <v>7401</v>
      </c>
    </row>
    <row r="119" spans="1:12" x14ac:dyDescent="0.35">
      <c r="A119" t="s">
        <v>102</v>
      </c>
      <c r="B119" t="s">
        <v>6038</v>
      </c>
      <c r="D119">
        <v>0.63</v>
      </c>
      <c r="F119" t="s">
        <v>1931</v>
      </c>
      <c r="H119" t="s">
        <v>6576</v>
      </c>
      <c r="I119" t="s">
        <v>4931</v>
      </c>
      <c r="K119" t="s">
        <v>7400</v>
      </c>
      <c r="L119" t="s">
        <v>7401</v>
      </c>
    </row>
    <row r="120" spans="1:12" x14ac:dyDescent="0.35">
      <c r="A120" t="s">
        <v>102</v>
      </c>
      <c r="B120" t="s">
        <v>379</v>
      </c>
      <c r="D120">
        <v>351</v>
      </c>
      <c r="F120" t="s">
        <v>6142</v>
      </c>
      <c r="H120" t="s">
        <v>6577</v>
      </c>
      <c r="I120" t="s">
        <v>4886</v>
      </c>
      <c r="K120" t="s">
        <v>7400</v>
      </c>
      <c r="L120" t="s">
        <v>7401</v>
      </c>
    </row>
    <row r="121" spans="1:12" x14ac:dyDescent="0.35">
      <c r="A121" t="s">
        <v>102</v>
      </c>
      <c r="B121" t="s">
        <v>379</v>
      </c>
      <c r="D121">
        <v>2323</v>
      </c>
      <c r="F121" t="s">
        <v>6143</v>
      </c>
      <c r="H121" t="s">
        <v>6578</v>
      </c>
      <c r="I121" t="s">
        <v>4886</v>
      </c>
      <c r="K121" t="s">
        <v>7400</v>
      </c>
      <c r="L121" t="s">
        <v>7401</v>
      </c>
    </row>
    <row r="122" spans="1:12" x14ac:dyDescent="0.35">
      <c r="A122" t="s">
        <v>102</v>
      </c>
      <c r="B122" t="s">
        <v>175</v>
      </c>
      <c r="D122">
        <v>0.6</v>
      </c>
      <c r="F122" t="s">
        <v>1519</v>
      </c>
      <c r="H122" t="s">
        <v>6579</v>
      </c>
      <c r="I122" t="s">
        <v>4887</v>
      </c>
      <c r="K122" t="s">
        <v>7400</v>
      </c>
      <c r="L122" t="s">
        <v>7401</v>
      </c>
    </row>
    <row r="123" spans="1:12" x14ac:dyDescent="0.35">
      <c r="A123" t="s">
        <v>102</v>
      </c>
      <c r="B123" t="s">
        <v>175</v>
      </c>
      <c r="D123">
        <v>1.37</v>
      </c>
      <c r="F123" t="s">
        <v>1720</v>
      </c>
      <c r="H123" t="s">
        <v>6580</v>
      </c>
      <c r="I123" t="s">
        <v>4887</v>
      </c>
      <c r="K123" t="s">
        <v>7400</v>
      </c>
      <c r="L123" t="s">
        <v>7401</v>
      </c>
    </row>
    <row r="124" spans="1:12" x14ac:dyDescent="0.35">
      <c r="A124" t="s">
        <v>102</v>
      </c>
      <c r="B124" t="s">
        <v>175</v>
      </c>
      <c r="D124">
        <v>1.7470000000000001</v>
      </c>
      <c r="F124" t="s">
        <v>6144</v>
      </c>
      <c r="H124" t="s">
        <v>6581</v>
      </c>
      <c r="I124" t="s">
        <v>4887</v>
      </c>
      <c r="K124" t="s">
        <v>7400</v>
      </c>
      <c r="L124" t="s">
        <v>7401</v>
      </c>
    </row>
    <row r="125" spans="1:12" x14ac:dyDescent="0.35">
      <c r="A125" t="s">
        <v>102</v>
      </c>
      <c r="B125" t="s">
        <v>175</v>
      </c>
      <c r="D125">
        <v>2.7879999999999998</v>
      </c>
      <c r="F125" t="s">
        <v>6145</v>
      </c>
      <c r="H125" t="s">
        <v>6582</v>
      </c>
      <c r="I125" t="s">
        <v>4887</v>
      </c>
      <c r="K125" t="s">
        <v>7400</v>
      </c>
      <c r="L125" t="s">
        <v>7401</v>
      </c>
    </row>
    <row r="126" spans="1:12" x14ac:dyDescent="0.35">
      <c r="A126" t="s">
        <v>102</v>
      </c>
      <c r="B126" t="s">
        <v>175</v>
      </c>
      <c r="D126">
        <v>4.0339999999999998</v>
      </c>
      <c r="F126" t="s">
        <v>6146</v>
      </c>
      <c r="H126" t="s">
        <v>6583</v>
      </c>
      <c r="I126" t="s">
        <v>4887</v>
      </c>
      <c r="K126" t="s">
        <v>7400</v>
      </c>
      <c r="L126" t="s">
        <v>7401</v>
      </c>
    </row>
    <row r="127" spans="1:12" x14ac:dyDescent="0.35">
      <c r="A127" t="s">
        <v>102</v>
      </c>
      <c r="B127" t="s">
        <v>175</v>
      </c>
      <c r="D127">
        <v>1.2370000000000001</v>
      </c>
      <c r="F127" t="s">
        <v>6147</v>
      </c>
      <c r="H127" t="s">
        <v>6584</v>
      </c>
      <c r="I127" t="s">
        <v>4887</v>
      </c>
      <c r="K127" t="s">
        <v>7400</v>
      </c>
      <c r="L127" t="s">
        <v>7401</v>
      </c>
    </row>
    <row r="128" spans="1:12" x14ac:dyDescent="0.35">
      <c r="A128" t="s">
        <v>102</v>
      </c>
      <c r="B128" t="s">
        <v>175</v>
      </c>
      <c r="D128">
        <v>1.282</v>
      </c>
      <c r="F128" t="s">
        <v>6148</v>
      </c>
      <c r="H128" t="s">
        <v>6585</v>
      </c>
      <c r="I128" t="s">
        <v>4887</v>
      </c>
      <c r="K128" t="s">
        <v>7400</v>
      </c>
      <c r="L128" t="s">
        <v>7401</v>
      </c>
    </row>
    <row r="129" spans="1:12" x14ac:dyDescent="0.35">
      <c r="A129" t="s">
        <v>102</v>
      </c>
      <c r="B129" t="s">
        <v>375</v>
      </c>
      <c r="D129">
        <v>109</v>
      </c>
      <c r="F129" t="s">
        <v>1621</v>
      </c>
      <c r="I129" t="s">
        <v>1387</v>
      </c>
      <c r="K129" t="s">
        <v>7400</v>
      </c>
      <c r="L129" t="s">
        <v>7401</v>
      </c>
    </row>
    <row r="130" spans="1:12" x14ac:dyDescent="0.35">
      <c r="A130" t="s">
        <v>102</v>
      </c>
      <c r="B130" t="s">
        <v>381</v>
      </c>
      <c r="D130">
        <v>7.35</v>
      </c>
      <c r="F130" t="s">
        <v>6149</v>
      </c>
      <c r="H130" t="s">
        <v>6586</v>
      </c>
      <c r="I130" t="s">
        <v>4870</v>
      </c>
      <c r="K130" t="s">
        <v>7400</v>
      </c>
      <c r="L130" t="s">
        <v>7401</v>
      </c>
    </row>
    <row r="131" spans="1:12" x14ac:dyDescent="0.35">
      <c r="A131" t="s">
        <v>102</v>
      </c>
      <c r="B131" t="s">
        <v>381</v>
      </c>
      <c r="D131">
        <v>15.8</v>
      </c>
      <c r="F131" t="s">
        <v>6150</v>
      </c>
      <c r="H131" t="s">
        <v>6587</v>
      </c>
      <c r="I131" t="s">
        <v>4870</v>
      </c>
      <c r="K131" t="s">
        <v>7400</v>
      </c>
      <c r="L131" t="s">
        <v>7401</v>
      </c>
    </row>
    <row r="132" spans="1:12" x14ac:dyDescent="0.35">
      <c r="A132" t="s">
        <v>102</v>
      </c>
      <c r="B132" t="s">
        <v>382</v>
      </c>
      <c r="D132">
        <v>144.80000000000001</v>
      </c>
      <c r="F132" t="s">
        <v>6151</v>
      </c>
      <c r="H132" t="s">
        <v>6588</v>
      </c>
      <c r="I132" t="s">
        <v>4889</v>
      </c>
      <c r="K132" t="s">
        <v>7400</v>
      </c>
      <c r="L132" t="s">
        <v>7401</v>
      </c>
    </row>
    <row r="133" spans="1:12" x14ac:dyDescent="0.35">
      <c r="A133" t="s">
        <v>102</v>
      </c>
      <c r="B133" t="s">
        <v>382</v>
      </c>
      <c r="D133">
        <v>16.48</v>
      </c>
      <c r="F133" t="s">
        <v>6152</v>
      </c>
      <c r="H133" t="s">
        <v>6589</v>
      </c>
      <c r="I133" t="s">
        <v>4889</v>
      </c>
      <c r="K133" t="s">
        <v>7400</v>
      </c>
      <c r="L133" t="s">
        <v>7401</v>
      </c>
    </row>
    <row r="134" spans="1:12" x14ac:dyDescent="0.35">
      <c r="A134" t="s">
        <v>102</v>
      </c>
      <c r="B134" t="s">
        <v>383</v>
      </c>
      <c r="D134">
        <v>27.6</v>
      </c>
      <c r="F134" t="s">
        <v>2392</v>
      </c>
      <c r="I134" t="s">
        <v>2051</v>
      </c>
      <c r="K134" t="s">
        <v>7400</v>
      </c>
      <c r="L134" t="s">
        <v>7401</v>
      </c>
    </row>
    <row r="135" spans="1:12" x14ac:dyDescent="0.35">
      <c r="A135" t="s">
        <v>102</v>
      </c>
      <c r="B135" t="s">
        <v>384</v>
      </c>
      <c r="D135">
        <v>66.7</v>
      </c>
      <c r="F135" t="s">
        <v>5343</v>
      </c>
      <c r="H135" t="s">
        <v>6590</v>
      </c>
      <c r="I135" t="s">
        <v>4890</v>
      </c>
      <c r="K135" t="s">
        <v>7400</v>
      </c>
      <c r="L135" t="s">
        <v>7401</v>
      </c>
    </row>
    <row r="136" spans="1:12" x14ac:dyDescent="0.35">
      <c r="A136" t="s">
        <v>102</v>
      </c>
      <c r="B136" t="s">
        <v>384</v>
      </c>
      <c r="D136">
        <v>15.5</v>
      </c>
      <c r="F136" t="s">
        <v>6153</v>
      </c>
      <c r="H136" t="s">
        <v>6591</v>
      </c>
      <c r="I136" t="s">
        <v>4890</v>
      </c>
      <c r="K136" t="s">
        <v>7400</v>
      </c>
      <c r="L136" t="s">
        <v>7401</v>
      </c>
    </row>
    <row r="137" spans="1:12" x14ac:dyDescent="0.35">
      <c r="A137" t="s">
        <v>102</v>
      </c>
      <c r="B137" t="s">
        <v>384</v>
      </c>
      <c r="D137">
        <v>17.399999999999999</v>
      </c>
      <c r="F137" t="s">
        <v>1472</v>
      </c>
      <c r="H137" t="s">
        <v>6592</v>
      </c>
      <c r="I137" t="s">
        <v>4890</v>
      </c>
      <c r="K137" t="s">
        <v>7400</v>
      </c>
      <c r="L137" t="s">
        <v>7401</v>
      </c>
    </row>
    <row r="138" spans="1:12" x14ac:dyDescent="0.35">
      <c r="A138" t="s">
        <v>102</v>
      </c>
      <c r="B138" t="s">
        <v>384</v>
      </c>
      <c r="D138">
        <v>72.3</v>
      </c>
      <c r="F138" t="s">
        <v>6154</v>
      </c>
      <c r="H138" t="s">
        <v>6593</v>
      </c>
      <c r="I138" t="s">
        <v>4890</v>
      </c>
      <c r="K138" t="s">
        <v>7400</v>
      </c>
      <c r="L138" t="s">
        <v>7401</v>
      </c>
    </row>
    <row r="139" spans="1:12" x14ac:dyDescent="0.35">
      <c r="A139" t="s">
        <v>102</v>
      </c>
      <c r="B139" t="s">
        <v>384</v>
      </c>
      <c r="D139">
        <v>798</v>
      </c>
      <c r="F139" t="s">
        <v>6155</v>
      </c>
      <c r="H139" t="s">
        <v>6594</v>
      </c>
      <c r="I139" t="s">
        <v>4890</v>
      </c>
      <c r="K139" t="s">
        <v>7400</v>
      </c>
      <c r="L139" t="s">
        <v>7401</v>
      </c>
    </row>
    <row r="140" spans="1:12" x14ac:dyDescent="0.35">
      <c r="A140" t="s">
        <v>102</v>
      </c>
      <c r="B140" t="s">
        <v>384</v>
      </c>
      <c r="D140">
        <v>25</v>
      </c>
      <c r="F140" t="s">
        <v>1387</v>
      </c>
      <c r="H140" t="s">
        <v>6595</v>
      </c>
      <c r="I140" t="s">
        <v>4890</v>
      </c>
      <c r="K140" t="s">
        <v>7400</v>
      </c>
      <c r="L140" t="s">
        <v>7401</v>
      </c>
    </row>
    <row r="141" spans="1:12" x14ac:dyDescent="0.35">
      <c r="A141" t="s">
        <v>102</v>
      </c>
      <c r="B141" t="s">
        <v>384</v>
      </c>
      <c r="D141">
        <v>451.5</v>
      </c>
      <c r="F141" t="s">
        <v>6156</v>
      </c>
      <c r="H141" t="s">
        <v>6596</v>
      </c>
      <c r="I141" t="s">
        <v>4890</v>
      </c>
      <c r="K141" t="s">
        <v>7400</v>
      </c>
      <c r="L141" t="s">
        <v>7401</v>
      </c>
    </row>
    <row r="142" spans="1:12" x14ac:dyDescent="0.35">
      <c r="A142" t="s">
        <v>102</v>
      </c>
      <c r="B142" t="s">
        <v>384</v>
      </c>
      <c r="D142">
        <v>512.4</v>
      </c>
      <c r="F142" t="s">
        <v>6157</v>
      </c>
      <c r="H142" t="s">
        <v>6597</v>
      </c>
      <c r="I142" t="s">
        <v>4890</v>
      </c>
      <c r="K142" t="s">
        <v>7400</v>
      </c>
      <c r="L142" t="s">
        <v>7401</v>
      </c>
    </row>
    <row r="143" spans="1:12" x14ac:dyDescent="0.35">
      <c r="A143" t="s">
        <v>102</v>
      </c>
      <c r="B143" t="s">
        <v>384</v>
      </c>
      <c r="D143">
        <v>4071</v>
      </c>
      <c r="F143" t="s">
        <v>6158</v>
      </c>
      <c r="H143" t="s">
        <v>6598</v>
      </c>
      <c r="I143" t="s">
        <v>4890</v>
      </c>
      <c r="K143" t="s">
        <v>7400</v>
      </c>
      <c r="L143" t="s">
        <v>7401</v>
      </c>
    </row>
    <row r="144" spans="1:12" x14ac:dyDescent="0.35">
      <c r="A144" t="s">
        <v>102</v>
      </c>
      <c r="B144" t="s">
        <v>384</v>
      </c>
      <c r="D144">
        <v>435.8</v>
      </c>
      <c r="F144" t="s">
        <v>6159</v>
      </c>
      <c r="H144" t="s">
        <v>6599</v>
      </c>
      <c r="I144" t="s">
        <v>4890</v>
      </c>
      <c r="K144" t="s">
        <v>7400</v>
      </c>
      <c r="L144" t="s">
        <v>7401</v>
      </c>
    </row>
    <row r="145" spans="1:12" x14ac:dyDescent="0.35">
      <c r="A145" t="s">
        <v>102</v>
      </c>
      <c r="B145" t="s">
        <v>384</v>
      </c>
      <c r="D145">
        <v>680.3</v>
      </c>
      <c r="F145" t="s">
        <v>6160</v>
      </c>
      <c r="H145" t="s">
        <v>6600</v>
      </c>
      <c r="I145" t="s">
        <v>4890</v>
      </c>
      <c r="K145" t="s">
        <v>7400</v>
      </c>
      <c r="L145" t="s">
        <v>7401</v>
      </c>
    </row>
    <row r="146" spans="1:12" x14ac:dyDescent="0.35">
      <c r="A146" t="s">
        <v>102</v>
      </c>
      <c r="B146" t="s">
        <v>384</v>
      </c>
      <c r="D146">
        <v>168.4</v>
      </c>
      <c r="F146" t="s">
        <v>6161</v>
      </c>
      <c r="H146" t="s">
        <v>6601</v>
      </c>
      <c r="I146" t="s">
        <v>4890</v>
      </c>
      <c r="K146" t="s">
        <v>7400</v>
      </c>
      <c r="L146" t="s">
        <v>7401</v>
      </c>
    </row>
    <row r="147" spans="1:12" x14ac:dyDescent="0.35">
      <c r="A147" t="s">
        <v>102</v>
      </c>
      <c r="B147" t="s">
        <v>384</v>
      </c>
      <c r="D147">
        <v>671.2</v>
      </c>
      <c r="F147" t="s">
        <v>6162</v>
      </c>
      <c r="H147" t="s">
        <v>6602</v>
      </c>
      <c r="I147" t="s">
        <v>4890</v>
      </c>
      <c r="K147" t="s">
        <v>7400</v>
      </c>
      <c r="L147" t="s">
        <v>7401</v>
      </c>
    </row>
    <row r="148" spans="1:12" x14ac:dyDescent="0.35">
      <c r="A148" t="s">
        <v>102</v>
      </c>
      <c r="B148" t="s">
        <v>6039</v>
      </c>
      <c r="D148">
        <v>29.6</v>
      </c>
      <c r="F148" t="s">
        <v>5482</v>
      </c>
      <c r="H148" t="s">
        <v>6603</v>
      </c>
      <c r="I148" t="s">
        <v>4865</v>
      </c>
      <c r="K148" t="s">
        <v>7400</v>
      </c>
      <c r="L148" t="s">
        <v>7401</v>
      </c>
    </row>
    <row r="149" spans="1:12" x14ac:dyDescent="0.35">
      <c r="A149" t="s">
        <v>102</v>
      </c>
      <c r="B149" t="s">
        <v>6039</v>
      </c>
      <c r="D149">
        <v>10.4</v>
      </c>
      <c r="F149" t="s">
        <v>1876</v>
      </c>
      <c r="H149" t="s">
        <v>6604</v>
      </c>
      <c r="I149" t="s">
        <v>4865</v>
      </c>
      <c r="K149" t="s">
        <v>7400</v>
      </c>
      <c r="L149" t="s">
        <v>7401</v>
      </c>
    </row>
    <row r="150" spans="1:12" x14ac:dyDescent="0.35">
      <c r="A150" t="s">
        <v>102</v>
      </c>
      <c r="B150" t="s">
        <v>386</v>
      </c>
      <c r="D150">
        <v>2350</v>
      </c>
      <c r="F150" t="s">
        <v>6163</v>
      </c>
      <c r="I150" t="s">
        <v>1839</v>
      </c>
      <c r="K150" t="s">
        <v>7400</v>
      </c>
      <c r="L150" t="s">
        <v>7401</v>
      </c>
    </row>
    <row r="151" spans="1:12" x14ac:dyDescent="0.35">
      <c r="A151" t="s">
        <v>102</v>
      </c>
      <c r="B151" t="s">
        <v>387</v>
      </c>
      <c r="D151">
        <v>2292</v>
      </c>
      <c r="F151" t="s">
        <v>6164</v>
      </c>
      <c r="I151" t="s">
        <v>1477</v>
      </c>
      <c r="K151" t="s">
        <v>7400</v>
      </c>
      <c r="L151" t="s">
        <v>7401</v>
      </c>
    </row>
    <row r="152" spans="1:12" x14ac:dyDescent="0.35">
      <c r="A152" t="s">
        <v>102</v>
      </c>
      <c r="B152" t="s">
        <v>387</v>
      </c>
      <c r="D152">
        <v>2320</v>
      </c>
      <c r="F152" t="s">
        <v>6165</v>
      </c>
      <c r="I152" t="s">
        <v>1968</v>
      </c>
      <c r="K152" t="s">
        <v>7400</v>
      </c>
      <c r="L152" t="s">
        <v>7401</v>
      </c>
    </row>
    <row r="153" spans="1:12" x14ac:dyDescent="0.35">
      <c r="A153" t="s">
        <v>102</v>
      </c>
      <c r="B153" t="s">
        <v>6040</v>
      </c>
      <c r="D153">
        <v>2220</v>
      </c>
      <c r="F153" t="s">
        <v>6166</v>
      </c>
      <c r="I153" t="s">
        <v>1766</v>
      </c>
      <c r="K153" t="s">
        <v>7400</v>
      </c>
      <c r="L153" t="s">
        <v>7401</v>
      </c>
    </row>
    <row r="154" spans="1:12" x14ac:dyDescent="0.35">
      <c r="A154" t="s">
        <v>102</v>
      </c>
      <c r="B154" t="s">
        <v>389</v>
      </c>
      <c r="D154">
        <v>203.3</v>
      </c>
      <c r="F154" t="s">
        <v>6167</v>
      </c>
      <c r="H154" t="s">
        <v>6605</v>
      </c>
      <c r="I154" t="s">
        <v>4891</v>
      </c>
      <c r="K154" t="s">
        <v>7400</v>
      </c>
      <c r="L154" t="s">
        <v>7401</v>
      </c>
    </row>
    <row r="155" spans="1:12" x14ac:dyDescent="0.35">
      <c r="A155" t="s">
        <v>102</v>
      </c>
      <c r="B155" t="s">
        <v>390</v>
      </c>
      <c r="D155">
        <v>2030</v>
      </c>
      <c r="F155" t="s">
        <v>6168</v>
      </c>
      <c r="I155" t="s">
        <v>1968</v>
      </c>
      <c r="K155" t="s">
        <v>7400</v>
      </c>
      <c r="L155" t="s">
        <v>7401</v>
      </c>
    </row>
    <row r="156" spans="1:12" x14ac:dyDescent="0.35">
      <c r="A156" t="s">
        <v>102</v>
      </c>
      <c r="B156" t="s">
        <v>6041</v>
      </c>
      <c r="D156">
        <v>824.6</v>
      </c>
      <c r="F156" t="s">
        <v>6169</v>
      </c>
      <c r="I156" t="s">
        <v>1841</v>
      </c>
      <c r="K156" t="s">
        <v>7400</v>
      </c>
      <c r="L156" t="s">
        <v>7401</v>
      </c>
    </row>
    <row r="157" spans="1:12" x14ac:dyDescent="0.35">
      <c r="A157" t="s">
        <v>102</v>
      </c>
      <c r="B157" t="s">
        <v>377</v>
      </c>
      <c r="D157">
        <v>453.8</v>
      </c>
      <c r="F157" t="s">
        <v>6170</v>
      </c>
      <c r="I157" t="s">
        <v>4930</v>
      </c>
      <c r="K157" t="s">
        <v>7400</v>
      </c>
      <c r="L157" t="s">
        <v>7401</v>
      </c>
    </row>
    <row r="158" spans="1:12" x14ac:dyDescent="0.35">
      <c r="A158" t="s">
        <v>102</v>
      </c>
      <c r="B158" t="s">
        <v>392</v>
      </c>
      <c r="D158">
        <v>216.9</v>
      </c>
      <c r="F158" t="s">
        <v>6171</v>
      </c>
      <c r="I158" t="s">
        <v>1848</v>
      </c>
      <c r="K158" t="s">
        <v>7400</v>
      </c>
      <c r="L158" t="s">
        <v>7401</v>
      </c>
    </row>
    <row r="159" spans="1:12" x14ac:dyDescent="0.35">
      <c r="A159" t="s">
        <v>102</v>
      </c>
      <c r="B159" t="s">
        <v>395</v>
      </c>
      <c r="D159">
        <v>80.27</v>
      </c>
      <c r="F159" t="s">
        <v>6172</v>
      </c>
      <c r="I159" t="s">
        <v>1354</v>
      </c>
      <c r="K159" t="s">
        <v>7400</v>
      </c>
      <c r="L159" t="s">
        <v>7401</v>
      </c>
    </row>
    <row r="160" spans="1:12" x14ac:dyDescent="0.35">
      <c r="A160" t="s">
        <v>102</v>
      </c>
      <c r="B160" t="s">
        <v>396</v>
      </c>
      <c r="D160">
        <v>2460</v>
      </c>
      <c r="F160" t="s">
        <v>6173</v>
      </c>
      <c r="I160" t="s">
        <v>1839</v>
      </c>
      <c r="K160" t="s">
        <v>7400</v>
      </c>
      <c r="L160" t="s">
        <v>7401</v>
      </c>
    </row>
    <row r="161" spans="1:12" x14ac:dyDescent="0.35">
      <c r="A161" t="s">
        <v>102</v>
      </c>
      <c r="B161" t="s">
        <v>320</v>
      </c>
      <c r="D161">
        <v>80</v>
      </c>
      <c r="F161" t="s">
        <v>1705</v>
      </c>
      <c r="H161" t="s">
        <v>6606</v>
      </c>
      <c r="I161" t="s">
        <v>1367</v>
      </c>
      <c r="K161" t="s">
        <v>7400</v>
      </c>
      <c r="L161" t="s">
        <v>7401</v>
      </c>
    </row>
    <row r="162" spans="1:12" x14ac:dyDescent="0.35">
      <c r="A162" t="s">
        <v>102</v>
      </c>
      <c r="B162" t="s">
        <v>397</v>
      </c>
      <c r="D162">
        <v>1422</v>
      </c>
      <c r="F162" t="s">
        <v>6174</v>
      </c>
      <c r="I162" t="s">
        <v>1372</v>
      </c>
      <c r="K162" t="s">
        <v>7400</v>
      </c>
      <c r="L162" t="s">
        <v>7401</v>
      </c>
    </row>
    <row r="163" spans="1:12" x14ac:dyDescent="0.35">
      <c r="A163" t="s">
        <v>102</v>
      </c>
      <c r="B163" t="s">
        <v>398</v>
      </c>
      <c r="D163">
        <v>9.3000000000000007</v>
      </c>
      <c r="F163" t="s">
        <v>1535</v>
      </c>
      <c r="H163" t="s">
        <v>6607</v>
      </c>
      <c r="I163" t="s">
        <v>4864</v>
      </c>
      <c r="K163" t="s">
        <v>7400</v>
      </c>
      <c r="L163" t="s">
        <v>7401</v>
      </c>
    </row>
    <row r="164" spans="1:12" x14ac:dyDescent="0.35">
      <c r="A164" t="s">
        <v>102</v>
      </c>
      <c r="B164" t="s">
        <v>400</v>
      </c>
      <c r="D164">
        <v>1.87</v>
      </c>
      <c r="F164" t="s">
        <v>1999</v>
      </c>
      <c r="H164" t="s">
        <v>6608</v>
      </c>
      <c r="I164" t="s">
        <v>1533</v>
      </c>
      <c r="K164" t="s">
        <v>7400</v>
      </c>
      <c r="L164" t="s">
        <v>7401</v>
      </c>
    </row>
    <row r="165" spans="1:12" x14ac:dyDescent="0.35">
      <c r="A165" t="s">
        <v>102</v>
      </c>
      <c r="B165" t="s">
        <v>400</v>
      </c>
      <c r="D165">
        <v>0.71399999999999997</v>
      </c>
      <c r="F165" t="s">
        <v>6175</v>
      </c>
      <c r="H165" t="s">
        <v>6609</v>
      </c>
      <c r="I165" t="s">
        <v>1533</v>
      </c>
      <c r="K165" t="s">
        <v>7400</v>
      </c>
      <c r="L165" t="s">
        <v>7401</v>
      </c>
    </row>
    <row r="166" spans="1:12" x14ac:dyDescent="0.35">
      <c r="A166" t="s">
        <v>102</v>
      </c>
      <c r="B166" t="s">
        <v>401</v>
      </c>
      <c r="D166">
        <v>2119</v>
      </c>
      <c r="F166" t="s">
        <v>6176</v>
      </c>
      <c r="H166" t="s">
        <v>6610</v>
      </c>
      <c r="I166" t="s">
        <v>2258</v>
      </c>
      <c r="K166" t="s">
        <v>7400</v>
      </c>
      <c r="L166" t="s">
        <v>7401</v>
      </c>
    </row>
    <row r="167" spans="1:12" x14ac:dyDescent="0.35">
      <c r="A167" t="s">
        <v>102</v>
      </c>
      <c r="B167" t="s">
        <v>6042</v>
      </c>
      <c r="D167">
        <v>419</v>
      </c>
      <c r="F167" t="s">
        <v>6177</v>
      </c>
      <c r="I167" t="s">
        <v>1368</v>
      </c>
      <c r="K167" t="s">
        <v>7400</v>
      </c>
      <c r="L167" t="s">
        <v>7401</v>
      </c>
    </row>
    <row r="168" spans="1:12" x14ac:dyDescent="0.35">
      <c r="A168" t="s">
        <v>102</v>
      </c>
      <c r="B168" t="s">
        <v>372</v>
      </c>
      <c r="D168">
        <v>589</v>
      </c>
      <c r="F168" t="s">
        <v>6178</v>
      </c>
      <c r="I168" t="s">
        <v>2050</v>
      </c>
      <c r="K168" t="s">
        <v>7400</v>
      </c>
      <c r="L168" t="s">
        <v>7401</v>
      </c>
    </row>
    <row r="169" spans="1:12" x14ac:dyDescent="0.35">
      <c r="A169" t="s">
        <v>102</v>
      </c>
      <c r="B169" t="s">
        <v>175</v>
      </c>
      <c r="D169">
        <v>106</v>
      </c>
      <c r="F169" t="s">
        <v>4918</v>
      </c>
      <c r="I169" t="s">
        <v>2345</v>
      </c>
      <c r="K169" t="s">
        <v>7400</v>
      </c>
      <c r="L169" t="s">
        <v>7401</v>
      </c>
    </row>
    <row r="170" spans="1:12" x14ac:dyDescent="0.35">
      <c r="A170" t="s">
        <v>102</v>
      </c>
      <c r="B170" t="s">
        <v>175</v>
      </c>
      <c r="D170">
        <v>458.5</v>
      </c>
      <c r="F170" t="s">
        <v>6179</v>
      </c>
      <c r="I170" t="s">
        <v>1454</v>
      </c>
      <c r="K170" t="s">
        <v>7400</v>
      </c>
      <c r="L170" t="s">
        <v>7401</v>
      </c>
    </row>
    <row r="171" spans="1:12" x14ac:dyDescent="0.35">
      <c r="A171" t="s">
        <v>102</v>
      </c>
      <c r="B171" t="s">
        <v>409</v>
      </c>
      <c r="D171">
        <v>510</v>
      </c>
      <c r="F171" t="s">
        <v>5175</v>
      </c>
      <c r="I171" t="s">
        <v>1461</v>
      </c>
      <c r="K171" t="s">
        <v>7400</v>
      </c>
      <c r="L171" t="s">
        <v>7401</v>
      </c>
    </row>
    <row r="172" spans="1:12" x14ac:dyDescent="0.35">
      <c r="A172" t="s">
        <v>156</v>
      </c>
      <c r="B172" t="s">
        <v>6043</v>
      </c>
      <c r="D172">
        <v>203</v>
      </c>
      <c r="F172" t="s">
        <v>6180</v>
      </c>
      <c r="H172" t="s">
        <v>6611</v>
      </c>
      <c r="I172" t="s">
        <v>1526</v>
      </c>
      <c r="K172" t="s">
        <v>7400</v>
      </c>
      <c r="L172" t="s">
        <v>7401</v>
      </c>
    </row>
    <row r="173" spans="1:12" x14ac:dyDescent="0.35">
      <c r="A173" t="s">
        <v>156</v>
      </c>
      <c r="B173" t="s">
        <v>179</v>
      </c>
      <c r="D173">
        <v>400</v>
      </c>
      <c r="F173" t="s">
        <v>6181</v>
      </c>
      <c r="I173" t="s">
        <v>1841</v>
      </c>
      <c r="K173" t="s">
        <v>7400</v>
      </c>
      <c r="L173" t="s">
        <v>7401</v>
      </c>
    </row>
    <row r="174" spans="1:12" x14ac:dyDescent="0.35">
      <c r="A174" t="s">
        <v>156</v>
      </c>
      <c r="B174" t="s">
        <v>179</v>
      </c>
      <c r="D174">
        <v>1200</v>
      </c>
      <c r="F174" t="s">
        <v>5186</v>
      </c>
      <c r="H174" t="s">
        <v>6612</v>
      </c>
      <c r="I174" t="s">
        <v>1373</v>
      </c>
      <c r="K174" t="s">
        <v>7400</v>
      </c>
      <c r="L174" t="s">
        <v>7401</v>
      </c>
    </row>
    <row r="175" spans="1:12" x14ac:dyDescent="0.35">
      <c r="A175" t="s">
        <v>156</v>
      </c>
      <c r="B175" t="s">
        <v>179</v>
      </c>
      <c r="D175">
        <v>616</v>
      </c>
      <c r="F175" t="s">
        <v>6182</v>
      </c>
      <c r="I175" t="s">
        <v>1368</v>
      </c>
      <c r="K175" t="s">
        <v>7400</v>
      </c>
      <c r="L175" t="s">
        <v>7401</v>
      </c>
    </row>
    <row r="176" spans="1:12" x14ac:dyDescent="0.35">
      <c r="A176" t="s">
        <v>156</v>
      </c>
      <c r="B176" t="s">
        <v>179</v>
      </c>
      <c r="D176">
        <v>0.155</v>
      </c>
      <c r="F176" t="s">
        <v>1580</v>
      </c>
      <c r="I176" t="s">
        <v>1372</v>
      </c>
      <c r="K176" t="s">
        <v>7400</v>
      </c>
      <c r="L176" t="s">
        <v>7401</v>
      </c>
    </row>
    <row r="177" spans="1:12" x14ac:dyDescent="0.35">
      <c r="A177" t="s">
        <v>156</v>
      </c>
      <c r="B177" t="s">
        <v>179</v>
      </c>
      <c r="D177">
        <v>416</v>
      </c>
      <c r="F177" t="s">
        <v>6183</v>
      </c>
      <c r="H177" t="s">
        <v>6613</v>
      </c>
      <c r="I177" t="s">
        <v>1489</v>
      </c>
      <c r="K177" t="s">
        <v>7400</v>
      </c>
      <c r="L177" t="s">
        <v>7401</v>
      </c>
    </row>
    <row r="178" spans="1:12" x14ac:dyDescent="0.35">
      <c r="A178" t="s">
        <v>156</v>
      </c>
      <c r="B178" t="s">
        <v>179</v>
      </c>
      <c r="D178">
        <v>290.39999999999998</v>
      </c>
      <c r="F178" t="s">
        <v>6184</v>
      </c>
      <c r="I178" t="s">
        <v>1379</v>
      </c>
      <c r="K178" t="s">
        <v>7400</v>
      </c>
      <c r="L178" t="s">
        <v>7401</v>
      </c>
    </row>
    <row r="179" spans="1:12" x14ac:dyDescent="0.35">
      <c r="A179" t="s">
        <v>156</v>
      </c>
      <c r="B179" t="s">
        <v>179</v>
      </c>
      <c r="D179">
        <v>655</v>
      </c>
      <c r="F179" t="s">
        <v>6185</v>
      </c>
      <c r="I179" t="s">
        <v>1766</v>
      </c>
      <c r="K179" t="s">
        <v>7400</v>
      </c>
      <c r="L179" t="s">
        <v>7401</v>
      </c>
    </row>
    <row r="180" spans="1:12" x14ac:dyDescent="0.35">
      <c r="A180" t="s">
        <v>156</v>
      </c>
      <c r="B180" t="s">
        <v>313</v>
      </c>
      <c r="D180">
        <v>6.06</v>
      </c>
      <c r="F180" t="s">
        <v>6186</v>
      </c>
      <c r="I180" t="s">
        <v>2051</v>
      </c>
      <c r="K180" t="s">
        <v>7400</v>
      </c>
      <c r="L180" t="s">
        <v>7401</v>
      </c>
    </row>
    <row r="181" spans="1:12" x14ac:dyDescent="0.35">
      <c r="A181" t="s">
        <v>235</v>
      </c>
      <c r="B181" t="s">
        <v>419</v>
      </c>
      <c r="D181">
        <v>353</v>
      </c>
      <c r="F181" t="s">
        <v>6187</v>
      </c>
      <c r="I181" t="s">
        <v>1367</v>
      </c>
      <c r="K181" t="s">
        <v>7400</v>
      </c>
      <c r="L181" t="s">
        <v>7401</v>
      </c>
    </row>
    <row r="182" spans="1:12" x14ac:dyDescent="0.35">
      <c r="A182" t="s">
        <v>235</v>
      </c>
      <c r="B182" t="s">
        <v>420</v>
      </c>
      <c r="D182">
        <v>3.8</v>
      </c>
      <c r="F182" t="s">
        <v>1388</v>
      </c>
      <c r="H182" t="s">
        <v>6614</v>
      </c>
      <c r="I182" t="s">
        <v>1373</v>
      </c>
      <c r="K182" t="s">
        <v>7400</v>
      </c>
      <c r="L182" t="s">
        <v>7401</v>
      </c>
    </row>
    <row r="183" spans="1:12" x14ac:dyDescent="0.35">
      <c r="A183" t="s">
        <v>235</v>
      </c>
      <c r="B183" t="s">
        <v>420</v>
      </c>
      <c r="D183">
        <v>1.8</v>
      </c>
      <c r="F183" t="s">
        <v>1375</v>
      </c>
      <c r="H183" t="s">
        <v>6615</v>
      </c>
      <c r="I183" t="s">
        <v>1373</v>
      </c>
      <c r="K183" t="s">
        <v>7400</v>
      </c>
      <c r="L183" t="s">
        <v>7401</v>
      </c>
    </row>
    <row r="184" spans="1:12" x14ac:dyDescent="0.35">
      <c r="A184" t="s">
        <v>235</v>
      </c>
      <c r="B184" t="s">
        <v>420</v>
      </c>
      <c r="D184">
        <v>6.5</v>
      </c>
      <c r="F184" t="s">
        <v>1419</v>
      </c>
      <c r="H184" t="s">
        <v>6616</v>
      </c>
      <c r="I184" t="s">
        <v>1373</v>
      </c>
      <c r="K184" t="s">
        <v>7400</v>
      </c>
      <c r="L184" t="s">
        <v>7401</v>
      </c>
    </row>
    <row r="185" spans="1:12" x14ac:dyDescent="0.35">
      <c r="A185" t="s">
        <v>235</v>
      </c>
      <c r="B185" t="s">
        <v>420</v>
      </c>
      <c r="D185">
        <v>2.96</v>
      </c>
      <c r="F185" t="s">
        <v>1805</v>
      </c>
      <c r="H185" t="s">
        <v>6617</v>
      </c>
      <c r="I185" t="s">
        <v>1373</v>
      </c>
      <c r="K185" t="s">
        <v>7400</v>
      </c>
      <c r="L185" t="s">
        <v>7401</v>
      </c>
    </row>
    <row r="186" spans="1:12" x14ac:dyDescent="0.35">
      <c r="A186" t="s">
        <v>235</v>
      </c>
      <c r="B186" t="s">
        <v>356</v>
      </c>
      <c r="D186">
        <v>95</v>
      </c>
      <c r="F186" t="s">
        <v>4983</v>
      </c>
      <c r="I186" t="s">
        <v>1389</v>
      </c>
      <c r="K186" t="s">
        <v>7400</v>
      </c>
      <c r="L186" t="s">
        <v>7401</v>
      </c>
    </row>
    <row r="187" spans="1:12" x14ac:dyDescent="0.35">
      <c r="A187" t="s">
        <v>235</v>
      </c>
      <c r="B187" t="s">
        <v>356</v>
      </c>
      <c r="D187">
        <v>950</v>
      </c>
      <c r="F187" t="s">
        <v>6188</v>
      </c>
      <c r="I187" t="s">
        <v>1389</v>
      </c>
      <c r="K187" t="s">
        <v>7400</v>
      </c>
      <c r="L187" t="s">
        <v>7401</v>
      </c>
    </row>
    <row r="188" spans="1:12" x14ac:dyDescent="0.35">
      <c r="A188" t="s">
        <v>235</v>
      </c>
      <c r="B188" t="s">
        <v>423</v>
      </c>
      <c r="D188">
        <v>26</v>
      </c>
      <c r="F188" t="s">
        <v>1518</v>
      </c>
      <c r="I188" t="s">
        <v>1851</v>
      </c>
      <c r="K188" t="s">
        <v>7400</v>
      </c>
      <c r="L188" t="s">
        <v>7401</v>
      </c>
    </row>
    <row r="189" spans="1:12" x14ac:dyDescent="0.35">
      <c r="A189" t="s">
        <v>235</v>
      </c>
      <c r="B189" t="s">
        <v>424</v>
      </c>
      <c r="D189">
        <v>0.49</v>
      </c>
      <c r="F189" t="s">
        <v>1724</v>
      </c>
      <c r="H189" t="s">
        <v>6618</v>
      </c>
      <c r="I189" t="s">
        <v>1467</v>
      </c>
      <c r="K189" t="s">
        <v>7400</v>
      </c>
      <c r="L189" t="s">
        <v>7401</v>
      </c>
    </row>
    <row r="190" spans="1:12" x14ac:dyDescent="0.35">
      <c r="A190" t="s">
        <v>235</v>
      </c>
      <c r="B190" t="s">
        <v>424</v>
      </c>
      <c r="D190">
        <v>1.59</v>
      </c>
      <c r="F190" t="s">
        <v>2474</v>
      </c>
      <c r="H190" t="s">
        <v>6619</v>
      </c>
      <c r="I190" t="s">
        <v>1467</v>
      </c>
      <c r="K190" t="s">
        <v>7400</v>
      </c>
      <c r="L190" t="s">
        <v>7401</v>
      </c>
    </row>
    <row r="191" spans="1:12" x14ac:dyDescent="0.35">
      <c r="A191" t="s">
        <v>235</v>
      </c>
      <c r="B191" t="s">
        <v>427</v>
      </c>
      <c r="D191">
        <v>110</v>
      </c>
      <c r="F191" t="s">
        <v>2331</v>
      </c>
      <c r="H191" t="s">
        <v>6620</v>
      </c>
      <c r="I191" t="s">
        <v>1335</v>
      </c>
      <c r="K191" t="s">
        <v>7400</v>
      </c>
      <c r="L191" t="s">
        <v>7401</v>
      </c>
    </row>
    <row r="192" spans="1:12" x14ac:dyDescent="0.35">
      <c r="A192" t="s">
        <v>235</v>
      </c>
      <c r="B192" t="s">
        <v>427</v>
      </c>
      <c r="D192">
        <v>424</v>
      </c>
      <c r="F192" t="s">
        <v>6189</v>
      </c>
      <c r="H192" t="s">
        <v>6621</v>
      </c>
      <c r="I192" t="s">
        <v>1335</v>
      </c>
      <c r="K192" t="s">
        <v>7400</v>
      </c>
      <c r="L192" t="s">
        <v>7401</v>
      </c>
    </row>
    <row r="193" spans="1:12" x14ac:dyDescent="0.35">
      <c r="A193" t="s">
        <v>235</v>
      </c>
      <c r="B193" t="s">
        <v>353</v>
      </c>
      <c r="D193">
        <v>170</v>
      </c>
      <c r="F193" t="s">
        <v>1969</v>
      </c>
      <c r="I193" t="s">
        <v>1533</v>
      </c>
      <c r="K193" t="s">
        <v>7400</v>
      </c>
      <c r="L193" t="s">
        <v>7401</v>
      </c>
    </row>
    <row r="194" spans="1:12" x14ac:dyDescent="0.35">
      <c r="A194" t="s">
        <v>235</v>
      </c>
      <c r="B194" t="s">
        <v>353</v>
      </c>
      <c r="D194">
        <v>70.2</v>
      </c>
      <c r="F194" t="s">
        <v>6190</v>
      </c>
      <c r="I194" t="s">
        <v>1379</v>
      </c>
      <c r="K194" t="s">
        <v>7400</v>
      </c>
      <c r="L194" t="s">
        <v>7401</v>
      </c>
    </row>
    <row r="195" spans="1:12" x14ac:dyDescent="0.35">
      <c r="A195" t="s">
        <v>235</v>
      </c>
      <c r="B195" t="s">
        <v>179</v>
      </c>
      <c r="D195">
        <v>15.4</v>
      </c>
      <c r="F195" t="s">
        <v>6191</v>
      </c>
      <c r="I195" t="s">
        <v>1477</v>
      </c>
      <c r="K195" t="s">
        <v>7400</v>
      </c>
      <c r="L195" t="s">
        <v>7401</v>
      </c>
    </row>
    <row r="196" spans="1:12" x14ac:dyDescent="0.35">
      <c r="A196" t="s">
        <v>235</v>
      </c>
      <c r="B196" t="s">
        <v>429</v>
      </c>
      <c r="D196">
        <v>181.8</v>
      </c>
      <c r="F196" t="s">
        <v>6192</v>
      </c>
      <c r="I196" t="s">
        <v>1335</v>
      </c>
      <c r="K196" t="s">
        <v>7400</v>
      </c>
      <c r="L196" t="s">
        <v>7401</v>
      </c>
    </row>
    <row r="197" spans="1:12" x14ac:dyDescent="0.35">
      <c r="A197" t="s">
        <v>104</v>
      </c>
      <c r="B197" t="s">
        <v>340</v>
      </c>
      <c r="D197">
        <v>78.599999999999994</v>
      </c>
      <c r="F197" t="s">
        <v>6193</v>
      </c>
      <c r="H197" t="s">
        <v>5743</v>
      </c>
      <c r="I197" t="s">
        <v>4863</v>
      </c>
      <c r="K197" t="s">
        <v>7400</v>
      </c>
      <c r="L197" t="s">
        <v>7401</v>
      </c>
    </row>
    <row r="198" spans="1:12" x14ac:dyDescent="0.35">
      <c r="A198" t="s">
        <v>104</v>
      </c>
      <c r="B198" t="s">
        <v>432</v>
      </c>
      <c r="D198">
        <v>4.8000000000000001E-2</v>
      </c>
      <c r="F198" t="s">
        <v>1434</v>
      </c>
      <c r="H198" t="s">
        <v>6622</v>
      </c>
      <c r="I198" t="s">
        <v>2393</v>
      </c>
      <c r="K198" t="s">
        <v>7400</v>
      </c>
      <c r="L198" t="s">
        <v>7401</v>
      </c>
    </row>
    <row r="199" spans="1:12" x14ac:dyDescent="0.35">
      <c r="A199" t="s">
        <v>104</v>
      </c>
      <c r="B199" t="s">
        <v>432</v>
      </c>
      <c r="D199">
        <v>7.1999999999999995E-2</v>
      </c>
      <c r="F199" t="s">
        <v>1760</v>
      </c>
      <c r="H199" t="s">
        <v>6623</v>
      </c>
      <c r="I199" t="s">
        <v>2393</v>
      </c>
      <c r="K199" t="s">
        <v>7400</v>
      </c>
      <c r="L199" t="s">
        <v>7401</v>
      </c>
    </row>
    <row r="200" spans="1:12" x14ac:dyDescent="0.35">
      <c r="A200" t="s">
        <v>104</v>
      </c>
      <c r="B200" t="s">
        <v>432</v>
      </c>
      <c r="D200">
        <v>0.57099999999999995</v>
      </c>
      <c r="F200" t="s">
        <v>6194</v>
      </c>
      <c r="H200" t="s">
        <v>6624</v>
      </c>
      <c r="I200" t="s">
        <v>2393</v>
      </c>
      <c r="K200" t="s">
        <v>7400</v>
      </c>
      <c r="L200" t="s">
        <v>7401</v>
      </c>
    </row>
    <row r="201" spans="1:12" x14ac:dyDescent="0.35">
      <c r="A201" t="s">
        <v>104</v>
      </c>
      <c r="B201" t="s">
        <v>432</v>
      </c>
      <c r="D201">
        <v>6.9000000000000006E-2</v>
      </c>
      <c r="F201" t="s">
        <v>1619</v>
      </c>
      <c r="H201" t="s">
        <v>6625</v>
      </c>
      <c r="I201" t="s">
        <v>2393</v>
      </c>
      <c r="K201" t="s">
        <v>7400</v>
      </c>
      <c r="L201" t="s">
        <v>7401</v>
      </c>
    </row>
    <row r="202" spans="1:12" x14ac:dyDescent="0.35">
      <c r="A202" t="s">
        <v>104</v>
      </c>
      <c r="B202" t="s">
        <v>340</v>
      </c>
      <c r="D202">
        <v>0.2</v>
      </c>
      <c r="F202" t="s">
        <v>1371</v>
      </c>
      <c r="H202" t="s">
        <v>6626</v>
      </c>
      <c r="I202" t="s">
        <v>2009</v>
      </c>
      <c r="K202" t="s">
        <v>7400</v>
      </c>
      <c r="L202" t="s">
        <v>7401</v>
      </c>
    </row>
    <row r="203" spans="1:12" x14ac:dyDescent="0.35">
      <c r="A203" t="s">
        <v>104</v>
      </c>
      <c r="B203" t="s">
        <v>340</v>
      </c>
      <c r="D203">
        <v>0.16</v>
      </c>
      <c r="F203" t="s">
        <v>1573</v>
      </c>
      <c r="H203" t="s">
        <v>6627</v>
      </c>
      <c r="I203" t="s">
        <v>2009</v>
      </c>
      <c r="K203" t="s">
        <v>7400</v>
      </c>
      <c r="L203" t="s">
        <v>7401</v>
      </c>
    </row>
    <row r="204" spans="1:12" x14ac:dyDescent="0.35">
      <c r="A204" t="s">
        <v>104</v>
      </c>
      <c r="B204" t="s">
        <v>6044</v>
      </c>
      <c r="D204">
        <v>2.2499999999999999E-2</v>
      </c>
      <c r="F204" t="s">
        <v>2075</v>
      </c>
      <c r="H204" t="s">
        <v>6628</v>
      </c>
      <c r="I204" t="s">
        <v>5253</v>
      </c>
      <c r="K204" t="s">
        <v>7400</v>
      </c>
      <c r="L204" t="s">
        <v>7401</v>
      </c>
    </row>
    <row r="205" spans="1:12" x14ac:dyDescent="0.35">
      <c r="A205" t="s">
        <v>104</v>
      </c>
      <c r="B205" t="s">
        <v>6044</v>
      </c>
      <c r="D205">
        <v>1.34E-2</v>
      </c>
      <c r="F205" t="s">
        <v>6195</v>
      </c>
      <c r="H205" t="s">
        <v>6629</v>
      </c>
      <c r="I205" t="s">
        <v>5253</v>
      </c>
      <c r="K205" t="s">
        <v>7400</v>
      </c>
      <c r="L205" t="s">
        <v>7401</v>
      </c>
    </row>
    <row r="206" spans="1:12" x14ac:dyDescent="0.35">
      <c r="A206" t="s">
        <v>104</v>
      </c>
      <c r="B206" t="s">
        <v>6044</v>
      </c>
      <c r="D206">
        <v>2.3400000000000001E-2</v>
      </c>
      <c r="F206" t="s">
        <v>6196</v>
      </c>
      <c r="H206" t="s">
        <v>6630</v>
      </c>
      <c r="I206" t="s">
        <v>5253</v>
      </c>
      <c r="K206" t="s">
        <v>7400</v>
      </c>
      <c r="L206" t="s">
        <v>7401</v>
      </c>
    </row>
    <row r="207" spans="1:12" x14ac:dyDescent="0.35">
      <c r="A207" t="s">
        <v>104</v>
      </c>
      <c r="B207" t="s">
        <v>6044</v>
      </c>
      <c r="D207">
        <v>4.3499999999999997E-2</v>
      </c>
      <c r="F207" t="s">
        <v>6197</v>
      </c>
      <c r="H207" t="s">
        <v>6631</v>
      </c>
      <c r="I207" t="s">
        <v>5253</v>
      </c>
      <c r="K207" t="s">
        <v>7400</v>
      </c>
      <c r="L207" t="s">
        <v>7401</v>
      </c>
    </row>
    <row r="208" spans="1:12" x14ac:dyDescent="0.35">
      <c r="A208" t="s">
        <v>104</v>
      </c>
      <c r="B208" t="s">
        <v>6044</v>
      </c>
      <c r="D208">
        <v>3.4200000000000001E-2</v>
      </c>
      <c r="F208" t="s">
        <v>6198</v>
      </c>
      <c r="H208" t="s">
        <v>6632</v>
      </c>
      <c r="I208" t="s">
        <v>5253</v>
      </c>
      <c r="K208" t="s">
        <v>7400</v>
      </c>
      <c r="L208" t="s">
        <v>7401</v>
      </c>
    </row>
    <row r="209" spans="1:12" x14ac:dyDescent="0.35">
      <c r="A209" t="s">
        <v>104</v>
      </c>
      <c r="B209" t="s">
        <v>6044</v>
      </c>
      <c r="D209">
        <v>2.1700000000000001E-2</v>
      </c>
      <c r="F209" t="s">
        <v>6199</v>
      </c>
      <c r="H209" t="s">
        <v>6633</v>
      </c>
      <c r="I209" t="s">
        <v>5253</v>
      </c>
      <c r="K209" t="s">
        <v>7400</v>
      </c>
      <c r="L209" t="s">
        <v>7401</v>
      </c>
    </row>
    <row r="210" spans="1:12" x14ac:dyDescent="0.35">
      <c r="A210" t="s">
        <v>104</v>
      </c>
      <c r="B210" t="s">
        <v>353</v>
      </c>
      <c r="D210">
        <v>3.15</v>
      </c>
      <c r="F210" t="s">
        <v>6200</v>
      </c>
      <c r="H210" t="s">
        <v>6634</v>
      </c>
      <c r="I210" t="s">
        <v>4892</v>
      </c>
      <c r="K210" t="s">
        <v>7400</v>
      </c>
      <c r="L210" t="s">
        <v>7401</v>
      </c>
    </row>
    <row r="211" spans="1:12" x14ac:dyDescent="0.35">
      <c r="A211" t="s">
        <v>104</v>
      </c>
      <c r="B211" t="s">
        <v>311</v>
      </c>
      <c r="D211">
        <v>10.9</v>
      </c>
      <c r="F211" t="s">
        <v>2277</v>
      </c>
      <c r="I211" t="s">
        <v>1851</v>
      </c>
      <c r="K211" t="s">
        <v>7400</v>
      </c>
      <c r="L211" t="s">
        <v>7401</v>
      </c>
    </row>
    <row r="212" spans="1:12" x14ac:dyDescent="0.35">
      <c r="A212" t="s">
        <v>104</v>
      </c>
      <c r="B212" t="s">
        <v>437</v>
      </c>
      <c r="D212">
        <v>18.2</v>
      </c>
      <c r="F212" t="s">
        <v>1940</v>
      </c>
      <c r="H212" t="s">
        <v>6635</v>
      </c>
      <c r="I212" t="s">
        <v>1509</v>
      </c>
      <c r="K212" t="s">
        <v>7400</v>
      </c>
      <c r="L212" t="s">
        <v>7401</v>
      </c>
    </row>
    <row r="213" spans="1:12" x14ac:dyDescent="0.35">
      <c r="A213" t="s">
        <v>104</v>
      </c>
      <c r="B213" t="s">
        <v>341</v>
      </c>
      <c r="D213">
        <v>36.6</v>
      </c>
      <c r="F213" t="s">
        <v>6201</v>
      </c>
      <c r="H213" t="s">
        <v>3201</v>
      </c>
      <c r="I213" t="s">
        <v>4859</v>
      </c>
      <c r="K213" t="s">
        <v>7400</v>
      </c>
      <c r="L213" t="s">
        <v>7401</v>
      </c>
    </row>
    <row r="214" spans="1:12" x14ac:dyDescent="0.35">
      <c r="A214" t="s">
        <v>104</v>
      </c>
      <c r="B214" t="s">
        <v>6045</v>
      </c>
      <c r="D214">
        <v>5.8999999999999997E-2</v>
      </c>
      <c r="F214" t="s">
        <v>1729</v>
      </c>
      <c r="H214" t="s">
        <v>6636</v>
      </c>
      <c r="I214" t="s">
        <v>5253</v>
      </c>
      <c r="K214" t="s">
        <v>7400</v>
      </c>
      <c r="L214" t="s">
        <v>7401</v>
      </c>
    </row>
    <row r="215" spans="1:12" x14ac:dyDescent="0.35">
      <c r="A215" t="s">
        <v>104</v>
      </c>
      <c r="B215" t="s">
        <v>6045</v>
      </c>
      <c r="D215">
        <v>0.15329999999999999</v>
      </c>
      <c r="F215" t="s">
        <v>6202</v>
      </c>
      <c r="H215" t="s">
        <v>6637</v>
      </c>
      <c r="I215" t="s">
        <v>5253</v>
      </c>
      <c r="K215" t="s">
        <v>7400</v>
      </c>
      <c r="L215" t="s">
        <v>7401</v>
      </c>
    </row>
    <row r="216" spans="1:12" x14ac:dyDescent="0.35">
      <c r="A216" t="s">
        <v>104</v>
      </c>
      <c r="B216" t="s">
        <v>6045</v>
      </c>
      <c r="D216">
        <v>0.1343</v>
      </c>
      <c r="F216" t="s">
        <v>6203</v>
      </c>
      <c r="H216" t="s">
        <v>6638</v>
      </c>
      <c r="I216" t="s">
        <v>5253</v>
      </c>
      <c r="K216" t="s">
        <v>7400</v>
      </c>
      <c r="L216" t="s">
        <v>7401</v>
      </c>
    </row>
    <row r="217" spans="1:12" x14ac:dyDescent="0.35">
      <c r="A217" t="s">
        <v>104</v>
      </c>
      <c r="B217" t="s">
        <v>357</v>
      </c>
      <c r="D217">
        <v>49</v>
      </c>
      <c r="F217" t="s">
        <v>2253</v>
      </c>
      <c r="I217" t="s">
        <v>1317</v>
      </c>
      <c r="K217" t="s">
        <v>7400</v>
      </c>
      <c r="L217" t="s">
        <v>7401</v>
      </c>
    </row>
    <row r="218" spans="1:12" x14ac:dyDescent="0.35">
      <c r="A218" t="s">
        <v>104</v>
      </c>
      <c r="B218" t="s">
        <v>357</v>
      </c>
      <c r="D218">
        <v>8.0000000000000002E-3</v>
      </c>
      <c r="F218" t="s">
        <v>1801</v>
      </c>
      <c r="H218" t="s">
        <v>6639</v>
      </c>
      <c r="I218" t="s">
        <v>1878</v>
      </c>
      <c r="K218" t="s">
        <v>7400</v>
      </c>
      <c r="L218" t="s">
        <v>7401</v>
      </c>
    </row>
    <row r="219" spans="1:12" x14ac:dyDescent="0.35">
      <c r="A219" t="s">
        <v>104</v>
      </c>
      <c r="B219" t="s">
        <v>6046</v>
      </c>
      <c r="D219">
        <v>4.4999999999999998E-2</v>
      </c>
      <c r="F219" t="s">
        <v>1290</v>
      </c>
      <c r="H219" t="s">
        <v>6640</v>
      </c>
      <c r="I219" t="s">
        <v>2326</v>
      </c>
      <c r="K219" t="s">
        <v>7400</v>
      </c>
      <c r="L219" t="s">
        <v>7401</v>
      </c>
    </row>
    <row r="220" spans="1:12" x14ac:dyDescent="0.35">
      <c r="A220" t="s">
        <v>104</v>
      </c>
      <c r="B220" t="s">
        <v>6047</v>
      </c>
      <c r="D220">
        <v>2.5999999999999999E-2</v>
      </c>
      <c r="F220" t="s">
        <v>1737</v>
      </c>
      <c r="H220" t="s">
        <v>6641</v>
      </c>
      <c r="I220" t="s">
        <v>2326</v>
      </c>
      <c r="K220" t="s">
        <v>7400</v>
      </c>
      <c r="L220" t="s">
        <v>7401</v>
      </c>
    </row>
    <row r="221" spans="1:12" x14ac:dyDescent="0.35">
      <c r="A221" t="s">
        <v>104</v>
      </c>
      <c r="B221" t="s">
        <v>450</v>
      </c>
      <c r="D221">
        <v>7910</v>
      </c>
      <c r="F221" t="s">
        <v>6204</v>
      </c>
      <c r="I221" t="s">
        <v>1383</v>
      </c>
      <c r="K221" t="s">
        <v>7400</v>
      </c>
      <c r="L221" t="s">
        <v>7401</v>
      </c>
    </row>
    <row r="222" spans="1:12" x14ac:dyDescent="0.35">
      <c r="A222" t="s">
        <v>104</v>
      </c>
      <c r="B222" t="s">
        <v>353</v>
      </c>
      <c r="D222">
        <v>0.01</v>
      </c>
      <c r="F222" t="s">
        <v>1376</v>
      </c>
      <c r="H222" t="s">
        <v>6642</v>
      </c>
      <c r="I222" t="s">
        <v>4894</v>
      </c>
      <c r="K222" t="s">
        <v>7400</v>
      </c>
      <c r="L222" t="s">
        <v>7401</v>
      </c>
    </row>
    <row r="223" spans="1:12" x14ac:dyDescent="0.35">
      <c r="A223" t="s">
        <v>104</v>
      </c>
      <c r="B223" t="s">
        <v>353</v>
      </c>
      <c r="D223">
        <v>1.69</v>
      </c>
      <c r="F223" t="s">
        <v>1987</v>
      </c>
      <c r="H223" t="s">
        <v>6643</v>
      </c>
      <c r="I223" t="s">
        <v>4894</v>
      </c>
      <c r="K223" t="s">
        <v>7400</v>
      </c>
      <c r="L223" t="s">
        <v>7401</v>
      </c>
    </row>
    <row r="224" spans="1:12" x14ac:dyDescent="0.35">
      <c r="A224" t="s">
        <v>104</v>
      </c>
      <c r="B224" t="s">
        <v>6048</v>
      </c>
      <c r="D224">
        <v>8.0000000000000002E-3</v>
      </c>
      <c r="F224" t="s">
        <v>1801</v>
      </c>
      <c r="H224" t="s">
        <v>6644</v>
      </c>
      <c r="I224" t="s">
        <v>2326</v>
      </c>
      <c r="K224" t="s">
        <v>7400</v>
      </c>
      <c r="L224" t="s">
        <v>7401</v>
      </c>
    </row>
    <row r="225" spans="1:12" x14ac:dyDescent="0.35">
      <c r="A225" t="s">
        <v>104</v>
      </c>
      <c r="B225" t="s">
        <v>361</v>
      </c>
      <c r="D225">
        <v>0.21299999999999999</v>
      </c>
      <c r="F225" t="s">
        <v>6205</v>
      </c>
      <c r="H225" t="s">
        <v>6645</v>
      </c>
      <c r="I225" t="s">
        <v>2326</v>
      </c>
      <c r="K225" t="s">
        <v>7400</v>
      </c>
      <c r="L225" t="s">
        <v>7401</v>
      </c>
    </row>
    <row r="226" spans="1:12" x14ac:dyDescent="0.35">
      <c r="A226" t="s">
        <v>104</v>
      </c>
      <c r="B226" t="s">
        <v>6049</v>
      </c>
      <c r="D226">
        <v>2.3E-2</v>
      </c>
      <c r="F226" t="s">
        <v>1457</v>
      </c>
      <c r="H226" t="s">
        <v>6646</v>
      </c>
      <c r="I226" t="s">
        <v>2326</v>
      </c>
      <c r="K226" t="s">
        <v>7400</v>
      </c>
      <c r="L226" t="s">
        <v>7401</v>
      </c>
    </row>
    <row r="227" spans="1:12" x14ac:dyDescent="0.35">
      <c r="A227" t="s">
        <v>104</v>
      </c>
      <c r="B227" t="s">
        <v>455</v>
      </c>
      <c r="D227">
        <v>30.14</v>
      </c>
      <c r="F227" t="s">
        <v>6206</v>
      </c>
      <c r="H227" t="s">
        <v>6647</v>
      </c>
      <c r="I227" t="s">
        <v>2050</v>
      </c>
      <c r="K227" t="s">
        <v>7400</v>
      </c>
      <c r="L227" t="s">
        <v>7401</v>
      </c>
    </row>
    <row r="228" spans="1:12" x14ac:dyDescent="0.35">
      <c r="A228" t="s">
        <v>104</v>
      </c>
      <c r="B228" t="s">
        <v>175</v>
      </c>
      <c r="D228">
        <v>1.92</v>
      </c>
      <c r="F228" t="s">
        <v>2350</v>
      </c>
      <c r="H228" t="s">
        <v>6648</v>
      </c>
      <c r="I228" t="s">
        <v>2334</v>
      </c>
      <c r="K228" t="s">
        <v>7400</v>
      </c>
      <c r="L228" t="s">
        <v>7401</v>
      </c>
    </row>
    <row r="229" spans="1:12" x14ac:dyDescent="0.35">
      <c r="A229" t="s">
        <v>104</v>
      </c>
      <c r="B229" t="s">
        <v>175</v>
      </c>
      <c r="D229">
        <v>5.04</v>
      </c>
      <c r="F229" t="s">
        <v>6207</v>
      </c>
      <c r="I229" t="s">
        <v>1387</v>
      </c>
      <c r="K229" t="s">
        <v>7400</v>
      </c>
      <c r="L229" t="s">
        <v>7401</v>
      </c>
    </row>
    <row r="230" spans="1:12" x14ac:dyDescent="0.35">
      <c r="A230" t="s">
        <v>104</v>
      </c>
      <c r="B230" t="s">
        <v>175</v>
      </c>
      <c r="D230">
        <v>56.35</v>
      </c>
      <c r="F230" t="s">
        <v>6208</v>
      </c>
      <c r="I230" t="s">
        <v>1449</v>
      </c>
      <c r="K230" t="s">
        <v>7400</v>
      </c>
      <c r="L230" t="s">
        <v>7401</v>
      </c>
    </row>
    <row r="231" spans="1:12" x14ac:dyDescent="0.35">
      <c r="A231" t="s">
        <v>104</v>
      </c>
      <c r="B231" t="s">
        <v>175</v>
      </c>
      <c r="D231">
        <v>90.9</v>
      </c>
      <c r="F231" t="s">
        <v>6209</v>
      </c>
      <c r="H231" t="s">
        <v>6649</v>
      </c>
      <c r="I231" t="s">
        <v>1968</v>
      </c>
      <c r="K231" t="s">
        <v>7400</v>
      </c>
      <c r="L231" t="s">
        <v>7401</v>
      </c>
    </row>
    <row r="232" spans="1:12" x14ac:dyDescent="0.35">
      <c r="A232" t="s">
        <v>104</v>
      </c>
      <c r="B232" t="s">
        <v>175</v>
      </c>
      <c r="D232">
        <v>91.4</v>
      </c>
      <c r="F232" t="s">
        <v>6210</v>
      </c>
      <c r="H232" t="s">
        <v>6650</v>
      </c>
      <c r="I232" t="s">
        <v>1968</v>
      </c>
      <c r="K232" t="s">
        <v>7400</v>
      </c>
      <c r="L232" t="s">
        <v>7401</v>
      </c>
    </row>
    <row r="233" spans="1:12" x14ac:dyDescent="0.35">
      <c r="A233" t="s">
        <v>104</v>
      </c>
      <c r="B233" t="s">
        <v>334</v>
      </c>
      <c r="D233">
        <v>199</v>
      </c>
      <c r="F233" t="s">
        <v>5174</v>
      </c>
      <c r="H233" t="s">
        <v>6651</v>
      </c>
      <c r="I233" t="s">
        <v>1461</v>
      </c>
      <c r="K233" t="s">
        <v>7400</v>
      </c>
      <c r="L233" t="s">
        <v>7401</v>
      </c>
    </row>
    <row r="234" spans="1:12" x14ac:dyDescent="0.35">
      <c r="A234" t="s">
        <v>104</v>
      </c>
      <c r="B234" t="s">
        <v>179</v>
      </c>
      <c r="D234">
        <v>41</v>
      </c>
      <c r="F234" t="s">
        <v>2258</v>
      </c>
      <c r="I234" t="s">
        <v>1467</v>
      </c>
      <c r="K234" t="s">
        <v>7400</v>
      </c>
      <c r="L234" t="s">
        <v>7401</v>
      </c>
    </row>
    <row r="235" spans="1:12" x14ac:dyDescent="0.35">
      <c r="A235" t="s">
        <v>104</v>
      </c>
      <c r="B235" t="s">
        <v>6050</v>
      </c>
      <c r="D235">
        <v>2.3E-3</v>
      </c>
      <c r="F235" t="s">
        <v>1320</v>
      </c>
      <c r="H235" t="s">
        <v>6652</v>
      </c>
      <c r="I235" t="s">
        <v>5253</v>
      </c>
      <c r="K235" t="s">
        <v>7400</v>
      </c>
      <c r="L235" t="s">
        <v>7401</v>
      </c>
    </row>
    <row r="236" spans="1:12" x14ac:dyDescent="0.35">
      <c r="A236" t="s">
        <v>104</v>
      </c>
      <c r="B236" t="s">
        <v>6050</v>
      </c>
      <c r="D236">
        <v>2.0999999999999999E-3</v>
      </c>
      <c r="F236" t="s">
        <v>2231</v>
      </c>
      <c r="H236" t="s">
        <v>6653</v>
      </c>
      <c r="I236" t="s">
        <v>5253</v>
      </c>
      <c r="K236" t="s">
        <v>7400</v>
      </c>
      <c r="L236" t="s">
        <v>7401</v>
      </c>
    </row>
    <row r="237" spans="1:12" x14ac:dyDescent="0.35">
      <c r="A237" t="s">
        <v>104</v>
      </c>
      <c r="B237" t="s">
        <v>6050</v>
      </c>
      <c r="D237">
        <v>1.9E-3</v>
      </c>
      <c r="F237" t="s">
        <v>1778</v>
      </c>
      <c r="H237" t="s">
        <v>6654</v>
      </c>
      <c r="I237" t="s">
        <v>5253</v>
      </c>
      <c r="K237" t="s">
        <v>7400</v>
      </c>
      <c r="L237" t="s">
        <v>7401</v>
      </c>
    </row>
    <row r="238" spans="1:12" x14ac:dyDescent="0.35">
      <c r="A238" t="s">
        <v>104</v>
      </c>
      <c r="B238" t="s">
        <v>340</v>
      </c>
      <c r="D238">
        <v>85.1</v>
      </c>
      <c r="F238" t="s">
        <v>6211</v>
      </c>
      <c r="H238" t="s">
        <v>3258</v>
      </c>
      <c r="I238" t="s">
        <v>4863</v>
      </c>
      <c r="K238" t="s">
        <v>7400</v>
      </c>
      <c r="L238" t="s">
        <v>7401</v>
      </c>
    </row>
    <row r="239" spans="1:12" x14ac:dyDescent="0.35">
      <c r="A239" t="s">
        <v>105</v>
      </c>
      <c r="B239" t="s">
        <v>456</v>
      </c>
      <c r="D239">
        <v>3.14E-3</v>
      </c>
      <c r="F239" t="s">
        <v>6212</v>
      </c>
      <c r="H239" t="s">
        <v>6655</v>
      </c>
      <c r="I239" t="s">
        <v>1477</v>
      </c>
      <c r="K239" t="s">
        <v>7400</v>
      </c>
      <c r="L239" t="s">
        <v>7401</v>
      </c>
    </row>
    <row r="240" spans="1:12" x14ac:dyDescent="0.35">
      <c r="A240" t="s">
        <v>105</v>
      </c>
      <c r="B240" t="s">
        <v>456</v>
      </c>
      <c r="D240">
        <v>0.72270000000000001</v>
      </c>
      <c r="F240" t="s">
        <v>6213</v>
      </c>
      <c r="H240" t="s">
        <v>6656</v>
      </c>
      <c r="I240" t="s">
        <v>1477</v>
      </c>
      <c r="K240" t="s">
        <v>7400</v>
      </c>
      <c r="L240" t="s">
        <v>7401</v>
      </c>
    </row>
    <row r="241" spans="1:12" x14ac:dyDescent="0.35">
      <c r="A241" t="s">
        <v>106</v>
      </c>
      <c r="B241" t="s">
        <v>179</v>
      </c>
      <c r="D241">
        <v>2.085</v>
      </c>
      <c r="F241" t="s">
        <v>6214</v>
      </c>
      <c r="I241" t="s">
        <v>1317</v>
      </c>
      <c r="K241" t="s">
        <v>7400</v>
      </c>
      <c r="L241" t="s">
        <v>7401</v>
      </c>
    </row>
    <row r="242" spans="1:12" x14ac:dyDescent="0.35">
      <c r="A242" t="s">
        <v>107</v>
      </c>
      <c r="B242" t="s">
        <v>314</v>
      </c>
      <c r="D242">
        <v>8.4499999999999993</v>
      </c>
      <c r="F242" t="s">
        <v>2088</v>
      </c>
      <c r="H242" t="s">
        <v>6657</v>
      </c>
      <c r="I242" t="s">
        <v>1369</v>
      </c>
      <c r="K242" t="s">
        <v>7400</v>
      </c>
      <c r="L242" t="s">
        <v>7401</v>
      </c>
    </row>
    <row r="243" spans="1:12" x14ac:dyDescent="0.35">
      <c r="A243" t="s">
        <v>107</v>
      </c>
      <c r="B243" t="s">
        <v>314</v>
      </c>
      <c r="D243">
        <v>8.39</v>
      </c>
      <c r="F243" t="s">
        <v>6215</v>
      </c>
      <c r="H243" t="s">
        <v>6658</v>
      </c>
      <c r="I243" t="s">
        <v>1369</v>
      </c>
      <c r="K243" t="s">
        <v>7400</v>
      </c>
      <c r="L243" t="s">
        <v>7401</v>
      </c>
    </row>
    <row r="244" spans="1:12" x14ac:dyDescent="0.35">
      <c r="A244" t="s">
        <v>107</v>
      </c>
      <c r="B244" t="s">
        <v>459</v>
      </c>
      <c r="D244">
        <v>1.2999999999999999E-2</v>
      </c>
      <c r="F244" t="s">
        <v>1861</v>
      </c>
      <c r="I244" t="s">
        <v>2327</v>
      </c>
      <c r="K244" t="s">
        <v>7400</v>
      </c>
      <c r="L244" t="s">
        <v>7401</v>
      </c>
    </row>
    <row r="245" spans="1:12" x14ac:dyDescent="0.35">
      <c r="A245" t="s">
        <v>107</v>
      </c>
      <c r="B245" t="s">
        <v>352</v>
      </c>
      <c r="D245">
        <v>3.6</v>
      </c>
      <c r="F245" t="s">
        <v>1391</v>
      </c>
      <c r="I245" t="s">
        <v>1368</v>
      </c>
      <c r="K245" t="s">
        <v>7400</v>
      </c>
      <c r="L245" t="s">
        <v>7401</v>
      </c>
    </row>
    <row r="246" spans="1:12" x14ac:dyDescent="0.35">
      <c r="A246" t="s">
        <v>107</v>
      </c>
      <c r="B246" t="s">
        <v>352</v>
      </c>
      <c r="D246">
        <v>31</v>
      </c>
      <c r="F246" t="s">
        <v>1390</v>
      </c>
      <c r="I246" t="s">
        <v>4862</v>
      </c>
      <c r="K246" t="s">
        <v>7400</v>
      </c>
      <c r="L246" t="s">
        <v>7401</v>
      </c>
    </row>
    <row r="247" spans="1:12" x14ac:dyDescent="0.35">
      <c r="A247" t="s">
        <v>107</v>
      </c>
      <c r="B247" t="s">
        <v>460</v>
      </c>
      <c r="D247">
        <v>2.4049999999999998</v>
      </c>
      <c r="F247" t="s">
        <v>6216</v>
      </c>
      <c r="I247" t="s">
        <v>4876</v>
      </c>
      <c r="K247" t="s">
        <v>7400</v>
      </c>
      <c r="L247" t="s">
        <v>7401</v>
      </c>
    </row>
    <row r="248" spans="1:12" x14ac:dyDescent="0.35">
      <c r="A248" t="s">
        <v>107</v>
      </c>
      <c r="B248" t="s">
        <v>462</v>
      </c>
      <c r="D248">
        <v>2.585</v>
      </c>
      <c r="F248" t="s">
        <v>6217</v>
      </c>
      <c r="I248" t="s">
        <v>4876</v>
      </c>
      <c r="K248" t="s">
        <v>7400</v>
      </c>
      <c r="L248" t="s">
        <v>7401</v>
      </c>
    </row>
    <row r="249" spans="1:12" x14ac:dyDescent="0.35">
      <c r="A249" t="s">
        <v>107</v>
      </c>
      <c r="B249" t="s">
        <v>394</v>
      </c>
      <c r="D249">
        <v>39.5</v>
      </c>
      <c r="F249" t="s">
        <v>5162</v>
      </c>
      <c r="H249" t="s">
        <v>3347</v>
      </c>
      <c r="I249" t="s">
        <v>4906</v>
      </c>
      <c r="K249" t="s">
        <v>7400</v>
      </c>
      <c r="L249" t="s">
        <v>7401</v>
      </c>
    </row>
    <row r="250" spans="1:12" x14ac:dyDescent="0.35">
      <c r="A250" t="s">
        <v>107</v>
      </c>
      <c r="B250" t="s">
        <v>463</v>
      </c>
      <c r="D250">
        <v>15.3</v>
      </c>
      <c r="F250" t="s">
        <v>6218</v>
      </c>
      <c r="I250" t="s">
        <v>1752</v>
      </c>
      <c r="K250" t="s">
        <v>7400</v>
      </c>
      <c r="L250" t="s">
        <v>7401</v>
      </c>
    </row>
    <row r="251" spans="1:12" x14ac:dyDescent="0.35">
      <c r="A251" t="s">
        <v>107</v>
      </c>
      <c r="B251" t="s">
        <v>175</v>
      </c>
      <c r="D251">
        <v>1.1499999999999999</v>
      </c>
      <c r="F251" t="s">
        <v>1622</v>
      </c>
      <c r="H251" t="s">
        <v>6659</v>
      </c>
      <c r="I251" t="s">
        <v>2050</v>
      </c>
      <c r="K251" t="s">
        <v>7400</v>
      </c>
      <c r="L251" t="s">
        <v>7401</v>
      </c>
    </row>
    <row r="252" spans="1:12" x14ac:dyDescent="0.35">
      <c r="A252" t="s">
        <v>107</v>
      </c>
      <c r="B252" t="s">
        <v>175</v>
      </c>
      <c r="D252">
        <v>0.38</v>
      </c>
      <c r="F252" t="s">
        <v>1624</v>
      </c>
      <c r="H252" t="s">
        <v>6660</v>
      </c>
      <c r="I252" t="s">
        <v>2050</v>
      </c>
      <c r="K252" t="s">
        <v>7400</v>
      </c>
      <c r="L252" t="s">
        <v>7401</v>
      </c>
    </row>
    <row r="253" spans="1:12" x14ac:dyDescent="0.35">
      <c r="A253" t="s">
        <v>107</v>
      </c>
      <c r="B253" t="s">
        <v>175</v>
      </c>
      <c r="D253">
        <v>28.75</v>
      </c>
      <c r="F253" t="s">
        <v>6219</v>
      </c>
      <c r="I253" t="s">
        <v>1518</v>
      </c>
      <c r="K253" t="s">
        <v>7400</v>
      </c>
      <c r="L253" t="s">
        <v>7401</v>
      </c>
    </row>
    <row r="254" spans="1:12" x14ac:dyDescent="0.35">
      <c r="A254" t="s">
        <v>107</v>
      </c>
      <c r="B254" t="s">
        <v>175</v>
      </c>
      <c r="D254">
        <v>0.17</v>
      </c>
      <c r="F254" t="s">
        <v>1409</v>
      </c>
      <c r="H254" t="s">
        <v>6661</v>
      </c>
      <c r="I254" t="s">
        <v>2050</v>
      </c>
      <c r="K254" t="s">
        <v>7400</v>
      </c>
      <c r="L254" t="s">
        <v>7401</v>
      </c>
    </row>
    <row r="255" spans="1:12" x14ac:dyDescent="0.35">
      <c r="A255" t="s">
        <v>107</v>
      </c>
      <c r="B255" t="s">
        <v>175</v>
      </c>
      <c r="D255">
        <v>7</v>
      </c>
      <c r="F255" t="s">
        <v>1335</v>
      </c>
      <c r="H255" t="s">
        <v>6662</v>
      </c>
      <c r="I255" t="s">
        <v>2050</v>
      </c>
      <c r="K255" t="s">
        <v>7400</v>
      </c>
      <c r="L255" t="s">
        <v>7401</v>
      </c>
    </row>
    <row r="256" spans="1:12" x14ac:dyDescent="0.35">
      <c r="A256" t="s">
        <v>107</v>
      </c>
      <c r="B256" t="s">
        <v>175</v>
      </c>
      <c r="D256">
        <v>0.63</v>
      </c>
      <c r="F256" t="s">
        <v>1931</v>
      </c>
      <c r="H256" t="s">
        <v>6663</v>
      </c>
      <c r="I256" t="s">
        <v>2050</v>
      </c>
      <c r="K256" t="s">
        <v>7400</v>
      </c>
      <c r="L256" t="s">
        <v>7401</v>
      </c>
    </row>
    <row r="257" spans="1:12" x14ac:dyDescent="0.35">
      <c r="A257" t="s">
        <v>107</v>
      </c>
      <c r="B257" t="s">
        <v>175</v>
      </c>
      <c r="D257">
        <v>1E-3</v>
      </c>
      <c r="F257" t="s">
        <v>1722</v>
      </c>
      <c r="H257" t="s">
        <v>6664</v>
      </c>
      <c r="I257" t="s">
        <v>2327</v>
      </c>
      <c r="K257" t="s">
        <v>7400</v>
      </c>
      <c r="L257" t="s">
        <v>7401</v>
      </c>
    </row>
    <row r="258" spans="1:12" x14ac:dyDescent="0.35">
      <c r="A258" t="s">
        <v>107</v>
      </c>
      <c r="B258" t="s">
        <v>175</v>
      </c>
      <c r="D258">
        <v>5.17</v>
      </c>
      <c r="F258" t="s">
        <v>6220</v>
      </c>
      <c r="H258" t="s">
        <v>6665</v>
      </c>
      <c r="I258" t="s">
        <v>2050</v>
      </c>
      <c r="K258" t="s">
        <v>7400</v>
      </c>
      <c r="L258" t="s">
        <v>7401</v>
      </c>
    </row>
    <row r="259" spans="1:12" x14ac:dyDescent="0.35">
      <c r="A259" t="s">
        <v>107</v>
      </c>
      <c r="B259" t="s">
        <v>175</v>
      </c>
      <c r="D259">
        <v>1.4E-2</v>
      </c>
      <c r="F259" t="s">
        <v>1550</v>
      </c>
      <c r="H259" t="s">
        <v>6666</v>
      </c>
      <c r="I259" t="s">
        <v>2327</v>
      </c>
      <c r="K259" t="s">
        <v>7400</v>
      </c>
      <c r="L259" t="s">
        <v>7401</v>
      </c>
    </row>
    <row r="260" spans="1:12" x14ac:dyDescent="0.35">
      <c r="A260" t="s">
        <v>107</v>
      </c>
      <c r="B260" t="s">
        <v>175</v>
      </c>
      <c r="D260">
        <v>1.83</v>
      </c>
      <c r="F260" t="s">
        <v>5113</v>
      </c>
      <c r="H260" t="s">
        <v>6667</v>
      </c>
      <c r="I260" t="s">
        <v>2050</v>
      </c>
      <c r="K260" t="s">
        <v>7400</v>
      </c>
      <c r="L260" t="s">
        <v>7401</v>
      </c>
    </row>
    <row r="261" spans="1:12" x14ac:dyDescent="0.35">
      <c r="A261" t="s">
        <v>107</v>
      </c>
      <c r="B261" t="s">
        <v>175</v>
      </c>
      <c r="D261">
        <v>0.12</v>
      </c>
      <c r="F261" t="s">
        <v>1473</v>
      </c>
      <c r="H261" t="s">
        <v>6668</v>
      </c>
      <c r="I261" t="s">
        <v>2050</v>
      </c>
      <c r="K261" t="s">
        <v>7400</v>
      </c>
      <c r="L261" t="s">
        <v>7401</v>
      </c>
    </row>
    <row r="262" spans="1:12" x14ac:dyDescent="0.35">
      <c r="A262" t="s">
        <v>107</v>
      </c>
      <c r="B262" t="s">
        <v>175</v>
      </c>
      <c r="D262">
        <v>0.48</v>
      </c>
      <c r="F262" t="s">
        <v>1508</v>
      </c>
      <c r="H262" t="s">
        <v>6669</v>
      </c>
      <c r="I262" t="s">
        <v>2050</v>
      </c>
      <c r="K262" t="s">
        <v>7400</v>
      </c>
      <c r="L262" t="s">
        <v>7401</v>
      </c>
    </row>
    <row r="263" spans="1:12" x14ac:dyDescent="0.35">
      <c r="A263" t="s">
        <v>107</v>
      </c>
      <c r="B263" t="s">
        <v>175</v>
      </c>
      <c r="D263">
        <v>3.7999999999999999E-2</v>
      </c>
      <c r="F263" t="s">
        <v>1803</v>
      </c>
      <c r="H263" t="s">
        <v>6670</v>
      </c>
      <c r="I263" t="s">
        <v>2327</v>
      </c>
      <c r="K263" t="s">
        <v>7400</v>
      </c>
      <c r="L263" t="s">
        <v>7401</v>
      </c>
    </row>
    <row r="264" spans="1:12" x14ac:dyDescent="0.35">
      <c r="A264" t="s">
        <v>107</v>
      </c>
      <c r="B264" t="s">
        <v>175</v>
      </c>
      <c r="D264">
        <v>0.92</v>
      </c>
      <c r="F264" t="s">
        <v>1491</v>
      </c>
      <c r="H264" t="s">
        <v>6671</v>
      </c>
      <c r="I264" t="s">
        <v>2050</v>
      </c>
      <c r="K264" t="s">
        <v>7400</v>
      </c>
      <c r="L264" t="s">
        <v>7401</v>
      </c>
    </row>
    <row r="265" spans="1:12" x14ac:dyDescent="0.35">
      <c r="A265" t="s">
        <v>107</v>
      </c>
      <c r="B265" t="s">
        <v>175</v>
      </c>
      <c r="D265">
        <v>0.44</v>
      </c>
      <c r="F265" t="s">
        <v>1723</v>
      </c>
      <c r="H265" t="s">
        <v>6672</v>
      </c>
      <c r="I265" t="s">
        <v>1889</v>
      </c>
      <c r="K265" t="s">
        <v>7400</v>
      </c>
      <c r="L265" t="s">
        <v>7401</v>
      </c>
    </row>
    <row r="266" spans="1:12" x14ac:dyDescent="0.35">
      <c r="A266" t="s">
        <v>107</v>
      </c>
      <c r="B266" t="s">
        <v>175</v>
      </c>
      <c r="D266">
        <v>5.67</v>
      </c>
      <c r="F266" t="s">
        <v>5387</v>
      </c>
      <c r="H266" t="s">
        <v>6673</v>
      </c>
      <c r="I266" t="s">
        <v>2050</v>
      </c>
      <c r="K266" t="s">
        <v>7400</v>
      </c>
      <c r="L266" t="s">
        <v>7401</v>
      </c>
    </row>
    <row r="267" spans="1:12" x14ac:dyDescent="0.35">
      <c r="A267" t="s">
        <v>107</v>
      </c>
      <c r="B267" t="s">
        <v>175</v>
      </c>
      <c r="D267">
        <v>8.86</v>
      </c>
      <c r="F267" t="s">
        <v>6221</v>
      </c>
      <c r="H267" t="s">
        <v>6674</v>
      </c>
      <c r="I267" t="s">
        <v>1889</v>
      </c>
      <c r="K267" t="s">
        <v>7400</v>
      </c>
      <c r="L267" t="s">
        <v>7401</v>
      </c>
    </row>
    <row r="268" spans="1:12" x14ac:dyDescent="0.35">
      <c r="A268" t="s">
        <v>107</v>
      </c>
      <c r="B268" t="s">
        <v>175</v>
      </c>
      <c r="D268">
        <v>5.33</v>
      </c>
      <c r="F268" t="s">
        <v>6222</v>
      </c>
      <c r="H268" t="s">
        <v>6675</v>
      </c>
      <c r="I268" t="s">
        <v>2050</v>
      </c>
      <c r="K268" t="s">
        <v>7400</v>
      </c>
      <c r="L268" t="s">
        <v>7401</v>
      </c>
    </row>
    <row r="269" spans="1:12" x14ac:dyDescent="0.35">
      <c r="A269" t="s">
        <v>107</v>
      </c>
      <c r="B269" t="s">
        <v>175</v>
      </c>
      <c r="D269">
        <v>4.67</v>
      </c>
      <c r="F269" t="s">
        <v>5516</v>
      </c>
      <c r="H269" t="s">
        <v>6676</v>
      </c>
      <c r="I269" t="s">
        <v>2050</v>
      </c>
      <c r="K269" t="s">
        <v>7400</v>
      </c>
      <c r="L269" t="s">
        <v>7401</v>
      </c>
    </row>
    <row r="270" spans="1:12" x14ac:dyDescent="0.35">
      <c r="A270" t="s">
        <v>107</v>
      </c>
      <c r="B270" t="s">
        <v>175</v>
      </c>
      <c r="D270">
        <v>6.67</v>
      </c>
      <c r="F270" t="s">
        <v>6223</v>
      </c>
      <c r="H270" t="s">
        <v>6677</v>
      </c>
      <c r="I270" t="s">
        <v>2050</v>
      </c>
      <c r="K270" t="s">
        <v>7400</v>
      </c>
      <c r="L270" t="s">
        <v>7401</v>
      </c>
    </row>
    <row r="271" spans="1:12" x14ac:dyDescent="0.35">
      <c r="A271" t="s">
        <v>107</v>
      </c>
      <c r="B271" t="s">
        <v>175</v>
      </c>
      <c r="D271">
        <v>6.17</v>
      </c>
      <c r="F271" t="s">
        <v>5522</v>
      </c>
      <c r="H271" t="s">
        <v>6678</v>
      </c>
      <c r="I271" t="s">
        <v>2050</v>
      </c>
      <c r="K271" t="s">
        <v>7400</v>
      </c>
      <c r="L271" t="s">
        <v>7401</v>
      </c>
    </row>
    <row r="272" spans="1:12" x14ac:dyDescent="0.35">
      <c r="A272" t="s">
        <v>107</v>
      </c>
      <c r="B272" t="s">
        <v>175</v>
      </c>
      <c r="D272">
        <v>25</v>
      </c>
      <c r="F272" t="s">
        <v>1387</v>
      </c>
      <c r="H272" t="s">
        <v>6679</v>
      </c>
      <c r="I272" t="s">
        <v>2327</v>
      </c>
      <c r="K272" t="s">
        <v>7400</v>
      </c>
      <c r="L272" t="s">
        <v>7401</v>
      </c>
    </row>
    <row r="273" spans="1:12" x14ac:dyDescent="0.35">
      <c r="A273" t="s">
        <v>107</v>
      </c>
      <c r="B273" t="s">
        <v>353</v>
      </c>
      <c r="D273">
        <v>0.05</v>
      </c>
      <c r="F273" t="s">
        <v>1559</v>
      </c>
      <c r="H273" t="s">
        <v>6680</v>
      </c>
      <c r="I273" t="s">
        <v>2253</v>
      </c>
      <c r="K273" t="s">
        <v>7400</v>
      </c>
      <c r="L273" t="s">
        <v>7401</v>
      </c>
    </row>
    <row r="274" spans="1:12" x14ac:dyDescent="0.35">
      <c r="A274" t="s">
        <v>107</v>
      </c>
      <c r="B274" t="s">
        <v>353</v>
      </c>
      <c r="D274">
        <v>51</v>
      </c>
      <c r="F274" t="s">
        <v>2009</v>
      </c>
      <c r="H274" t="s">
        <v>6681</v>
      </c>
      <c r="I274" t="s">
        <v>4894</v>
      </c>
      <c r="K274" t="s">
        <v>7400</v>
      </c>
      <c r="L274" t="s">
        <v>7401</v>
      </c>
    </row>
    <row r="275" spans="1:12" x14ac:dyDescent="0.35">
      <c r="A275" t="s">
        <v>107</v>
      </c>
      <c r="B275" t="s">
        <v>353</v>
      </c>
      <c r="D275">
        <v>5.0999999999999997E-2</v>
      </c>
      <c r="F275" t="s">
        <v>2059</v>
      </c>
      <c r="H275" t="s">
        <v>6682</v>
      </c>
      <c r="I275" t="s">
        <v>2253</v>
      </c>
      <c r="K275" t="s">
        <v>7400</v>
      </c>
      <c r="L275" t="s">
        <v>7401</v>
      </c>
    </row>
    <row r="276" spans="1:12" x14ac:dyDescent="0.35">
      <c r="A276" t="s">
        <v>107</v>
      </c>
      <c r="B276" t="s">
        <v>353</v>
      </c>
      <c r="D276">
        <v>3.1E-2</v>
      </c>
      <c r="F276" t="s">
        <v>1423</v>
      </c>
      <c r="H276" t="s">
        <v>6683</v>
      </c>
      <c r="I276" t="s">
        <v>2253</v>
      </c>
      <c r="K276" t="s">
        <v>7400</v>
      </c>
      <c r="L276" t="s">
        <v>7401</v>
      </c>
    </row>
    <row r="277" spans="1:12" x14ac:dyDescent="0.35">
      <c r="A277" t="s">
        <v>107</v>
      </c>
      <c r="B277" t="s">
        <v>179</v>
      </c>
      <c r="D277">
        <v>2.7000000000000001E-3</v>
      </c>
      <c r="F277" t="s">
        <v>1342</v>
      </c>
      <c r="H277" t="s">
        <v>6684</v>
      </c>
      <c r="I277" t="s">
        <v>2052</v>
      </c>
      <c r="K277" t="s">
        <v>7400</v>
      </c>
      <c r="L277" t="s">
        <v>7401</v>
      </c>
    </row>
    <row r="278" spans="1:12" x14ac:dyDescent="0.35">
      <c r="A278" t="s">
        <v>107</v>
      </c>
      <c r="B278" t="s">
        <v>179</v>
      </c>
      <c r="D278">
        <v>4.7999999999999996E-3</v>
      </c>
      <c r="F278" t="s">
        <v>1846</v>
      </c>
      <c r="H278" t="s">
        <v>6685</v>
      </c>
      <c r="I278" t="s">
        <v>2052</v>
      </c>
      <c r="K278" t="s">
        <v>7400</v>
      </c>
      <c r="L278" t="s">
        <v>7401</v>
      </c>
    </row>
    <row r="279" spans="1:12" x14ac:dyDescent="0.35">
      <c r="A279" t="s">
        <v>107</v>
      </c>
      <c r="B279" t="s">
        <v>179</v>
      </c>
      <c r="D279">
        <v>9.7000000000000003E-3</v>
      </c>
      <c r="F279" t="s">
        <v>6224</v>
      </c>
      <c r="H279" t="s">
        <v>6686</v>
      </c>
      <c r="I279" t="s">
        <v>1848</v>
      </c>
      <c r="K279" t="s">
        <v>7400</v>
      </c>
      <c r="L279" t="s">
        <v>7401</v>
      </c>
    </row>
    <row r="280" spans="1:12" x14ac:dyDescent="0.35">
      <c r="A280" t="s">
        <v>107</v>
      </c>
      <c r="B280" t="s">
        <v>179</v>
      </c>
      <c r="D280">
        <v>4.1000000000000003E-3</v>
      </c>
      <c r="F280" t="s">
        <v>1913</v>
      </c>
      <c r="H280" t="s">
        <v>6687</v>
      </c>
      <c r="I280" t="s">
        <v>2052</v>
      </c>
      <c r="K280" t="s">
        <v>7400</v>
      </c>
      <c r="L280" t="s">
        <v>7401</v>
      </c>
    </row>
    <row r="281" spans="1:12" x14ac:dyDescent="0.35">
      <c r="A281" t="s">
        <v>107</v>
      </c>
      <c r="B281" t="s">
        <v>328</v>
      </c>
      <c r="D281">
        <v>9</v>
      </c>
      <c r="F281" t="s">
        <v>1367</v>
      </c>
      <c r="I281" t="s">
        <v>1526</v>
      </c>
      <c r="K281" t="s">
        <v>7400</v>
      </c>
      <c r="L281" t="s">
        <v>7401</v>
      </c>
    </row>
    <row r="282" spans="1:12" x14ac:dyDescent="0.35">
      <c r="A282" t="s">
        <v>107</v>
      </c>
      <c r="B282" t="s">
        <v>328</v>
      </c>
      <c r="D282">
        <v>14.5</v>
      </c>
      <c r="F282" t="s">
        <v>5497</v>
      </c>
      <c r="H282" t="s">
        <v>3404</v>
      </c>
      <c r="I282" t="s">
        <v>2364</v>
      </c>
      <c r="K282" t="s">
        <v>7400</v>
      </c>
      <c r="L282" t="s">
        <v>7401</v>
      </c>
    </row>
    <row r="283" spans="1:12" x14ac:dyDescent="0.35">
      <c r="A283" t="s">
        <v>107</v>
      </c>
      <c r="B283" t="s">
        <v>328</v>
      </c>
      <c r="D283">
        <v>19.2</v>
      </c>
      <c r="F283" t="s">
        <v>6225</v>
      </c>
      <c r="H283" t="s">
        <v>6688</v>
      </c>
      <c r="I283" t="s">
        <v>2364</v>
      </c>
      <c r="K283" t="s">
        <v>7400</v>
      </c>
      <c r="L283" t="s">
        <v>7401</v>
      </c>
    </row>
    <row r="284" spans="1:12" x14ac:dyDescent="0.35">
      <c r="A284" t="s">
        <v>107</v>
      </c>
      <c r="B284" t="s">
        <v>328</v>
      </c>
      <c r="D284">
        <v>24.3</v>
      </c>
      <c r="F284" t="s">
        <v>5287</v>
      </c>
      <c r="I284" t="s">
        <v>1335</v>
      </c>
      <c r="K284" t="s">
        <v>7400</v>
      </c>
      <c r="L284" t="s">
        <v>7401</v>
      </c>
    </row>
    <row r="285" spans="1:12" x14ac:dyDescent="0.35">
      <c r="A285" t="s">
        <v>107</v>
      </c>
      <c r="B285" t="s">
        <v>468</v>
      </c>
      <c r="D285">
        <v>3.3359999999999999</v>
      </c>
      <c r="F285" t="s">
        <v>6226</v>
      </c>
      <c r="I285" t="s">
        <v>4876</v>
      </c>
      <c r="K285" t="s">
        <v>7400</v>
      </c>
      <c r="L285" t="s">
        <v>7401</v>
      </c>
    </row>
    <row r="286" spans="1:12" x14ac:dyDescent="0.35">
      <c r="A286" t="s">
        <v>107</v>
      </c>
      <c r="B286" t="s">
        <v>6051</v>
      </c>
      <c r="D286">
        <v>0.25</v>
      </c>
      <c r="F286" t="s">
        <v>1403</v>
      </c>
      <c r="H286" t="s">
        <v>6689</v>
      </c>
      <c r="I286" t="s">
        <v>4988</v>
      </c>
      <c r="K286" t="s">
        <v>7400</v>
      </c>
      <c r="L286" t="s">
        <v>7401</v>
      </c>
    </row>
    <row r="287" spans="1:12" x14ac:dyDescent="0.35">
      <c r="A287" t="s">
        <v>108</v>
      </c>
      <c r="B287" t="s">
        <v>475</v>
      </c>
      <c r="D287">
        <v>3.3000000000000002E-2</v>
      </c>
      <c r="F287" t="s">
        <v>1340</v>
      </c>
      <c r="I287" t="s">
        <v>1317</v>
      </c>
      <c r="K287" t="s">
        <v>7400</v>
      </c>
      <c r="L287" t="s">
        <v>7401</v>
      </c>
    </row>
    <row r="288" spans="1:12" x14ac:dyDescent="0.35">
      <c r="A288" t="s">
        <v>108</v>
      </c>
      <c r="B288" t="s">
        <v>476</v>
      </c>
      <c r="D288">
        <v>14.05</v>
      </c>
      <c r="F288" t="s">
        <v>6227</v>
      </c>
      <c r="I288" t="s">
        <v>1851</v>
      </c>
      <c r="K288" t="s">
        <v>7400</v>
      </c>
      <c r="L288" t="s">
        <v>7401</v>
      </c>
    </row>
    <row r="289" spans="1:12" x14ac:dyDescent="0.35">
      <c r="A289" t="s">
        <v>108</v>
      </c>
      <c r="B289" t="s">
        <v>476</v>
      </c>
      <c r="D289">
        <v>17.2</v>
      </c>
      <c r="F289" t="s">
        <v>5527</v>
      </c>
      <c r="H289" t="s">
        <v>6690</v>
      </c>
      <c r="I289" t="s">
        <v>2253</v>
      </c>
      <c r="K289" t="s">
        <v>7400</v>
      </c>
      <c r="L289" t="s">
        <v>7401</v>
      </c>
    </row>
    <row r="290" spans="1:12" x14ac:dyDescent="0.35">
      <c r="A290" t="s">
        <v>108</v>
      </c>
      <c r="B290" t="s">
        <v>476</v>
      </c>
      <c r="D290">
        <v>20.100000000000001</v>
      </c>
      <c r="F290" t="s">
        <v>5179</v>
      </c>
      <c r="H290" t="s">
        <v>6691</v>
      </c>
      <c r="I290" t="s">
        <v>2253</v>
      </c>
      <c r="K290" t="s">
        <v>7400</v>
      </c>
      <c r="L290" t="s">
        <v>7401</v>
      </c>
    </row>
    <row r="291" spans="1:12" x14ac:dyDescent="0.35">
      <c r="A291" t="s">
        <v>108</v>
      </c>
      <c r="B291" t="s">
        <v>476</v>
      </c>
      <c r="D291">
        <v>21.9</v>
      </c>
      <c r="F291" t="s">
        <v>5280</v>
      </c>
      <c r="H291" t="s">
        <v>6692</v>
      </c>
      <c r="I291" t="s">
        <v>2253</v>
      </c>
      <c r="K291" t="s">
        <v>7400</v>
      </c>
      <c r="L291" t="s">
        <v>7401</v>
      </c>
    </row>
    <row r="292" spans="1:12" x14ac:dyDescent="0.35">
      <c r="A292" t="s">
        <v>108</v>
      </c>
      <c r="B292" t="s">
        <v>476</v>
      </c>
      <c r="D292">
        <v>19.3</v>
      </c>
      <c r="F292" t="s">
        <v>1561</v>
      </c>
      <c r="H292" t="s">
        <v>6693</v>
      </c>
      <c r="I292" t="s">
        <v>2253</v>
      </c>
      <c r="K292" t="s">
        <v>7400</v>
      </c>
      <c r="L292" t="s">
        <v>7401</v>
      </c>
    </row>
    <row r="293" spans="1:12" x14ac:dyDescent="0.35">
      <c r="A293" t="s">
        <v>108</v>
      </c>
      <c r="B293" t="s">
        <v>476</v>
      </c>
      <c r="D293">
        <v>17.3</v>
      </c>
      <c r="F293" t="s">
        <v>5459</v>
      </c>
      <c r="H293" t="s">
        <v>6694</v>
      </c>
      <c r="I293" t="s">
        <v>2253</v>
      </c>
      <c r="K293" t="s">
        <v>7400</v>
      </c>
      <c r="L293" t="s">
        <v>7401</v>
      </c>
    </row>
    <row r="294" spans="1:12" x14ac:dyDescent="0.35">
      <c r="A294" t="s">
        <v>108</v>
      </c>
      <c r="B294" t="s">
        <v>459</v>
      </c>
      <c r="D294">
        <v>0.17</v>
      </c>
      <c r="F294" t="s">
        <v>1409</v>
      </c>
      <c r="I294" t="s">
        <v>1379</v>
      </c>
      <c r="K294" t="s">
        <v>7400</v>
      </c>
      <c r="L294" t="s">
        <v>7401</v>
      </c>
    </row>
    <row r="295" spans="1:12" x14ac:dyDescent="0.35">
      <c r="A295" t="s">
        <v>108</v>
      </c>
      <c r="B295" t="s">
        <v>6052</v>
      </c>
      <c r="D295">
        <v>8.0000000000000004E-4</v>
      </c>
      <c r="F295" t="s">
        <v>1762</v>
      </c>
      <c r="H295" t="s">
        <v>6695</v>
      </c>
      <c r="I295" t="s">
        <v>1878</v>
      </c>
      <c r="K295" t="s">
        <v>7400</v>
      </c>
      <c r="L295" t="s">
        <v>7401</v>
      </c>
    </row>
    <row r="296" spans="1:12" x14ac:dyDescent="0.35">
      <c r="A296" t="s">
        <v>108</v>
      </c>
      <c r="B296" t="s">
        <v>6052</v>
      </c>
      <c r="D296">
        <v>1.2699999999999999E-2</v>
      </c>
      <c r="F296" t="s">
        <v>1590</v>
      </c>
      <c r="H296" t="s">
        <v>6696</v>
      </c>
      <c r="I296" t="s">
        <v>1878</v>
      </c>
      <c r="K296" t="s">
        <v>7400</v>
      </c>
      <c r="L296" t="s">
        <v>7401</v>
      </c>
    </row>
    <row r="297" spans="1:12" x14ac:dyDescent="0.35">
      <c r="A297" t="s">
        <v>108</v>
      </c>
      <c r="B297" t="s">
        <v>6052</v>
      </c>
      <c r="D297">
        <v>5.9999999999999995E-4</v>
      </c>
      <c r="F297" t="s">
        <v>2459</v>
      </c>
      <c r="H297" t="s">
        <v>6697</v>
      </c>
      <c r="I297" t="s">
        <v>1878</v>
      </c>
      <c r="K297" t="s">
        <v>7400</v>
      </c>
      <c r="L297" t="s">
        <v>7401</v>
      </c>
    </row>
    <row r="298" spans="1:12" x14ac:dyDescent="0.35">
      <c r="A298" t="s">
        <v>108</v>
      </c>
      <c r="B298" t="s">
        <v>394</v>
      </c>
      <c r="D298">
        <v>29.95</v>
      </c>
      <c r="F298" t="s">
        <v>6228</v>
      </c>
      <c r="H298" t="s">
        <v>3439</v>
      </c>
      <c r="I298" t="s">
        <v>2326</v>
      </c>
      <c r="K298" t="s">
        <v>7400</v>
      </c>
      <c r="L298" t="s">
        <v>7401</v>
      </c>
    </row>
    <row r="299" spans="1:12" x14ac:dyDescent="0.35">
      <c r="A299" t="s">
        <v>108</v>
      </c>
      <c r="B299" t="s">
        <v>463</v>
      </c>
      <c r="D299">
        <v>19.329999999999998</v>
      </c>
      <c r="F299" t="s">
        <v>5168</v>
      </c>
      <c r="I299" t="s">
        <v>4880</v>
      </c>
      <c r="K299" t="s">
        <v>7400</v>
      </c>
      <c r="L299" t="s">
        <v>7401</v>
      </c>
    </row>
    <row r="300" spans="1:12" x14ac:dyDescent="0.35">
      <c r="A300" t="s">
        <v>108</v>
      </c>
      <c r="B300" t="s">
        <v>6053</v>
      </c>
      <c r="D300">
        <v>9.4000000000000004E-3</v>
      </c>
      <c r="F300" t="s">
        <v>6229</v>
      </c>
      <c r="H300" t="s">
        <v>6698</v>
      </c>
      <c r="I300" t="s">
        <v>1878</v>
      </c>
      <c r="K300" t="s">
        <v>7400</v>
      </c>
      <c r="L300" t="s">
        <v>7401</v>
      </c>
    </row>
    <row r="301" spans="1:12" x14ac:dyDescent="0.35">
      <c r="A301" t="s">
        <v>108</v>
      </c>
      <c r="B301" t="s">
        <v>179</v>
      </c>
      <c r="D301">
        <v>3.8999999999999998E-3</v>
      </c>
      <c r="F301" t="s">
        <v>1845</v>
      </c>
      <c r="H301" t="s">
        <v>6699</v>
      </c>
      <c r="I301" t="s">
        <v>4863</v>
      </c>
      <c r="K301" t="s">
        <v>7400</v>
      </c>
      <c r="L301" t="s">
        <v>7401</v>
      </c>
    </row>
    <row r="302" spans="1:12" x14ac:dyDescent="0.35">
      <c r="A302" t="s">
        <v>108</v>
      </c>
      <c r="B302" t="s">
        <v>179</v>
      </c>
      <c r="D302">
        <v>7.7999999999999996E-3</v>
      </c>
      <c r="F302" t="s">
        <v>2065</v>
      </c>
      <c r="H302" t="s">
        <v>6700</v>
      </c>
      <c r="I302" t="s">
        <v>4863</v>
      </c>
      <c r="K302" t="s">
        <v>7400</v>
      </c>
      <c r="L302" t="s">
        <v>7401</v>
      </c>
    </row>
    <row r="303" spans="1:12" x14ac:dyDescent="0.35">
      <c r="A303" t="s">
        <v>108</v>
      </c>
      <c r="B303" t="s">
        <v>179</v>
      </c>
      <c r="D303">
        <v>6.4000000000000003E-3</v>
      </c>
      <c r="F303" t="s">
        <v>2138</v>
      </c>
      <c r="H303" t="s">
        <v>6701</v>
      </c>
      <c r="I303" t="s">
        <v>4863</v>
      </c>
      <c r="K303" t="s">
        <v>7400</v>
      </c>
      <c r="L303" t="s">
        <v>7401</v>
      </c>
    </row>
    <row r="304" spans="1:12" x14ac:dyDescent="0.35">
      <c r="A304" t="s">
        <v>108</v>
      </c>
      <c r="B304" t="s">
        <v>179</v>
      </c>
      <c r="D304">
        <v>4.7000000000000002E-3</v>
      </c>
      <c r="F304" t="s">
        <v>2182</v>
      </c>
      <c r="H304" t="s">
        <v>6702</v>
      </c>
      <c r="I304" t="s">
        <v>4863</v>
      </c>
      <c r="K304" t="s">
        <v>7400</v>
      </c>
      <c r="L304" t="s">
        <v>7401</v>
      </c>
    </row>
    <row r="305" spans="1:12" x14ac:dyDescent="0.35">
      <c r="A305" t="s">
        <v>108</v>
      </c>
      <c r="B305" t="s">
        <v>320</v>
      </c>
      <c r="D305">
        <v>33.5</v>
      </c>
      <c r="F305" t="s">
        <v>6230</v>
      </c>
      <c r="H305" t="s">
        <v>6703</v>
      </c>
      <c r="I305" t="s">
        <v>2009</v>
      </c>
      <c r="K305" t="s">
        <v>7400</v>
      </c>
      <c r="L305" t="s">
        <v>7401</v>
      </c>
    </row>
    <row r="306" spans="1:12" x14ac:dyDescent="0.35">
      <c r="A306" t="s">
        <v>108</v>
      </c>
      <c r="B306" t="s">
        <v>320</v>
      </c>
      <c r="D306">
        <v>32</v>
      </c>
      <c r="F306" t="s">
        <v>1461</v>
      </c>
      <c r="H306" t="s">
        <v>6704</v>
      </c>
      <c r="I306" t="s">
        <v>2009</v>
      </c>
      <c r="K306" t="s">
        <v>7400</v>
      </c>
      <c r="L306" t="s">
        <v>7401</v>
      </c>
    </row>
    <row r="307" spans="1:12" x14ac:dyDescent="0.35">
      <c r="A307" t="s">
        <v>108</v>
      </c>
      <c r="B307" t="s">
        <v>320</v>
      </c>
      <c r="D307">
        <v>3</v>
      </c>
      <c r="F307" t="s">
        <v>1368</v>
      </c>
      <c r="H307" t="s">
        <v>6705</v>
      </c>
      <c r="I307" t="s">
        <v>2009</v>
      </c>
      <c r="K307" t="s">
        <v>7400</v>
      </c>
      <c r="L307" t="s">
        <v>7401</v>
      </c>
    </row>
    <row r="308" spans="1:12" x14ac:dyDescent="0.35">
      <c r="A308" t="s">
        <v>108</v>
      </c>
      <c r="B308" t="s">
        <v>320</v>
      </c>
      <c r="D308">
        <v>43</v>
      </c>
      <c r="F308" t="s">
        <v>1394</v>
      </c>
      <c r="H308" t="s">
        <v>6706</v>
      </c>
      <c r="I308" t="s">
        <v>2009</v>
      </c>
      <c r="K308" t="s">
        <v>7400</v>
      </c>
      <c r="L308" t="s">
        <v>7401</v>
      </c>
    </row>
    <row r="309" spans="1:12" x14ac:dyDescent="0.35">
      <c r="A309" t="s">
        <v>108</v>
      </c>
      <c r="B309" t="s">
        <v>352</v>
      </c>
      <c r="D309">
        <v>10.83</v>
      </c>
      <c r="F309" t="s">
        <v>5355</v>
      </c>
      <c r="I309" t="s">
        <v>1373</v>
      </c>
      <c r="K309" t="s">
        <v>7400</v>
      </c>
      <c r="L309" t="s">
        <v>7401</v>
      </c>
    </row>
    <row r="310" spans="1:12" x14ac:dyDescent="0.35">
      <c r="A310" t="s">
        <v>108</v>
      </c>
      <c r="B310" t="s">
        <v>352</v>
      </c>
      <c r="D310">
        <v>42.83</v>
      </c>
      <c r="F310" t="s">
        <v>6231</v>
      </c>
      <c r="I310" t="s">
        <v>1368</v>
      </c>
      <c r="K310" t="s">
        <v>7400</v>
      </c>
      <c r="L310" t="s">
        <v>7401</v>
      </c>
    </row>
    <row r="311" spans="1:12" x14ac:dyDescent="0.35">
      <c r="A311" t="s">
        <v>108</v>
      </c>
      <c r="B311" t="s">
        <v>6051</v>
      </c>
      <c r="D311">
        <v>0.38</v>
      </c>
      <c r="F311" t="s">
        <v>1624</v>
      </c>
      <c r="H311" t="s">
        <v>6707</v>
      </c>
      <c r="I311" t="s">
        <v>4855</v>
      </c>
      <c r="K311" t="s">
        <v>7400</v>
      </c>
      <c r="L311" t="s">
        <v>7401</v>
      </c>
    </row>
    <row r="312" spans="1:12" x14ac:dyDescent="0.35">
      <c r="A312" t="s">
        <v>108</v>
      </c>
      <c r="B312" t="s">
        <v>328</v>
      </c>
      <c r="D312">
        <v>13.75</v>
      </c>
      <c r="F312" t="s">
        <v>6232</v>
      </c>
      <c r="I312" t="s">
        <v>1335</v>
      </c>
      <c r="K312" t="s">
        <v>7400</v>
      </c>
      <c r="L312" t="s">
        <v>7401</v>
      </c>
    </row>
    <row r="313" spans="1:12" x14ac:dyDescent="0.35">
      <c r="A313" t="s">
        <v>108</v>
      </c>
      <c r="B313" t="s">
        <v>328</v>
      </c>
      <c r="D313">
        <v>11</v>
      </c>
      <c r="F313" t="s">
        <v>1841</v>
      </c>
      <c r="H313" t="s">
        <v>6708</v>
      </c>
      <c r="I313" t="s">
        <v>1394</v>
      </c>
      <c r="K313" t="s">
        <v>7400</v>
      </c>
      <c r="L313" t="s">
        <v>7401</v>
      </c>
    </row>
    <row r="314" spans="1:12" x14ac:dyDescent="0.35">
      <c r="A314" t="s">
        <v>109</v>
      </c>
      <c r="B314" t="s">
        <v>329</v>
      </c>
      <c r="D314">
        <v>70.3</v>
      </c>
      <c r="F314" t="s">
        <v>6233</v>
      </c>
      <c r="I314" t="s">
        <v>1878</v>
      </c>
      <c r="K314" t="s">
        <v>7400</v>
      </c>
      <c r="L314" t="s">
        <v>7401</v>
      </c>
    </row>
    <row r="315" spans="1:12" x14ac:dyDescent="0.35">
      <c r="A315" t="s">
        <v>109</v>
      </c>
      <c r="B315" t="s">
        <v>332</v>
      </c>
      <c r="D315">
        <v>291</v>
      </c>
      <c r="F315" t="s">
        <v>6234</v>
      </c>
      <c r="I315" t="s">
        <v>2327</v>
      </c>
      <c r="K315" t="s">
        <v>7400</v>
      </c>
      <c r="L315" t="s">
        <v>7401</v>
      </c>
    </row>
    <row r="316" spans="1:12" x14ac:dyDescent="0.35">
      <c r="A316" t="s">
        <v>109</v>
      </c>
      <c r="B316" t="s">
        <v>333</v>
      </c>
      <c r="D316">
        <v>1407</v>
      </c>
      <c r="F316" t="s">
        <v>6235</v>
      </c>
      <c r="I316" t="s">
        <v>1379</v>
      </c>
      <c r="K316" t="s">
        <v>7400</v>
      </c>
      <c r="L316" t="s">
        <v>7401</v>
      </c>
    </row>
    <row r="317" spans="1:12" x14ac:dyDescent="0.35">
      <c r="A317" t="s">
        <v>109</v>
      </c>
      <c r="B317" t="s">
        <v>6054</v>
      </c>
      <c r="D317">
        <v>488</v>
      </c>
      <c r="F317" t="s">
        <v>6236</v>
      </c>
      <c r="I317" t="s">
        <v>1766</v>
      </c>
      <c r="K317" t="s">
        <v>7400</v>
      </c>
      <c r="L317" t="s">
        <v>7401</v>
      </c>
    </row>
    <row r="318" spans="1:12" x14ac:dyDescent="0.35">
      <c r="A318" t="s">
        <v>109</v>
      </c>
      <c r="B318" t="s">
        <v>313</v>
      </c>
      <c r="D318">
        <v>0.16</v>
      </c>
      <c r="F318" t="s">
        <v>1573</v>
      </c>
      <c r="H318" t="s">
        <v>6709</v>
      </c>
      <c r="I318" t="s">
        <v>1390</v>
      </c>
      <c r="K318" t="s">
        <v>7400</v>
      </c>
      <c r="L318" t="s">
        <v>7401</v>
      </c>
    </row>
    <row r="319" spans="1:12" x14ac:dyDescent="0.35">
      <c r="A319" t="s">
        <v>109</v>
      </c>
      <c r="B319" t="s">
        <v>313</v>
      </c>
      <c r="D319">
        <v>0.13</v>
      </c>
      <c r="F319" t="s">
        <v>1466</v>
      </c>
      <c r="H319" t="s">
        <v>6710</v>
      </c>
      <c r="I319" t="s">
        <v>1390</v>
      </c>
      <c r="K319" t="s">
        <v>7400</v>
      </c>
      <c r="L319" t="s">
        <v>7401</v>
      </c>
    </row>
    <row r="320" spans="1:12" x14ac:dyDescent="0.35">
      <c r="A320" t="s">
        <v>109</v>
      </c>
      <c r="B320" t="s">
        <v>313</v>
      </c>
      <c r="D320">
        <v>0.68679999999999997</v>
      </c>
      <c r="F320" t="s">
        <v>6237</v>
      </c>
      <c r="I320" t="s">
        <v>1393</v>
      </c>
      <c r="K320" t="s">
        <v>7400</v>
      </c>
      <c r="L320" t="s">
        <v>7401</v>
      </c>
    </row>
    <row r="321" spans="1:12" x14ac:dyDescent="0.35">
      <c r="A321" t="s">
        <v>109</v>
      </c>
      <c r="B321" t="s">
        <v>513</v>
      </c>
      <c r="D321">
        <v>12.09</v>
      </c>
      <c r="F321" t="s">
        <v>6238</v>
      </c>
      <c r="H321" t="s">
        <v>6711</v>
      </c>
      <c r="I321" t="s">
        <v>5465</v>
      </c>
      <c r="K321" t="s">
        <v>7400</v>
      </c>
      <c r="L321" t="s">
        <v>7401</v>
      </c>
    </row>
    <row r="322" spans="1:12" x14ac:dyDescent="0.35">
      <c r="A322" t="s">
        <v>109</v>
      </c>
      <c r="B322" t="s">
        <v>479</v>
      </c>
      <c r="D322">
        <v>350</v>
      </c>
      <c r="F322" t="s">
        <v>2319</v>
      </c>
      <c r="I322" t="s">
        <v>1707</v>
      </c>
      <c r="K322" t="s">
        <v>7400</v>
      </c>
      <c r="L322" t="s">
        <v>7401</v>
      </c>
    </row>
    <row r="323" spans="1:12" x14ac:dyDescent="0.35">
      <c r="A323" t="s">
        <v>109</v>
      </c>
      <c r="B323" t="s">
        <v>592</v>
      </c>
      <c r="D323">
        <v>120</v>
      </c>
      <c r="F323" t="s">
        <v>2329</v>
      </c>
      <c r="H323" t="s">
        <v>6712</v>
      </c>
      <c r="I323" t="s">
        <v>2364</v>
      </c>
      <c r="K323" t="s">
        <v>7400</v>
      </c>
      <c r="L323" t="s">
        <v>7401</v>
      </c>
    </row>
    <row r="324" spans="1:12" x14ac:dyDescent="0.35">
      <c r="A324" t="s">
        <v>109</v>
      </c>
      <c r="B324" t="s">
        <v>592</v>
      </c>
      <c r="D324">
        <v>1300</v>
      </c>
      <c r="F324" t="s">
        <v>5135</v>
      </c>
      <c r="H324" t="s">
        <v>6713</v>
      </c>
      <c r="I324" t="s">
        <v>2364</v>
      </c>
      <c r="K324" t="s">
        <v>7400</v>
      </c>
      <c r="L324" t="s">
        <v>7401</v>
      </c>
    </row>
    <row r="325" spans="1:12" x14ac:dyDescent="0.35">
      <c r="A325" t="s">
        <v>109</v>
      </c>
      <c r="B325" t="s">
        <v>592</v>
      </c>
      <c r="D325">
        <v>281</v>
      </c>
      <c r="F325" t="s">
        <v>6239</v>
      </c>
      <c r="H325" t="s">
        <v>6714</v>
      </c>
      <c r="I325" t="s">
        <v>2364</v>
      </c>
      <c r="K325" t="s">
        <v>7400</v>
      </c>
      <c r="L325" t="s">
        <v>7401</v>
      </c>
    </row>
    <row r="326" spans="1:12" x14ac:dyDescent="0.35">
      <c r="A326" t="s">
        <v>109</v>
      </c>
      <c r="B326" t="s">
        <v>592</v>
      </c>
      <c r="D326">
        <v>337</v>
      </c>
      <c r="F326" t="s">
        <v>6240</v>
      </c>
      <c r="H326" t="s">
        <v>6715</v>
      </c>
      <c r="I326" t="s">
        <v>2364</v>
      </c>
      <c r="K326" t="s">
        <v>7400</v>
      </c>
      <c r="L326" t="s">
        <v>7401</v>
      </c>
    </row>
    <row r="327" spans="1:12" x14ac:dyDescent="0.35">
      <c r="A327" t="s">
        <v>109</v>
      </c>
      <c r="B327" t="s">
        <v>351</v>
      </c>
      <c r="D327">
        <v>42.2</v>
      </c>
      <c r="F327" t="s">
        <v>6241</v>
      </c>
      <c r="H327" t="s">
        <v>3559</v>
      </c>
      <c r="I327" t="s">
        <v>4890</v>
      </c>
      <c r="K327" t="s">
        <v>7400</v>
      </c>
      <c r="L327" t="s">
        <v>7401</v>
      </c>
    </row>
    <row r="328" spans="1:12" x14ac:dyDescent="0.35">
      <c r="A328" t="s">
        <v>109</v>
      </c>
      <c r="B328" t="s">
        <v>351</v>
      </c>
      <c r="D328">
        <v>56.3</v>
      </c>
      <c r="F328" t="s">
        <v>6242</v>
      </c>
      <c r="H328" t="s">
        <v>3560</v>
      </c>
      <c r="I328" t="s">
        <v>4890</v>
      </c>
      <c r="K328" t="s">
        <v>7400</v>
      </c>
      <c r="L328" t="s">
        <v>7401</v>
      </c>
    </row>
    <row r="329" spans="1:12" x14ac:dyDescent="0.35">
      <c r="A329" t="s">
        <v>109</v>
      </c>
      <c r="B329" t="s">
        <v>484</v>
      </c>
      <c r="D329">
        <v>256</v>
      </c>
      <c r="F329" t="s">
        <v>5029</v>
      </c>
      <c r="I329" t="s">
        <v>1608</v>
      </c>
      <c r="K329" t="s">
        <v>7400</v>
      </c>
      <c r="L329" t="s">
        <v>7401</v>
      </c>
    </row>
    <row r="330" spans="1:12" x14ac:dyDescent="0.35">
      <c r="A330" t="s">
        <v>109</v>
      </c>
      <c r="B330" t="s">
        <v>175</v>
      </c>
      <c r="D330">
        <v>25</v>
      </c>
      <c r="F330" t="s">
        <v>1387</v>
      </c>
      <c r="H330" t="s">
        <v>6716</v>
      </c>
      <c r="I330" t="s">
        <v>5000</v>
      </c>
      <c r="K330" t="s">
        <v>7400</v>
      </c>
      <c r="L330" t="s">
        <v>7401</v>
      </c>
    </row>
    <row r="331" spans="1:12" x14ac:dyDescent="0.35">
      <c r="A331" t="s">
        <v>109</v>
      </c>
      <c r="B331" t="s">
        <v>175</v>
      </c>
      <c r="D331">
        <v>8.5</v>
      </c>
      <c r="F331" t="s">
        <v>1528</v>
      </c>
      <c r="H331" t="s">
        <v>6717</v>
      </c>
      <c r="I331" t="s">
        <v>5000</v>
      </c>
      <c r="K331" t="s">
        <v>7400</v>
      </c>
      <c r="L331" t="s">
        <v>7401</v>
      </c>
    </row>
    <row r="332" spans="1:12" x14ac:dyDescent="0.35">
      <c r="A332" t="s">
        <v>109</v>
      </c>
      <c r="B332" t="s">
        <v>175</v>
      </c>
      <c r="D332">
        <v>0.52</v>
      </c>
      <c r="F332" t="s">
        <v>2037</v>
      </c>
      <c r="H332" t="s">
        <v>6718</v>
      </c>
      <c r="I332" t="s">
        <v>4923</v>
      </c>
      <c r="K332" t="s">
        <v>7400</v>
      </c>
      <c r="L332" t="s">
        <v>7401</v>
      </c>
    </row>
    <row r="333" spans="1:12" x14ac:dyDescent="0.35">
      <c r="A333" t="s">
        <v>109</v>
      </c>
      <c r="B333" t="s">
        <v>175</v>
      </c>
      <c r="D333">
        <v>5.28</v>
      </c>
      <c r="F333" t="s">
        <v>6243</v>
      </c>
      <c r="H333" t="s">
        <v>6719</v>
      </c>
      <c r="I333" t="s">
        <v>4923</v>
      </c>
      <c r="K333" t="s">
        <v>7400</v>
      </c>
      <c r="L333" t="s">
        <v>7401</v>
      </c>
    </row>
    <row r="334" spans="1:12" x14ac:dyDescent="0.35">
      <c r="A334" t="s">
        <v>109</v>
      </c>
      <c r="B334" t="s">
        <v>314</v>
      </c>
      <c r="D334">
        <v>0.24</v>
      </c>
      <c r="F334" t="s">
        <v>1488</v>
      </c>
      <c r="H334" t="s">
        <v>6720</v>
      </c>
      <c r="I334" t="s">
        <v>4921</v>
      </c>
      <c r="K334" t="s">
        <v>7400</v>
      </c>
      <c r="L334" t="s">
        <v>7401</v>
      </c>
    </row>
    <row r="335" spans="1:12" x14ac:dyDescent="0.35">
      <c r="A335" t="s">
        <v>109</v>
      </c>
      <c r="B335" t="s">
        <v>314</v>
      </c>
      <c r="D335">
        <v>0.4</v>
      </c>
      <c r="F335" t="s">
        <v>1315</v>
      </c>
      <c r="H335" t="s">
        <v>6721</v>
      </c>
      <c r="I335" t="s">
        <v>4921</v>
      </c>
      <c r="K335" t="s">
        <v>7400</v>
      </c>
      <c r="L335" t="s">
        <v>7401</v>
      </c>
    </row>
    <row r="336" spans="1:12" x14ac:dyDescent="0.35">
      <c r="A336" t="s">
        <v>109</v>
      </c>
      <c r="B336" t="s">
        <v>314</v>
      </c>
      <c r="D336">
        <v>4.29</v>
      </c>
      <c r="F336" t="s">
        <v>6244</v>
      </c>
      <c r="H336" t="s">
        <v>6722</v>
      </c>
      <c r="I336" t="s">
        <v>4921</v>
      </c>
      <c r="K336" t="s">
        <v>7400</v>
      </c>
      <c r="L336" t="s">
        <v>7401</v>
      </c>
    </row>
    <row r="337" spans="1:12" x14ac:dyDescent="0.35">
      <c r="A337" t="s">
        <v>109</v>
      </c>
      <c r="B337" t="s">
        <v>314</v>
      </c>
      <c r="D337">
        <v>14.38</v>
      </c>
      <c r="F337" t="s">
        <v>6245</v>
      </c>
      <c r="H337" t="s">
        <v>6723</v>
      </c>
      <c r="I337" t="s">
        <v>4921</v>
      </c>
      <c r="K337" t="s">
        <v>7400</v>
      </c>
      <c r="L337" t="s">
        <v>7401</v>
      </c>
    </row>
    <row r="338" spans="1:12" x14ac:dyDescent="0.35">
      <c r="A338" t="s">
        <v>109</v>
      </c>
      <c r="B338" t="s">
        <v>314</v>
      </c>
      <c r="D338">
        <v>5.81</v>
      </c>
      <c r="F338" t="s">
        <v>6246</v>
      </c>
      <c r="H338" t="s">
        <v>6724</v>
      </c>
      <c r="I338" t="s">
        <v>4921</v>
      </c>
      <c r="K338" t="s">
        <v>7400</v>
      </c>
      <c r="L338" t="s">
        <v>7401</v>
      </c>
    </row>
    <row r="339" spans="1:12" x14ac:dyDescent="0.35">
      <c r="A339" t="s">
        <v>109</v>
      </c>
      <c r="B339" t="s">
        <v>175</v>
      </c>
      <c r="D339">
        <v>6.7</v>
      </c>
      <c r="F339" t="s">
        <v>1520</v>
      </c>
      <c r="H339" t="s">
        <v>6725</v>
      </c>
      <c r="I339" t="s">
        <v>1509</v>
      </c>
      <c r="K339" t="s">
        <v>7400</v>
      </c>
      <c r="L339" t="s">
        <v>7401</v>
      </c>
    </row>
    <row r="340" spans="1:12" x14ac:dyDescent="0.35">
      <c r="A340" t="s">
        <v>109</v>
      </c>
      <c r="B340" t="s">
        <v>175</v>
      </c>
      <c r="D340">
        <v>5</v>
      </c>
      <c r="F340" t="s">
        <v>1477</v>
      </c>
      <c r="H340" t="s">
        <v>6726</v>
      </c>
      <c r="I340" t="s">
        <v>1509</v>
      </c>
      <c r="K340" t="s">
        <v>7400</v>
      </c>
      <c r="L340" t="s">
        <v>7401</v>
      </c>
    </row>
    <row r="341" spans="1:12" x14ac:dyDescent="0.35">
      <c r="A341" t="s">
        <v>109</v>
      </c>
      <c r="B341" t="s">
        <v>175</v>
      </c>
      <c r="D341">
        <v>11.9</v>
      </c>
      <c r="F341" t="s">
        <v>2218</v>
      </c>
      <c r="H341" t="s">
        <v>6727</v>
      </c>
      <c r="I341" t="s">
        <v>1509</v>
      </c>
      <c r="K341" t="s">
        <v>7400</v>
      </c>
      <c r="L341" t="s">
        <v>7401</v>
      </c>
    </row>
    <row r="342" spans="1:12" x14ac:dyDescent="0.35">
      <c r="A342" t="s">
        <v>109</v>
      </c>
      <c r="B342" t="s">
        <v>175</v>
      </c>
      <c r="D342">
        <v>215</v>
      </c>
      <c r="F342" t="s">
        <v>5505</v>
      </c>
      <c r="I342" t="s">
        <v>2258</v>
      </c>
      <c r="K342" t="s">
        <v>7400</v>
      </c>
      <c r="L342" t="s">
        <v>7401</v>
      </c>
    </row>
    <row r="343" spans="1:12" x14ac:dyDescent="0.35">
      <c r="A343" t="s">
        <v>109</v>
      </c>
      <c r="B343" t="s">
        <v>175</v>
      </c>
      <c r="D343">
        <v>5.5</v>
      </c>
      <c r="F343" t="s">
        <v>1860</v>
      </c>
      <c r="H343" t="s">
        <v>6728</v>
      </c>
      <c r="I343" t="s">
        <v>1509</v>
      </c>
      <c r="K343" t="s">
        <v>7400</v>
      </c>
      <c r="L343" t="s">
        <v>7401</v>
      </c>
    </row>
    <row r="344" spans="1:12" x14ac:dyDescent="0.35">
      <c r="A344" t="s">
        <v>109</v>
      </c>
      <c r="B344" t="s">
        <v>175</v>
      </c>
      <c r="D344">
        <v>2.2400000000000002</v>
      </c>
      <c r="F344" t="s">
        <v>2496</v>
      </c>
      <c r="I344" t="s">
        <v>1705</v>
      </c>
      <c r="K344" t="s">
        <v>7400</v>
      </c>
      <c r="L344" t="s">
        <v>7401</v>
      </c>
    </row>
    <row r="345" spans="1:12" x14ac:dyDescent="0.35">
      <c r="A345" t="s">
        <v>109</v>
      </c>
      <c r="B345" t="s">
        <v>328</v>
      </c>
      <c r="D345">
        <v>0.1</v>
      </c>
      <c r="F345" t="s">
        <v>1309</v>
      </c>
      <c r="H345" t="s">
        <v>6729</v>
      </c>
      <c r="I345" t="s">
        <v>1943</v>
      </c>
      <c r="K345" t="s">
        <v>7400</v>
      </c>
      <c r="L345" t="s">
        <v>7401</v>
      </c>
    </row>
    <row r="346" spans="1:12" x14ac:dyDescent="0.35">
      <c r="A346" t="s">
        <v>109</v>
      </c>
      <c r="B346" t="s">
        <v>328</v>
      </c>
      <c r="D346">
        <v>0.18</v>
      </c>
      <c r="F346" t="s">
        <v>1531</v>
      </c>
      <c r="H346" t="s">
        <v>6730</v>
      </c>
      <c r="I346" t="s">
        <v>1943</v>
      </c>
      <c r="K346" t="s">
        <v>7400</v>
      </c>
      <c r="L346" t="s">
        <v>7401</v>
      </c>
    </row>
    <row r="347" spans="1:12" x14ac:dyDescent="0.35">
      <c r="A347" t="s">
        <v>109</v>
      </c>
      <c r="B347" t="s">
        <v>328</v>
      </c>
      <c r="D347">
        <v>7.0000000000000007E-2</v>
      </c>
      <c r="F347" t="s">
        <v>1456</v>
      </c>
      <c r="H347" t="s">
        <v>6731</v>
      </c>
      <c r="I347" t="s">
        <v>1943</v>
      </c>
      <c r="K347" t="s">
        <v>7400</v>
      </c>
      <c r="L347" t="s">
        <v>7401</v>
      </c>
    </row>
    <row r="348" spans="1:12" x14ac:dyDescent="0.35">
      <c r="A348" t="s">
        <v>109</v>
      </c>
      <c r="B348" t="s">
        <v>328</v>
      </c>
      <c r="D348">
        <v>408</v>
      </c>
      <c r="F348" t="s">
        <v>6247</v>
      </c>
      <c r="H348" t="s">
        <v>6732</v>
      </c>
      <c r="I348" t="s">
        <v>1943</v>
      </c>
      <c r="K348" t="s">
        <v>7400</v>
      </c>
      <c r="L348" t="s">
        <v>7401</v>
      </c>
    </row>
    <row r="349" spans="1:12" x14ac:dyDescent="0.35">
      <c r="A349" t="s">
        <v>109</v>
      </c>
      <c r="B349" t="s">
        <v>328</v>
      </c>
      <c r="D349">
        <v>1.2999999999999999E-2</v>
      </c>
      <c r="F349" t="s">
        <v>1861</v>
      </c>
      <c r="H349" t="s">
        <v>6733</v>
      </c>
      <c r="I349" t="s">
        <v>4884</v>
      </c>
      <c r="K349" t="s">
        <v>7400</v>
      </c>
      <c r="L349" t="s">
        <v>7401</v>
      </c>
    </row>
    <row r="350" spans="1:12" x14ac:dyDescent="0.35">
      <c r="A350" t="s">
        <v>109</v>
      </c>
      <c r="B350" t="s">
        <v>328</v>
      </c>
      <c r="D350">
        <v>511</v>
      </c>
      <c r="F350" t="s">
        <v>6248</v>
      </c>
      <c r="H350" t="s">
        <v>6734</v>
      </c>
      <c r="I350" t="s">
        <v>1943</v>
      </c>
      <c r="K350" t="s">
        <v>7400</v>
      </c>
      <c r="L350" t="s">
        <v>7401</v>
      </c>
    </row>
    <row r="351" spans="1:12" x14ac:dyDescent="0.35">
      <c r="A351" t="s">
        <v>109</v>
      </c>
      <c r="B351" t="s">
        <v>328</v>
      </c>
      <c r="D351">
        <v>1.462</v>
      </c>
      <c r="F351" t="s">
        <v>6249</v>
      </c>
      <c r="H351" t="s">
        <v>6735</v>
      </c>
      <c r="I351" t="s">
        <v>4884</v>
      </c>
      <c r="K351" t="s">
        <v>7400</v>
      </c>
      <c r="L351" t="s">
        <v>7401</v>
      </c>
    </row>
    <row r="352" spans="1:12" x14ac:dyDescent="0.35">
      <c r="A352" t="s">
        <v>109</v>
      </c>
      <c r="B352" t="s">
        <v>328</v>
      </c>
      <c r="D352">
        <v>1852</v>
      </c>
      <c r="F352" t="s">
        <v>6250</v>
      </c>
      <c r="I352" t="s">
        <v>1373</v>
      </c>
      <c r="K352" t="s">
        <v>7400</v>
      </c>
      <c r="L352" t="s">
        <v>7401</v>
      </c>
    </row>
    <row r="353" spans="1:12" x14ac:dyDescent="0.35">
      <c r="A353" t="s">
        <v>109</v>
      </c>
      <c r="B353" t="s">
        <v>328</v>
      </c>
      <c r="D353">
        <v>472</v>
      </c>
      <c r="F353" t="s">
        <v>6251</v>
      </c>
      <c r="H353" t="s">
        <v>6736</v>
      </c>
      <c r="I353" t="s">
        <v>1943</v>
      </c>
      <c r="K353" t="s">
        <v>7400</v>
      </c>
      <c r="L353" t="s">
        <v>7401</v>
      </c>
    </row>
    <row r="354" spans="1:12" x14ac:dyDescent="0.35">
      <c r="A354" t="s">
        <v>109</v>
      </c>
      <c r="B354" t="s">
        <v>328</v>
      </c>
      <c r="D354">
        <v>402</v>
      </c>
      <c r="F354" t="s">
        <v>6252</v>
      </c>
      <c r="H354" t="s">
        <v>6737</v>
      </c>
      <c r="I354" t="s">
        <v>1943</v>
      </c>
      <c r="K354" t="s">
        <v>7400</v>
      </c>
      <c r="L354" t="s">
        <v>7401</v>
      </c>
    </row>
    <row r="355" spans="1:12" x14ac:dyDescent="0.35">
      <c r="A355" t="s">
        <v>109</v>
      </c>
      <c r="B355" t="s">
        <v>328</v>
      </c>
      <c r="D355">
        <v>445</v>
      </c>
      <c r="F355" t="s">
        <v>5331</v>
      </c>
      <c r="H355" t="s">
        <v>6738</v>
      </c>
      <c r="I355" t="s">
        <v>1943</v>
      </c>
      <c r="K355" t="s">
        <v>7400</v>
      </c>
      <c r="L355" t="s">
        <v>7401</v>
      </c>
    </row>
    <row r="356" spans="1:12" x14ac:dyDescent="0.35">
      <c r="A356" t="s">
        <v>109</v>
      </c>
      <c r="B356" t="s">
        <v>363</v>
      </c>
      <c r="D356">
        <v>84.3</v>
      </c>
      <c r="F356" t="s">
        <v>6253</v>
      </c>
      <c r="H356" t="s">
        <v>6739</v>
      </c>
      <c r="I356" t="s">
        <v>4939</v>
      </c>
      <c r="K356" t="s">
        <v>7400</v>
      </c>
      <c r="L356" t="s">
        <v>7401</v>
      </c>
    </row>
    <row r="357" spans="1:12" x14ac:dyDescent="0.35">
      <c r="A357" t="s">
        <v>111</v>
      </c>
      <c r="B357" t="s">
        <v>6055</v>
      </c>
      <c r="D357">
        <v>7.3999999999999996E-2</v>
      </c>
      <c r="F357" t="s">
        <v>1562</v>
      </c>
      <c r="H357" t="s">
        <v>6740</v>
      </c>
      <c r="I357" t="s">
        <v>4898</v>
      </c>
      <c r="K357" t="s">
        <v>7400</v>
      </c>
      <c r="L357" t="s">
        <v>7401</v>
      </c>
    </row>
    <row r="358" spans="1:12" x14ac:dyDescent="0.35">
      <c r="A358" t="s">
        <v>111</v>
      </c>
      <c r="B358" t="s">
        <v>6055</v>
      </c>
      <c r="D358">
        <v>7</v>
      </c>
      <c r="F358" t="s">
        <v>1335</v>
      </c>
      <c r="H358" t="s">
        <v>6741</v>
      </c>
      <c r="I358" t="s">
        <v>4898</v>
      </c>
      <c r="K358" t="s">
        <v>7400</v>
      </c>
      <c r="L358" t="s">
        <v>7401</v>
      </c>
    </row>
    <row r="359" spans="1:12" x14ac:dyDescent="0.35">
      <c r="A359" t="s">
        <v>111</v>
      </c>
      <c r="B359" t="s">
        <v>6055</v>
      </c>
      <c r="D359">
        <v>10.9</v>
      </c>
      <c r="F359" t="s">
        <v>2277</v>
      </c>
      <c r="H359" t="s">
        <v>6742</v>
      </c>
      <c r="I359" t="s">
        <v>4898</v>
      </c>
      <c r="K359" t="s">
        <v>7400</v>
      </c>
      <c r="L359" t="s">
        <v>7401</v>
      </c>
    </row>
    <row r="360" spans="1:12" x14ac:dyDescent="0.35">
      <c r="A360" t="s">
        <v>111</v>
      </c>
      <c r="B360" t="s">
        <v>6055</v>
      </c>
      <c r="D360">
        <v>6.3</v>
      </c>
      <c r="F360" t="s">
        <v>1965</v>
      </c>
      <c r="H360" t="s">
        <v>6743</v>
      </c>
      <c r="I360" t="s">
        <v>4898</v>
      </c>
      <c r="K360" t="s">
        <v>7400</v>
      </c>
      <c r="L360" t="s">
        <v>7401</v>
      </c>
    </row>
    <row r="361" spans="1:12" x14ac:dyDescent="0.35">
      <c r="A361" t="s">
        <v>111</v>
      </c>
      <c r="B361" t="s">
        <v>6055</v>
      </c>
      <c r="D361">
        <v>7.2999999999999995E-2</v>
      </c>
      <c r="F361" t="s">
        <v>1787</v>
      </c>
      <c r="H361" t="s">
        <v>6744</v>
      </c>
      <c r="I361" t="s">
        <v>4898</v>
      </c>
      <c r="K361" t="s">
        <v>7400</v>
      </c>
      <c r="L361" t="s">
        <v>7401</v>
      </c>
    </row>
    <row r="362" spans="1:12" x14ac:dyDescent="0.35">
      <c r="A362" t="s">
        <v>111</v>
      </c>
      <c r="B362" t="s">
        <v>6055</v>
      </c>
      <c r="D362">
        <v>1502</v>
      </c>
      <c r="F362" t="s">
        <v>6254</v>
      </c>
      <c r="H362" t="s">
        <v>6745</v>
      </c>
      <c r="I362" t="s">
        <v>4898</v>
      </c>
      <c r="K362" t="s">
        <v>7400</v>
      </c>
      <c r="L362" t="s">
        <v>7401</v>
      </c>
    </row>
    <row r="363" spans="1:12" x14ac:dyDescent="0.35">
      <c r="A363" t="s">
        <v>111</v>
      </c>
      <c r="B363" t="s">
        <v>6055</v>
      </c>
      <c r="D363">
        <v>0.52200000000000002</v>
      </c>
      <c r="F363" t="s">
        <v>6255</v>
      </c>
      <c r="H363" t="s">
        <v>6746</v>
      </c>
      <c r="I363" t="s">
        <v>4898</v>
      </c>
      <c r="K363" t="s">
        <v>7400</v>
      </c>
      <c r="L363" t="s">
        <v>7401</v>
      </c>
    </row>
    <row r="364" spans="1:12" x14ac:dyDescent="0.35">
      <c r="A364" t="s">
        <v>111</v>
      </c>
      <c r="B364" t="s">
        <v>459</v>
      </c>
      <c r="D364">
        <v>0.48</v>
      </c>
      <c r="F364" t="s">
        <v>1508</v>
      </c>
      <c r="H364" t="s">
        <v>6747</v>
      </c>
      <c r="I364" t="s">
        <v>4884</v>
      </c>
      <c r="K364" t="s">
        <v>7400</v>
      </c>
      <c r="L364" t="s">
        <v>7401</v>
      </c>
    </row>
    <row r="365" spans="1:12" x14ac:dyDescent="0.35">
      <c r="A365" t="s">
        <v>111</v>
      </c>
      <c r="B365" t="s">
        <v>459</v>
      </c>
      <c r="D365">
        <v>4.6500000000000004</v>
      </c>
      <c r="F365" t="s">
        <v>6256</v>
      </c>
      <c r="H365" t="s">
        <v>6748</v>
      </c>
      <c r="I365" t="s">
        <v>4884</v>
      </c>
      <c r="K365" t="s">
        <v>7400</v>
      </c>
      <c r="L365" t="s">
        <v>7401</v>
      </c>
    </row>
    <row r="366" spans="1:12" x14ac:dyDescent="0.35">
      <c r="A366" t="s">
        <v>111</v>
      </c>
      <c r="B366" t="s">
        <v>487</v>
      </c>
      <c r="D366">
        <v>12.6</v>
      </c>
      <c r="F366" t="s">
        <v>2028</v>
      </c>
      <c r="H366" t="s">
        <v>3591</v>
      </c>
      <c r="I366" t="s">
        <v>1551</v>
      </c>
      <c r="K366" t="s">
        <v>7400</v>
      </c>
      <c r="L366" t="s">
        <v>7401</v>
      </c>
    </row>
    <row r="367" spans="1:12" x14ac:dyDescent="0.35">
      <c r="A367" t="s">
        <v>111</v>
      </c>
      <c r="B367" t="s">
        <v>488</v>
      </c>
      <c r="D367">
        <v>1.4</v>
      </c>
      <c r="F367" t="s">
        <v>1469</v>
      </c>
      <c r="H367" t="s">
        <v>6749</v>
      </c>
      <c r="I367" t="s">
        <v>1369</v>
      </c>
      <c r="K367" t="s">
        <v>7400</v>
      </c>
      <c r="L367" t="s">
        <v>7401</v>
      </c>
    </row>
    <row r="368" spans="1:12" x14ac:dyDescent="0.35">
      <c r="A368" t="s">
        <v>111</v>
      </c>
      <c r="B368" t="s">
        <v>488</v>
      </c>
      <c r="D368">
        <v>0.8</v>
      </c>
      <c r="F368" t="s">
        <v>1319</v>
      </c>
      <c r="H368" t="s">
        <v>6750</v>
      </c>
      <c r="I368" t="s">
        <v>1369</v>
      </c>
      <c r="K368" t="s">
        <v>7400</v>
      </c>
      <c r="L368" t="s">
        <v>7401</v>
      </c>
    </row>
    <row r="369" spans="1:12" x14ac:dyDescent="0.35">
      <c r="A369" t="s">
        <v>111</v>
      </c>
      <c r="B369" t="s">
        <v>488</v>
      </c>
      <c r="D369">
        <v>3.5999999999999997E-2</v>
      </c>
      <c r="F369" t="s">
        <v>1837</v>
      </c>
      <c r="H369" t="s">
        <v>6751</v>
      </c>
      <c r="I369" t="s">
        <v>2226</v>
      </c>
      <c r="K369" t="s">
        <v>7400</v>
      </c>
      <c r="L369" t="s">
        <v>7401</v>
      </c>
    </row>
    <row r="370" spans="1:12" x14ac:dyDescent="0.35">
      <c r="A370" t="s">
        <v>111</v>
      </c>
      <c r="B370" t="s">
        <v>488</v>
      </c>
      <c r="D370">
        <v>0.2</v>
      </c>
      <c r="F370" t="s">
        <v>1371</v>
      </c>
      <c r="H370" t="s">
        <v>6752</v>
      </c>
      <c r="I370" t="s">
        <v>1369</v>
      </c>
      <c r="K370" t="s">
        <v>7400</v>
      </c>
      <c r="L370" t="s">
        <v>7401</v>
      </c>
    </row>
    <row r="371" spans="1:12" x14ac:dyDescent="0.35">
      <c r="A371" t="s">
        <v>111</v>
      </c>
      <c r="B371" t="s">
        <v>488</v>
      </c>
      <c r="D371">
        <v>2.8000000000000001E-2</v>
      </c>
      <c r="F371" t="s">
        <v>2039</v>
      </c>
      <c r="H371" t="s">
        <v>6753</v>
      </c>
      <c r="I371" t="s">
        <v>2226</v>
      </c>
      <c r="K371" t="s">
        <v>7400</v>
      </c>
      <c r="L371" t="s">
        <v>7401</v>
      </c>
    </row>
    <row r="372" spans="1:12" x14ac:dyDescent="0.35">
      <c r="A372" t="s">
        <v>111</v>
      </c>
      <c r="B372" t="s">
        <v>488</v>
      </c>
      <c r="D372">
        <v>0.1</v>
      </c>
      <c r="F372" t="s">
        <v>1309</v>
      </c>
      <c r="H372" t="s">
        <v>6754</v>
      </c>
      <c r="I372" t="s">
        <v>1369</v>
      </c>
      <c r="K372" t="s">
        <v>7400</v>
      </c>
      <c r="L372" t="s">
        <v>7401</v>
      </c>
    </row>
    <row r="373" spans="1:12" x14ac:dyDescent="0.35">
      <c r="A373" t="s">
        <v>111</v>
      </c>
      <c r="B373" t="s">
        <v>488</v>
      </c>
      <c r="D373">
        <v>1.0999999999999999E-2</v>
      </c>
      <c r="F373" t="s">
        <v>1612</v>
      </c>
      <c r="H373" t="s">
        <v>6755</v>
      </c>
      <c r="I373" t="s">
        <v>2226</v>
      </c>
      <c r="K373" t="s">
        <v>7400</v>
      </c>
      <c r="L373" t="s">
        <v>7401</v>
      </c>
    </row>
    <row r="374" spans="1:12" x14ac:dyDescent="0.35">
      <c r="A374" t="s">
        <v>111</v>
      </c>
      <c r="B374" t="s">
        <v>488</v>
      </c>
      <c r="D374">
        <v>3.9E-2</v>
      </c>
      <c r="F374" t="s">
        <v>1407</v>
      </c>
      <c r="H374" t="s">
        <v>6756</v>
      </c>
      <c r="I374" t="s">
        <v>2226</v>
      </c>
      <c r="K374" t="s">
        <v>7400</v>
      </c>
      <c r="L374" t="s">
        <v>7401</v>
      </c>
    </row>
    <row r="375" spans="1:12" x14ac:dyDescent="0.35">
      <c r="A375" t="s">
        <v>111</v>
      </c>
      <c r="B375" t="s">
        <v>488</v>
      </c>
      <c r="D375">
        <v>2.5000000000000001E-2</v>
      </c>
      <c r="F375" t="s">
        <v>1282</v>
      </c>
      <c r="H375" t="s">
        <v>6757</v>
      </c>
      <c r="I375" t="s">
        <v>2226</v>
      </c>
      <c r="K375" t="s">
        <v>7400</v>
      </c>
      <c r="L375" t="s">
        <v>7401</v>
      </c>
    </row>
    <row r="376" spans="1:12" x14ac:dyDescent="0.35">
      <c r="A376" t="s">
        <v>111</v>
      </c>
      <c r="B376" t="s">
        <v>488</v>
      </c>
      <c r="D376">
        <v>8.5999999999999993E-2</v>
      </c>
      <c r="F376" t="s">
        <v>1582</v>
      </c>
      <c r="H376" t="s">
        <v>6758</v>
      </c>
      <c r="I376" t="s">
        <v>2226</v>
      </c>
      <c r="K376" t="s">
        <v>7400</v>
      </c>
      <c r="L376" t="s">
        <v>7401</v>
      </c>
    </row>
    <row r="377" spans="1:12" x14ac:dyDescent="0.35">
      <c r="A377" t="s">
        <v>111</v>
      </c>
      <c r="B377" t="s">
        <v>488</v>
      </c>
      <c r="D377">
        <v>8.4000000000000005E-2</v>
      </c>
      <c r="F377" t="s">
        <v>2129</v>
      </c>
      <c r="H377" t="s">
        <v>6759</v>
      </c>
      <c r="I377" t="s">
        <v>2226</v>
      </c>
      <c r="K377" t="s">
        <v>7400</v>
      </c>
      <c r="L377" t="s">
        <v>7401</v>
      </c>
    </row>
    <row r="378" spans="1:12" x14ac:dyDescent="0.35">
      <c r="A378" t="s">
        <v>111</v>
      </c>
      <c r="B378" t="s">
        <v>488</v>
      </c>
      <c r="D378">
        <v>0.18</v>
      </c>
      <c r="F378" t="s">
        <v>1531</v>
      </c>
      <c r="H378" t="s">
        <v>6760</v>
      </c>
      <c r="I378" t="s">
        <v>1369</v>
      </c>
      <c r="K378" t="s">
        <v>7400</v>
      </c>
      <c r="L378" t="s">
        <v>7401</v>
      </c>
    </row>
    <row r="379" spans="1:12" x14ac:dyDescent="0.35">
      <c r="A379" t="s">
        <v>111</v>
      </c>
      <c r="B379" t="s">
        <v>488</v>
      </c>
      <c r="D379">
        <v>7.1999999999999995E-2</v>
      </c>
      <c r="F379" t="s">
        <v>1760</v>
      </c>
      <c r="H379" t="s">
        <v>6761</v>
      </c>
      <c r="I379" t="s">
        <v>2226</v>
      </c>
      <c r="K379" t="s">
        <v>7400</v>
      </c>
      <c r="L379" t="s">
        <v>7401</v>
      </c>
    </row>
    <row r="380" spans="1:12" x14ac:dyDescent="0.35">
      <c r="A380" t="s">
        <v>111</v>
      </c>
      <c r="B380" t="s">
        <v>488</v>
      </c>
      <c r="D380">
        <v>0.23799999999999999</v>
      </c>
      <c r="F380" t="s">
        <v>6257</v>
      </c>
      <c r="H380" t="s">
        <v>6762</v>
      </c>
      <c r="I380" t="s">
        <v>2226</v>
      </c>
      <c r="K380" t="s">
        <v>7400</v>
      </c>
      <c r="L380" t="s">
        <v>7401</v>
      </c>
    </row>
    <row r="381" spans="1:12" x14ac:dyDescent="0.35">
      <c r="A381" t="s">
        <v>111</v>
      </c>
      <c r="B381" t="s">
        <v>488</v>
      </c>
      <c r="D381">
        <v>1.6E-2</v>
      </c>
      <c r="F381" t="s">
        <v>1614</v>
      </c>
      <c r="H381" t="s">
        <v>6763</v>
      </c>
      <c r="I381" t="s">
        <v>2226</v>
      </c>
      <c r="K381" t="s">
        <v>7400</v>
      </c>
      <c r="L381" t="s">
        <v>7401</v>
      </c>
    </row>
    <row r="382" spans="1:12" x14ac:dyDescent="0.35">
      <c r="A382" t="s">
        <v>111</v>
      </c>
      <c r="B382" t="s">
        <v>488</v>
      </c>
      <c r="D382">
        <v>4.4999999999999998E-2</v>
      </c>
      <c r="F382" t="s">
        <v>1290</v>
      </c>
      <c r="H382" t="s">
        <v>6764</v>
      </c>
      <c r="I382" t="s">
        <v>2226</v>
      </c>
      <c r="K382" t="s">
        <v>7400</v>
      </c>
      <c r="L382" t="s">
        <v>7401</v>
      </c>
    </row>
    <row r="383" spans="1:12" x14ac:dyDescent="0.35">
      <c r="A383" t="s">
        <v>111</v>
      </c>
      <c r="B383" t="s">
        <v>488</v>
      </c>
      <c r="D383">
        <v>3.2000000000000001E-2</v>
      </c>
      <c r="F383" t="s">
        <v>1314</v>
      </c>
      <c r="H383" t="s">
        <v>6765</v>
      </c>
      <c r="I383" t="s">
        <v>2226</v>
      </c>
      <c r="K383" t="s">
        <v>7400</v>
      </c>
      <c r="L383" t="s">
        <v>7401</v>
      </c>
    </row>
    <row r="384" spans="1:12" x14ac:dyDescent="0.35">
      <c r="A384" t="s">
        <v>111</v>
      </c>
      <c r="B384" t="s">
        <v>488</v>
      </c>
      <c r="D384">
        <v>6.7000000000000004E-2</v>
      </c>
      <c r="F384" t="s">
        <v>2054</v>
      </c>
      <c r="H384" t="s">
        <v>6766</v>
      </c>
      <c r="I384" t="s">
        <v>2226</v>
      </c>
      <c r="K384" t="s">
        <v>7400</v>
      </c>
      <c r="L384" t="s">
        <v>7401</v>
      </c>
    </row>
    <row r="385" spans="1:12" x14ac:dyDescent="0.35">
      <c r="A385" t="s">
        <v>111</v>
      </c>
      <c r="B385" t="s">
        <v>488</v>
      </c>
      <c r="D385">
        <v>1.4E-2</v>
      </c>
      <c r="F385" t="s">
        <v>1550</v>
      </c>
      <c r="H385" t="s">
        <v>6767</v>
      </c>
      <c r="I385" t="s">
        <v>2226</v>
      </c>
      <c r="K385" t="s">
        <v>7400</v>
      </c>
      <c r="L385" t="s">
        <v>7401</v>
      </c>
    </row>
    <row r="386" spans="1:12" x14ac:dyDescent="0.35">
      <c r="A386" t="s">
        <v>111</v>
      </c>
      <c r="B386" t="s">
        <v>488</v>
      </c>
      <c r="D386">
        <v>0.12</v>
      </c>
      <c r="F386" t="s">
        <v>1473</v>
      </c>
      <c r="H386" t="s">
        <v>6768</v>
      </c>
      <c r="I386" t="s">
        <v>1369</v>
      </c>
      <c r="K386" t="s">
        <v>7400</v>
      </c>
      <c r="L386" t="s">
        <v>7401</v>
      </c>
    </row>
    <row r="387" spans="1:12" x14ac:dyDescent="0.35">
      <c r="A387" t="s">
        <v>111</v>
      </c>
      <c r="B387" t="s">
        <v>488</v>
      </c>
      <c r="D387">
        <v>1.2999999999999999E-2</v>
      </c>
      <c r="F387" t="s">
        <v>1861</v>
      </c>
      <c r="H387" t="s">
        <v>6769</v>
      </c>
      <c r="I387" t="s">
        <v>2226</v>
      </c>
      <c r="K387" t="s">
        <v>7400</v>
      </c>
      <c r="L387" t="s">
        <v>7401</v>
      </c>
    </row>
    <row r="388" spans="1:12" x14ac:dyDescent="0.35">
      <c r="A388" t="s">
        <v>111</v>
      </c>
      <c r="B388" t="s">
        <v>488</v>
      </c>
      <c r="D388">
        <v>0.20300000000000001</v>
      </c>
      <c r="F388" t="s">
        <v>6258</v>
      </c>
      <c r="H388" t="s">
        <v>6770</v>
      </c>
      <c r="I388" t="s">
        <v>2226</v>
      </c>
      <c r="K388" t="s">
        <v>7400</v>
      </c>
      <c r="L388" t="s">
        <v>7401</v>
      </c>
    </row>
    <row r="389" spans="1:12" x14ac:dyDescent="0.35">
      <c r="A389" t="s">
        <v>111</v>
      </c>
      <c r="B389" t="s">
        <v>488</v>
      </c>
      <c r="D389">
        <v>4.7E-2</v>
      </c>
      <c r="F389" t="s">
        <v>1615</v>
      </c>
      <c r="H389" t="s">
        <v>6771</v>
      </c>
      <c r="I389" t="s">
        <v>2226</v>
      </c>
      <c r="K389" t="s">
        <v>7400</v>
      </c>
      <c r="L389" t="s">
        <v>7401</v>
      </c>
    </row>
    <row r="390" spans="1:12" x14ac:dyDescent="0.35">
      <c r="A390" t="s">
        <v>111</v>
      </c>
      <c r="B390" t="s">
        <v>488</v>
      </c>
      <c r="D390">
        <v>6.2E-2</v>
      </c>
      <c r="F390" t="s">
        <v>1414</v>
      </c>
      <c r="H390" t="s">
        <v>6772</v>
      </c>
      <c r="I390" t="s">
        <v>2226</v>
      </c>
      <c r="K390" t="s">
        <v>7400</v>
      </c>
      <c r="L390" t="s">
        <v>7401</v>
      </c>
    </row>
    <row r="391" spans="1:12" x14ac:dyDescent="0.35">
      <c r="A391" t="s">
        <v>111</v>
      </c>
      <c r="B391" t="s">
        <v>488</v>
      </c>
      <c r="D391">
        <v>8.5000000000000006E-2</v>
      </c>
      <c r="F391" t="s">
        <v>1459</v>
      </c>
      <c r="H391" t="s">
        <v>6773</v>
      </c>
      <c r="I391" t="s">
        <v>2226</v>
      </c>
      <c r="K391" t="s">
        <v>7400</v>
      </c>
      <c r="L391" t="s">
        <v>7401</v>
      </c>
    </row>
    <row r="392" spans="1:12" x14ac:dyDescent="0.35">
      <c r="A392" t="s">
        <v>111</v>
      </c>
      <c r="B392" t="s">
        <v>488</v>
      </c>
      <c r="D392">
        <v>8.9999999999999993E-3</v>
      </c>
      <c r="F392" t="s">
        <v>1546</v>
      </c>
      <c r="H392" t="s">
        <v>6774</v>
      </c>
      <c r="I392" t="s">
        <v>2226</v>
      </c>
      <c r="K392" t="s">
        <v>7400</v>
      </c>
      <c r="L392" t="s">
        <v>7401</v>
      </c>
    </row>
    <row r="393" spans="1:12" x14ac:dyDescent="0.35">
      <c r="A393" t="s">
        <v>111</v>
      </c>
      <c r="B393" t="s">
        <v>488</v>
      </c>
      <c r="D393">
        <v>0.40300000000000002</v>
      </c>
      <c r="F393" t="s">
        <v>6259</v>
      </c>
      <c r="H393" t="s">
        <v>6775</v>
      </c>
      <c r="I393" t="s">
        <v>2226</v>
      </c>
      <c r="K393" t="s">
        <v>7400</v>
      </c>
      <c r="L393" t="s">
        <v>7401</v>
      </c>
    </row>
    <row r="394" spans="1:12" x14ac:dyDescent="0.35">
      <c r="A394" t="s">
        <v>111</v>
      </c>
      <c r="B394" t="s">
        <v>488</v>
      </c>
      <c r="D394">
        <v>0.309</v>
      </c>
      <c r="F394" t="s">
        <v>2119</v>
      </c>
      <c r="H394" t="s">
        <v>6776</v>
      </c>
      <c r="I394" t="s">
        <v>2226</v>
      </c>
      <c r="K394" t="s">
        <v>7400</v>
      </c>
      <c r="L394" t="s">
        <v>7401</v>
      </c>
    </row>
    <row r="395" spans="1:12" x14ac:dyDescent="0.35">
      <c r="A395" t="s">
        <v>111</v>
      </c>
      <c r="B395" t="s">
        <v>488</v>
      </c>
      <c r="D395">
        <v>0.02</v>
      </c>
      <c r="F395" t="s">
        <v>1448</v>
      </c>
      <c r="H395" t="s">
        <v>6777</v>
      </c>
      <c r="I395" t="s">
        <v>2226</v>
      </c>
      <c r="K395" t="s">
        <v>7400</v>
      </c>
      <c r="L395" t="s">
        <v>7401</v>
      </c>
    </row>
    <row r="396" spans="1:12" x14ac:dyDescent="0.35">
      <c r="A396" t="s">
        <v>111</v>
      </c>
      <c r="B396" t="s">
        <v>6056</v>
      </c>
      <c r="D396">
        <v>3</v>
      </c>
      <c r="F396" t="s">
        <v>1368</v>
      </c>
      <c r="H396" t="s">
        <v>6778</v>
      </c>
      <c r="I396" t="s">
        <v>1848</v>
      </c>
      <c r="K396" t="s">
        <v>7400</v>
      </c>
      <c r="L396" t="s">
        <v>7401</v>
      </c>
    </row>
    <row r="397" spans="1:12" x14ac:dyDescent="0.35">
      <c r="A397" t="s">
        <v>111</v>
      </c>
      <c r="B397" t="s">
        <v>490</v>
      </c>
      <c r="D397">
        <v>75.900000000000006</v>
      </c>
      <c r="F397" t="s">
        <v>6260</v>
      </c>
      <c r="H397" t="s">
        <v>3595</v>
      </c>
      <c r="I397" t="s">
        <v>4891</v>
      </c>
      <c r="K397" t="s">
        <v>7400</v>
      </c>
      <c r="L397" t="s">
        <v>7401</v>
      </c>
    </row>
    <row r="398" spans="1:12" x14ac:dyDescent="0.35">
      <c r="A398" t="s">
        <v>111</v>
      </c>
      <c r="B398" t="s">
        <v>6057</v>
      </c>
      <c r="D398">
        <v>50.8</v>
      </c>
      <c r="F398" t="s">
        <v>5092</v>
      </c>
      <c r="H398" t="s">
        <v>6779</v>
      </c>
      <c r="I398" t="s">
        <v>1584</v>
      </c>
      <c r="K398" t="s">
        <v>7400</v>
      </c>
      <c r="L398" t="s">
        <v>7401</v>
      </c>
    </row>
    <row r="399" spans="1:12" x14ac:dyDescent="0.35">
      <c r="A399" t="s">
        <v>111</v>
      </c>
      <c r="B399" t="s">
        <v>6058</v>
      </c>
      <c r="D399">
        <v>306</v>
      </c>
      <c r="F399" t="s">
        <v>5033</v>
      </c>
      <c r="H399" t="s">
        <v>6780</v>
      </c>
      <c r="I399" t="s">
        <v>4880</v>
      </c>
      <c r="K399" t="s">
        <v>7400</v>
      </c>
      <c r="L399" t="s">
        <v>7401</v>
      </c>
    </row>
    <row r="400" spans="1:12" x14ac:dyDescent="0.35">
      <c r="A400" t="s">
        <v>111</v>
      </c>
      <c r="B400" t="s">
        <v>493</v>
      </c>
      <c r="D400">
        <v>2.8</v>
      </c>
      <c r="F400" t="s">
        <v>1504</v>
      </c>
      <c r="H400" t="s">
        <v>6781</v>
      </c>
      <c r="I400" t="s">
        <v>4863</v>
      </c>
      <c r="K400" t="s">
        <v>7400</v>
      </c>
      <c r="L400" t="s">
        <v>7401</v>
      </c>
    </row>
    <row r="401" spans="1:12" x14ac:dyDescent="0.35">
      <c r="A401" t="s">
        <v>111</v>
      </c>
      <c r="B401" t="s">
        <v>493</v>
      </c>
      <c r="D401">
        <v>9.9</v>
      </c>
      <c r="F401" t="s">
        <v>1392</v>
      </c>
      <c r="H401" t="s">
        <v>6782</v>
      </c>
      <c r="I401" t="s">
        <v>4863</v>
      </c>
      <c r="K401" t="s">
        <v>7400</v>
      </c>
      <c r="L401" t="s">
        <v>7401</v>
      </c>
    </row>
    <row r="402" spans="1:12" x14ac:dyDescent="0.35">
      <c r="A402" t="s">
        <v>111</v>
      </c>
      <c r="B402" t="s">
        <v>493</v>
      </c>
      <c r="D402">
        <v>27.8</v>
      </c>
      <c r="F402" t="s">
        <v>5690</v>
      </c>
      <c r="H402" t="s">
        <v>6783</v>
      </c>
      <c r="I402" t="s">
        <v>4863</v>
      </c>
      <c r="K402" t="s">
        <v>7400</v>
      </c>
      <c r="L402" t="s">
        <v>7401</v>
      </c>
    </row>
    <row r="403" spans="1:12" x14ac:dyDescent="0.35">
      <c r="A403" t="s">
        <v>111</v>
      </c>
      <c r="B403" t="s">
        <v>6059</v>
      </c>
      <c r="D403">
        <v>125.3</v>
      </c>
      <c r="F403" t="s">
        <v>6261</v>
      </c>
      <c r="H403" t="s">
        <v>6784</v>
      </c>
      <c r="I403" t="s">
        <v>2327</v>
      </c>
      <c r="K403" t="s">
        <v>7400</v>
      </c>
      <c r="L403" t="s">
        <v>7401</v>
      </c>
    </row>
    <row r="404" spans="1:12" x14ac:dyDescent="0.35">
      <c r="A404" t="s">
        <v>111</v>
      </c>
      <c r="B404" t="s">
        <v>493</v>
      </c>
      <c r="D404">
        <v>1.4999999999999999E-2</v>
      </c>
      <c r="F404" t="s">
        <v>1336</v>
      </c>
      <c r="H404" t="s">
        <v>6785</v>
      </c>
      <c r="I404" t="s">
        <v>1393</v>
      </c>
      <c r="K404" t="s">
        <v>7400</v>
      </c>
      <c r="L404" t="s">
        <v>7401</v>
      </c>
    </row>
    <row r="405" spans="1:12" x14ac:dyDescent="0.35">
      <c r="A405" t="s">
        <v>111</v>
      </c>
      <c r="B405" t="s">
        <v>175</v>
      </c>
      <c r="D405">
        <v>161.6</v>
      </c>
      <c r="F405" t="s">
        <v>6262</v>
      </c>
      <c r="H405" t="s">
        <v>6786</v>
      </c>
      <c r="I405" t="s">
        <v>1569</v>
      </c>
      <c r="K405" t="s">
        <v>7400</v>
      </c>
      <c r="L405" t="s">
        <v>7401</v>
      </c>
    </row>
    <row r="406" spans="1:12" x14ac:dyDescent="0.35">
      <c r="A406" t="s">
        <v>111</v>
      </c>
      <c r="B406" t="s">
        <v>175</v>
      </c>
      <c r="D406">
        <v>1533</v>
      </c>
      <c r="F406" t="s">
        <v>6263</v>
      </c>
      <c r="H406" t="s">
        <v>6787</v>
      </c>
      <c r="I406" t="s">
        <v>1569</v>
      </c>
      <c r="K406" t="s">
        <v>7400</v>
      </c>
      <c r="L406" t="s">
        <v>7401</v>
      </c>
    </row>
    <row r="407" spans="1:12" x14ac:dyDescent="0.35">
      <c r="A407" t="s">
        <v>111</v>
      </c>
      <c r="B407" t="s">
        <v>6060</v>
      </c>
      <c r="D407">
        <v>337</v>
      </c>
      <c r="F407" t="s">
        <v>6240</v>
      </c>
      <c r="H407" t="s">
        <v>6788</v>
      </c>
      <c r="I407" t="s">
        <v>4896</v>
      </c>
      <c r="K407" t="s">
        <v>7400</v>
      </c>
      <c r="L407" t="s">
        <v>7401</v>
      </c>
    </row>
    <row r="408" spans="1:12" x14ac:dyDescent="0.35">
      <c r="A408" t="s">
        <v>111</v>
      </c>
      <c r="B408" t="s">
        <v>490</v>
      </c>
      <c r="D408">
        <v>5.4</v>
      </c>
      <c r="F408" t="s">
        <v>1384</v>
      </c>
      <c r="H408" t="s">
        <v>6789</v>
      </c>
      <c r="I408" t="s">
        <v>4892</v>
      </c>
      <c r="K408" t="s">
        <v>7400</v>
      </c>
      <c r="L408" t="s">
        <v>7401</v>
      </c>
    </row>
    <row r="409" spans="1:12" x14ac:dyDescent="0.35">
      <c r="A409" t="s">
        <v>111</v>
      </c>
      <c r="B409" t="s">
        <v>490</v>
      </c>
      <c r="D409">
        <v>6</v>
      </c>
      <c r="F409" t="s">
        <v>1766</v>
      </c>
      <c r="H409" t="s">
        <v>6790</v>
      </c>
      <c r="I409" t="s">
        <v>4892</v>
      </c>
      <c r="K409" t="s">
        <v>7400</v>
      </c>
      <c r="L409" t="s">
        <v>7401</v>
      </c>
    </row>
    <row r="410" spans="1:12" x14ac:dyDescent="0.35">
      <c r="A410" t="s">
        <v>111</v>
      </c>
      <c r="B410" t="s">
        <v>490</v>
      </c>
      <c r="D410">
        <v>6.5</v>
      </c>
      <c r="F410" t="s">
        <v>1419</v>
      </c>
      <c r="H410" t="s">
        <v>6791</v>
      </c>
      <c r="I410" t="s">
        <v>4892</v>
      </c>
      <c r="K410" t="s">
        <v>7400</v>
      </c>
      <c r="L410" t="s">
        <v>7401</v>
      </c>
    </row>
    <row r="411" spans="1:12" x14ac:dyDescent="0.35">
      <c r="A411" t="s">
        <v>111</v>
      </c>
      <c r="B411" t="s">
        <v>490</v>
      </c>
      <c r="D411">
        <v>17</v>
      </c>
      <c r="F411" t="s">
        <v>1383</v>
      </c>
      <c r="H411" t="s">
        <v>6792</v>
      </c>
      <c r="I411" t="s">
        <v>4892</v>
      </c>
      <c r="K411" t="s">
        <v>7400</v>
      </c>
      <c r="L411" t="s">
        <v>7401</v>
      </c>
    </row>
    <row r="412" spans="1:12" x14ac:dyDescent="0.35">
      <c r="A412" t="s">
        <v>111</v>
      </c>
      <c r="B412" t="s">
        <v>490</v>
      </c>
      <c r="D412">
        <v>35</v>
      </c>
      <c r="F412" t="s">
        <v>2327</v>
      </c>
      <c r="H412" t="s">
        <v>6793</v>
      </c>
      <c r="I412" t="s">
        <v>4892</v>
      </c>
      <c r="K412" t="s">
        <v>7400</v>
      </c>
      <c r="L412" t="s">
        <v>7401</v>
      </c>
    </row>
    <row r="413" spans="1:12" x14ac:dyDescent="0.35">
      <c r="A413" t="s">
        <v>111</v>
      </c>
      <c r="B413" t="s">
        <v>490</v>
      </c>
      <c r="D413">
        <v>19.100000000000001</v>
      </c>
      <c r="F413" t="s">
        <v>5251</v>
      </c>
      <c r="H413" t="s">
        <v>6794</v>
      </c>
      <c r="I413" t="s">
        <v>4892</v>
      </c>
      <c r="K413" t="s">
        <v>7400</v>
      </c>
      <c r="L413" t="s">
        <v>7401</v>
      </c>
    </row>
    <row r="414" spans="1:12" x14ac:dyDescent="0.35">
      <c r="A414" t="s">
        <v>111</v>
      </c>
      <c r="B414" t="s">
        <v>490</v>
      </c>
      <c r="D414">
        <v>4.7</v>
      </c>
      <c r="F414" t="s">
        <v>1570</v>
      </c>
      <c r="H414" t="s">
        <v>6795</v>
      </c>
      <c r="I414" t="s">
        <v>4892</v>
      </c>
      <c r="K414" t="s">
        <v>7400</v>
      </c>
      <c r="L414" t="s">
        <v>7401</v>
      </c>
    </row>
    <row r="415" spans="1:12" x14ac:dyDescent="0.35">
      <c r="A415" t="s">
        <v>111</v>
      </c>
      <c r="B415" t="s">
        <v>490</v>
      </c>
      <c r="D415">
        <v>1.2</v>
      </c>
      <c r="F415" t="s">
        <v>1421</v>
      </c>
      <c r="H415" t="s">
        <v>6796</v>
      </c>
      <c r="I415" t="s">
        <v>4892</v>
      </c>
      <c r="K415" t="s">
        <v>7400</v>
      </c>
      <c r="L415" t="s">
        <v>7401</v>
      </c>
    </row>
    <row r="416" spans="1:12" x14ac:dyDescent="0.35">
      <c r="A416" t="s">
        <v>111</v>
      </c>
      <c r="B416" t="s">
        <v>319</v>
      </c>
      <c r="D416">
        <v>7.9</v>
      </c>
      <c r="F416" t="s">
        <v>1676</v>
      </c>
      <c r="H416" t="s">
        <v>6797</v>
      </c>
      <c r="I416" t="s">
        <v>4907</v>
      </c>
      <c r="K416" t="s">
        <v>7400</v>
      </c>
      <c r="L416" t="s">
        <v>7401</v>
      </c>
    </row>
    <row r="417" spans="1:12" x14ac:dyDescent="0.35">
      <c r="A417" t="s">
        <v>111</v>
      </c>
      <c r="B417" t="s">
        <v>6061</v>
      </c>
      <c r="D417">
        <v>3.5</v>
      </c>
      <c r="F417" t="s">
        <v>1451</v>
      </c>
      <c r="H417" t="s">
        <v>6798</v>
      </c>
      <c r="I417" t="s">
        <v>2326</v>
      </c>
      <c r="K417" t="s">
        <v>7400</v>
      </c>
      <c r="L417" t="s">
        <v>7401</v>
      </c>
    </row>
    <row r="418" spans="1:12" x14ac:dyDescent="0.35">
      <c r="A418" t="s">
        <v>111</v>
      </c>
      <c r="B418" t="s">
        <v>6061</v>
      </c>
      <c r="D418">
        <v>80</v>
      </c>
      <c r="F418" t="s">
        <v>1705</v>
      </c>
      <c r="H418" t="s">
        <v>6799</v>
      </c>
      <c r="I418" t="s">
        <v>2326</v>
      </c>
      <c r="K418" t="s">
        <v>7400</v>
      </c>
      <c r="L418" t="s">
        <v>7401</v>
      </c>
    </row>
    <row r="419" spans="1:12" x14ac:dyDescent="0.35">
      <c r="A419" t="s">
        <v>111</v>
      </c>
      <c r="B419" t="s">
        <v>6061</v>
      </c>
      <c r="D419">
        <v>89</v>
      </c>
      <c r="F419" t="s">
        <v>4854</v>
      </c>
      <c r="H419" t="s">
        <v>6800</v>
      </c>
      <c r="I419" t="s">
        <v>2326</v>
      </c>
      <c r="K419" t="s">
        <v>7400</v>
      </c>
      <c r="L419" t="s">
        <v>7401</v>
      </c>
    </row>
    <row r="420" spans="1:12" x14ac:dyDescent="0.35">
      <c r="A420" t="s">
        <v>111</v>
      </c>
      <c r="B420" t="s">
        <v>6061</v>
      </c>
      <c r="D420">
        <v>468</v>
      </c>
      <c r="F420" t="s">
        <v>6264</v>
      </c>
      <c r="H420" t="s">
        <v>6801</v>
      </c>
      <c r="I420" t="s">
        <v>2326</v>
      </c>
      <c r="K420" t="s">
        <v>7400</v>
      </c>
      <c r="L420" t="s">
        <v>7401</v>
      </c>
    </row>
    <row r="421" spans="1:12" x14ac:dyDescent="0.35">
      <c r="A421" t="s">
        <v>111</v>
      </c>
      <c r="B421" t="s">
        <v>490</v>
      </c>
      <c r="D421">
        <v>69.599999999999994</v>
      </c>
      <c r="F421" t="s">
        <v>6265</v>
      </c>
      <c r="H421" t="s">
        <v>6802</v>
      </c>
      <c r="I421" t="s">
        <v>4892</v>
      </c>
      <c r="K421" t="s">
        <v>7400</v>
      </c>
      <c r="L421" t="s">
        <v>7401</v>
      </c>
    </row>
    <row r="422" spans="1:12" x14ac:dyDescent="0.35">
      <c r="A422" t="s">
        <v>111</v>
      </c>
      <c r="B422" t="s">
        <v>490</v>
      </c>
      <c r="D422">
        <v>3.4</v>
      </c>
      <c r="F422" t="s">
        <v>1706</v>
      </c>
      <c r="H422" t="s">
        <v>6803</v>
      </c>
      <c r="I422" t="s">
        <v>4892</v>
      </c>
      <c r="K422" t="s">
        <v>7400</v>
      </c>
      <c r="L422" t="s">
        <v>7401</v>
      </c>
    </row>
    <row r="423" spans="1:12" x14ac:dyDescent="0.35">
      <c r="A423" t="s">
        <v>111</v>
      </c>
      <c r="B423" t="s">
        <v>490</v>
      </c>
      <c r="D423">
        <v>65</v>
      </c>
      <c r="F423" t="s">
        <v>4927</v>
      </c>
      <c r="H423" t="s">
        <v>6804</v>
      </c>
      <c r="I423" t="s">
        <v>4892</v>
      </c>
      <c r="K423" t="s">
        <v>7400</v>
      </c>
      <c r="L423" t="s">
        <v>7401</v>
      </c>
    </row>
    <row r="424" spans="1:12" x14ac:dyDescent="0.35">
      <c r="A424" t="s">
        <v>111</v>
      </c>
      <c r="B424" t="s">
        <v>490</v>
      </c>
      <c r="D424">
        <v>60</v>
      </c>
      <c r="F424" t="s">
        <v>1569</v>
      </c>
      <c r="H424" t="s">
        <v>6805</v>
      </c>
      <c r="I424" t="s">
        <v>4892</v>
      </c>
      <c r="K424" t="s">
        <v>7400</v>
      </c>
      <c r="L424" t="s">
        <v>7401</v>
      </c>
    </row>
    <row r="425" spans="1:12" x14ac:dyDescent="0.35">
      <c r="A425" t="s">
        <v>111</v>
      </c>
      <c r="B425" t="s">
        <v>490</v>
      </c>
      <c r="D425">
        <v>75.400000000000006</v>
      </c>
      <c r="F425" t="s">
        <v>6266</v>
      </c>
      <c r="H425" t="s">
        <v>6806</v>
      </c>
      <c r="I425" t="s">
        <v>4892</v>
      </c>
      <c r="K425" t="s">
        <v>7400</v>
      </c>
      <c r="L425" t="s">
        <v>7401</v>
      </c>
    </row>
    <row r="426" spans="1:12" x14ac:dyDescent="0.35">
      <c r="A426" t="s">
        <v>111</v>
      </c>
      <c r="B426" t="s">
        <v>490</v>
      </c>
      <c r="D426">
        <v>50.1</v>
      </c>
      <c r="F426" t="s">
        <v>5511</v>
      </c>
      <c r="H426" t="s">
        <v>6807</v>
      </c>
      <c r="I426" t="s">
        <v>4892</v>
      </c>
      <c r="K426" t="s">
        <v>7400</v>
      </c>
      <c r="L426" t="s">
        <v>7401</v>
      </c>
    </row>
    <row r="427" spans="1:12" x14ac:dyDescent="0.35">
      <c r="A427" t="s">
        <v>111</v>
      </c>
      <c r="B427" t="s">
        <v>490</v>
      </c>
      <c r="D427">
        <v>92.8</v>
      </c>
      <c r="F427" t="s">
        <v>6267</v>
      </c>
      <c r="H427" t="s">
        <v>6808</v>
      </c>
      <c r="I427" t="s">
        <v>4892</v>
      </c>
      <c r="K427" t="s">
        <v>7400</v>
      </c>
      <c r="L427" t="s">
        <v>7401</v>
      </c>
    </row>
    <row r="428" spans="1:12" x14ac:dyDescent="0.35">
      <c r="A428" t="s">
        <v>111</v>
      </c>
      <c r="B428" t="s">
        <v>490</v>
      </c>
      <c r="D428">
        <v>74.7</v>
      </c>
      <c r="F428" t="s">
        <v>6268</v>
      </c>
      <c r="H428" t="s">
        <v>6809</v>
      </c>
      <c r="I428" t="s">
        <v>4892</v>
      </c>
      <c r="K428" t="s">
        <v>7400</v>
      </c>
      <c r="L428" t="s">
        <v>7401</v>
      </c>
    </row>
    <row r="429" spans="1:12" x14ac:dyDescent="0.35">
      <c r="A429" t="s">
        <v>111</v>
      </c>
      <c r="B429" t="s">
        <v>490</v>
      </c>
      <c r="D429">
        <v>63.1</v>
      </c>
      <c r="F429" t="s">
        <v>5091</v>
      </c>
      <c r="H429" t="s">
        <v>6810</v>
      </c>
      <c r="I429" t="s">
        <v>4892</v>
      </c>
      <c r="K429" t="s">
        <v>7400</v>
      </c>
      <c r="L429" t="s">
        <v>7401</v>
      </c>
    </row>
    <row r="430" spans="1:12" x14ac:dyDescent="0.35">
      <c r="A430" t="s">
        <v>111</v>
      </c>
      <c r="B430" t="s">
        <v>495</v>
      </c>
      <c r="D430">
        <v>4.5</v>
      </c>
      <c r="F430" t="s">
        <v>1828</v>
      </c>
      <c r="H430" t="s">
        <v>6811</v>
      </c>
      <c r="I430" t="s">
        <v>4929</v>
      </c>
      <c r="K430" t="s">
        <v>7400</v>
      </c>
      <c r="L430" t="s">
        <v>7401</v>
      </c>
    </row>
    <row r="431" spans="1:12" x14ac:dyDescent="0.35">
      <c r="A431" t="s">
        <v>111</v>
      </c>
      <c r="B431" t="s">
        <v>495</v>
      </c>
      <c r="D431">
        <v>6.9</v>
      </c>
      <c r="F431" t="s">
        <v>1411</v>
      </c>
      <c r="H431" t="s">
        <v>6812</v>
      </c>
      <c r="I431" t="s">
        <v>4929</v>
      </c>
      <c r="K431" t="s">
        <v>7400</v>
      </c>
      <c r="L431" t="s">
        <v>7401</v>
      </c>
    </row>
    <row r="432" spans="1:12" x14ac:dyDescent="0.35">
      <c r="A432" t="s">
        <v>111</v>
      </c>
      <c r="B432" t="s">
        <v>495</v>
      </c>
      <c r="D432">
        <v>1.5</v>
      </c>
      <c r="F432" t="s">
        <v>1426</v>
      </c>
      <c r="H432" t="s">
        <v>6813</v>
      </c>
      <c r="I432" t="s">
        <v>4929</v>
      </c>
      <c r="K432" t="s">
        <v>7400</v>
      </c>
      <c r="L432" t="s">
        <v>7401</v>
      </c>
    </row>
    <row r="433" spans="1:12" x14ac:dyDescent="0.35">
      <c r="A433" t="s">
        <v>111</v>
      </c>
      <c r="B433" t="s">
        <v>495</v>
      </c>
      <c r="D433">
        <v>4.2</v>
      </c>
      <c r="F433" t="s">
        <v>1868</v>
      </c>
      <c r="H433" t="s">
        <v>6814</v>
      </c>
      <c r="I433" t="s">
        <v>4929</v>
      </c>
      <c r="K433" t="s">
        <v>7400</v>
      </c>
      <c r="L433" t="s">
        <v>7401</v>
      </c>
    </row>
    <row r="434" spans="1:12" x14ac:dyDescent="0.35">
      <c r="A434" t="s">
        <v>111</v>
      </c>
      <c r="B434" t="s">
        <v>495</v>
      </c>
      <c r="D434">
        <v>0.6</v>
      </c>
      <c r="F434" t="s">
        <v>1519</v>
      </c>
      <c r="H434" t="s">
        <v>6815</v>
      </c>
      <c r="I434" t="s">
        <v>4929</v>
      </c>
      <c r="K434" t="s">
        <v>7400</v>
      </c>
      <c r="L434" t="s">
        <v>7401</v>
      </c>
    </row>
    <row r="435" spans="1:12" x14ac:dyDescent="0.35">
      <c r="A435" t="s">
        <v>111</v>
      </c>
      <c r="B435" t="s">
        <v>495</v>
      </c>
      <c r="D435">
        <v>5.3</v>
      </c>
      <c r="F435" t="s">
        <v>1671</v>
      </c>
      <c r="H435" t="s">
        <v>6816</v>
      </c>
      <c r="I435" t="s">
        <v>4929</v>
      </c>
      <c r="K435" t="s">
        <v>7400</v>
      </c>
      <c r="L435" t="s">
        <v>7401</v>
      </c>
    </row>
    <row r="436" spans="1:12" x14ac:dyDescent="0.35">
      <c r="A436" t="s">
        <v>111</v>
      </c>
      <c r="B436" t="s">
        <v>495</v>
      </c>
      <c r="D436">
        <v>5.9</v>
      </c>
      <c r="F436" t="s">
        <v>1852</v>
      </c>
      <c r="H436" t="s">
        <v>6817</v>
      </c>
      <c r="I436" t="s">
        <v>4929</v>
      </c>
      <c r="K436" t="s">
        <v>7400</v>
      </c>
      <c r="L436" t="s">
        <v>7401</v>
      </c>
    </row>
    <row r="437" spans="1:12" x14ac:dyDescent="0.35">
      <c r="A437" t="s">
        <v>111</v>
      </c>
      <c r="B437" t="s">
        <v>495</v>
      </c>
      <c r="D437">
        <v>3.2</v>
      </c>
      <c r="F437" t="s">
        <v>1465</v>
      </c>
      <c r="H437" t="s">
        <v>6818</v>
      </c>
      <c r="I437" t="s">
        <v>4929</v>
      </c>
      <c r="K437" t="s">
        <v>7400</v>
      </c>
      <c r="L437" t="s">
        <v>7401</v>
      </c>
    </row>
    <row r="438" spans="1:12" x14ac:dyDescent="0.35">
      <c r="A438" t="s">
        <v>111</v>
      </c>
      <c r="B438" t="s">
        <v>495</v>
      </c>
      <c r="D438">
        <v>3.3</v>
      </c>
      <c r="F438" t="s">
        <v>1377</v>
      </c>
      <c r="H438" t="s">
        <v>6819</v>
      </c>
      <c r="I438" t="s">
        <v>4929</v>
      </c>
      <c r="K438" t="s">
        <v>7400</v>
      </c>
      <c r="L438" t="s">
        <v>7401</v>
      </c>
    </row>
    <row r="439" spans="1:12" x14ac:dyDescent="0.35">
      <c r="A439" t="s">
        <v>111</v>
      </c>
      <c r="B439" t="s">
        <v>495</v>
      </c>
      <c r="D439">
        <v>2.1</v>
      </c>
      <c r="F439" t="s">
        <v>1399</v>
      </c>
      <c r="H439" t="s">
        <v>6820</v>
      </c>
      <c r="I439" t="s">
        <v>4929</v>
      </c>
      <c r="K439" t="s">
        <v>7400</v>
      </c>
      <c r="L439" t="s">
        <v>7401</v>
      </c>
    </row>
    <row r="440" spans="1:12" x14ac:dyDescent="0.35">
      <c r="A440" t="s">
        <v>111</v>
      </c>
      <c r="B440" t="s">
        <v>495</v>
      </c>
      <c r="D440">
        <v>3</v>
      </c>
      <c r="F440" t="s">
        <v>1368</v>
      </c>
      <c r="H440" t="s">
        <v>6821</v>
      </c>
      <c r="I440" t="s">
        <v>4929</v>
      </c>
      <c r="K440" t="s">
        <v>7400</v>
      </c>
      <c r="L440" t="s">
        <v>7401</v>
      </c>
    </row>
    <row r="441" spans="1:12" x14ac:dyDescent="0.35">
      <c r="A441" t="s">
        <v>111</v>
      </c>
      <c r="B441" t="s">
        <v>495</v>
      </c>
      <c r="D441">
        <v>2</v>
      </c>
      <c r="F441" t="s">
        <v>1372</v>
      </c>
      <c r="H441" t="s">
        <v>6822</v>
      </c>
      <c r="I441" t="s">
        <v>4929</v>
      </c>
      <c r="K441" t="s">
        <v>7400</v>
      </c>
      <c r="L441" t="s">
        <v>7401</v>
      </c>
    </row>
    <row r="442" spans="1:12" x14ac:dyDescent="0.35">
      <c r="A442" t="s">
        <v>111</v>
      </c>
      <c r="B442" t="s">
        <v>495</v>
      </c>
      <c r="D442">
        <v>0.65</v>
      </c>
      <c r="F442" t="s">
        <v>1819</v>
      </c>
      <c r="H442" t="s">
        <v>6823</v>
      </c>
      <c r="I442" t="s">
        <v>4929</v>
      </c>
      <c r="K442" t="s">
        <v>7400</v>
      </c>
      <c r="L442" t="s">
        <v>7401</v>
      </c>
    </row>
    <row r="443" spans="1:12" x14ac:dyDescent="0.35">
      <c r="A443" t="s">
        <v>111</v>
      </c>
      <c r="B443" t="s">
        <v>495</v>
      </c>
      <c r="D443">
        <v>1.1000000000000001</v>
      </c>
      <c r="F443" t="s">
        <v>1505</v>
      </c>
      <c r="H443" t="s">
        <v>6824</v>
      </c>
      <c r="I443" t="s">
        <v>4929</v>
      </c>
      <c r="K443" t="s">
        <v>7400</v>
      </c>
      <c r="L443" t="s">
        <v>7401</v>
      </c>
    </row>
    <row r="444" spans="1:12" x14ac:dyDescent="0.35">
      <c r="A444" t="s">
        <v>111</v>
      </c>
      <c r="B444" t="s">
        <v>495</v>
      </c>
      <c r="D444">
        <v>0.96</v>
      </c>
      <c r="F444" t="s">
        <v>1415</v>
      </c>
      <c r="H444" t="s">
        <v>6825</v>
      </c>
      <c r="I444" t="s">
        <v>4929</v>
      </c>
      <c r="K444" t="s">
        <v>7400</v>
      </c>
      <c r="L444" t="s">
        <v>7401</v>
      </c>
    </row>
    <row r="445" spans="1:12" x14ac:dyDescent="0.35">
      <c r="A445" t="s">
        <v>111</v>
      </c>
      <c r="B445" t="s">
        <v>495</v>
      </c>
      <c r="D445">
        <v>0.57999999999999996</v>
      </c>
      <c r="F445" t="s">
        <v>1444</v>
      </c>
      <c r="H445" t="s">
        <v>6826</v>
      </c>
      <c r="I445" t="s">
        <v>4929</v>
      </c>
      <c r="K445" t="s">
        <v>7400</v>
      </c>
      <c r="L445" t="s">
        <v>7401</v>
      </c>
    </row>
    <row r="446" spans="1:12" x14ac:dyDescent="0.35">
      <c r="A446" t="s">
        <v>111</v>
      </c>
      <c r="B446" t="s">
        <v>494</v>
      </c>
      <c r="D446">
        <v>0.47</v>
      </c>
      <c r="F446" t="s">
        <v>1795</v>
      </c>
      <c r="H446" t="s">
        <v>6827</v>
      </c>
      <c r="I446" t="s">
        <v>4897</v>
      </c>
      <c r="K446" t="s">
        <v>7400</v>
      </c>
      <c r="L446" t="s">
        <v>7401</v>
      </c>
    </row>
    <row r="447" spans="1:12" x14ac:dyDescent="0.35">
      <c r="A447" t="s">
        <v>111</v>
      </c>
      <c r="B447" t="s">
        <v>494</v>
      </c>
      <c r="D447">
        <v>0.45</v>
      </c>
      <c r="F447" t="s">
        <v>1316</v>
      </c>
      <c r="H447" t="s">
        <v>6828</v>
      </c>
      <c r="I447" t="s">
        <v>4897</v>
      </c>
      <c r="K447" t="s">
        <v>7400</v>
      </c>
      <c r="L447" t="s">
        <v>7401</v>
      </c>
    </row>
    <row r="448" spans="1:12" x14ac:dyDescent="0.35">
      <c r="A448" t="s">
        <v>111</v>
      </c>
      <c r="B448" t="s">
        <v>494</v>
      </c>
      <c r="D448">
        <v>0.01</v>
      </c>
      <c r="F448" t="s">
        <v>1376</v>
      </c>
      <c r="H448" t="s">
        <v>6829</v>
      </c>
      <c r="I448" t="s">
        <v>4897</v>
      </c>
      <c r="K448" t="s">
        <v>7400</v>
      </c>
      <c r="L448" t="s">
        <v>7401</v>
      </c>
    </row>
    <row r="449" spans="1:12" x14ac:dyDescent="0.35">
      <c r="A449" t="s">
        <v>111</v>
      </c>
      <c r="B449" t="s">
        <v>494</v>
      </c>
      <c r="D449">
        <v>0.85</v>
      </c>
      <c r="F449" t="s">
        <v>1474</v>
      </c>
      <c r="H449" t="s">
        <v>6830</v>
      </c>
      <c r="I449" t="s">
        <v>4897</v>
      </c>
      <c r="K449" t="s">
        <v>7400</v>
      </c>
      <c r="L449" t="s">
        <v>7401</v>
      </c>
    </row>
    <row r="450" spans="1:12" x14ac:dyDescent="0.35">
      <c r="A450" t="s">
        <v>111</v>
      </c>
      <c r="B450" t="s">
        <v>494</v>
      </c>
      <c r="D450">
        <v>3.8</v>
      </c>
      <c r="F450" t="s">
        <v>1388</v>
      </c>
      <c r="H450" t="s">
        <v>6831</v>
      </c>
      <c r="I450" t="s">
        <v>4876</v>
      </c>
      <c r="K450" t="s">
        <v>7400</v>
      </c>
      <c r="L450" t="s">
        <v>7401</v>
      </c>
    </row>
    <row r="451" spans="1:12" x14ac:dyDescent="0.35">
      <c r="A451" t="s">
        <v>111</v>
      </c>
      <c r="B451" t="s">
        <v>494</v>
      </c>
      <c r="D451">
        <v>21</v>
      </c>
      <c r="F451" t="s">
        <v>2051</v>
      </c>
      <c r="H451" t="s">
        <v>6832</v>
      </c>
      <c r="I451" t="s">
        <v>4876</v>
      </c>
      <c r="K451" t="s">
        <v>7400</v>
      </c>
      <c r="L451" t="s">
        <v>7401</v>
      </c>
    </row>
    <row r="452" spans="1:12" x14ac:dyDescent="0.35">
      <c r="A452" t="s">
        <v>111</v>
      </c>
      <c r="B452" t="s">
        <v>494</v>
      </c>
      <c r="D452">
        <v>0.03</v>
      </c>
      <c r="F452" t="s">
        <v>1266</v>
      </c>
      <c r="H452" t="s">
        <v>6833</v>
      </c>
      <c r="I452" t="s">
        <v>4897</v>
      </c>
      <c r="K452" t="s">
        <v>7400</v>
      </c>
      <c r="L452" t="s">
        <v>7401</v>
      </c>
    </row>
    <row r="453" spans="1:12" x14ac:dyDescent="0.35">
      <c r="A453" t="s">
        <v>111</v>
      </c>
      <c r="B453" t="s">
        <v>494</v>
      </c>
      <c r="D453">
        <v>1.63</v>
      </c>
      <c r="F453" t="s">
        <v>6269</v>
      </c>
      <c r="H453" t="s">
        <v>6834</v>
      </c>
      <c r="I453" t="s">
        <v>4897</v>
      </c>
      <c r="K453" t="s">
        <v>7400</v>
      </c>
      <c r="L453" t="s">
        <v>7401</v>
      </c>
    </row>
    <row r="454" spans="1:12" x14ac:dyDescent="0.35">
      <c r="A454" t="s">
        <v>111</v>
      </c>
      <c r="B454" t="s">
        <v>494</v>
      </c>
      <c r="D454">
        <v>0.62</v>
      </c>
      <c r="F454" t="s">
        <v>1635</v>
      </c>
      <c r="H454" t="s">
        <v>6835</v>
      </c>
      <c r="I454" t="s">
        <v>4897</v>
      </c>
      <c r="K454" t="s">
        <v>7400</v>
      </c>
      <c r="L454" t="s">
        <v>7401</v>
      </c>
    </row>
    <row r="455" spans="1:12" x14ac:dyDescent="0.35">
      <c r="A455" t="s">
        <v>111</v>
      </c>
      <c r="B455" t="s">
        <v>494</v>
      </c>
      <c r="D455">
        <v>21.9</v>
      </c>
      <c r="F455" t="s">
        <v>5280</v>
      </c>
      <c r="H455" t="s">
        <v>6836</v>
      </c>
      <c r="I455" t="s">
        <v>4876</v>
      </c>
      <c r="K455" t="s">
        <v>7400</v>
      </c>
      <c r="L455" t="s">
        <v>7401</v>
      </c>
    </row>
    <row r="456" spans="1:12" x14ac:dyDescent="0.35">
      <c r="A456" t="s">
        <v>111</v>
      </c>
      <c r="B456" t="s">
        <v>494</v>
      </c>
      <c r="D456">
        <v>0.64</v>
      </c>
      <c r="F456" t="s">
        <v>2041</v>
      </c>
      <c r="H456" t="s">
        <v>6837</v>
      </c>
      <c r="I456" t="s">
        <v>4897</v>
      </c>
      <c r="K456" t="s">
        <v>7400</v>
      </c>
      <c r="L456" t="s">
        <v>7401</v>
      </c>
    </row>
    <row r="457" spans="1:12" x14ac:dyDescent="0.35">
      <c r="A457" t="s">
        <v>111</v>
      </c>
      <c r="B457" t="s">
        <v>494</v>
      </c>
      <c r="D457">
        <v>42.7</v>
      </c>
      <c r="F457" t="s">
        <v>6270</v>
      </c>
      <c r="H457" t="s">
        <v>6838</v>
      </c>
      <c r="I457" t="s">
        <v>4897</v>
      </c>
      <c r="K457" t="s">
        <v>7400</v>
      </c>
      <c r="L457" t="s">
        <v>7401</v>
      </c>
    </row>
    <row r="458" spans="1:12" x14ac:dyDescent="0.35">
      <c r="A458" t="s">
        <v>111</v>
      </c>
      <c r="B458" t="s">
        <v>494</v>
      </c>
      <c r="D458">
        <v>6.76</v>
      </c>
      <c r="F458" t="s">
        <v>2599</v>
      </c>
      <c r="H458" t="s">
        <v>6839</v>
      </c>
      <c r="I458" t="s">
        <v>4876</v>
      </c>
      <c r="K458" t="s">
        <v>7400</v>
      </c>
      <c r="L458" t="s">
        <v>7401</v>
      </c>
    </row>
    <row r="459" spans="1:12" x14ac:dyDescent="0.35">
      <c r="A459" t="s">
        <v>111</v>
      </c>
      <c r="B459" t="s">
        <v>494</v>
      </c>
      <c r="D459">
        <v>8.33</v>
      </c>
      <c r="F459" t="s">
        <v>5110</v>
      </c>
      <c r="H459" t="s">
        <v>6840</v>
      </c>
      <c r="I459" t="s">
        <v>4897</v>
      </c>
      <c r="K459" t="s">
        <v>7400</v>
      </c>
      <c r="L459" t="s">
        <v>7401</v>
      </c>
    </row>
    <row r="460" spans="1:12" x14ac:dyDescent="0.35">
      <c r="A460" t="s">
        <v>111</v>
      </c>
      <c r="B460" t="s">
        <v>494</v>
      </c>
      <c r="D460">
        <v>6.53</v>
      </c>
      <c r="F460" t="s">
        <v>6271</v>
      </c>
      <c r="H460" t="s">
        <v>6841</v>
      </c>
      <c r="I460" t="s">
        <v>4876</v>
      </c>
      <c r="K460" t="s">
        <v>7400</v>
      </c>
      <c r="L460" t="s">
        <v>7401</v>
      </c>
    </row>
    <row r="461" spans="1:12" x14ac:dyDescent="0.35">
      <c r="A461" t="s">
        <v>111</v>
      </c>
      <c r="B461" t="s">
        <v>494</v>
      </c>
      <c r="D461">
        <v>4.1399999999999997</v>
      </c>
      <c r="F461" t="s">
        <v>6272</v>
      </c>
      <c r="H461" t="s">
        <v>6842</v>
      </c>
      <c r="I461" t="s">
        <v>4897</v>
      </c>
      <c r="K461" t="s">
        <v>7400</v>
      </c>
      <c r="L461" t="s">
        <v>7401</v>
      </c>
    </row>
    <row r="462" spans="1:12" x14ac:dyDescent="0.35">
      <c r="A462" t="s">
        <v>111</v>
      </c>
      <c r="B462" t="s">
        <v>494</v>
      </c>
      <c r="D462">
        <v>18.63</v>
      </c>
      <c r="F462" t="s">
        <v>6273</v>
      </c>
      <c r="H462" t="s">
        <v>6843</v>
      </c>
      <c r="I462" t="s">
        <v>4876</v>
      </c>
      <c r="K462" t="s">
        <v>7400</v>
      </c>
      <c r="L462" t="s">
        <v>7401</v>
      </c>
    </row>
    <row r="463" spans="1:12" x14ac:dyDescent="0.35">
      <c r="A463" t="s">
        <v>111</v>
      </c>
      <c r="B463" t="s">
        <v>494</v>
      </c>
      <c r="D463">
        <v>33.96</v>
      </c>
      <c r="F463" t="s">
        <v>6274</v>
      </c>
      <c r="H463" t="s">
        <v>6844</v>
      </c>
      <c r="I463" t="s">
        <v>4897</v>
      </c>
      <c r="K463" t="s">
        <v>7400</v>
      </c>
      <c r="L463" t="s">
        <v>7401</v>
      </c>
    </row>
    <row r="464" spans="1:12" x14ac:dyDescent="0.35">
      <c r="A464" t="s">
        <v>111</v>
      </c>
      <c r="B464" t="s">
        <v>494</v>
      </c>
      <c r="D464">
        <v>24.98</v>
      </c>
      <c r="F464" t="s">
        <v>6275</v>
      </c>
      <c r="H464" t="s">
        <v>6845</v>
      </c>
      <c r="I464" t="s">
        <v>4876</v>
      </c>
      <c r="K464" t="s">
        <v>7400</v>
      </c>
      <c r="L464" t="s">
        <v>7401</v>
      </c>
    </row>
    <row r="465" spans="1:12" x14ac:dyDescent="0.35">
      <c r="A465" t="s">
        <v>111</v>
      </c>
      <c r="B465" t="s">
        <v>494</v>
      </c>
      <c r="D465">
        <v>19.29</v>
      </c>
      <c r="F465" t="s">
        <v>6276</v>
      </c>
      <c r="H465" t="s">
        <v>6846</v>
      </c>
      <c r="I465" t="s">
        <v>4876</v>
      </c>
      <c r="K465" t="s">
        <v>7400</v>
      </c>
      <c r="L465" t="s">
        <v>7401</v>
      </c>
    </row>
    <row r="466" spans="1:12" x14ac:dyDescent="0.35">
      <c r="A466" t="s">
        <v>111</v>
      </c>
      <c r="B466" t="s">
        <v>494</v>
      </c>
      <c r="D466">
        <v>23.06</v>
      </c>
      <c r="F466" t="s">
        <v>6277</v>
      </c>
      <c r="H466" t="s">
        <v>6847</v>
      </c>
      <c r="I466" t="s">
        <v>4876</v>
      </c>
      <c r="K466" t="s">
        <v>7400</v>
      </c>
      <c r="L466" t="s">
        <v>7401</v>
      </c>
    </row>
    <row r="467" spans="1:12" x14ac:dyDescent="0.35">
      <c r="A467" t="s">
        <v>111</v>
      </c>
      <c r="B467" t="s">
        <v>494</v>
      </c>
      <c r="D467">
        <v>21.17</v>
      </c>
      <c r="F467" t="s">
        <v>6278</v>
      </c>
      <c r="H467" t="s">
        <v>6848</v>
      </c>
      <c r="I467" t="s">
        <v>4876</v>
      </c>
      <c r="K467" t="s">
        <v>7400</v>
      </c>
      <c r="L467" t="s">
        <v>7401</v>
      </c>
    </row>
    <row r="468" spans="1:12" x14ac:dyDescent="0.35">
      <c r="A468" t="s">
        <v>111</v>
      </c>
      <c r="B468" t="s">
        <v>494</v>
      </c>
      <c r="D468">
        <v>20.79</v>
      </c>
      <c r="F468" t="s">
        <v>6279</v>
      </c>
      <c r="H468" t="s">
        <v>6849</v>
      </c>
      <c r="I468" t="s">
        <v>4876</v>
      </c>
      <c r="K468" t="s">
        <v>7400</v>
      </c>
      <c r="L468" t="s">
        <v>7401</v>
      </c>
    </row>
    <row r="469" spans="1:12" x14ac:dyDescent="0.35">
      <c r="A469" t="s">
        <v>111</v>
      </c>
      <c r="B469" t="s">
        <v>494</v>
      </c>
      <c r="D469">
        <v>26.46</v>
      </c>
      <c r="F469" t="s">
        <v>6280</v>
      </c>
      <c r="H469" t="s">
        <v>6850</v>
      </c>
      <c r="I469" t="s">
        <v>4876</v>
      </c>
      <c r="K469" t="s">
        <v>7400</v>
      </c>
      <c r="L469" t="s">
        <v>7401</v>
      </c>
    </row>
    <row r="470" spans="1:12" x14ac:dyDescent="0.35">
      <c r="A470" t="s">
        <v>111</v>
      </c>
      <c r="B470" t="s">
        <v>494</v>
      </c>
      <c r="D470">
        <v>19.690000000000001</v>
      </c>
      <c r="F470" t="s">
        <v>6281</v>
      </c>
      <c r="H470" t="s">
        <v>6851</v>
      </c>
      <c r="I470" t="s">
        <v>4876</v>
      </c>
      <c r="K470" t="s">
        <v>7400</v>
      </c>
      <c r="L470" t="s">
        <v>7401</v>
      </c>
    </row>
    <row r="471" spans="1:12" x14ac:dyDescent="0.35">
      <c r="A471" t="s">
        <v>111</v>
      </c>
      <c r="B471" t="s">
        <v>494</v>
      </c>
      <c r="D471">
        <v>13.35</v>
      </c>
      <c r="F471" t="s">
        <v>6282</v>
      </c>
      <c r="H471" t="s">
        <v>6852</v>
      </c>
      <c r="I471" t="s">
        <v>4876</v>
      </c>
      <c r="K471" t="s">
        <v>7400</v>
      </c>
      <c r="L471" t="s">
        <v>7401</v>
      </c>
    </row>
    <row r="472" spans="1:12" x14ac:dyDescent="0.35">
      <c r="A472" t="s">
        <v>111</v>
      </c>
      <c r="B472" t="s">
        <v>175</v>
      </c>
      <c r="D472">
        <v>8.3000000000000007</v>
      </c>
      <c r="F472" t="s">
        <v>1382</v>
      </c>
      <c r="I472" t="s">
        <v>1372</v>
      </c>
      <c r="K472" t="s">
        <v>7400</v>
      </c>
      <c r="L472" t="s">
        <v>7401</v>
      </c>
    </row>
    <row r="473" spans="1:12" x14ac:dyDescent="0.35">
      <c r="A473" t="s">
        <v>111</v>
      </c>
      <c r="B473" t="s">
        <v>380</v>
      </c>
      <c r="D473">
        <v>0.5</v>
      </c>
      <c r="F473" t="s">
        <v>1440</v>
      </c>
      <c r="H473" t="s">
        <v>6853</v>
      </c>
      <c r="I473" t="s">
        <v>1707</v>
      </c>
      <c r="K473" t="s">
        <v>7400</v>
      </c>
      <c r="L473" t="s">
        <v>7401</v>
      </c>
    </row>
    <row r="474" spans="1:12" x14ac:dyDescent="0.35">
      <c r="A474" t="s">
        <v>236</v>
      </c>
      <c r="B474" t="s">
        <v>6062</v>
      </c>
      <c r="D474">
        <v>3.9E-2</v>
      </c>
      <c r="F474" t="s">
        <v>1407</v>
      </c>
      <c r="H474" t="s">
        <v>6854</v>
      </c>
      <c r="I474" t="s">
        <v>4894</v>
      </c>
      <c r="K474" t="s">
        <v>7400</v>
      </c>
      <c r="L474" t="s">
        <v>7401</v>
      </c>
    </row>
    <row r="475" spans="1:12" x14ac:dyDescent="0.35">
      <c r="A475" t="s">
        <v>236</v>
      </c>
      <c r="B475" t="s">
        <v>6062</v>
      </c>
      <c r="D475">
        <v>2.1000000000000001E-2</v>
      </c>
      <c r="F475" t="s">
        <v>1617</v>
      </c>
      <c r="H475" t="s">
        <v>6855</v>
      </c>
      <c r="I475" t="s">
        <v>4894</v>
      </c>
      <c r="K475" t="s">
        <v>7400</v>
      </c>
      <c r="L475" t="s">
        <v>7401</v>
      </c>
    </row>
    <row r="476" spans="1:12" x14ac:dyDescent="0.35">
      <c r="A476" t="s">
        <v>236</v>
      </c>
      <c r="B476" t="s">
        <v>6062</v>
      </c>
      <c r="D476">
        <v>8.3000000000000004E-2</v>
      </c>
      <c r="F476" t="s">
        <v>1603</v>
      </c>
      <c r="H476" t="s">
        <v>6856</v>
      </c>
      <c r="I476" t="s">
        <v>4894</v>
      </c>
      <c r="K476" t="s">
        <v>7400</v>
      </c>
      <c r="L476" t="s">
        <v>7401</v>
      </c>
    </row>
    <row r="477" spans="1:12" x14ac:dyDescent="0.35">
      <c r="A477" t="s">
        <v>236</v>
      </c>
      <c r="B477" t="s">
        <v>6062</v>
      </c>
      <c r="D477">
        <v>1.2E-2</v>
      </c>
      <c r="F477" t="s">
        <v>1280</v>
      </c>
      <c r="H477" t="s">
        <v>6857</v>
      </c>
      <c r="I477" t="s">
        <v>4894</v>
      </c>
      <c r="K477" t="s">
        <v>7400</v>
      </c>
      <c r="L477" t="s">
        <v>7401</v>
      </c>
    </row>
    <row r="478" spans="1:12" x14ac:dyDescent="0.35">
      <c r="A478" t="s">
        <v>236</v>
      </c>
      <c r="B478" t="s">
        <v>6062</v>
      </c>
      <c r="D478">
        <v>7.6999999999999999E-2</v>
      </c>
      <c r="F478" t="s">
        <v>1578</v>
      </c>
      <c r="H478" t="s">
        <v>6858</v>
      </c>
      <c r="I478" t="s">
        <v>4894</v>
      </c>
      <c r="K478" t="s">
        <v>7400</v>
      </c>
      <c r="L478" t="s">
        <v>7401</v>
      </c>
    </row>
    <row r="479" spans="1:12" x14ac:dyDescent="0.35">
      <c r="A479" t="s">
        <v>236</v>
      </c>
      <c r="B479" t="s">
        <v>6062</v>
      </c>
      <c r="D479">
        <v>3.1E-2</v>
      </c>
      <c r="F479" t="s">
        <v>1423</v>
      </c>
      <c r="H479" t="s">
        <v>6859</v>
      </c>
      <c r="I479" t="s">
        <v>4894</v>
      </c>
      <c r="K479" t="s">
        <v>7400</v>
      </c>
      <c r="L479" t="s">
        <v>7401</v>
      </c>
    </row>
    <row r="480" spans="1:12" x14ac:dyDescent="0.35">
      <c r="A480" t="s">
        <v>236</v>
      </c>
      <c r="B480" t="s">
        <v>6062</v>
      </c>
      <c r="D480">
        <v>1.5599999999999999E-2</v>
      </c>
      <c r="F480" t="s">
        <v>1589</v>
      </c>
      <c r="H480" t="s">
        <v>6860</v>
      </c>
      <c r="I480" t="s">
        <v>4894</v>
      </c>
      <c r="K480" t="s">
        <v>7400</v>
      </c>
      <c r="L480" t="s">
        <v>7401</v>
      </c>
    </row>
    <row r="481" spans="1:12" x14ac:dyDescent="0.35">
      <c r="A481" t="s">
        <v>236</v>
      </c>
      <c r="B481" t="s">
        <v>6062</v>
      </c>
      <c r="D481">
        <v>2.9000000000000001E-2</v>
      </c>
      <c r="F481" t="s">
        <v>2038</v>
      </c>
      <c r="H481" t="s">
        <v>6861</v>
      </c>
      <c r="I481" t="s">
        <v>4894</v>
      </c>
      <c r="K481" t="s">
        <v>7400</v>
      </c>
      <c r="L481" t="s">
        <v>7401</v>
      </c>
    </row>
    <row r="482" spans="1:12" x14ac:dyDescent="0.35">
      <c r="A482" t="s">
        <v>236</v>
      </c>
      <c r="B482" t="s">
        <v>6062</v>
      </c>
      <c r="D482">
        <v>3.2000000000000001E-2</v>
      </c>
      <c r="F482" t="s">
        <v>1314</v>
      </c>
      <c r="H482" t="s">
        <v>6862</v>
      </c>
      <c r="I482" t="s">
        <v>4894</v>
      </c>
      <c r="K482" t="s">
        <v>7400</v>
      </c>
      <c r="L482" t="s">
        <v>7401</v>
      </c>
    </row>
    <row r="483" spans="1:12" x14ac:dyDescent="0.35">
      <c r="A483" t="s">
        <v>236</v>
      </c>
      <c r="B483" t="s">
        <v>6062</v>
      </c>
      <c r="D483">
        <v>3.6999999999999998E-2</v>
      </c>
      <c r="F483" t="s">
        <v>1534</v>
      </c>
      <c r="H483" t="s">
        <v>6863</v>
      </c>
      <c r="I483" t="s">
        <v>4894</v>
      </c>
      <c r="K483" t="s">
        <v>7400</v>
      </c>
      <c r="L483" t="s">
        <v>7401</v>
      </c>
    </row>
    <row r="484" spans="1:12" x14ac:dyDescent="0.35">
      <c r="A484" t="s">
        <v>236</v>
      </c>
      <c r="B484" t="s">
        <v>6046</v>
      </c>
      <c r="D484">
        <v>1.4999999999999999E-7</v>
      </c>
      <c r="F484" t="s">
        <v>6283</v>
      </c>
      <c r="H484" t="s">
        <v>6864</v>
      </c>
      <c r="I484" t="s">
        <v>1489</v>
      </c>
      <c r="K484" t="s">
        <v>7400</v>
      </c>
      <c r="L484" t="s">
        <v>7401</v>
      </c>
    </row>
    <row r="485" spans="1:12" x14ac:dyDescent="0.35">
      <c r="A485" t="s">
        <v>236</v>
      </c>
      <c r="B485" t="s">
        <v>6046</v>
      </c>
      <c r="D485">
        <v>6.5999999999999995E-8</v>
      </c>
      <c r="F485" t="s">
        <v>6284</v>
      </c>
      <c r="H485" t="s">
        <v>6865</v>
      </c>
      <c r="I485" t="s">
        <v>1489</v>
      </c>
      <c r="K485" t="s">
        <v>7400</v>
      </c>
      <c r="L485" t="s">
        <v>7401</v>
      </c>
    </row>
    <row r="486" spans="1:12" x14ac:dyDescent="0.35">
      <c r="A486" t="s">
        <v>236</v>
      </c>
      <c r="B486" t="s">
        <v>6046</v>
      </c>
      <c r="D486">
        <v>4.0000000000000001E-8</v>
      </c>
      <c r="F486" t="s">
        <v>6285</v>
      </c>
      <c r="H486" t="s">
        <v>6866</v>
      </c>
      <c r="I486" t="s">
        <v>1489</v>
      </c>
      <c r="K486" t="s">
        <v>7400</v>
      </c>
      <c r="L486" t="s">
        <v>7401</v>
      </c>
    </row>
    <row r="487" spans="1:12" x14ac:dyDescent="0.35">
      <c r="A487" t="s">
        <v>236</v>
      </c>
      <c r="B487" t="s">
        <v>5041</v>
      </c>
      <c r="D487">
        <v>1E-3</v>
      </c>
      <c r="F487" t="s">
        <v>1722</v>
      </c>
      <c r="H487" t="s">
        <v>6867</v>
      </c>
      <c r="I487" t="s">
        <v>1526</v>
      </c>
      <c r="K487" t="s">
        <v>7400</v>
      </c>
      <c r="L487" t="s">
        <v>7401</v>
      </c>
    </row>
    <row r="488" spans="1:12" x14ac:dyDescent="0.35">
      <c r="A488" t="s">
        <v>236</v>
      </c>
      <c r="B488" t="s">
        <v>6063</v>
      </c>
      <c r="D488">
        <v>2.9999999999999997E-8</v>
      </c>
      <c r="F488" t="s">
        <v>6286</v>
      </c>
      <c r="H488" t="s">
        <v>6868</v>
      </c>
      <c r="I488" t="s">
        <v>1489</v>
      </c>
      <c r="K488" t="s">
        <v>7400</v>
      </c>
      <c r="L488" t="s">
        <v>7401</v>
      </c>
    </row>
    <row r="489" spans="1:12" x14ac:dyDescent="0.35">
      <c r="A489" t="s">
        <v>236</v>
      </c>
      <c r="B489" t="s">
        <v>6063</v>
      </c>
      <c r="D489">
        <v>3.4E-8</v>
      </c>
      <c r="F489" t="s">
        <v>6287</v>
      </c>
      <c r="H489" t="s">
        <v>6869</v>
      </c>
      <c r="I489" t="s">
        <v>1489</v>
      </c>
      <c r="K489" t="s">
        <v>7400</v>
      </c>
      <c r="L489" t="s">
        <v>7401</v>
      </c>
    </row>
    <row r="490" spans="1:12" x14ac:dyDescent="0.35">
      <c r="A490" t="s">
        <v>236</v>
      </c>
      <c r="B490" t="s">
        <v>6063</v>
      </c>
      <c r="D490">
        <v>3.7E-8</v>
      </c>
      <c r="F490" t="s">
        <v>6288</v>
      </c>
      <c r="H490" t="s">
        <v>6870</v>
      </c>
      <c r="I490" t="s">
        <v>1489</v>
      </c>
      <c r="K490" t="s">
        <v>7400</v>
      </c>
      <c r="L490" t="s">
        <v>7401</v>
      </c>
    </row>
    <row r="491" spans="1:12" x14ac:dyDescent="0.35">
      <c r="A491" t="s">
        <v>236</v>
      </c>
      <c r="B491" t="s">
        <v>6063</v>
      </c>
      <c r="D491">
        <v>3.8099999999999999E-6</v>
      </c>
      <c r="F491" t="s">
        <v>6289</v>
      </c>
      <c r="H491" t="s">
        <v>6871</v>
      </c>
      <c r="I491" t="s">
        <v>1489</v>
      </c>
      <c r="K491" t="s">
        <v>7400</v>
      </c>
      <c r="L491" t="s">
        <v>7401</v>
      </c>
    </row>
    <row r="492" spans="1:12" x14ac:dyDescent="0.35">
      <c r="A492" t="s">
        <v>236</v>
      </c>
      <c r="B492" t="s">
        <v>6063</v>
      </c>
      <c r="D492">
        <v>3.8500000000000004E-6</v>
      </c>
      <c r="F492" t="s">
        <v>6290</v>
      </c>
      <c r="H492" t="s">
        <v>6872</v>
      </c>
      <c r="I492" t="s">
        <v>1489</v>
      </c>
      <c r="K492" t="s">
        <v>7400</v>
      </c>
      <c r="L492" t="s">
        <v>7401</v>
      </c>
    </row>
    <row r="493" spans="1:12" x14ac:dyDescent="0.35">
      <c r="A493" t="s">
        <v>236</v>
      </c>
      <c r="B493" t="s">
        <v>6063</v>
      </c>
      <c r="D493">
        <v>3.2499999999999997E-5</v>
      </c>
      <c r="F493" t="s">
        <v>6291</v>
      </c>
      <c r="H493" t="s">
        <v>6873</v>
      </c>
      <c r="I493" t="s">
        <v>1489</v>
      </c>
      <c r="K493" t="s">
        <v>7400</v>
      </c>
      <c r="L493" t="s">
        <v>7401</v>
      </c>
    </row>
    <row r="494" spans="1:12" x14ac:dyDescent="0.35">
      <c r="A494" t="s">
        <v>236</v>
      </c>
      <c r="B494" t="s">
        <v>6064</v>
      </c>
      <c r="D494">
        <v>2E-8</v>
      </c>
      <c r="F494" t="s">
        <v>6292</v>
      </c>
      <c r="H494" t="s">
        <v>6874</v>
      </c>
      <c r="I494" t="s">
        <v>1489</v>
      </c>
      <c r="K494" t="s">
        <v>7400</v>
      </c>
      <c r="L494" t="s">
        <v>7401</v>
      </c>
    </row>
    <row r="495" spans="1:12" x14ac:dyDescent="0.35">
      <c r="A495" t="s">
        <v>236</v>
      </c>
      <c r="B495" t="s">
        <v>6064</v>
      </c>
      <c r="D495">
        <v>7.0000000000000005E-8</v>
      </c>
      <c r="F495" t="s">
        <v>6293</v>
      </c>
      <c r="H495" t="s">
        <v>6875</v>
      </c>
      <c r="I495" t="s">
        <v>1489</v>
      </c>
      <c r="K495" t="s">
        <v>7400</v>
      </c>
      <c r="L495" t="s">
        <v>7401</v>
      </c>
    </row>
    <row r="496" spans="1:12" x14ac:dyDescent="0.35">
      <c r="A496" t="s">
        <v>236</v>
      </c>
      <c r="B496" t="s">
        <v>6064</v>
      </c>
      <c r="D496">
        <v>2.57E-6</v>
      </c>
      <c r="F496" t="s">
        <v>6294</v>
      </c>
      <c r="H496" t="s">
        <v>6876</v>
      </c>
      <c r="I496" t="s">
        <v>1489</v>
      </c>
      <c r="K496" t="s">
        <v>7400</v>
      </c>
      <c r="L496" t="s">
        <v>7401</v>
      </c>
    </row>
    <row r="497" spans="1:12" x14ac:dyDescent="0.35">
      <c r="A497" t="s">
        <v>236</v>
      </c>
      <c r="B497" t="s">
        <v>6064</v>
      </c>
      <c r="D497">
        <v>3.7700000000000002E-5</v>
      </c>
      <c r="F497" t="s">
        <v>6295</v>
      </c>
      <c r="H497" t="s">
        <v>6877</v>
      </c>
      <c r="I497" t="s">
        <v>1489</v>
      </c>
      <c r="K497" t="s">
        <v>7400</v>
      </c>
      <c r="L497" t="s">
        <v>7401</v>
      </c>
    </row>
    <row r="498" spans="1:12" x14ac:dyDescent="0.35">
      <c r="A498" t="s">
        <v>236</v>
      </c>
      <c r="B498" t="s">
        <v>6064</v>
      </c>
      <c r="D498">
        <v>2.1660000000000001E-4</v>
      </c>
      <c r="F498" t="s">
        <v>6296</v>
      </c>
      <c r="H498" t="s">
        <v>6878</v>
      </c>
      <c r="I498" t="s">
        <v>1489</v>
      </c>
      <c r="K498" t="s">
        <v>7400</v>
      </c>
      <c r="L498" t="s">
        <v>7401</v>
      </c>
    </row>
    <row r="499" spans="1:12" x14ac:dyDescent="0.35">
      <c r="A499" t="s">
        <v>236</v>
      </c>
      <c r="B499" t="s">
        <v>6065</v>
      </c>
      <c r="D499">
        <v>2.7E-2</v>
      </c>
      <c r="F499" t="s">
        <v>1420</v>
      </c>
      <c r="H499" t="s">
        <v>6879</v>
      </c>
      <c r="I499" t="s">
        <v>4894</v>
      </c>
      <c r="K499" t="s">
        <v>7400</v>
      </c>
      <c r="L499" t="s">
        <v>7401</v>
      </c>
    </row>
    <row r="500" spans="1:12" x14ac:dyDescent="0.35">
      <c r="A500" t="s">
        <v>236</v>
      </c>
      <c r="B500" t="s">
        <v>6065</v>
      </c>
      <c r="D500">
        <v>2.8000000000000001E-2</v>
      </c>
      <c r="F500" t="s">
        <v>2039</v>
      </c>
      <c r="H500" t="s">
        <v>6880</v>
      </c>
      <c r="I500" t="s">
        <v>4894</v>
      </c>
      <c r="K500" t="s">
        <v>7400</v>
      </c>
      <c r="L500" t="s">
        <v>7401</v>
      </c>
    </row>
    <row r="501" spans="1:12" x14ac:dyDescent="0.35">
      <c r="A501" t="s">
        <v>236</v>
      </c>
      <c r="B501" t="s">
        <v>6065</v>
      </c>
      <c r="D501">
        <v>3.7999999999999999E-2</v>
      </c>
      <c r="F501" t="s">
        <v>1803</v>
      </c>
      <c r="H501" t="s">
        <v>6881</v>
      </c>
      <c r="I501" t="s">
        <v>4894</v>
      </c>
      <c r="K501" t="s">
        <v>7400</v>
      </c>
      <c r="L501" t="s">
        <v>7401</v>
      </c>
    </row>
    <row r="502" spans="1:12" x14ac:dyDescent="0.35">
      <c r="A502" t="s">
        <v>236</v>
      </c>
      <c r="B502" t="s">
        <v>6065</v>
      </c>
      <c r="D502">
        <v>1.8599999999999998E-2</v>
      </c>
      <c r="F502" t="s">
        <v>6297</v>
      </c>
      <c r="H502" t="s">
        <v>6882</v>
      </c>
      <c r="I502" t="s">
        <v>4894</v>
      </c>
      <c r="K502" t="s">
        <v>7400</v>
      </c>
      <c r="L502" t="s">
        <v>7401</v>
      </c>
    </row>
    <row r="503" spans="1:12" x14ac:dyDescent="0.35">
      <c r="A503" t="s">
        <v>236</v>
      </c>
      <c r="B503" t="s">
        <v>6065</v>
      </c>
      <c r="D503">
        <v>2.8799999999999999E-2</v>
      </c>
      <c r="F503" t="s">
        <v>6298</v>
      </c>
      <c r="H503" t="s">
        <v>6883</v>
      </c>
      <c r="I503" t="s">
        <v>4894</v>
      </c>
      <c r="K503" t="s">
        <v>7400</v>
      </c>
      <c r="L503" t="s">
        <v>7401</v>
      </c>
    </row>
    <row r="504" spans="1:12" x14ac:dyDescent="0.35">
      <c r="A504" t="s">
        <v>236</v>
      </c>
      <c r="B504" t="s">
        <v>324</v>
      </c>
      <c r="D504">
        <v>3.4000000000000002E-2</v>
      </c>
      <c r="F504" t="s">
        <v>1323</v>
      </c>
      <c r="H504" t="s">
        <v>6884</v>
      </c>
      <c r="I504" t="s">
        <v>4894</v>
      </c>
      <c r="K504" t="s">
        <v>7400</v>
      </c>
      <c r="L504" t="s">
        <v>7401</v>
      </c>
    </row>
    <row r="505" spans="1:12" x14ac:dyDescent="0.35">
      <c r="A505" t="s">
        <v>236</v>
      </c>
      <c r="B505" t="s">
        <v>324</v>
      </c>
      <c r="D505">
        <v>0.05</v>
      </c>
      <c r="F505" t="s">
        <v>1559</v>
      </c>
      <c r="H505" t="s">
        <v>6885</v>
      </c>
      <c r="I505" t="s">
        <v>4894</v>
      </c>
      <c r="K505" t="s">
        <v>7400</v>
      </c>
      <c r="L505" t="s">
        <v>7401</v>
      </c>
    </row>
    <row r="506" spans="1:12" x14ac:dyDescent="0.35">
      <c r="A506" t="s">
        <v>236</v>
      </c>
      <c r="B506" t="s">
        <v>324</v>
      </c>
      <c r="D506">
        <v>0.1</v>
      </c>
      <c r="F506" t="s">
        <v>1309</v>
      </c>
      <c r="H506" t="s">
        <v>6886</v>
      </c>
      <c r="I506" t="s">
        <v>4894</v>
      </c>
      <c r="K506" t="s">
        <v>7400</v>
      </c>
      <c r="L506" t="s">
        <v>7401</v>
      </c>
    </row>
    <row r="507" spans="1:12" x14ac:dyDescent="0.35">
      <c r="A507" t="s">
        <v>236</v>
      </c>
      <c r="B507" t="s">
        <v>324</v>
      </c>
      <c r="D507">
        <v>0.13900000000000001</v>
      </c>
      <c r="F507" t="s">
        <v>2176</v>
      </c>
      <c r="H507" t="s">
        <v>6887</v>
      </c>
      <c r="I507" t="s">
        <v>4894</v>
      </c>
      <c r="K507" t="s">
        <v>7400</v>
      </c>
      <c r="L507" t="s">
        <v>7401</v>
      </c>
    </row>
    <row r="508" spans="1:12" x14ac:dyDescent="0.35">
      <c r="A508" t="s">
        <v>236</v>
      </c>
      <c r="B508" t="s">
        <v>324</v>
      </c>
      <c r="D508">
        <v>5.6000000000000001E-2</v>
      </c>
      <c r="F508" t="s">
        <v>1462</v>
      </c>
      <c r="H508" t="s">
        <v>6888</v>
      </c>
      <c r="I508" t="s">
        <v>4894</v>
      </c>
      <c r="K508" t="s">
        <v>7400</v>
      </c>
      <c r="L508" t="s">
        <v>7401</v>
      </c>
    </row>
    <row r="509" spans="1:12" x14ac:dyDescent="0.35">
      <c r="A509" t="s">
        <v>236</v>
      </c>
      <c r="B509" t="s">
        <v>324</v>
      </c>
      <c r="D509">
        <v>0.11600000000000001</v>
      </c>
      <c r="F509" t="s">
        <v>1616</v>
      </c>
      <c r="H509" t="s">
        <v>6889</v>
      </c>
      <c r="I509" t="s">
        <v>4894</v>
      </c>
      <c r="K509" t="s">
        <v>7400</v>
      </c>
      <c r="L509" t="s">
        <v>7401</v>
      </c>
    </row>
    <row r="510" spans="1:12" x14ac:dyDescent="0.35">
      <c r="A510" t="s">
        <v>236</v>
      </c>
      <c r="B510" t="s">
        <v>324</v>
      </c>
      <c r="D510">
        <v>4.2999999999999997E-2</v>
      </c>
      <c r="F510" t="s">
        <v>1437</v>
      </c>
      <c r="H510" t="s">
        <v>6890</v>
      </c>
      <c r="I510" t="s">
        <v>4894</v>
      </c>
      <c r="K510" t="s">
        <v>7400</v>
      </c>
      <c r="L510" t="s">
        <v>7401</v>
      </c>
    </row>
    <row r="511" spans="1:12" x14ac:dyDescent="0.35">
      <c r="A511" t="s">
        <v>236</v>
      </c>
      <c r="B511" t="s">
        <v>324</v>
      </c>
      <c r="D511">
        <v>1.26E-2</v>
      </c>
      <c r="F511" t="s">
        <v>6299</v>
      </c>
      <c r="H511" t="s">
        <v>6891</v>
      </c>
      <c r="I511" t="s">
        <v>4894</v>
      </c>
      <c r="K511" t="s">
        <v>7400</v>
      </c>
      <c r="L511" t="s">
        <v>7401</v>
      </c>
    </row>
    <row r="512" spans="1:12" x14ac:dyDescent="0.35">
      <c r="A512" t="s">
        <v>236</v>
      </c>
      <c r="B512" t="s">
        <v>324</v>
      </c>
      <c r="D512">
        <v>0.10199999999999999</v>
      </c>
      <c r="F512" t="s">
        <v>2131</v>
      </c>
      <c r="H512" t="s">
        <v>6892</v>
      </c>
      <c r="I512" t="s">
        <v>4894</v>
      </c>
      <c r="K512" t="s">
        <v>7400</v>
      </c>
      <c r="L512" t="s">
        <v>7401</v>
      </c>
    </row>
    <row r="513" spans="1:12" x14ac:dyDescent="0.35">
      <c r="A513" t="s">
        <v>236</v>
      </c>
      <c r="B513" t="s">
        <v>324</v>
      </c>
      <c r="D513">
        <v>0.12</v>
      </c>
      <c r="F513" t="s">
        <v>1473</v>
      </c>
      <c r="H513" t="s">
        <v>6893</v>
      </c>
      <c r="I513" t="s">
        <v>4894</v>
      </c>
      <c r="K513" t="s">
        <v>7400</v>
      </c>
      <c r="L513" t="s">
        <v>7401</v>
      </c>
    </row>
    <row r="514" spans="1:12" x14ac:dyDescent="0.35">
      <c r="A514" t="s">
        <v>236</v>
      </c>
      <c r="B514" t="s">
        <v>324</v>
      </c>
      <c r="D514">
        <v>4.9799999999999997E-2</v>
      </c>
      <c r="F514" t="s">
        <v>6300</v>
      </c>
      <c r="H514" t="s">
        <v>6894</v>
      </c>
      <c r="I514" t="s">
        <v>4894</v>
      </c>
      <c r="K514" t="s">
        <v>7400</v>
      </c>
      <c r="L514" t="s">
        <v>7401</v>
      </c>
    </row>
    <row r="515" spans="1:12" x14ac:dyDescent="0.35">
      <c r="A515" t="s">
        <v>236</v>
      </c>
      <c r="B515" t="s">
        <v>324</v>
      </c>
      <c r="D515">
        <v>0.122</v>
      </c>
      <c r="F515" t="s">
        <v>2255</v>
      </c>
      <c r="H515" t="s">
        <v>6895</v>
      </c>
      <c r="I515" t="s">
        <v>4894</v>
      </c>
      <c r="K515" t="s">
        <v>7400</v>
      </c>
      <c r="L515" t="s">
        <v>7401</v>
      </c>
    </row>
    <row r="516" spans="1:12" x14ac:dyDescent="0.35">
      <c r="A516" t="s">
        <v>236</v>
      </c>
      <c r="B516" t="s">
        <v>324</v>
      </c>
      <c r="D516">
        <v>2.46E-2</v>
      </c>
      <c r="F516" t="s">
        <v>2121</v>
      </c>
      <c r="H516" t="s">
        <v>6896</v>
      </c>
      <c r="I516" t="s">
        <v>4894</v>
      </c>
      <c r="K516" t="s">
        <v>7400</v>
      </c>
      <c r="L516" t="s">
        <v>7401</v>
      </c>
    </row>
    <row r="517" spans="1:12" x14ac:dyDescent="0.35">
      <c r="A517" t="s">
        <v>236</v>
      </c>
      <c r="B517" t="s">
        <v>324</v>
      </c>
      <c r="D517">
        <v>2.5000000000000001E-2</v>
      </c>
      <c r="F517" t="s">
        <v>1282</v>
      </c>
      <c r="H517" t="s">
        <v>6897</v>
      </c>
      <c r="I517" t="s">
        <v>4894</v>
      </c>
      <c r="K517" t="s">
        <v>7400</v>
      </c>
      <c r="L517" t="s">
        <v>7401</v>
      </c>
    </row>
    <row r="518" spans="1:12" x14ac:dyDescent="0.35">
      <c r="A518" t="s">
        <v>113</v>
      </c>
      <c r="B518" t="s">
        <v>329</v>
      </c>
      <c r="D518">
        <v>120</v>
      </c>
      <c r="F518" t="s">
        <v>2329</v>
      </c>
      <c r="H518" t="s">
        <v>6898</v>
      </c>
      <c r="I518" t="s">
        <v>2364</v>
      </c>
      <c r="K518" t="s">
        <v>7400</v>
      </c>
      <c r="L518" t="s">
        <v>7401</v>
      </c>
    </row>
    <row r="519" spans="1:12" x14ac:dyDescent="0.35">
      <c r="A519" t="s">
        <v>113</v>
      </c>
      <c r="B519" t="s">
        <v>380</v>
      </c>
      <c r="D519">
        <v>125</v>
      </c>
      <c r="F519" t="s">
        <v>4909</v>
      </c>
      <c r="I519" t="s">
        <v>1626</v>
      </c>
      <c r="K519" t="s">
        <v>7400</v>
      </c>
      <c r="L519" t="s">
        <v>7401</v>
      </c>
    </row>
    <row r="520" spans="1:12" x14ac:dyDescent="0.35">
      <c r="A520" t="s">
        <v>113</v>
      </c>
      <c r="B520" t="s">
        <v>380</v>
      </c>
      <c r="D520">
        <v>221</v>
      </c>
      <c r="F520" t="s">
        <v>4970</v>
      </c>
      <c r="H520" t="s">
        <v>6899</v>
      </c>
      <c r="I520" t="s">
        <v>1526</v>
      </c>
      <c r="K520" t="s">
        <v>7400</v>
      </c>
      <c r="L520" t="s">
        <v>7401</v>
      </c>
    </row>
    <row r="521" spans="1:12" x14ac:dyDescent="0.35">
      <c r="A521" t="s">
        <v>113</v>
      </c>
      <c r="B521" t="s">
        <v>501</v>
      </c>
      <c r="D521">
        <v>168.8</v>
      </c>
      <c r="F521" t="s">
        <v>6301</v>
      </c>
      <c r="H521" t="s">
        <v>3776</v>
      </c>
      <c r="I521" t="s">
        <v>4936</v>
      </c>
      <c r="K521" t="s">
        <v>7400</v>
      </c>
      <c r="L521" t="s">
        <v>7401</v>
      </c>
    </row>
    <row r="522" spans="1:12" x14ac:dyDescent="0.35">
      <c r="A522" t="s">
        <v>113</v>
      </c>
      <c r="B522" t="s">
        <v>502</v>
      </c>
      <c r="D522">
        <v>153</v>
      </c>
      <c r="F522" t="s">
        <v>5465</v>
      </c>
      <c r="I522" t="s">
        <v>1379</v>
      </c>
      <c r="K522" t="s">
        <v>7400</v>
      </c>
      <c r="L522" t="s">
        <v>7401</v>
      </c>
    </row>
    <row r="523" spans="1:12" x14ac:dyDescent="0.35">
      <c r="A523" t="s">
        <v>113</v>
      </c>
      <c r="B523" t="s">
        <v>502</v>
      </c>
      <c r="D523">
        <v>140</v>
      </c>
      <c r="F523" t="s">
        <v>1515</v>
      </c>
      <c r="H523" t="s">
        <v>6900</v>
      </c>
      <c r="I523" t="s">
        <v>2258</v>
      </c>
      <c r="K523" t="s">
        <v>7400</v>
      </c>
      <c r="L523" t="s">
        <v>7401</v>
      </c>
    </row>
    <row r="524" spans="1:12" x14ac:dyDescent="0.35">
      <c r="A524" t="s">
        <v>113</v>
      </c>
      <c r="B524" t="s">
        <v>321</v>
      </c>
      <c r="D524">
        <v>114</v>
      </c>
      <c r="F524" t="s">
        <v>4876</v>
      </c>
      <c r="H524" t="s">
        <v>6901</v>
      </c>
      <c r="I524" t="s">
        <v>1516</v>
      </c>
      <c r="K524" t="s">
        <v>7400</v>
      </c>
      <c r="L524" t="s">
        <v>7401</v>
      </c>
    </row>
    <row r="525" spans="1:12" x14ac:dyDescent="0.35">
      <c r="A525" t="s">
        <v>113</v>
      </c>
      <c r="B525" t="s">
        <v>321</v>
      </c>
      <c r="D525">
        <v>0.03</v>
      </c>
      <c r="F525" t="s">
        <v>1266</v>
      </c>
      <c r="H525" t="s">
        <v>6902</v>
      </c>
      <c r="I525" t="s">
        <v>4892</v>
      </c>
      <c r="K525" t="s">
        <v>7400</v>
      </c>
      <c r="L525" t="s">
        <v>7401</v>
      </c>
    </row>
    <row r="526" spans="1:12" x14ac:dyDescent="0.35">
      <c r="A526" t="s">
        <v>113</v>
      </c>
      <c r="B526" t="s">
        <v>321</v>
      </c>
      <c r="D526">
        <v>147</v>
      </c>
      <c r="F526" t="s">
        <v>4890</v>
      </c>
      <c r="H526" t="s">
        <v>6903</v>
      </c>
      <c r="I526" t="s">
        <v>4892</v>
      </c>
      <c r="K526" t="s">
        <v>7400</v>
      </c>
      <c r="L526" t="s">
        <v>7401</v>
      </c>
    </row>
    <row r="527" spans="1:12" x14ac:dyDescent="0.35">
      <c r="A527" t="s">
        <v>113</v>
      </c>
      <c r="B527" t="s">
        <v>321</v>
      </c>
      <c r="D527">
        <v>62.5</v>
      </c>
      <c r="F527" t="s">
        <v>5558</v>
      </c>
      <c r="H527" t="s">
        <v>6904</v>
      </c>
      <c r="I527" t="s">
        <v>4854</v>
      </c>
      <c r="K527" t="s">
        <v>7400</v>
      </c>
      <c r="L527" t="s">
        <v>7401</v>
      </c>
    </row>
    <row r="528" spans="1:12" x14ac:dyDescent="0.35">
      <c r="A528" t="s">
        <v>113</v>
      </c>
      <c r="B528" t="s">
        <v>321</v>
      </c>
      <c r="D528">
        <v>145</v>
      </c>
      <c r="F528" t="s">
        <v>4943</v>
      </c>
      <c r="H528" t="s">
        <v>6905</v>
      </c>
      <c r="I528" t="s">
        <v>4892</v>
      </c>
      <c r="K528" t="s">
        <v>7400</v>
      </c>
      <c r="L528" t="s">
        <v>7401</v>
      </c>
    </row>
    <row r="529" spans="1:12" x14ac:dyDescent="0.35">
      <c r="A529" t="s">
        <v>113</v>
      </c>
      <c r="B529" t="s">
        <v>321</v>
      </c>
      <c r="D529">
        <v>185.5</v>
      </c>
      <c r="F529" t="s">
        <v>6302</v>
      </c>
      <c r="I529" t="s">
        <v>2360</v>
      </c>
      <c r="K529" t="s">
        <v>7400</v>
      </c>
      <c r="L529" t="s">
        <v>7401</v>
      </c>
    </row>
    <row r="530" spans="1:12" x14ac:dyDescent="0.35">
      <c r="A530" t="s">
        <v>113</v>
      </c>
      <c r="B530" t="s">
        <v>358</v>
      </c>
      <c r="D530">
        <v>96</v>
      </c>
      <c r="F530" t="s">
        <v>4869</v>
      </c>
      <c r="H530" t="s">
        <v>6906</v>
      </c>
      <c r="I530" t="s">
        <v>4860</v>
      </c>
      <c r="K530" t="s">
        <v>7400</v>
      </c>
      <c r="L530" t="s">
        <v>7401</v>
      </c>
    </row>
    <row r="531" spans="1:12" x14ac:dyDescent="0.35">
      <c r="A531" t="s">
        <v>113</v>
      </c>
      <c r="B531" t="s">
        <v>332</v>
      </c>
      <c r="D531">
        <v>180</v>
      </c>
      <c r="F531" t="s">
        <v>2407</v>
      </c>
      <c r="H531" t="s">
        <v>6907</v>
      </c>
      <c r="I531" t="s">
        <v>4892</v>
      </c>
      <c r="K531" t="s">
        <v>7400</v>
      </c>
      <c r="L531" t="s">
        <v>7401</v>
      </c>
    </row>
    <row r="532" spans="1:12" x14ac:dyDescent="0.35">
      <c r="A532" t="s">
        <v>113</v>
      </c>
      <c r="B532" t="s">
        <v>5042</v>
      </c>
      <c r="D532">
        <v>0.246</v>
      </c>
      <c r="F532" t="s">
        <v>6303</v>
      </c>
      <c r="I532" t="s">
        <v>4871</v>
      </c>
      <c r="K532" t="s">
        <v>7400</v>
      </c>
      <c r="L532" t="s">
        <v>7401</v>
      </c>
    </row>
    <row r="533" spans="1:12" x14ac:dyDescent="0.35">
      <c r="A533" t="s">
        <v>113</v>
      </c>
      <c r="B533" t="s">
        <v>333</v>
      </c>
      <c r="D533">
        <v>193</v>
      </c>
      <c r="F533" t="s">
        <v>2362</v>
      </c>
      <c r="H533" t="s">
        <v>6908</v>
      </c>
      <c r="I533" t="s">
        <v>4892</v>
      </c>
      <c r="K533" t="s">
        <v>7400</v>
      </c>
      <c r="L533" t="s">
        <v>7401</v>
      </c>
    </row>
    <row r="534" spans="1:12" x14ac:dyDescent="0.35">
      <c r="A534" t="s">
        <v>113</v>
      </c>
      <c r="B534" t="s">
        <v>333</v>
      </c>
      <c r="D534">
        <v>193.3</v>
      </c>
      <c r="F534" t="s">
        <v>6304</v>
      </c>
      <c r="I534" t="s">
        <v>1450</v>
      </c>
      <c r="K534" t="s">
        <v>7400</v>
      </c>
      <c r="L534" t="s">
        <v>7401</v>
      </c>
    </row>
    <row r="535" spans="1:12" x14ac:dyDescent="0.35">
      <c r="A535" t="s">
        <v>113</v>
      </c>
      <c r="B535" t="s">
        <v>503</v>
      </c>
      <c r="D535">
        <v>61.2</v>
      </c>
      <c r="F535" t="s">
        <v>6305</v>
      </c>
      <c r="I535" t="s">
        <v>1467</v>
      </c>
      <c r="K535" t="s">
        <v>7400</v>
      </c>
      <c r="L535" t="s">
        <v>7401</v>
      </c>
    </row>
    <row r="536" spans="1:12" x14ac:dyDescent="0.35">
      <c r="A536" t="s">
        <v>113</v>
      </c>
      <c r="B536" t="s">
        <v>504</v>
      </c>
      <c r="D536">
        <v>108</v>
      </c>
      <c r="F536" t="s">
        <v>4884</v>
      </c>
      <c r="I536" t="s">
        <v>2050</v>
      </c>
      <c r="K536" t="s">
        <v>7400</v>
      </c>
      <c r="L536" t="s">
        <v>7401</v>
      </c>
    </row>
    <row r="537" spans="1:12" x14ac:dyDescent="0.35">
      <c r="A537" t="s">
        <v>113</v>
      </c>
      <c r="B537" t="s">
        <v>504</v>
      </c>
      <c r="D537">
        <v>246</v>
      </c>
      <c r="F537" t="s">
        <v>4975</v>
      </c>
      <c r="H537" t="s">
        <v>6909</v>
      </c>
      <c r="I537" t="s">
        <v>2052</v>
      </c>
      <c r="K537" t="s">
        <v>7400</v>
      </c>
      <c r="L537" t="s">
        <v>7401</v>
      </c>
    </row>
    <row r="538" spans="1:12" x14ac:dyDescent="0.35">
      <c r="A538" t="s">
        <v>113</v>
      </c>
      <c r="B538" t="s">
        <v>505</v>
      </c>
      <c r="D538">
        <v>146</v>
      </c>
      <c r="F538" t="s">
        <v>4939</v>
      </c>
      <c r="I538" t="s">
        <v>1518</v>
      </c>
      <c r="K538" t="s">
        <v>7400</v>
      </c>
      <c r="L538" t="s">
        <v>7401</v>
      </c>
    </row>
    <row r="539" spans="1:12" x14ac:dyDescent="0.35">
      <c r="A539" t="s">
        <v>113</v>
      </c>
      <c r="B539" t="s">
        <v>6066</v>
      </c>
      <c r="D539">
        <v>281</v>
      </c>
      <c r="F539" t="s">
        <v>6239</v>
      </c>
      <c r="I539" t="s">
        <v>1841</v>
      </c>
      <c r="K539" t="s">
        <v>7400</v>
      </c>
      <c r="L539" t="s">
        <v>7401</v>
      </c>
    </row>
    <row r="540" spans="1:12" x14ac:dyDescent="0.35">
      <c r="A540" t="s">
        <v>113</v>
      </c>
      <c r="B540" t="s">
        <v>506</v>
      </c>
      <c r="D540">
        <v>320</v>
      </c>
      <c r="F540" t="s">
        <v>2339</v>
      </c>
      <c r="H540" t="s">
        <v>6910</v>
      </c>
      <c r="I540" t="s">
        <v>4868</v>
      </c>
      <c r="K540" t="s">
        <v>7400</v>
      </c>
      <c r="L540" t="s">
        <v>7401</v>
      </c>
    </row>
    <row r="541" spans="1:12" x14ac:dyDescent="0.35">
      <c r="A541" t="s">
        <v>113</v>
      </c>
      <c r="B541" t="s">
        <v>507</v>
      </c>
      <c r="D541">
        <v>350</v>
      </c>
      <c r="F541" t="s">
        <v>2319</v>
      </c>
      <c r="H541" t="s">
        <v>6911</v>
      </c>
      <c r="I541" t="s">
        <v>4927</v>
      </c>
      <c r="K541" t="s">
        <v>7400</v>
      </c>
      <c r="L541" t="s">
        <v>7401</v>
      </c>
    </row>
    <row r="542" spans="1:12" x14ac:dyDescent="0.35">
      <c r="A542" t="s">
        <v>113</v>
      </c>
      <c r="B542" t="s">
        <v>377</v>
      </c>
      <c r="D542">
        <v>3.3000000000000002E-2</v>
      </c>
      <c r="F542" t="s">
        <v>1340</v>
      </c>
      <c r="H542" t="s">
        <v>6912</v>
      </c>
      <c r="I542" t="s">
        <v>2326</v>
      </c>
      <c r="K542" t="s">
        <v>7400</v>
      </c>
      <c r="L542" t="s">
        <v>7401</v>
      </c>
    </row>
    <row r="543" spans="1:12" x14ac:dyDescent="0.35">
      <c r="A543" t="s">
        <v>113</v>
      </c>
      <c r="B543" t="s">
        <v>377</v>
      </c>
      <c r="D543">
        <v>2.3E-2</v>
      </c>
      <c r="F543" t="s">
        <v>1457</v>
      </c>
      <c r="H543" t="s">
        <v>6913</v>
      </c>
      <c r="I543" t="s">
        <v>2326</v>
      </c>
      <c r="K543" t="s">
        <v>7400</v>
      </c>
      <c r="L543" t="s">
        <v>7401</v>
      </c>
    </row>
    <row r="544" spans="1:12" x14ac:dyDescent="0.35">
      <c r="A544" t="s">
        <v>113</v>
      </c>
      <c r="B544" t="s">
        <v>377</v>
      </c>
      <c r="D544">
        <v>2.1999999999999999E-2</v>
      </c>
      <c r="F544" t="s">
        <v>1890</v>
      </c>
      <c r="H544" t="s">
        <v>6914</v>
      </c>
      <c r="I544" t="s">
        <v>2326</v>
      </c>
      <c r="K544" t="s">
        <v>7400</v>
      </c>
      <c r="L544" t="s">
        <v>7401</v>
      </c>
    </row>
    <row r="545" spans="1:12" x14ac:dyDescent="0.35">
      <c r="A545" t="s">
        <v>113</v>
      </c>
      <c r="B545" t="s">
        <v>377</v>
      </c>
      <c r="D545">
        <v>1.2999999999999999E-2</v>
      </c>
      <c r="F545" t="s">
        <v>1861</v>
      </c>
      <c r="H545" t="s">
        <v>6915</v>
      </c>
      <c r="I545" t="s">
        <v>2326</v>
      </c>
      <c r="K545" t="s">
        <v>7400</v>
      </c>
      <c r="L545" t="s">
        <v>7401</v>
      </c>
    </row>
    <row r="546" spans="1:12" x14ac:dyDescent="0.35">
      <c r="A546" t="s">
        <v>113</v>
      </c>
      <c r="B546" t="s">
        <v>377</v>
      </c>
      <c r="D546">
        <v>4.7E-2</v>
      </c>
      <c r="F546" t="s">
        <v>1615</v>
      </c>
      <c r="H546" t="s">
        <v>6916</v>
      </c>
      <c r="I546" t="s">
        <v>2326</v>
      </c>
      <c r="K546" t="s">
        <v>7400</v>
      </c>
      <c r="L546" t="s">
        <v>7401</v>
      </c>
    </row>
    <row r="547" spans="1:12" x14ac:dyDescent="0.35">
      <c r="A547" t="s">
        <v>113</v>
      </c>
      <c r="B547" t="s">
        <v>377</v>
      </c>
      <c r="D547">
        <v>3.5000000000000003E-2</v>
      </c>
      <c r="F547" t="s">
        <v>1341</v>
      </c>
      <c r="H547" t="s">
        <v>6917</v>
      </c>
      <c r="I547" t="s">
        <v>2326</v>
      </c>
      <c r="K547" t="s">
        <v>7400</v>
      </c>
      <c r="L547" t="s">
        <v>7401</v>
      </c>
    </row>
    <row r="548" spans="1:12" x14ac:dyDescent="0.35">
      <c r="A548" t="s">
        <v>113</v>
      </c>
      <c r="B548" t="s">
        <v>509</v>
      </c>
      <c r="D548">
        <v>248</v>
      </c>
      <c r="F548" t="s">
        <v>6306</v>
      </c>
      <c r="H548" t="s">
        <v>6918</v>
      </c>
      <c r="I548" t="s">
        <v>4892</v>
      </c>
      <c r="K548" t="s">
        <v>7400</v>
      </c>
      <c r="L548" t="s">
        <v>7401</v>
      </c>
    </row>
    <row r="549" spans="1:12" x14ac:dyDescent="0.35">
      <c r="A549" t="s">
        <v>113</v>
      </c>
      <c r="B549" t="s">
        <v>6067</v>
      </c>
      <c r="D549">
        <v>2.9</v>
      </c>
      <c r="F549" t="s">
        <v>1576</v>
      </c>
      <c r="H549" t="s">
        <v>6919</v>
      </c>
      <c r="I549" t="s">
        <v>1359</v>
      </c>
      <c r="K549" t="s">
        <v>7400</v>
      </c>
      <c r="L549" t="s">
        <v>7401</v>
      </c>
    </row>
    <row r="550" spans="1:12" x14ac:dyDescent="0.35">
      <c r="A550" t="s">
        <v>113</v>
      </c>
      <c r="B550" t="s">
        <v>510</v>
      </c>
      <c r="D550">
        <v>150</v>
      </c>
      <c r="F550" t="s">
        <v>1892</v>
      </c>
      <c r="I550" t="s">
        <v>4859</v>
      </c>
      <c r="K550" t="s">
        <v>7400</v>
      </c>
      <c r="L550" t="s">
        <v>7401</v>
      </c>
    </row>
    <row r="551" spans="1:12" x14ac:dyDescent="0.35">
      <c r="A551" t="s">
        <v>113</v>
      </c>
      <c r="B551" t="s">
        <v>511</v>
      </c>
      <c r="D551">
        <v>28.4</v>
      </c>
      <c r="F551" t="s">
        <v>6307</v>
      </c>
      <c r="I551" t="s">
        <v>4863</v>
      </c>
      <c r="K551" t="s">
        <v>7400</v>
      </c>
      <c r="L551" t="s">
        <v>7401</v>
      </c>
    </row>
    <row r="552" spans="1:12" x14ac:dyDescent="0.35">
      <c r="A552" t="s">
        <v>113</v>
      </c>
      <c r="B552" t="s">
        <v>412</v>
      </c>
      <c r="D552">
        <v>27.45</v>
      </c>
      <c r="F552" t="s">
        <v>6308</v>
      </c>
      <c r="I552" t="s">
        <v>1621</v>
      </c>
      <c r="K552" t="s">
        <v>7400</v>
      </c>
      <c r="L552" t="s">
        <v>7401</v>
      </c>
    </row>
    <row r="553" spans="1:12" x14ac:dyDescent="0.35">
      <c r="A553" t="s">
        <v>113</v>
      </c>
      <c r="B553" t="s">
        <v>512</v>
      </c>
      <c r="D553">
        <v>249</v>
      </c>
      <c r="F553" t="s">
        <v>4964</v>
      </c>
      <c r="H553" t="s">
        <v>6920</v>
      </c>
      <c r="I553" t="s">
        <v>1848</v>
      </c>
      <c r="K553" t="s">
        <v>7400</v>
      </c>
      <c r="L553" t="s">
        <v>7401</v>
      </c>
    </row>
    <row r="554" spans="1:12" x14ac:dyDescent="0.35">
      <c r="A554" t="s">
        <v>113</v>
      </c>
      <c r="B554" t="s">
        <v>514</v>
      </c>
      <c r="D554">
        <v>86.9</v>
      </c>
      <c r="F554" t="s">
        <v>6309</v>
      </c>
      <c r="H554" t="s">
        <v>6921</v>
      </c>
      <c r="I554" t="s">
        <v>2393</v>
      </c>
      <c r="K554" t="s">
        <v>7400</v>
      </c>
      <c r="L554" t="s">
        <v>7401</v>
      </c>
    </row>
    <row r="555" spans="1:12" x14ac:dyDescent="0.35">
      <c r="A555" t="s">
        <v>113</v>
      </c>
      <c r="B555" t="s">
        <v>515</v>
      </c>
      <c r="D555">
        <v>0.46</v>
      </c>
      <c r="F555" t="s">
        <v>1506</v>
      </c>
      <c r="H555" t="s">
        <v>6922</v>
      </c>
      <c r="I555" t="s">
        <v>4890</v>
      </c>
      <c r="K555" t="s">
        <v>7400</v>
      </c>
      <c r="L555" t="s">
        <v>7401</v>
      </c>
    </row>
    <row r="556" spans="1:12" x14ac:dyDescent="0.35">
      <c r="A556" t="s">
        <v>113</v>
      </c>
      <c r="B556" t="s">
        <v>515</v>
      </c>
      <c r="D556">
        <v>73.3</v>
      </c>
      <c r="F556" t="s">
        <v>6310</v>
      </c>
      <c r="H556" t="s">
        <v>6923</v>
      </c>
      <c r="I556" t="s">
        <v>4890</v>
      </c>
      <c r="K556" t="s">
        <v>7400</v>
      </c>
      <c r="L556" t="s">
        <v>7401</v>
      </c>
    </row>
    <row r="557" spans="1:12" x14ac:dyDescent="0.35">
      <c r="A557" t="s">
        <v>113</v>
      </c>
      <c r="B557" t="s">
        <v>516</v>
      </c>
      <c r="D557">
        <v>42</v>
      </c>
      <c r="F557" t="s">
        <v>1878</v>
      </c>
      <c r="H557" t="s">
        <v>6924</v>
      </c>
      <c r="I557" t="s">
        <v>4894</v>
      </c>
      <c r="K557" t="s">
        <v>7400</v>
      </c>
      <c r="L557" t="s">
        <v>7401</v>
      </c>
    </row>
    <row r="558" spans="1:12" x14ac:dyDescent="0.35">
      <c r="A558" t="s">
        <v>113</v>
      </c>
      <c r="B558" t="s">
        <v>516</v>
      </c>
      <c r="D558">
        <v>373.3</v>
      </c>
      <c r="F558" t="s">
        <v>6311</v>
      </c>
      <c r="H558" t="s">
        <v>6925</v>
      </c>
      <c r="I558" t="s">
        <v>4880</v>
      </c>
      <c r="K558" t="s">
        <v>7400</v>
      </c>
      <c r="L558" t="s">
        <v>7401</v>
      </c>
    </row>
    <row r="559" spans="1:12" x14ac:dyDescent="0.35">
      <c r="A559" t="s">
        <v>113</v>
      </c>
      <c r="B559" t="s">
        <v>6068</v>
      </c>
      <c r="D559">
        <v>0.33100000000000002</v>
      </c>
      <c r="F559" t="s">
        <v>6312</v>
      </c>
      <c r="H559" t="s">
        <v>6926</v>
      </c>
      <c r="I559" t="s">
        <v>1394</v>
      </c>
      <c r="K559" t="s">
        <v>7400</v>
      </c>
      <c r="L559" t="s">
        <v>7401</v>
      </c>
    </row>
    <row r="560" spans="1:12" x14ac:dyDescent="0.35">
      <c r="A560" t="s">
        <v>113</v>
      </c>
      <c r="B560" t="s">
        <v>518</v>
      </c>
      <c r="D560">
        <v>238</v>
      </c>
      <c r="F560" t="s">
        <v>5684</v>
      </c>
      <c r="I560" t="s">
        <v>1961</v>
      </c>
      <c r="K560" t="s">
        <v>7400</v>
      </c>
      <c r="L560" t="s">
        <v>7401</v>
      </c>
    </row>
    <row r="561" spans="1:12" x14ac:dyDescent="0.35">
      <c r="A561" t="s">
        <v>113</v>
      </c>
      <c r="B561" t="s">
        <v>519</v>
      </c>
      <c r="D561">
        <v>0.41799999999999998</v>
      </c>
      <c r="F561" t="s">
        <v>6313</v>
      </c>
      <c r="H561" t="s">
        <v>6927</v>
      </c>
      <c r="I561" t="s">
        <v>4857</v>
      </c>
      <c r="K561" t="s">
        <v>7400</v>
      </c>
      <c r="L561" t="s">
        <v>7401</v>
      </c>
    </row>
    <row r="562" spans="1:12" x14ac:dyDescent="0.35">
      <c r="A562" t="s">
        <v>113</v>
      </c>
      <c r="B562" t="s">
        <v>519</v>
      </c>
      <c r="D562">
        <v>1.44</v>
      </c>
      <c r="F562" t="s">
        <v>1718</v>
      </c>
      <c r="H562" t="s">
        <v>6928</v>
      </c>
      <c r="I562" t="s">
        <v>4857</v>
      </c>
      <c r="K562" t="s">
        <v>7400</v>
      </c>
      <c r="L562" t="s">
        <v>7401</v>
      </c>
    </row>
    <row r="563" spans="1:12" x14ac:dyDescent="0.35">
      <c r="A563" t="s">
        <v>113</v>
      </c>
      <c r="B563" t="s">
        <v>519</v>
      </c>
      <c r="D563">
        <v>0.11899999999999999</v>
      </c>
      <c r="F563" t="s">
        <v>2542</v>
      </c>
      <c r="H563" t="s">
        <v>6929</v>
      </c>
      <c r="I563" t="s">
        <v>4857</v>
      </c>
      <c r="K563" t="s">
        <v>7400</v>
      </c>
      <c r="L563" t="s">
        <v>7401</v>
      </c>
    </row>
    <row r="564" spans="1:12" x14ac:dyDescent="0.35">
      <c r="A564" t="s">
        <v>113</v>
      </c>
      <c r="B564" t="s">
        <v>519</v>
      </c>
      <c r="D564">
        <v>5.5</v>
      </c>
      <c r="F564" t="s">
        <v>1860</v>
      </c>
      <c r="H564" t="s">
        <v>6930</v>
      </c>
      <c r="I564" t="s">
        <v>4857</v>
      </c>
      <c r="K564" t="s">
        <v>7400</v>
      </c>
      <c r="L564" t="s">
        <v>7401</v>
      </c>
    </row>
    <row r="565" spans="1:12" x14ac:dyDescent="0.35">
      <c r="A565" t="s">
        <v>113</v>
      </c>
      <c r="B565" t="s">
        <v>520</v>
      </c>
      <c r="D565">
        <v>5.03</v>
      </c>
      <c r="F565" t="s">
        <v>6314</v>
      </c>
      <c r="H565" t="s">
        <v>6931</v>
      </c>
      <c r="I565" t="s">
        <v>2009</v>
      </c>
      <c r="K565" t="s">
        <v>7400</v>
      </c>
      <c r="L565" t="s">
        <v>7401</v>
      </c>
    </row>
    <row r="566" spans="1:12" x14ac:dyDescent="0.35">
      <c r="A566" t="s">
        <v>113</v>
      </c>
      <c r="B566" t="s">
        <v>6069</v>
      </c>
      <c r="D566">
        <v>273</v>
      </c>
      <c r="F566" t="s">
        <v>5021</v>
      </c>
      <c r="I566" t="s">
        <v>1841</v>
      </c>
      <c r="K566" t="s">
        <v>7400</v>
      </c>
      <c r="L566" t="s">
        <v>7401</v>
      </c>
    </row>
    <row r="567" spans="1:12" x14ac:dyDescent="0.35">
      <c r="A567" t="s">
        <v>113</v>
      </c>
      <c r="B567" t="s">
        <v>320</v>
      </c>
      <c r="D567">
        <v>158</v>
      </c>
      <c r="F567" t="s">
        <v>1625</v>
      </c>
      <c r="I567" t="s">
        <v>1707</v>
      </c>
      <c r="K567" t="s">
        <v>7400</v>
      </c>
      <c r="L567" t="s">
        <v>7401</v>
      </c>
    </row>
    <row r="568" spans="1:12" x14ac:dyDescent="0.35">
      <c r="A568" t="s">
        <v>113</v>
      </c>
      <c r="B568" t="s">
        <v>320</v>
      </c>
      <c r="D568">
        <v>18.600000000000001</v>
      </c>
      <c r="F568" t="s">
        <v>1856</v>
      </c>
      <c r="H568" t="s">
        <v>6932</v>
      </c>
      <c r="I568" t="s">
        <v>4983</v>
      </c>
      <c r="K568" t="s">
        <v>7400</v>
      </c>
      <c r="L568" t="s">
        <v>7401</v>
      </c>
    </row>
    <row r="569" spans="1:12" x14ac:dyDescent="0.35">
      <c r="A569" t="s">
        <v>113</v>
      </c>
      <c r="B569" t="s">
        <v>6070</v>
      </c>
      <c r="D569">
        <v>1.18</v>
      </c>
      <c r="F569" t="s">
        <v>1947</v>
      </c>
      <c r="I569" t="s">
        <v>1373</v>
      </c>
      <c r="K569" t="s">
        <v>7400</v>
      </c>
      <c r="L569" t="s">
        <v>7401</v>
      </c>
    </row>
    <row r="570" spans="1:12" x14ac:dyDescent="0.35">
      <c r="A570" t="s">
        <v>113</v>
      </c>
      <c r="B570" t="s">
        <v>523</v>
      </c>
      <c r="D570">
        <v>484</v>
      </c>
      <c r="F570" t="s">
        <v>6315</v>
      </c>
      <c r="H570" t="s">
        <v>6933</v>
      </c>
      <c r="I570" t="s">
        <v>4907</v>
      </c>
      <c r="K570" t="s">
        <v>7400</v>
      </c>
      <c r="L570" t="s">
        <v>7401</v>
      </c>
    </row>
    <row r="571" spans="1:12" x14ac:dyDescent="0.35">
      <c r="A571" t="s">
        <v>113</v>
      </c>
      <c r="B571" t="s">
        <v>524</v>
      </c>
      <c r="D571">
        <v>4.9000000000000004</v>
      </c>
      <c r="F571" t="s">
        <v>1669</v>
      </c>
      <c r="H571" t="s">
        <v>6934</v>
      </c>
      <c r="I571" t="s">
        <v>4883</v>
      </c>
      <c r="K571" t="s">
        <v>7400</v>
      </c>
      <c r="L571" t="s">
        <v>7401</v>
      </c>
    </row>
    <row r="572" spans="1:12" x14ac:dyDescent="0.35">
      <c r="A572" t="s">
        <v>113</v>
      </c>
      <c r="B572" t="s">
        <v>353</v>
      </c>
      <c r="D572">
        <v>1.41</v>
      </c>
      <c r="F572" t="s">
        <v>1906</v>
      </c>
      <c r="I572" t="s">
        <v>1477</v>
      </c>
      <c r="K572" t="s">
        <v>7400</v>
      </c>
      <c r="L572" t="s">
        <v>7401</v>
      </c>
    </row>
    <row r="573" spans="1:12" x14ac:dyDescent="0.35">
      <c r="A573" t="s">
        <v>113</v>
      </c>
      <c r="B573" t="s">
        <v>353</v>
      </c>
      <c r="D573">
        <v>139</v>
      </c>
      <c r="F573" t="s">
        <v>4878</v>
      </c>
      <c r="H573" t="s">
        <v>6935</v>
      </c>
      <c r="I573" t="s">
        <v>4873</v>
      </c>
      <c r="K573" t="s">
        <v>7400</v>
      </c>
      <c r="L573" t="s">
        <v>7401</v>
      </c>
    </row>
    <row r="574" spans="1:12" x14ac:dyDescent="0.35">
      <c r="A574" t="s">
        <v>113</v>
      </c>
      <c r="B574" t="s">
        <v>353</v>
      </c>
      <c r="D574">
        <v>505</v>
      </c>
      <c r="F574" t="s">
        <v>6316</v>
      </c>
      <c r="H574" t="s">
        <v>6936</v>
      </c>
      <c r="I574" t="s">
        <v>1878</v>
      </c>
      <c r="K574" t="s">
        <v>7400</v>
      </c>
      <c r="L574" t="s">
        <v>7401</v>
      </c>
    </row>
    <row r="575" spans="1:12" x14ac:dyDescent="0.35">
      <c r="A575" t="s">
        <v>113</v>
      </c>
      <c r="B575" t="s">
        <v>353</v>
      </c>
      <c r="D575">
        <v>334</v>
      </c>
      <c r="F575" t="s">
        <v>6317</v>
      </c>
      <c r="H575" t="s">
        <v>6937</v>
      </c>
      <c r="I575" t="s">
        <v>1533</v>
      </c>
      <c r="K575" t="s">
        <v>7400</v>
      </c>
      <c r="L575" t="s">
        <v>7401</v>
      </c>
    </row>
    <row r="576" spans="1:12" x14ac:dyDescent="0.35">
      <c r="A576" t="s">
        <v>113</v>
      </c>
      <c r="B576" t="s">
        <v>353</v>
      </c>
      <c r="D576">
        <v>361</v>
      </c>
      <c r="F576" t="s">
        <v>6318</v>
      </c>
      <c r="H576" t="s">
        <v>6938</v>
      </c>
      <c r="I576" t="s">
        <v>1461</v>
      </c>
      <c r="K576" t="s">
        <v>7400</v>
      </c>
      <c r="L576" t="s">
        <v>7401</v>
      </c>
    </row>
    <row r="577" spans="1:12" x14ac:dyDescent="0.35">
      <c r="A577" t="s">
        <v>113</v>
      </c>
      <c r="B577" t="s">
        <v>477</v>
      </c>
      <c r="D577">
        <v>7.16</v>
      </c>
      <c r="F577" t="s">
        <v>1936</v>
      </c>
      <c r="H577" t="s">
        <v>6939</v>
      </c>
      <c r="I577" t="s">
        <v>4948</v>
      </c>
      <c r="K577" t="s">
        <v>7400</v>
      </c>
      <c r="L577" t="s">
        <v>7401</v>
      </c>
    </row>
    <row r="578" spans="1:12" x14ac:dyDescent="0.35">
      <c r="A578" t="s">
        <v>113</v>
      </c>
      <c r="B578" t="s">
        <v>477</v>
      </c>
      <c r="D578">
        <v>643</v>
      </c>
      <c r="F578" t="s">
        <v>5164</v>
      </c>
      <c r="H578" t="s">
        <v>6940</v>
      </c>
      <c r="I578" t="s">
        <v>4948</v>
      </c>
      <c r="K578" t="s">
        <v>7400</v>
      </c>
      <c r="L578" t="s">
        <v>7401</v>
      </c>
    </row>
    <row r="579" spans="1:12" x14ac:dyDescent="0.35">
      <c r="A579" t="s">
        <v>113</v>
      </c>
      <c r="B579" t="s">
        <v>477</v>
      </c>
      <c r="D579">
        <v>3.6200000000000003E-2</v>
      </c>
      <c r="F579" t="s">
        <v>6319</v>
      </c>
      <c r="H579" t="s">
        <v>6941</v>
      </c>
      <c r="I579" t="s">
        <v>4947</v>
      </c>
      <c r="K579" t="s">
        <v>7400</v>
      </c>
      <c r="L579" t="s">
        <v>7401</v>
      </c>
    </row>
    <row r="580" spans="1:12" x14ac:dyDescent="0.35">
      <c r="A580" t="s">
        <v>113</v>
      </c>
      <c r="B580" t="s">
        <v>460</v>
      </c>
      <c r="D580">
        <v>3.9E-2</v>
      </c>
      <c r="F580" t="s">
        <v>1407</v>
      </c>
      <c r="H580" t="s">
        <v>6942</v>
      </c>
      <c r="I580" t="s">
        <v>1551</v>
      </c>
      <c r="K580" t="s">
        <v>7400</v>
      </c>
      <c r="L580" t="s">
        <v>7401</v>
      </c>
    </row>
    <row r="581" spans="1:12" x14ac:dyDescent="0.35">
      <c r="A581" t="s">
        <v>113</v>
      </c>
      <c r="B581" t="s">
        <v>460</v>
      </c>
      <c r="D581">
        <v>4.4999999999999998E-2</v>
      </c>
      <c r="F581" t="s">
        <v>1290</v>
      </c>
      <c r="H581" t="s">
        <v>6943</v>
      </c>
      <c r="I581" t="s">
        <v>1551</v>
      </c>
      <c r="K581" t="s">
        <v>7400</v>
      </c>
      <c r="L581" t="s">
        <v>7401</v>
      </c>
    </row>
    <row r="582" spans="1:12" x14ac:dyDescent="0.35">
      <c r="A582" t="s">
        <v>113</v>
      </c>
      <c r="B582" t="s">
        <v>526</v>
      </c>
      <c r="D582">
        <v>124.7</v>
      </c>
      <c r="F582" t="s">
        <v>6320</v>
      </c>
      <c r="H582" t="s">
        <v>6944</v>
      </c>
      <c r="I582" t="s">
        <v>4950</v>
      </c>
      <c r="K582" t="s">
        <v>7400</v>
      </c>
      <c r="L582" t="s">
        <v>7401</v>
      </c>
    </row>
    <row r="583" spans="1:12" x14ac:dyDescent="0.35">
      <c r="A583" t="s">
        <v>113</v>
      </c>
      <c r="B583" t="s">
        <v>175</v>
      </c>
      <c r="D583">
        <v>0.01</v>
      </c>
      <c r="F583" t="s">
        <v>1376</v>
      </c>
      <c r="H583" t="s">
        <v>6945</v>
      </c>
      <c r="I583" t="s">
        <v>4906</v>
      </c>
      <c r="K583" t="s">
        <v>7400</v>
      </c>
      <c r="L583" t="s">
        <v>7401</v>
      </c>
    </row>
    <row r="584" spans="1:12" x14ac:dyDescent="0.35">
      <c r="A584" t="s">
        <v>113</v>
      </c>
      <c r="B584" t="s">
        <v>175</v>
      </c>
      <c r="D584">
        <v>1.5</v>
      </c>
      <c r="F584" t="s">
        <v>1426</v>
      </c>
      <c r="H584" t="s">
        <v>6946</v>
      </c>
      <c r="I584" t="s">
        <v>1625</v>
      </c>
      <c r="K584" t="s">
        <v>7400</v>
      </c>
      <c r="L584" t="s">
        <v>7401</v>
      </c>
    </row>
    <row r="585" spans="1:12" x14ac:dyDescent="0.35">
      <c r="A585" t="s">
        <v>113</v>
      </c>
      <c r="B585" t="s">
        <v>175</v>
      </c>
      <c r="D585">
        <v>34</v>
      </c>
      <c r="F585" t="s">
        <v>1584</v>
      </c>
      <c r="H585" t="s">
        <v>6947</v>
      </c>
      <c r="I585" t="s">
        <v>1449</v>
      </c>
      <c r="K585" t="s">
        <v>7400</v>
      </c>
      <c r="L585" t="s">
        <v>7401</v>
      </c>
    </row>
    <row r="586" spans="1:12" x14ac:dyDescent="0.35">
      <c r="A586" t="s">
        <v>113</v>
      </c>
      <c r="B586" t="s">
        <v>175</v>
      </c>
      <c r="D586">
        <v>28</v>
      </c>
      <c r="F586" t="s">
        <v>1961</v>
      </c>
      <c r="H586" t="s">
        <v>6948</v>
      </c>
      <c r="I586" t="s">
        <v>4906</v>
      </c>
      <c r="K586" t="s">
        <v>7400</v>
      </c>
      <c r="L586" t="s">
        <v>7401</v>
      </c>
    </row>
    <row r="587" spans="1:12" x14ac:dyDescent="0.35">
      <c r="A587" t="s">
        <v>113</v>
      </c>
      <c r="B587" t="s">
        <v>175</v>
      </c>
      <c r="D587">
        <v>240</v>
      </c>
      <c r="F587" t="s">
        <v>2333</v>
      </c>
      <c r="H587" t="s">
        <v>6949</v>
      </c>
      <c r="I587" t="s">
        <v>1968</v>
      </c>
      <c r="K587" t="s">
        <v>7400</v>
      </c>
      <c r="L587" t="s">
        <v>7401</v>
      </c>
    </row>
    <row r="588" spans="1:12" x14ac:dyDescent="0.35">
      <c r="A588" t="s">
        <v>113</v>
      </c>
      <c r="B588" t="s">
        <v>175</v>
      </c>
      <c r="D588">
        <v>23</v>
      </c>
      <c r="F588" t="s">
        <v>1851</v>
      </c>
      <c r="H588" t="s">
        <v>6950</v>
      </c>
      <c r="I588" t="s">
        <v>4882</v>
      </c>
      <c r="K588" t="s">
        <v>7400</v>
      </c>
      <c r="L588" t="s">
        <v>7401</v>
      </c>
    </row>
    <row r="589" spans="1:12" x14ac:dyDescent="0.35">
      <c r="A589" t="s">
        <v>113</v>
      </c>
      <c r="B589" t="s">
        <v>175</v>
      </c>
      <c r="D589">
        <v>165</v>
      </c>
      <c r="F589" t="s">
        <v>4993</v>
      </c>
      <c r="I589" t="s">
        <v>1389</v>
      </c>
      <c r="K589" t="s">
        <v>7400</v>
      </c>
      <c r="L589" t="s">
        <v>7401</v>
      </c>
    </row>
    <row r="590" spans="1:12" x14ac:dyDescent="0.35">
      <c r="A590" t="s">
        <v>113</v>
      </c>
      <c r="B590" t="s">
        <v>175</v>
      </c>
      <c r="D590">
        <v>314</v>
      </c>
      <c r="F590" t="s">
        <v>6321</v>
      </c>
      <c r="H590" t="s">
        <v>6951</v>
      </c>
      <c r="I590" t="s">
        <v>1625</v>
      </c>
      <c r="K590" t="s">
        <v>7400</v>
      </c>
      <c r="L590" t="s">
        <v>7401</v>
      </c>
    </row>
    <row r="591" spans="1:12" x14ac:dyDescent="0.35">
      <c r="A591" t="s">
        <v>113</v>
      </c>
      <c r="B591" t="s">
        <v>175</v>
      </c>
      <c r="D591">
        <v>9.7000000000000003E-3</v>
      </c>
      <c r="F591" t="s">
        <v>6224</v>
      </c>
      <c r="H591" t="s">
        <v>6952</v>
      </c>
      <c r="I591" t="s">
        <v>2361</v>
      </c>
      <c r="K591" t="s">
        <v>7400</v>
      </c>
      <c r="L591" t="s">
        <v>7401</v>
      </c>
    </row>
    <row r="592" spans="1:12" x14ac:dyDescent="0.35">
      <c r="A592" t="s">
        <v>113</v>
      </c>
      <c r="B592" t="s">
        <v>175</v>
      </c>
      <c r="D592">
        <v>262</v>
      </c>
      <c r="F592" t="s">
        <v>6322</v>
      </c>
      <c r="H592" t="s">
        <v>6953</v>
      </c>
      <c r="I592" t="s">
        <v>1516</v>
      </c>
      <c r="K592" t="s">
        <v>7400</v>
      </c>
      <c r="L592" t="s">
        <v>7401</v>
      </c>
    </row>
    <row r="593" spans="1:12" x14ac:dyDescent="0.35">
      <c r="A593" t="s">
        <v>113</v>
      </c>
      <c r="B593" t="s">
        <v>175</v>
      </c>
      <c r="D593">
        <v>20.75</v>
      </c>
      <c r="F593" t="s">
        <v>6323</v>
      </c>
      <c r="H593" t="s">
        <v>6954</v>
      </c>
      <c r="I593" t="s">
        <v>2361</v>
      </c>
      <c r="K593" t="s">
        <v>7400</v>
      </c>
      <c r="L593" t="s">
        <v>7401</v>
      </c>
    </row>
    <row r="594" spans="1:12" x14ac:dyDescent="0.35">
      <c r="A594" t="s">
        <v>113</v>
      </c>
      <c r="B594" t="s">
        <v>175</v>
      </c>
      <c r="D594">
        <v>50.75</v>
      </c>
      <c r="F594" t="s">
        <v>6324</v>
      </c>
      <c r="H594" t="s">
        <v>6955</v>
      </c>
      <c r="I594" t="s">
        <v>4921</v>
      </c>
      <c r="K594" t="s">
        <v>7400</v>
      </c>
      <c r="L594" t="s">
        <v>7401</v>
      </c>
    </row>
    <row r="595" spans="1:12" x14ac:dyDescent="0.35">
      <c r="A595" t="s">
        <v>113</v>
      </c>
      <c r="B595" t="s">
        <v>175</v>
      </c>
      <c r="D595">
        <v>5.63</v>
      </c>
      <c r="F595" t="s">
        <v>6325</v>
      </c>
      <c r="H595" t="s">
        <v>6956</v>
      </c>
      <c r="I595" t="s">
        <v>4918</v>
      </c>
      <c r="K595" t="s">
        <v>7400</v>
      </c>
      <c r="L595" t="s">
        <v>7401</v>
      </c>
    </row>
    <row r="596" spans="1:12" x14ac:dyDescent="0.35">
      <c r="A596" t="s">
        <v>113</v>
      </c>
      <c r="B596" t="s">
        <v>175</v>
      </c>
      <c r="D596">
        <v>8.9999999999999993E-3</v>
      </c>
      <c r="F596" t="s">
        <v>1546</v>
      </c>
      <c r="H596" t="s">
        <v>6957</v>
      </c>
      <c r="I596" t="s">
        <v>2326</v>
      </c>
      <c r="K596" t="s">
        <v>7400</v>
      </c>
      <c r="L596" t="s">
        <v>7401</v>
      </c>
    </row>
    <row r="597" spans="1:12" x14ac:dyDescent="0.35">
      <c r="A597" t="s">
        <v>113</v>
      </c>
      <c r="B597" t="s">
        <v>175</v>
      </c>
      <c r="D597">
        <v>250</v>
      </c>
      <c r="F597" t="s">
        <v>2048</v>
      </c>
      <c r="H597" t="s">
        <v>6958</v>
      </c>
      <c r="I597" t="s">
        <v>1458</v>
      </c>
      <c r="K597" t="s">
        <v>7400</v>
      </c>
      <c r="L597" t="s">
        <v>7401</v>
      </c>
    </row>
    <row r="598" spans="1:12" x14ac:dyDescent="0.35">
      <c r="A598" t="s">
        <v>113</v>
      </c>
      <c r="B598" t="s">
        <v>175</v>
      </c>
      <c r="D598">
        <v>207</v>
      </c>
      <c r="F598" t="s">
        <v>6326</v>
      </c>
      <c r="H598" t="s">
        <v>6959</v>
      </c>
      <c r="I598" t="s">
        <v>1449</v>
      </c>
      <c r="K598" t="s">
        <v>7400</v>
      </c>
      <c r="L598" t="s">
        <v>7401</v>
      </c>
    </row>
    <row r="599" spans="1:12" x14ac:dyDescent="0.35">
      <c r="A599" t="s">
        <v>113</v>
      </c>
      <c r="B599" t="s">
        <v>328</v>
      </c>
      <c r="D599">
        <v>0.11</v>
      </c>
      <c r="F599" t="s">
        <v>1295</v>
      </c>
      <c r="H599" t="s">
        <v>6960</v>
      </c>
      <c r="I599" t="s">
        <v>4952</v>
      </c>
      <c r="K599" t="s">
        <v>7400</v>
      </c>
      <c r="L599" t="s">
        <v>7401</v>
      </c>
    </row>
    <row r="600" spans="1:12" x14ac:dyDescent="0.35">
      <c r="A600" t="s">
        <v>113</v>
      </c>
      <c r="B600" t="s">
        <v>328</v>
      </c>
      <c r="D600">
        <v>1.07</v>
      </c>
      <c r="F600" t="s">
        <v>1713</v>
      </c>
      <c r="H600" t="s">
        <v>6961</v>
      </c>
      <c r="I600" t="s">
        <v>4918</v>
      </c>
      <c r="K600" t="s">
        <v>7400</v>
      </c>
      <c r="L600" t="s">
        <v>7401</v>
      </c>
    </row>
    <row r="601" spans="1:12" x14ac:dyDescent="0.35">
      <c r="A601" t="s">
        <v>113</v>
      </c>
      <c r="B601" t="s">
        <v>328</v>
      </c>
      <c r="D601">
        <v>269</v>
      </c>
      <c r="F601" t="s">
        <v>5022</v>
      </c>
      <c r="H601" t="s">
        <v>6962</v>
      </c>
      <c r="I601" t="s">
        <v>1584</v>
      </c>
      <c r="K601" t="s">
        <v>7400</v>
      </c>
      <c r="L601" t="s">
        <v>7401</v>
      </c>
    </row>
    <row r="602" spans="1:12" x14ac:dyDescent="0.35">
      <c r="A602" t="s">
        <v>113</v>
      </c>
      <c r="B602" t="s">
        <v>328</v>
      </c>
      <c r="D602">
        <v>101.8</v>
      </c>
      <c r="F602" t="s">
        <v>6327</v>
      </c>
      <c r="H602" t="s">
        <v>6963</v>
      </c>
      <c r="I602" t="s">
        <v>4905</v>
      </c>
      <c r="K602" t="s">
        <v>7400</v>
      </c>
      <c r="L602" t="s">
        <v>7401</v>
      </c>
    </row>
    <row r="603" spans="1:12" x14ac:dyDescent="0.35">
      <c r="A603" t="s">
        <v>113</v>
      </c>
      <c r="B603" t="s">
        <v>328</v>
      </c>
      <c r="D603">
        <v>204</v>
      </c>
      <c r="F603" t="s">
        <v>5160</v>
      </c>
      <c r="H603" t="s">
        <v>6964</v>
      </c>
      <c r="I603" t="s">
        <v>1510</v>
      </c>
      <c r="K603" t="s">
        <v>7400</v>
      </c>
      <c r="L603" t="s">
        <v>7401</v>
      </c>
    </row>
    <row r="604" spans="1:12" x14ac:dyDescent="0.35">
      <c r="A604" t="s">
        <v>113</v>
      </c>
      <c r="B604" t="s">
        <v>529</v>
      </c>
      <c r="D604">
        <v>0.11799999999999999</v>
      </c>
      <c r="F604" t="s">
        <v>2110</v>
      </c>
      <c r="H604" t="s">
        <v>3871</v>
      </c>
      <c r="I604" t="s">
        <v>4953</v>
      </c>
      <c r="K604" t="s">
        <v>7400</v>
      </c>
      <c r="L604" t="s">
        <v>7401</v>
      </c>
    </row>
    <row r="605" spans="1:12" x14ac:dyDescent="0.35">
      <c r="A605" t="s">
        <v>113</v>
      </c>
      <c r="B605" t="s">
        <v>179</v>
      </c>
      <c r="D605">
        <v>51.25</v>
      </c>
      <c r="F605" t="s">
        <v>6328</v>
      </c>
      <c r="H605" t="s">
        <v>6965</v>
      </c>
      <c r="I605" t="s">
        <v>4961</v>
      </c>
      <c r="K605" t="s">
        <v>7400</v>
      </c>
      <c r="L605" t="s">
        <v>7401</v>
      </c>
    </row>
    <row r="606" spans="1:12" x14ac:dyDescent="0.35">
      <c r="A606" t="s">
        <v>114</v>
      </c>
      <c r="B606" t="s">
        <v>317</v>
      </c>
      <c r="D606">
        <v>61.6</v>
      </c>
      <c r="F606" t="s">
        <v>6329</v>
      </c>
      <c r="H606" t="s">
        <v>6966</v>
      </c>
      <c r="I606" t="s">
        <v>7391</v>
      </c>
      <c r="K606" t="s">
        <v>7400</v>
      </c>
      <c r="L606" t="s">
        <v>7401</v>
      </c>
    </row>
    <row r="607" spans="1:12" x14ac:dyDescent="0.35">
      <c r="A607" t="s">
        <v>115</v>
      </c>
      <c r="B607" t="s">
        <v>428</v>
      </c>
      <c r="D607">
        <v>350</v>
      </c>
      <c r="F607" t="s">
        <v>2319</v>
      </c>
      <c r="I607" t="s">
        <v>1317</v>
      </c>
      <c r="K607" t="s">
        <v>7400</v>
      </c>
      <c r="L607" t="s">
        <v>7401</v>
      </c>
    </row>
    <row r="608" spans="1:12" x14ac:dyDescent="0.35">
      <c r="A608" t="s">
        <v>116</v>
      </c>
      <c r="B608" t="s">
        <v>328</v>
      </c>
      <c r="D608">
        <v>0.1</v>
      </c>
      <c r="F608" t="s">
        <v>1309</v>
      </c>
      <c r="H608" t="s">
        <v>6967</v>
      </c>
      <c r="I608" t="s">
        <v>2253</v>
      </c>
      <c r="K608" t="s">
        <v>7400</v>
      </c>
      <c r="L608" t="s">
        <v>7401</v>
      </c>
    </row>
    <row r="609" spans="1:12" x14ac:dyDescent="0.35">
      <c r="A609" t="s">
        <v>116</v>
      </c>
      <c r="B609" t="s">
        <v>328</v>
      </c>
      <c r="D609">
        <v>32.5</v>
      </c>
      <c r="F609" t="s">
        <v>5419</v>
      </c>
      <c r="H609" t="s">
        <v>6968</v>
      </c>
      <c r="I609" t="s">
        <v>2253</v>
      </c>
      <c r="K609" t="s">
        <v>7400</v>
      </c>
      <c r="L609" t="s">
        <v>7401</v>
      </c>
    </row>
    <row r="610" spans="1:12" x14ac:dyDescent="0.35">
      <c r="A610" t="s">
        <v>116</v>
      </c>
      <c r="B610" t="s">
        <v>328</v>
      </c>
      <c r="D610">
        <v>0.12</v>
      </c>
      <c r="F610" t="s">
        <v>1473</v>
      </c>
      <c r="H610" t="s">
        <v>6969</v>
      </c>
      <c r="I610" t="s">
        <v>2253</v>
      </c>
      <c r="K610" t="s">
        <v>7400</v>
      </c>
      <c r="L610" t="s">
        <v>7401</v>
      </c>
    </row>
    <row r="611" spans="1:12" x14ac:dyDescent="0.35">
      <c r="A611" t="s">
        <v>116</v>
      </c>
      <c r="B611" t="s">
        <v>328</v>
      </c>
      <c r="D611">
        <v>0.2</v>
      </c>
      <c r="F611" t="s">
        <v>1371</v>
      </c>
      <c r="H611" t="s">
        <v>6970</v>
      </c>
      <c r="I611" t="s">
        <v>2253</v>
      </c>
      <c r="K611" t="s">
        <v>7400</v>
      </c>
      <c r="L611" t="s">
        <v>7401</v>
      </c>
    </row>
    <row r="612" spans="1:12" x14ac:dyDescent="0.35">
      <c r="A612" t="s">
        <v>116</v>
      </c>
      <c r="B612" t="s">
        <v>328</v>
      </c>
      <c r="D612">
        <v>1.1399999999999999</v>
      </c>
      <c r="F612" t="s">
        <v>1934</v>
      </c>
      <c r="H612" t="s">
        <v>6971</v>
      </c>
      <c r="I612" t="s">
        <v>2253</v>
      </c>
      <c r="K612" t="s">
        <v>7400</v>
      </c>
      <c r="L612" t="s">
        <v>7401</v>
      </c>
    </row>
    <row r="613" spans="1:12" x14ac:dyDescent="0.35">
      <c r="A613" t="s">
        <v>116</v>
      </c>
      <c r="B613" t="s">
        <v>328</v>
      </c>
      <c r="D613">
        <v>0.62</v>
      </c>
      <c r="F613" t="s">
        <v>1635</v>
      </c>
      <c r="H613" t="s">
        <v>6972</v>
      </c>
      <c r="I613" t="s">
        <v>2253</v>
      </c>
      <c r="K613" t="s">
        <v>7400</v>
      </c>
      <c r="L613" t="s">
        <v>7401</v>
      </c>
    </row>
    <row r="614" spans="1:12" x14ac:dyDescent="0.35">
      <c r="A614" t="s">
        <v>116</v>
      </c>
      <c r="B614" t="s">
        <v>530</v>
      </c>
      <c r="D614">
        <v>0.22500000000000001</v>
      </c>
      <c r="F614" t="s">
        <v>2370</v>
      </c>
      <c r="I614" t="s">
        <v>4949</v>
      </c>
      <c r="K614" t="s">
        <v>7400</v>
      </c>
      <c r="L614" t="s">
        <v>7401</v>
      </c>
    </row>
    <row r="615" spans="1:12" x14ac:dyDescent="0.35">
      <c r="A615" t="s">
        <v>116</v>
      </c>
      <c r="B615" t="s">
        <v>532</v>
      </c>
      <c r="D615">
        <v>31</v>
      </c>
      <c r="F615" t="s">
        <v>1390</v>
      </c>
      <c r="I615" t="s">
        <v>4955</v>
      </c>
      <c r="K615" t="s">
        <v>7400</v>
      </c>
      <c r="L615" t="s">
        <v>7401</v>
      </c>
    </row>
    <row r="616" spans="1:12" x14ac:dyDescent="0.35">
      <c r="A616" t="s">
        <v>116</v>
      </c>
      <c r="B616" t="s">
        <v>341</v>
      </c>
      <c r="D616">
        <v>0.5</v>
      </c>
      <c r="F616" t="s">
        <v>1440</v>
      </c>
      <c r="H616" t="s">
        <v>6973</v>
      </c>
      <c r="I616" t="s">
        <v>2403</v>
      </c>
      <c r="K616" t="s">
        <v>7400</v>
      </c>
      <c r="L616" t="s">
        <v>7401</v>
      </c>
    </row>
    <row r="617" spans="1:12" x14ac:dyDescent="0.35">
      <c r="A617" t="s">
        <v>116</v>
      </c>
      <c r="B617" t="s">
        <v>341</v>
      </c>
      <c r="D617">
        <v>18.600000000000001</v>
      </c>
      <c r="F617" t="s">
        <v>1856</v>
      </c>
      <c r="H617" t="s">
        <v>6974</v>
      </c>
      <c r="I617" t="s">
        <v>2403</v>
      </c>
      <c r="K617" t="s">
        <v>7400</v>
      </c>
      <c r="L617" t="s">
        <v>7401</v>
      </c>
    </row>
    <row r="618" spans="1:12" x14ac:dyDescent="0.35">
      <c r="A618" t="s">
        <v>116</v>
      </c>
      <c r="B618" t="s">
        <v>380</v>
      </c>
      <c r="D618">
        <v>0.63</v>
      </c>
      <c r="F618" t="s">
        <v>1931</v>
      </c>
      <c r="H618" t="s">
        <v>6975</v>
      </c>
      <c r="I618" t="s">
        <v>4856</v>
      </c>
      <c r="K618" t="s">
        <v>7400</v>
      </c>
      <c r="L618" t="s">
        <v>7401</v>
      </c>
    </row>
    <row r="619" spans="1:12" x14ac:dyDescent="0.35">
      <c r="A619" t="s">
        <v>116</v>
      </c>
      <c r="B619" t="s">
        <v>372</v>
      </c>
      <c r="D619">
        <v>2.6</v>
      </c>
      <c r="F619" t="s">
        <v>1428</v>
      </c>
      <c r="H619" t="s">
        <v>6976</v>
      </c>
      <c r="I619" t="s">
        <v>5095</v>
      </c>
      <c r="K619" t="s">
        <v>7400</v>
      </c>
      <c r="L619" t="s">
        <v>7401</v>
      </c>
    </row>
    <row r="620" spans="1:12" x14ac:dyDescent="0.35">
      <c r="A620" t="s">
        <v>116</v>
      </c>
      <c r="B620" t="s">
        <v>6071</v>
      </c>
      <c r="D620">
        <v>17.600000000000001</v>
      </c>
      <c r="F620" t="s">
        <v>6330</v>
      </c>
      <c r="H620" t="s">
        <v>6977</v>
      </c>
      <c r="I620" t="s">
        <v>6140</v>
      </c>
      <c r="K620" t="s">
        <v>7400</v>
      </c>
      <c r="L620" t="s">
        <v>7401</v>
      </c>
    </row>
    <row r="621" spans="1:12" x14ac:dyDescent="0.35">
      <c r="A621" t="s">
        <v>116</v>
      </c>
      <c r="B621" t="s">
        <v>6071</v>
      </c>
      <c r="D621">
        <v>628.70000000000005</v>
      </c>
      <c r="F621" t="s">
        <v>6331</v>
      </c>
      <c r="H621" t="s">
        <v>6978</v>
      </c>
      <c r="I621" t="s">
        <v>6140</v>
      </c>
      <c r="K621" t="s">
        <v>7400</v>
      </c>
      <c r="L621" t="s">
        <v>7401</v>
      </c>
    </row>
    <row r="622" spans="1:12" x14ac:dyDescent="0.35">
      <c r="A622" t="s">
        <v>116</v>
      </c>
      <c r="B622" t="s">
        <v>533</v>
      </c>
      <c r="D622">
        <v>20.6</v>
      </c>
      <c r="F622" t="s">
        <v>6332</v>
      </c>
      <c r="H622" t="s">
        <v>6979</v>
      </c>
      <c r="I622" t="s">
        <v>2332</v>
      </c>
      <c r="K622" t="s">
        <v>7400</v>
      </c>
      <c r="L622" t="s">
        <v>7401</v>
      </c>
    </row>
    <row r="623" spans="1:12" x14ac:dyDescent="0.35">
      <c r="A623" t="s">
        <v>116</v>
      </c>
      <c r="B623" t="s">
        <v>533</v>
      </c>
      <c r="D623">
        <v>15</v>
      </c>
      <c r="F623" t="s">
        <v>1489</v>
      </c>
      <c r="H623" t="s">
        <v>6980</v>
      </c>
      <c r="I623" t="s">
        <v>2332</v>
      </c>
      <c r="K623" t="s">
        <v>7400</v>
      </c>
      <c r="L623" t="s">
        <v>7401</v>
      </c>
    </row>
    <row r="624" spans="1:12" x14ac:dyDescent="0.35">
      <c r="A624" t="s">
        <v>116</v>
      </c>
      <c r="B624" t="s">
        <v>535</v>
      </c>
      <c r="D624">
        <v>447.6</v>
      </c>
      <c r="F624" t="s">
        <v>6333</v>
      </c>
      <c r="H624" t="s">
        <v>6981</v>
      </c>
      <c r="I624" t="s">
        <v>4958</v>
      </c>
      <c r="K624" t="s">
        <v>7400</v>
      </c>
      <c r="L624" t="s">
        <v>7401</v>
      </c>
    </row>
    <row r="625" spans="1:12" x14ac:dyDescent="0.35">
      <c r="A625" t="s">
        <v>116</v>
      </c>
      <c r="B625" t="s">
        <v>502</v>
      </c>
      <c r="D625">
        <v>0.47</v>
      </c>
      <c r="F625" t="s">
        <v>1795</v>
      </c>
      <c r="H625" t="s">
        <v>6982</v>
      </c>
      <c r="I625" t="s">
        <v>4960</v>
      </c>
      <c r="K625" t="s">
        <v>7400</v>
      </c>
      <c r="L625" t="s">
        <v>7401</v>
      </c>
    </row>
    <row r="626" spans="1:12" x14ac:dyDescent="0.35">
      <c r="A626" t="s">
        <v>116</v>
      </c>
      <c r="B626" t="s">
        <v>502</v>
      </c>
      <c r="D626">
        <v>6.5</v>
      </c>
      <c r="F626" t="s">
        <v>1419</v>
      </c>
      <c r="H626" t="s">
        <v>6983</v>
      </c>
      <c r="I626" t="s">
        <v>4960</v>
      </c>
      <c r="K626" t="s">
        <v>7400</v>
      </c>
      <c r="L626" t="s">
        <v>7401</v>
      </c>
    </row>
    <row r="627" spans="1:12" x14ac:dyDescent="0.35">
      <c r="A627" t="s">
        <v>116</v>
      </c>
      <c r="B627" t="s">
        <v>502</v>
      </c>
      <c r="D627">
        <v>0.44</v>
      </c>
      <c r="F627" t="s">
        <v>1723</v>
      </c>
      <c r="H627" t="s">
        <v>6984</v>
      </c>
      <c r="I627" t="s">
        <v>4960</v>
      </c>
      <c r="K627" t="s">
        <v>7400</v>
      </c>
      <c r="L627" t="s">
        <v>7401</v>
      </c>
    </row>
    <row r="628" spans="1:12" x14ac:dyDescent="0.35">
      <c r="A628" t="s">
        <v>116</v>
      </c>
      <c r="B628" t="s">
        <v>317</v>
      </c>
      <c r="D628">
        <v>5.18</v>
      </c>
      <c r="F628" t="s">
        <v>6334</v>
      </c>
      <c r="H628" t="s">
        <v>6985</v>
      </c>
      <c r="I628" t="s">
        <v>7392</v>
      </c>
      <c r="K628" t="s">
        <v>7400</v>
      </c>
      <c r="L628" t="s">
        <v>7401</v>
      </c>
    </row>
    <row r="629" spans="1:12" x14ac:dyDescent="0.35">
      <c r="A629" t="s">
        <v>116</v>
      </c>
      <c r="B629" t="s">
        <v>537</v>
      </c>
      <c r="D629">
        <v>6.6</v>
      </c>
      <c r="F629" t="s">
        <v>1517</v>
      </c>
      <c r="H629" t="s">
        <v>6986</v>
      </c>
      <c r="I629" t="s">
        <v>4969</v>
      </c>
      <c r="K629" t="s">
        <v>7400</v>
      </c>
      <c r="L629" t="s">
        <v>7401</v>
      </c>
    </row>
    <row r="630" spans="1:12" x14ac:dyDescent="0.35">
      <c r="A630" t="s">
        <v>116</v>
      </c>
      <c r="B630" t="s">
        <v>6072</v>
      </c>
      <c r="D630">
        <v>27.6</v>
      </c>
      <c r="F630" t="s">
        <v>2392</v>
      </c>
      <c r="H630" t="s">
        <v>6987</v>
      </c>
      <c r="I630" t="s">
        <v>5018</v>
      </c>
      <c r="K630" t="s">
        <v>7400</v>
      </c>
      <c r="L630" t="s">
        <v>7401</v>
      </c>
    </row>
    <row r="631" spans="1:12" x14ac:dyDescent="0.35">
      <c r="A631" t="s">
        <v>116</v>
      </c>
      <c r="B631" t="s">
        <v>332</v>
      </c>
      <c r="D631">
        <v>2.69</v>
      </c>
      <c r="F631" t="s">
        <v>5104</v>
      </c>
      <c r="I631" t="s">
        <v>1889</v>
      </c>
      <c r="K631" t="s">
        <v>7400</v>
      </c>
      <c r="L631" t="s">
        <v>7401</v>
      </c>
    </row>
    <row r="632" spans="1:12" x14ac:dyDescent="0.35">
      <c r="A632" t="s">
        <v>116</v>
      </c>
      <c r="B632" t="s">
        <v>429</v>
      </c>
      <c r="D632">
        <v>108</v>
      </c>
      <c r="F632" t="s">
        <v>4884</v>
      </c>
      <c r="H632" t="s">
        <v>6988</v>
      </c>
      <c r="I632" t="s">
        <v>4973</v>
      </c>
      <c r="K632" t="s">
        <v>7400</v>
      </c>
      <c r="L632" t="s">
        <v>7401</v>
      </c>
    </row>
    <row r="633" spans="1:12" x14ac:dyDescent="0.35">
      <c r="A633" t="s">
        <v>116</v>
      </c>
      <c r="B633" t="s">
        <v>429</v>
      </c>
      <c r="D633">
        <v>2</v>
      </c>
      <c r="F633" t="s">
        <v>1372</v>
      </c>
      <c r="H633" t="s">
        <v>6989</v>
      </c>
      <c r="I633" t="s">
        <v>4973</v>
      </c>
      <c r="K633" t="s">
        <v>7400</v>
      </c>
      <c r="L633" t="s">
        <v>7401</v>
      </c>
    </row>
    <row r="634" spans="1:12" x14ac:dyDescent="0.35">
      <c r="A634" t="s">
        <v>116</v>
      </c>
      <c r="B634" t="s">
        <v>6073</v>
      </c>
      <c r="D634">
        <v>0.05</v>
      </c>
      <c r="F634" t="s">
        <v>1559</v>
      </c>
      <c r="H634" t="s">
        <v>6990</v>
      </c>
      <c r="I634" t="s">
        <v>6322</v>
      </c>
      <c r="K634" t="s">
        <v>7400</v>
      </c>
      <c r="L634" t="s">
        <v>7401</v>
      </c>
    </row>
    <row r="635" spans="1:12" x14ac:dyDescent="0.35">
      <c r="A635" t="s">
        <v>116</v>
      </c>
      <c r="B635" t="s">
        <v>6073</v>
      </c>
      <c r="D635">
        <v>7.68</v>
      </c>
      <c r="F635" t="s">
        <v>6335</v>
      </c>
      <c r="H635" t="s">
        <v>6991</v>
      </c>
      <c r="I635" t="s">
        <v>6322</v>
      </c>
      <c r="K635" t="s">
        <v>7400</v>
      </c>
      <c r="L635" t="s">
        <v>7401</v>
      </c>
    </row>
    <row r="636" spans="1:12" x14ac:dyDescent="0.35">
      <c r="A636" t="s">
        <v>116</v>
      </c>
      <c r="B636" t="s">
        <v>6073</v>
      </c>
      <c r="D636">
        <v>7.0000000000000007E-2</v>
      </c>
      <c r="F636" t="s">
        <v>1456</v>
      </c>
      <c r="H636" t="s">
        <v>6992</v>
      </c>
      <c r="I636" t="s">
        <v>6322</v>
      </c>
      <c r="K636" t="s">
        <v>7400</v>
      </c>
      <c r="L636" t="s">
        <v>7401</v>
      </c>
    </row>
    <row r="637" spans="1:12" x14ac:dyDescent="0.35">
      <c r="A637" t="s">
        <v>116</v>
      </c>
      <c r="B637" t="s">
        <v>6038</v>
      </c>
      <c r="D637">
        <v>0.25</v>
      </c>
      <c r="F637" t="s">
        <v>1403</v>
      </c>
      <c r="H637" t="s">
        <v>6993</v>
      </c>
      <c r="I637" t="s">
        <v>6322</v>
      </c>
      <c r="K637" t="s">
        <v>7400</v>
      </c>
      <c r="L637" t="s">
        <v>7401</v>
      </c>
    </row>
    <row r="638" spans="1:12" x14ac:dyDescent="0.35">
      <c r="A638" t="s">
        <v>116</v>
      </c>
      <c r="B638" t="s">
        <v>6038</v>
      </c>
      <c r="D638">
        <v>0.68</v>
      </c>
      <c r="F638" t="s">
        <v>1735</v>
      </c>
      <c r="H638" t="s">
        <v>6994</v>
      </c>
      <c r="I638" t="s">
        <v>6322</v>
      </c>
      <c r="K638" t="s">
        <v>7400</v>
      </c>
      <c r="L638" t="s">
        <v>7401</v>
      </c>
    </row>
    <row r="639" spans="1:12" x14ac:dyDescent="0.35">
      <c r="A639" t="s">
        <v>116</v>
      </c>
      <c r="B639" t="s">
        <v>6038</v>
      </c>
      <c r="D639">
        <v>1.52</v>
      </c>
      <c r="F639" t="s">
        <v>5346</v>
      </c>
      <c r="H639" t="s">
        <v>6995</v>
      </c>
      <c r="I639" t="s">
        <v>6322</v>
      </c>
      <c r="K639" t="s">
        <v>7400</v>
      </c>
      <c r="L639" t="s">
        <v>7401</v>
      </c>
    </row>
    <row r="640" spans="1:12" x14ac:dyDescent="0.35">
      <c r="A640" t="s">
        <v>116</v>
      </c>
      <c r="B640" t="s">
        <v>6074</v>
      </c>
      <c r="D640">
        <v>79.599999999999994</v>
      </c>
      <c r="F640" t="s">
        <v>6336</v>
      </c>
      <c r="H640" t="s">
        <v>6996</v>
      </c>
      <c r="I640" t="s">
        <v>7393</v>
      </c>
      <c r="K640" t="s">
        <v>7400</v>
      </c>
      <c r="L640" t="s">
        <v>7401</v>
      </c>
    </row>
    <row r="641" spans="1:12" x14ac:dyDescent="0.35">
      <c r="A641" t="s">
        <v>116</v>
      </c>
      <c r="B641" t="s">
        <v>546</v>
      </c>
      <c r="D641">
        <v>1.7</v>
      </c>
      <c r="F641" t="s">
        <v>1416</v>
      </c>
      <c r="H641" t="s">
        <v>6997</v>
      </c>
      <c r="I641" t="s">
        <v>2404</v>
      </c>
      <c r="K641" t="s">
        <v>7400</v>
      </c>
      <c r="L641" t="s">
        <v>7401</v>
      </c>
    </row>
    <row r="642" spans="1:12" x14ac:dyDescent="0.35">
      <c r="A642" t="s">
        <v>116</v>
      </c>
      <c r="B642" t="s">
        <v>6075</v>
      </c>
      <c r="D642">
        <v>9.9</v>
      </c>
      <c r="F642" t="s">
        <v>1392</v>
      </c>
      <c r="H642" t="s">
        <v>6998</v>
      </c>
      <c r="I642" t="s">
        <v>5033</v>
      </c>
      <c r="K642" t="s">
        <v>7400</v>
      </c>
      <c r="L642" t="s">
        <v>7401</v>
      </c>
    </row>
    <row r="643" spans="1:12" x14ac:dyDescent="0.35">
      <c r="A643" t="s">
        <v>116</v>
      </c>
      <c r="B643" t="s">
        <v>6076</v>
      </c>
      <c r="D643">
        <v>4.3</v>
      </c>
      <c r="F643" t="s">
        <v>1674</v>
      </c>
      <c r="H643" t="s">
        <v>6999</v>
      </c>
      <c r="I643" t="s">
        <v>5033</v>
      </c>
      <c r="K643" t="s">
        <v>7400</v>
      </c>
      <c r="L643" t="s">
        <v>7401</v>
      </c>
    </row>
    <row r="644" spans="1:12" x14ac:dyDescent="0.35">
      <c r="A644" t="s">
        <v>116</v>
      </c>
      <c r="B644" t="s">
        <v>178</v>
      </c>
      <c r="D644">
        <v>42.7</v>
      </c>
      <c r="F644" t="s">
        <v>6270</v>
      </c>
      <c r="H644" t="s">
        <v>7000</v>
      </c>
      <c r="I644" t="s">
        <v>4979</v>
      </c>
      <c r="K644" t="s">
        <v>7400</v>
      </c>
      <c r="L644" t="s">
        <v>7401</v>
      </c>
    </row>
    <row r="645" spans="1:12" x14ac:dyDescent="0.35">
      <c r="A645" t="s">
        <v>116</v>
      </c>
      <c r="B645" t="s">
        <v>178</v>
      </c>
      <c r="D645">
        <v>70.8</v>
      </c>
      <c r="F645" t="s">
        <v>6337</v>
      </c>
      <c r="H645" t="s">
        <v>7001</v>
      </c>
      <c r="I645" t="s">
        <v>4979</v>
      </c>
      <c r="K645" t="s">
        <v>7400</v>
      </c>
      <c r="L645" t="s">
        <v>7401</v>
      </c>
    </row>
    <row r="646" spans="1:12" x14ac:dyDescent="0.35">
      <c r="A646" t="s">
        <v>116</v>
      </c>
      <c r="B646" t="s">
        <v>6077</v>
      </c>
      <c r="D646">
        <v>6.3</v>
      </c>
      <c r="F646" t="s">
        <v>1965</v>
      </c>
      <c r="H646" t="s">
        <v>7002</v>
      </c>
      <c r="I646" t="s">
        <v>5033</v>
      </c>
      <c r="K646" t="s">
        <v>7400</v>
      </c>
      <c r="L646" t="s">
        <v>7401</v>
      </c>
    </row>
    <row r="647" spans="1:12" x14ac:dyDescent="0.35">
      <c r="A647" t="s">
        <v>116</v>
      </c>
      <c r="B647" t="s">
        <v>6078</v>
      </c>
      <c r="D647">
        <v>11.4</v>
      </c>
      <c r="F647" t="s">
        <v>1668</v>
      </c>
      <c r="H647" t="s">
        <v>7003</v>
      </c>
      <c r="I647" t="s">
        <v>5033</v>
      </c>
      <c r="K647" t="s">
        <v>7400</v>
      </c>
      <c r="L647" t="s">
        <v>7401</v>
      </c>
    </row>
    <row r="648" spans="1:12" x14ac:dyDescent="0.35">
      <c r="A648" t="s">
        <v>116</v>
      </c>
      <c r="B648" t="s">
        <v>317</v>
      </c>
      <c r="D648">
        <v>1.1200000000000001</v>
      </c>
      <c r="F648" t="s">
        <v>1788</v>
      </c>
      <c r="H648" t="s">
        <v>7004</v>
      </c>
      <c r="I648" t="s">
        <v>2408</v>
      </c>
      <c r="K648" t="s">
        <v>7400</v>
      </c>
      <c r="L648" t="s">
        <v>7401</v>
      </c>
    </row>
    <row r="649" spans="1:12" x14ac:dyDescent="0.35">
      <c r="A649" t="s">
        <v>116</v>
      </c>
      <c r="B649" t="s">
        <v>317</v>
      </c>
      <c r="D649">
        <v>0.74</v>
      </c>
      <c r="F649" t="s">
        <v>1685</v>
      </c>
      <c r="H649" t="s">
        <v>7005</v>
      </c>
      <c r="I649" t="s">
        <v>2408</v>
      </c>
      <c r="K649" t="s">
        <v>7400</v>
      </c>
      <c r="L649" t="s">
        <v>7401</v>
      </c>
    </row>
    <row r="650" spans="1:12" x14ac:dyDescent="0.35">
      <c r="A650" t="s">
        <v>116</v>
      </c>
      <c r="B650" t="s">
        <v>317</v>
      </c>
      <c r="D650">
        <v>1.74</v>
      </c>
      <c r="F650" t="s">
        <v>6338</v>
      </c>
      <c r="H650" t="s">
        <v>7006</v>
      </c>
      <c r="I650" t="s">
        <v>2408</v>
      </c>
      <c r="K650" t="s">
        <v>7400</v>
      </c>
      <c r="L650" t="s">
        <v>7401</v>
      </c>
    </row>
    <row r="651" spans="1:12" x14ac:dyDescent="0.35">
      <c r="A651" t="s">
        <v>116</v>
      </c>
      <c r="B651" t="s">
        <v>317</v>
      </c>
      <c r="D651">
        <v>9.64</v>
      </c>
      <c r="F651" t="s">
        <v>6339</v>
      </c>
      <c r="H651" t="s">
        <v>7007</v>
      </c>
      <c r="I651" t="s">
        <v>2408</v>
      </c>
      <c r="K651" t="s">
        <v>7400</v>
      </c>
      <c r="L651" t="s">
        <v>7401</v>
      </c>
    </row>
    <row r="652" spans="1:12" x14ac:dyDescent="0.35">
      <c r="A652" t="s">
        <v>116</v>
      </c>
      <c r="B652" t="s">
        <v>317</v>
      </c>
      <c r="D652">
        <v>190.86</v>
      </c>
      <c r="F652" t="s">
        <v>6340</v>
      </c>
      <c r="H652" t="s">
        <v>7008</v>
      </c>
      <c r="I652" t="s">
        <v>2408</v>
      </c>
      <c r="K652" t="s">
        <v>7400</v>
      </c>
      <c r="L652" t="s">
        <v>7401</v>
      </c>
    </row>
    <row r="653" spans="1:12" x14ac:dyDescent="0.35">
      <c r="A653" t="s">
        <v>116</v>
      </c>
      <c r="B653" t="s">
        <v>317</v>
      </c>
      <c r="D653">
        <v>5.05</v>
      </c>
      <c r="F653" t="s">
        <v>5353</v>
      </c>
      <c r="H653" t="s">
        <v>7009</v>
      </c>
      <c r="I653" t="s">
        <v>2408</v>
      </c>
      <c r="K653" t="s">
        <v>7400</v>
      </c>
      <c r="L653" t="s">
        <v>7401</v>
      </c>
    </row>
    <row r="654" spans="1:12" x14ac:dyDescent="0.35">
      <c r="A654" t="s">
        <v>116</v>
      </c>
      <c r="B654" t="s">
        <v>6079</v>
      </c>
      <c r="D654">
        <v>66</v>
      </c>
      <c r="F654" t="s">
        <v>2226</v>
      </c>
      <c r="H654" t="s">
        <v>7010</v>
      </c>
      <c r="I654" t="s">
        <v>5033</v>
      </c>
      <c r="K654" t="s">
        <v>7400</v>
      </c>
      <c r="L654" t="s">
        <v>7401</v>
      </c>
    </row>
    <row r="655" spans="1:12" x14ac:dyDescent="0.35">
      <c r="A655" t="s">
        <v>116</v>
      </c>
      <c r="B655" t="s">
        <v>549</v>
      </c>
      <c r="D655">
        <v>70</v>
      </c>
      <c r="F655" t="s">
        <v>1752</v>
      </c>
      <c r="H655" t="s">
        <v>7011</v>
      </c>
      <c r="I655" t="s">
        <v>4929</v>
      </c>
      <c r="K655" t="s">
        <v>7400</v>
      </c>
      <c r="L655" t="s">
        <v>7401</v>
      </c>
    </row>
    <row r="656" spans="1:12" x14ac:dyDescent="0.35">
      <c r="A656" t="s">
        <v>116</v>
      </c>
      <c r="B656" t="s">
        <v>549</v>
      </c>
      <c r="D656">
        <v>65</v>
      </c>
      <c r="F656" t="s">
        <v>4927</v>
      </c>
      <c r="H656" t="s">
        <v>7012</v>
      </c>
      <c r="I656" t="s">
        <v>4929</v>
      </c>
      <c r="K656" t="s">
        <v>7400</v>
      </c>
      <c r="L656" t="s">
        <v>7401</v>
      </c>
    </row>
    <row r="657" spans="1:12" x14ac:dyDescent="0.35">
      <c r="A657" t="s">
        <v>116</v>
      </c>
      <c r="B657" t="s">
        <v>551</v>
      </c>
      <c r="D657">
        <v>17.170000000000002</v>
      </c>
      <c r="F657" t="s">
        <v>6341</v>
      </c>
      <c r="I657" t="s">
        <v>4872</v>
      </c>
      <c r="K657" t="s">
        <v>7400</v>
      </c>
      <c r="L657" t="s">
        <v>7401</v>
      </c>
    </row>
    <row r="658" spans="1:12" x14ac:dyDescent="0.35">
      <c r="A658" t="s">
        <v>116</v>
      </c>
      <c r="B658" t="s">
        <v>6080</v>
      </c>
      <c r="D658">
        <v>9.1999999999999998E-2</v>
      </c>
      <c r="F658" t="s">
        <v>5524</v>
      </c>
      <c r="H658" t="s">
        <v>7013</v>
      </c>
      <c r="I658" t="s">
        <v>5253</v>
      </c>
      <c r="K658" t="s">
        <v>7400</v>
      </c>
      <c r="L658" t="s">
        <v>7401</v>
      </c>
    </row>
    <row r="659" spans="1:12" x14ac:dyDescent="0.35">
      <c r="A659" t="s">
        <v>116</v>
      </c>
      <c r="B659" t="s">
        <v>552</v>
      </c>
      <c r="D659">
        <v>3.12</v>
      </c>
      <c r="F659" t="s">
        <v>1918</v>
      </c>
      <c r="I659" t="s">
        <v>4936</v>
      </c>
      <c r="K659" t="s">
        <v>7400</v>
      </c>
      <c r="L659" t="s">
        <v>7401</v>
      </c>
    </row>
    <row r="660" spans="1:12" x14ac:dyDescent="0.35">
      <c r="A660" t="s">
        <v>116</v>
      </c>
      <c r="B660" t="s">
        <v>555</v>
      </c>
      <c r="D660">
        <v>2.1</v>
      </c>
      <c r="F660" t="s">
        <v>1399</v>
      </c>
      <c r="H660" t="s">
        <v>4100</v>
      </c>
      <c r="I660" t="s">
        <v>4983</v>
      </c>
      <c r="K660" t="s">
        <v>7400</v>
      </c>
      <c r="L660" t="s">
        <v>7401</v>
      </c>
    </row>
    <row r="661" spans="1:12" x14ac:dyDescent="0.35">
      <c r="A661" t="s">
        <v>116</v>
      </c>
      <c r="B661" t="s">
        <v>555</v>
      </c>
      <c r="D661">
        <v>4</v>
      </c>
      <c r="F661" t="s">
        <v>1379</v>
      </c>
      <c r="I661" t="s">
        <v>4868</v>
      </c>
      <c r="K661" t="s">
        <v>7400</v>
      </c>
      <c r="L661" t="s">
        <v>7401</v>
      </c>
    </row>
    <row r="662" spans="1:12" x14ac:dyDescent="0.35">
      <c r="A662" t="s">
        <v>116</v>
      </c>
      <c r="B662" t="s">
        <v>555</v>
      </c>
      <c r="D662">
        <v>2.5</v>
      </c>
      <c r="F662" t="s">
        <v>1406</v>
      </c>
      <c r="H662" t="s">
        <v>4099</v>
      </c>
      <c r="I662" t="s">
        <v>4983</v>
      </c>
      <c r="K662" t="s">
        <v>7400</v>
      </c>
      <c r="L662" t="s">
        <v>7401</v>
      </c>
    </row>
    <row r="663" spans="1:12" x14ac:dyDescent="0.35">
      <c r="A663" t="s">
        <v>116</v>
      </c>
      <c r="B663" t="s">
        <v>556</v>
      </c>
      <c r="D663">
        <v>55</v>
      </c>
      <c r="F663" t="s">
        <v>1369</v>
      </c>
      <c r="I663" t="s">
        <v>4927</v>
      </c>
      <c r="K663" t="s">
        <v>7400</v>
      </c>
      <c r="L663" t="s">
        <v>7401</v>
      </c>
    </row>
    <row r="664" spans="1:12" x14ac:dyDescent="0.35">
      <c r="A664" t="s">
        <v>116</v>
      </c>
      <c r="B664" t="s">
        <v>557</v>
      </c>
      <c r="D664">
        <v>79.099999999999994</v>
      </c>
      <c r="F664" t="s">
        <v>6342</v>
      </c>
      <c r="I664" t="s">
        <v>2326</v>
      </c>
      <c r="K664" t="s">
        <v>7400</v>
      </c>
      <c r="L664" t="s">
        <v>7401</v>
      </c>
    </row>
    <row r="665" spans="1:12" x14ac:dyDescent="0.35">
      <c r="A665" t="s">
        <v>116</v>
      </c>
      <c r="B665" t="s">
        <v>558</v>
      </c>
      <c r="D665">
        <v>2</v>
      </c>
      <c r="F665" t="s">
        <v>1372</v>
      </c>
      <c r="I665" t="s">
        <v>2364</v>
      </c>
      <c r="K665" t="s">
        <v>7400</v>
      </c>
      <c r="L665" t="s">
        <v>7401</v>
      </c>
    </row>
    <row r="666" spans="1:12" x14ac:dyDescent="0.35">
      <c r="A666" t="s">
        <v>116</v>
      </c>
      <c r="B666" t="s">
        <v>558</v>
      </c>
      <c r="D666">
        <v>3.2</v>
      </c>
      <c r="F666" t="s">
        <v>1465</v>
      </c>
      <c r="H666" t="s">
        <v>7014</v>
      </c>
      <c r="I666" t="s">
        <v>1878</v>
      </c>
      <c r="K666" t="s">
        <v>7400</v>
      </c>
      <c r="L666" t="s">
        <v>7401</v>
      </c>
    </row>
    <row r="667" spans="1:12" x14ac:dyDescent="0.35">
      <c r="A667" t="s">
        <v>116</v>
      </c>
      <c r="B667" t="s">
        <v>558</v>
      </c>
      <c r="D667">
        <v>4.2</v>
      </c>
      <c r="F667" t="s">
        <v>1868</v>
      </c>
      <c r="H667" t="s">
        <v>7015</v>
      </c>
      <c r="I667" t="s">
        <v>1878</v>
      </c>
      <c r="K667" t="s">
        <v>7400</v>
      </c>
      <c r="L667" t="s">
        <v>7401</v>
      </c>
    </row>
    <row r="668" spans="1:12" x14ac:dyDescent="0.35">
      <c r="A668" t="s">
        <v>116</v>
      </c>
      <c r="B668" t="s">
        <v>559</v>
      </c>
      <c r="D668">
        <v>93</v>
      </c>
      <c r="F668" t="s">
        <v>1551</v>
      </c>
      <c r="H668" t="s">
        <v>7016</v>
      </c>
      <c r="I668" t="s">
        <v>4860</v>
      </c>
      <c r="K668" t="s">
        <v>7400</v>
      </c>
      <c r="L668" t="s">
        <v>7401</v>
      </c>
    </row>
    <row r="669" spans="1:12" x14ac:dyDescent="0.35">
      <c r="A669" t="s">
        <v>116</v>
      </c>
      <c r="B669" t="s">
        <v>559</v>
      </c>
      <c r="D669">
        <v>470</v>
      </c>
      <c r="F669" t="s">
        <v>6343</v>
      </c>
      <c r="H669" t="s">
        <v>7017</v>
      </c>
      <c r="I669" t="s">
        <v>4860</v>
      </c>
      <c r="K669" t="s">
        <v>7400</v>
      </c>
      <c r="L669" t="s">
        <v>7401</v>
      </c>
    </row>
    <row r="670" spans="1:12" x14ac:dyDescent="0.35">
      <c r="A670" t="s">
        <v>116</v>
      </c>
      <c r="B670" t="s">
        <v>341</v>
      </c>
      <c r="D670">
        <v>3.92</v>
      </c>
      <c r="F670" t="s">
        <v>2537</v>
      </c>
      <c r="I670" t="s">
        <v>2226</v>
      </c>
      <c r="K670" t="s">
        <v>7400</v>
      </c>
      <c r="L670" t="s">
        <v>7401</v>
      </c>
    </row>
    <row r="671" spans="1:12" x14ac:dyDescent="0.35">
      <c r="A671" t="s">
        <v>116</v>
      </c>
      <c r="B671" t="s">
        <v>341</v>
      </c>
      <c r="D671">
        <v>4.5</v>
      </c>
      <c r="F671" t="s">
        <v>1828</v>
      </c>
      <c r="H671" t="s">
        <v>7018</v>
      </c>
      <c r="I671" t="s">
        <v>7394</v>
      </c>
      <c r="K671" t="s">
        <v>7400</v>
      </c>
      <c r="L671" t="s">
        <v>7401</v>
      </c>
    </row>
    <row r="672" spans="1:12" x14ac:dyDescent="0.35">
      <c r="A672" t="s">
        <v>116</v>
      </c>
      <c r="B672" t="s">
        <v>341</v>
      </c>
      <c r="D672">
        <v>5.2</v>
      </c>
      <c r="F672" t="s">
        <v>1511</v>
      </c>
      <c r="H672" t="s">
        <v>7019</v>
      </c>
      <c r="I672" t="s">
        <v>7394</v>
      </c>
      <c r="K672" t="s">
        <v>7400</v>
      </c>
      <c r="L672" t="s">
        <v>7401</v>
      </c>
    </row>
    <row r="673" spans="1:12" x14ac:dyDescent="0.35">
      <c r="A673" t="s">
        <v>116</v>
      </c>
      <c r="B673" t="s">
        <v>341</v>
      </c>
      <c r="D673">
        <v>5.3</v>
      </c>
      <c r="F673" t="s">
        <v>1671</v>
      </c>
      <c r="I673" t="s">
        <v>1752</v>
      </c>
      <c r="K673" t="s">
        <v>7400</v>
      </c>
      <c r="L673" t="s">
        <v>7401</v>
      </c>
    </row>
    <row r="674" spans="1:12" x14ac:dyDescent="0.35">
      <c r="A674" t="s">
        <v>116</v>
      </c>
      <c r="B674" t="s">
        <v>341</v>
      </c>
      <c r="D674">
        <v>10.1</v>
      </c>
      <c r="F674" t="s">
        <v>1692</v>
      </c>
      <c r="H674" t="s">
        <v>7020</v>
      </c>
      <c r="I674" t="s">
        <v>4947</v>
      </c>
      <c r="K674" t="s">
        <v>7400</v>
      </c>
      <c r="L674" t="s">
        <v>7401</v>
      </c>
    </row>
    <row r="675" spans="1:12" x14ac:dyDescent="0.35">
      <c r="A675" t="s">
        <v>116</v>
      </c>
      <c r="B675" t="s">
        <v>341</v>
      </c>
      <c r="D675">
        <v>4.0999999999999996</v>
      </c>
      <c r="F675" t="s">
        <v>1385</v>
      </c>
      <c r="H675" t="s">
        <v>4129</v>
      </c>
      <c r="I675" t="s">
        <v>4917</v>
      </c>
      <c r="K675" t="s">
        <v>7400</v>
      </c>
      <c r="L675" t="s">
        <v>7401</v>
      </c>
    </row>
    <row r="676" spans="1:12" x14ac:dyDescent="0.35">
      <c r="A676" t="s">
        <v>116</v>
      </c>
      <c r="B676" t="s">
        <v>341</v>
      </c>
      <c r="D676">
        <v>0.02</v>
      </c>
      <c r="F676" t="s">
        <v>1448</v>
      </c>
      <c r="H676" t="s">
        <v>7021</v>
      </c>
      <c r="I676" t="s">
        <v>7394</v>
      </c>
      <c r="K676" t="s">
        <v>7400</v>
      </c>
      <c r="L676" t="s">
        <v>7401</v>
      </c>
    </row>
    <row r="677" spans="1:12" x14ac:dyDescent="0.35">
      <c r="A677" t="s">
        <v>116</v>
      </c>
      <c r="B677" t="s">
        <v>341</v>
      </c>
      <c r="D677">
        <v>4.03</v>
      </c>
      <c r="F677" t="s">
        <v>5502</v>
      </c>
      <c r="H677" t="s">
        <v>7022</v>
      </c>
      <c r="I677" t="s">
        <v>4988</v>
      </c>
      <c r="K677" t="s">
        <v>7400</v>
      </c>
      <c r="L677" t="s">
        <v>7401</v>
      </c>
    </row>
    <row r="678" spans="1:12" x14ac:dyDescent="0.35">
      <c r="A678" t="s">
        <v>116</v>
      </c>
      <c r="B678" t="s">
        <v>341</v>
      </c>
      <c r="D678">
        <v>0.78</v>
      </c>
      <c r="F678" t="s">
        <v>1442</v>
      </c>
      <c r="H678" t="s">
        <v>7023</v>
      </c>
      <c r="I678" t="s">
        <v>4947</v>
      </c>
      <c r="K678" t="s">
        <v>7400</v>
      </c>
      <c r="L678" t="s">
        <v>7401</v>
      </c>
    </row>
    <row r="679" spans="1:12" x14ac:dyDescent="0.35">
      <c r="A679" t="s">
        <v>116</v>
      </c>
      <c r="B679" t="s">
        <v>341</v>
      </c>
      <c r="D679">
        <v>0.64</v>
      </c>
      <c r="F679" t="s">
        <v>2041</v>
      </c>
      <c r="H679" t="s">
        <v>7024</v>
      </c>
      <c r="I679" t="s">
        <v>4988</v>
      </c>
      <c r="K679" t="s">
        <v>7400</v>
      </c>
      <c r="L679" t="s">
        <v>7401</v>
      </c>
    </row>
    <row r="680" spans="1:12" x14ac:dyDescent="0.35">
      <c r="A680" t="s">
        <v>116</v>
      </c>
      <c r="B680" t="s">
        <v>341</v>
      </c>
      <c r="D680">
        <v>26.1</v>
      </c>
      <c r="F680" t="s">
        <v>2621</v>
      </c>
      <c r="H680" t="s">
        <v>4128</v>
      </c>
      <c r="I680" t="s">
        <v>4917</v>
      </c>
      <c r="K680" t="s">
        <v>7400</v>
      </c>
      <c r="L680" t="s">
        <v>7401</v>
      </c>
    </row>
    <row r="681" spans="1:12" x14ac:dyDescent="0.35">
      <c r="A681" t="s">
        <v>116</v>
      </c>
      <c r="B681" t="s">
        <v>341</v>
      </c>
      <c r="D681">
        <v>0.01</v>
      </c>
      <c r="F681" t="s">
        <v>1376</v>
      </c>
      <c r="H681" t="s">
        <v>7025</v>
      </c>
      <c r="I681" t="s">
        <v>7394</v>
      </c>
      <c r="K681" t="s">
        <v>7400</v>
      </c>
      <c r="L681" t="s">
        <v>7401</v>
      </c>
    </row>
    <row r="682" spans="1:12" x14ac:dyDescent="0.35">
      <c r="A682" t="s">
        <v>116</v>
      </c>
      <c r="B682" t="s">
        <v>341</v>
      </c>
      <c r="D682">
        <v>43</v>
      </c>
      <c r="F682" t="s">
        <v>1394</v>
      </c>
      <c r="H682" t="s">
        <v>7026</v>
      </c>
      <c r="I682" t="s">
        <v>4988</v>
      </c>
      <c r="K682" t="s">
        <v>7400</v>
      </c>
      <c r="L682" t="s">
        <v>7401</v>
      </c>
    </row>
    <row r="683" spans="1:12" x14ac:dyDescent="0.35">
      <c r="A683" t="s">
        <v>116</v>
      </c>
      <c r="B683" t="s">
        <v>561</v>
      </c>
      <c r="D683">
        <v>0.3</v>
      </c>
      <c r="F683" t="s">
        <v>1401</v>
      </c>
      <c r="H683" t="s">
        <v>7027</v>
      </c>
      <c r="I683" t="s">
        <v>4990</v>
      </c>
      <c r="K683" t="s">
        <v>7400</v>
      </c>
      <c r="L683" t="s">
        <v>7401</v>
      </c>
    </row>
    <row r="684" spans="1:12" x14ac:dyDescent="0.35">
      <c r="A684" t="s">
        <v>116</v>
      </c>
      <c r="B684" t="s">
        <v>561</v>
      </c>
      <c r="D684">
        <v>1.1000000000000001</v>
      </c>
      <c r="F684" t="s">
        <v>1505</v>
      </c>
      <c r="H684" t="s">
        <v>7028</v>
      </c>
      <c r="I684" t="s">
        <v>4990</v>
      </c>
      <c r="K684" t="s">
        <v>7400</v>
      </c>
      <c r="L684" t="s">
        <v>7401</v>
      </c>
    </row>
    <row r="685" spans="1:12" x14ac:dyDescent="0.35">
      <c r="A685" t="s">
        <v>116</v>
      </c>
      <c r="B685" t="s">
        <v>563</v>
      </c>
      <c r="D685">
        <v>49.3</v>
      </c>
      <c r="F685" t="s">
        <v>6344</v>
      </c>
      <c r="I685" t="s">
        <v>4896</v>
      </c>
      <c r="K685" t="s">
        <v>7400</v>
      </c>
      <c r="L685" t="s">
        <v>7401</v>
      </c>
    </row>
    <row r="686" spans="1:12" x14ac:dyDescent="0.35">
      <c r="A686" t="s">
        <v>116</v>
      </c>
      <c r="B686" t="s">
        <v>564</v>
      </c>
      <c r="D686">
        <v>31.8</v>
      </c>
      <c r="F686" t="s">
        <v>5279</v>
      </c>
      <c r="I686" t="s">
        <v>4930</v>
      </c>
      <c r="K686" t="s">
        <v>7400</v>
      </c>
      <c r="L686" t="s">
        <v>7401</v>
      </c>
    </row>
    <row r="687" spans="1:12" x14ac:dyDescent="0.35">
      <c r="A687" t="s">
        <v>116</v>
      </c>
      <c r="B687" t="s">
        <v>326</v>
      </c>
      <c r="D687">
        <v>1.36</v>
      </c>
      <c r="F687" t="s">
        <v>5362</v>
      </c>
      <c r="H687" t="s">
        <v>7029</v>
      </c>
      <c r="I687" t="s">
        <v>4859</v>
      </c>
      <c r="K687" t="s">
        <v>7400</v>
      </c>
      <c r="L687" t="s">
        <v>7401</v>
      </c>
    </row>
    <row r="688" spans="1:12" x14ac:dyDescent="0.35">
      <c r="A688" t="s">
        <v>116</v>
      </c>
      <c r="B688" t="s">
        <v>326</v>
      </c>
      <c r="D688">
        <v>64</v>
      </c>
      <c r="F688" t="s">
        <v>2393</v>
      </c>
      <c r="H688" t="s">
        <v>7030</v>
      </c>
      <c r="I688" t="s">
        <v>4859</v>
      </c>
      <c r="K688" t="s">
        <v>7400</v>
      </c>
      <c r="L688" t="s">
        <v>7401</v>
      </c>
    </row>
    <row r="689" spans="1:12" x14ac:dyDescent="0.35">
      <c r="A689" t="s">
        <v>116</v>
      </c>
      <c r="B689" t="s">
        <v>326</v>
      </c>
      <c r="D689">
        <v>8.08</v>
      </c>
      <c r="F689" t="s">
        <v>6345</v>
      </c>
      <c r="H689" t="s">
        <v>7031</v>
      </c>
      <c r="I689" t="s">
        <v>4859</v>
      </c>
      <c r="K689" t="s">
        <v>7400</v>
      </c>
      <c r="L689" t="s">
        <v>7401</v>
      </c>
    </row>
    <row r="690" spans="1:12" x14ac:dyDescent="0.35">
      <c r="A690" t="s">
        <v>116</v>
      </c>
      <c r="B690" t="s">
        <v>565</v>
      </c>
      <c r="D690">
        <v>2.2999999999999998</v>
      </c>
      <c r="F690" t="s">
        <v>1453</v>
      </c>
      <c r="I690" t="s">
        <v>1892</v>
      </c>
      <c r="K690" t="s">
        <v>7400</v>
      </c>
      <c r="L690" t="s">
        <v>7401</v>
      </c>
    </row>
    <row r="691" spans="1:12" x14ac:dyDescent="0.35">
      <c r="A691" t="s">
        <v>116</v>
      </c>
      <c r="B691" t="s">
        <v>567</v>
      </c>
      <c r="D691">
        <v>361</v>
      </c>
      <c r="F691" t="s">
        <v>6318</v>
      </c>
      <c r="H691" t="s">
        <v>7032</v>
      </c>
      <c r="I691" t="s">
        <v>1858</v>
      </c>
      <c r="K691" t="s">
        <v>7400</v>
      </c>
      <c r="L691" t="s">
        <v>7401</v>
      </c>
    </row>
    <row r="692" spans="1:12" x14ac:dyDescent="0.35">
      <c r="A692" t="s">
        <v>116</v>
      </c>
      <c r="B692" t="s">
        <v>567</v>
      </c>
      <c r="D692">
        <v>597</v>
      </c>
      <c r="F692" t="s">
        <v>6346</v>
      </c>
      <c r="H692" t="s">
        <v>7033</v>
      </c>
      <c r="I692" t="s">
        <v>1858</v>
      </c>
      <c r="K692" t="s">
        <v>7400</v>
      </c>
      <c r="L692" t="s">
        <v>7401</v>
      </c>
    </row>
    <row r="693" spans="1:12" x14ac:dyDescent="0.35">
      <c r="A693" t="s">
        <v>116</v>
      </c>
      <c r="B693" t="s">
        <v>6081</v>
      </c>
      <c r="D693">
        <v>55900</v>
      </c>
      <c r="F693" t="s">
        <v>6347</v>
      </c>
      <c r="I693" t="s">
        <v>2212</v>
      </c>
      <c r="K693" t="s">
        <v>7400</v>
      </c>
      <c r="L693" t="s">
        <v>7401</v>
      </c>
    </row>
    <row r="694" spans="1:12" x14ac:dyDescent="0.35">
      <c r="A694" t="s">
        <v>116</v>
      </c>
      <c r="B694" t="s">
        <v>355</v>
      </c>
      <c r="D694">
        <v>151.1</v>
      </c>
      <c r="F694" t="s">
        <v>6348</v>
      </c>
      <c r="I694" t="s">
        <v>4914</v>
      </c>
      <c r="K694" t="s">
        <v>7400</v>
      </c>
      <c r="L694" t="s">
        <v>7401</v>
      </c>
    </row>
    <row r="695" spans="1:12" x14ac:dyDescent="0.35">
      <c r="A695" t="s">
        <v>116</v>
      </c>
      <c r="B695" t="s">
        <v>571</v>
      </c>
      <c r="D695">
        <v>196.3</v>
      </c>
      <c r="F695" t="s">
        <v>6349</v>
      </c>
      <c r="I695" t="s">
        <v>4907</v>
      </c>
      <c r="K695" t="s">
        <v>7400</v>
      </c>
      <c r="L695" t="s">
        <v>7401</v>
      </c>
    </row>
    <row r="696" spans="1:12" x14ac:dyDescent="0.35">
      <c r="A696" t="s">
        <v>116</v>
      </c>
      <c r="B696" t="s">
        <v>578</v>
      </c>
      <c r="D696">
        <v>4.75</v>
      </c>
      <c r="F696" t="s">
        <v>5479</v>
      </c>
      <c r="H696" t="s">
        <v>7034</v>
      </c>
      <c r="I696" t="s">
        <v>1929</v>
      </c>
      <c r="K696" t="s">
        <v>7400</v>
      </c>
      <c r="L696" t="s">
        <v>7401</v>
      </c>
    </row>
    <row r="697" spans="1:12" x14ac:dyDescent="0.35">
      <c r="A697" t="s">
        <v>116</v>
      </c>
      <c r="B697" t="s">
        <v>327</v>
      </c>
      <c r="D697">
        <v>3.3</v>
      </c>
      <c r="F697" t="s">
        <v>1377</v>
      </c>
      <c r="I697" t="s">
        <v>1450</v>
      </c>
      <c r="K697" t="s">
        <v>7400</v>
      </c>
      <c r="L697" t="s">
        <v>7401</v>
      </c>
    </row>
    <row r="698" spans="1:12" x14ac:dyDescent="0.35">
      <c r="A698" t="s">
        <v>116</v>
      </c>
      <c r="B698" t="s">
        <v>327</v>
      </c>
      <c r="D698">
        <v>0.6</v>
      </c>
      <c r="F698" t="s">
        <v>1519</v>
      </c>
      <c r="I698" t="s">
        <v>1526</v>
      </c>
      <c r="K698" t="s">
        <v>7400</v>
      </c>
      <c r="L698" t="s">
        <v>7401</v>
      </c>
    </row>
    <row r="699" spans="1:12" x14ac:dyDescent="0.35">
      <c r="A699" t="s">
        <v>116</v>
      </c>
      <c r="B699" t="s">
        <v>327</v>
      </c>
      <c r="D699">
        <v>0.65</v>
      </c>
      <c r="F699" t="s">
        <v>1819</v>
      </c>
      <c r="I699" t="s">
        <v>2051</v>
      </c>
      <c r="K699" t="s">
        <v>7400</v>
      </c>
      <c r="L699" t="s">
        <v>7401</v>
      </c>
    </row>
    <row r="700" spans="1:12" x14ac:dyDescent="0.35">
      <c r="A700" t="s">
        <v>116</v>
      </c>
      <c r="B700" t="s">
        <v>327</v>
      </c>
      <c r="D700">
        <v>1.47</v>
      </c>
      <c r="F700" t="s">
        <v>1521</v>
      </c>
      <c r="I700" t="s">
        <v>1467</v>
      </c>
      <c r="K700" t="s">
        <v>7400</v>
      </c>
      <c r="L700" t="s">
        <v>7401</v>
      </c>
    </row>
    <row r="701" spans="1:12" x14ac:dyDescent="0.35">
      <c r="A701" t="s">
        <v>116</v>
      </c>
      <c r="B701" t="s">
        <v>327</v>
      </c>
      <c r="D701">
        <v>1.3</v>
      </c>
      <c r="F701" t="s">
        <v>1358</v>
      </c>
      <c r="H701" t="s">
        <v>7035</v>
      </c>
      <c r="I701" t="s">
        <v>2253</v>
      </c>
      <c r="K701" t="s">
        <v>7400</v>
      </c>
      <c r="L701" t="s">
        <v>7401</v>
      </c>
    </row>
    <row r="702" spans="1:12" x14ac:dyDescent="0.35">
      <c r="A702" t="s">
        <v>116</v>
      </c>
      <c r="B702" t="s">
        <v>6082</v>
      </c>
      <c r="D702">
        <v>5.7</v>
      </c>
      <c r="F702" t="s">
        <v>1476</v>
      </c>
      <c r="H702" t="s">
        <v>7036</v>
      </c>
      <c r="I702" t="s">
        <v>5033</v>
      </c>
      <c r="K702" t="s">
        <v>7400</v>
      </c>
      <c r="L702" t="s">
        <v>7401</v>
      </c>
    </row>
    <row r="703" spans="1:12" x14ac:dyDescent="0.35">
      <c r="A703" t="s">
        <v>116</v>
      </c>
      <c r="B703" t="s">
        <v>579</v>
      </c>
      <c r="D703">
        <v>1.28</v>
      </c>
      <c r="F703" t="s">
        <v>1686</v>
      </c>
      <c r="H703" t="s">
        <v>7037</v>
      </c>
      <c r="I703" t="s">
        <v>2325</v>
      </c>
      <c r="K703" t="s">
        <v>7400</v>
      </c>
      <c r="L703" t="s">
        <v>7401</v>
      </c>
    </row>
    <row r="704" spans="1:12" x14ac:dyDescent="0.35">
      <c r="A704" t="s">
        <v>116</v>
      </c>
      <c r="B704" t="s">
        <v>582</v>
      </c>
      <c r="D704">
        <v>10.3</v>
      </c>
      <c r="F704" t="s">
        <v>2219</v>
      </c>
      <c r="I704" t="s">
        <v>1515</v>
      </c>
      <c r="K704" t="s">
        <v>7400</v>
      </c>
      <c r="L704" t="s">
        <v>7401</v>
      </c>
    </row>
    <row r="705" spans="1:12" x14ac:dyDescent="0.35">
      <c r="A705" t="s">
        <v>116</v>
      </c>
      <c r="B705" t="s">
        <v>341</v>
      </c>
      <c r="D705">
        <v>0.75</v>
      </c>
      <c r="F705" t="s">
        <v>1475</v>
      </c>
      <c r="H705" t="s">
        <v>7038</v>
      </c>
      <c r="I705" t="s">
        <v>4993</v>
      </c>
      <c r="K705" t="s">
        <v>7400</v>
      </c>
      <c r="L705" t="s">
        <v>7401</v>
      </c>
    </row>
    <row r="706" spans="1:12" x14ac:dyDescent="0.35">
      <c r="A706" t="s">
        <v>116</v>
      </c>
      <c r="B706" t="s">
        <v>341</v>
      </c>
      <c r="D706">
        <v>0.18</v>
      </c>
      <c r="F706" t="s">
        <v>1531</v>
      </c>
      <c r="H706" t="s">
        <v>7039</v>
      </c>
      <c r="I706" t="s">
        <v>4993</v>
      </c>
      <c r="K706" t="s">
        <v>7400</v>
      </c>
      <c r="L706" t="s">
        <v>7401</v>
      </c>
    </row>
    <row r="707" spans="1:12" x14ac:dyDescent="0.35">
      <c r="A707" t="s">
        <v>116</v>
      </c>
      <c r="B707" t="s">
        <v>341</v>
      </c>
      <c r="D707">
        <v>0.03</v>
      </c>
      <c r="F707" t="s">
        <v>1266</v>
      </c>
      <c r="H707" t="s">
        <v>7040</v>
      </c>
      <c r="I707" t="s">
        <v>4993</v>
      </c>
      <c r="K707" t="s">
        <v>7400</v>
      </c>
      <c r="L707" t="s">
        <v>7401</v>
      </c>
    </row>
    <row r="708" spans="1:12" x14ac:dyDescent="0.35">
      <c r="A708" t="s">
        <v>116</v>
      </c>
      <c r="B708" t="s">
        <v>583</v>
      </c>
      <c r="D708">
        <v>0.22</v>
      </c>
      <c r="F708" t="s">
        <v>1438</v>
      </c>
      <c r="H708" t="s">
        <v>7041</v>
      </c>
      <c r="I708" t="s">
        <v>4947</v>
      </c>
      <c r="K708" t="s">
        <v>7400</v>
      </c>
      <c r="L708" t="s">
        <v>7401</v>
      </c>
    </row>
    <row r="709" spans="1:12" x14ac:dyDescent="0.35">
      <c r="A709" t="s">
        <v>116</v>
      </c>
      <c r="B709" t="s">
        <v>583</v>
      </c>
      <c r="D709">
        <v>2.88</v>
      </c>
      <c r="F709" t="s">
        <v>6350</v>
      </c>
      <c r="H709" t="s">
        <v>7042</v>
      </c>
      <c r="I709" t="s">
        <v>4947</v>
      </c>
      <c r="K709" t="s">
        <v>7400</v>
      </c>
      <c r="L709" t="s">
        <v>7401</v>
      </c>
    </row>
    <row r="710" spans="1:12" x14ac:dyDescent="0.35">
      <c r="A710" t="s">
        <v>117</v>
      </c>
      <c r="B710" t="s">
        <v>380</v>
      </c>
      <c r="D710">
        <v>159</v>
      </c>
      <c r="F710" t="s">
        <v>4874</v>
      </c>
      <c r="I710" t="s">
        <v>1968</v>
      </c>
      <c r="K710" t="s">
        <v>7400</v>
      </c>
      <c r="L710" t="s">
        <v>7401</v>
      </c>
    </row>
    <row r="711" spans="1:12" x14ac:dyDescent="0.35">
      <c r="A711" t="s">
        <v>117</v>
      </c>
      <c r="B711" t="s">
        <v>380</v>
      </c>
      <c r="D711">
        <v>957</v>
      </c>
      <c r="F711" t="s">
        <v>6351</v>
      </c>
      <c r="I711" t="s">
        <v>7395</v>
      </c>
      <c r="K711" t="s">
        <v>7400</v>
      </c>
      <c r="L711" t="s">
        <v>7401</v>
      </c>
    </row>
    <row r="712" spans="1:12" x14ac:dyDescent="0.35">
      <c r="A712" t="s">
        <v>117</v>
      </c>
      <c r="B712" t="s">
        <v>502</v>
      </c>
      <c r="D712">
        <v>1130</v>
      </c>
      <c r="F712" t="s">
        <v>5554</v>
      </c>
      <c r="I712" t="s">
        <v>1533</v>
      </c>
      <c r="K712" t="s">
        <v>7400</v>
      </c>
      <c r="L712" t="s">
        <v>7401</v>
      </c>
    </row>
    <row r="713" spans="1:12" x14ac:dyDescent="0.35">
      <c r="A713" t="s">
        <v>117</v>
      </c>
      <c r="B713" t="s">
        <v>502</v>
      </c>
      <c r="D713">
        <v>963</v>
      </c>
      <c r="F713" t="s">
        <v>6352</v>
      </c>
      <c r="I713" t="s">
        <v>1766</v>
      </c>
      <c r="K713" t="s">
        <v>7400</v>
      </c>
      <c r="L713" t="s">
        <v>7401</v>
      </c>
    </row>
    <row r="714" spans="1:12" x14ac:dyDescent="0.35">
      <c r="A714" t="s">
        <v>117</v>
      </c>
      <c r="B714" t="s">
        <v>473</v>
      </c>
      <c r="D714">
        <v>425</v>
      </c>
      <c r="F714" t="s">
        <v>6353</v>
      </c>
      <c r="I714" t="s">
        <v>2393</v>
      </c>
      <c r="K714" t="s">
        <v>7400</v>
      </c>
      <c r="L714" t="s">
        <v>7401</v>
      </c>
    </row>
    <row r="715" spans="1:12" x14ac:dyDescent="0.35">
      <c r="A715" t="s">
        <v>117</v>
      </c>
      <c r="B715" t="s">
        <v>332</v>
      </c>
      <c r="D715">
        <v>681</v>
      </c>
      <c r="F715" t="s">
        <v>5451</v>
      </c>
      <c r="I715" t="s">
        <v>7396</v>
      </c>
      <c r="K715" t="s">
        <v>7400</v>
      </c>
      <c r="L715" t="s">
        <v>7401</v>
      </c>
    </row>
    <row r="716" spans="1:12" x14ac:dyDescent="0.35">
      <c r="A716" t="s">
        <v>117</v>
      </c>
      <c r="B716" t="s">
        <v>584</v>
      </c>
      <c r="D716">
        <v>22.7</v>
      </c>
      <c r="F716" t="s">
        <v>5277</v>
      </c>
      <c r="I716" t="s">
        <v>1368</v>
      </c>
      <c r="K716" t="s">
        <v>7400</v>
      </c>
      <c r="L716" t="s">
        <v>7401</v>
      </c>
    </row>
    <row r="717" spans="1:12" x14ac:dyDescent="0.35">
      <c r="A717" t="s">
        <v>117</v>
      </c>
      <c r="B717" t="s">
        <v>585</v>
      </c>
      <c r="D717">
        <v>180</v>
      </c>
      <c r="F717" t="s">
        <v>2407</v>
      </c>
      <c r="H717" t="s">
        <v>4258</v>
      </c>
      <c r="I717" t="s">
        <v>4872</v>
      </c>
      <c r="K717" t="s">
        <v>7400</v>
      </c>
      <c r="L717" t="s">
        <v>7401</v>
      </c>
    </row>
    <row r="718" spans="1:12" x14ac:dyDescent="0.35">
      <c r="A718" t="s">
        <v>117</v>
      </c>
      <c r="B718" t="s">
        <v>585</v>
      </c>
      <c r="D718">
        <v>571</v>
      </c>
      <c r="F718" t="s">
        <v>6354</v>
      </c>
      <c r="H718" t="s">
        <v>7043</v>
      </c>
      <c r="I718" t="s">
        <v>4872</v>
      </c>
      <c r="K718" t="s">
        <v>7400</v>
      </c>
      <c r="L718" t="s">
        <v>7401</v>
      </c>
    </row>
    <row r="719" spans="1:12" x14ac:dyDescent="0.35">
      <c r="A719" t="s">
        <v>117</v>
      </c>
      <c r="B719" t="s">
        <v>586</v>
      </c>
      <c r="D719">
        <v>359.7</v>
      </c>
      <c r="F719" t="s">
        <v>6355</v>
      </c>
      <c r="I719" t="s">
        <v>1477</v>
      </c>
      <c r="K719" t="s">
        <v>7400</v>
      </c>
      <c r="L719" t="s">
        <v>7401</v>
      </c>
    </row>
    <row r="720" spans="1:12" x14ac:dyDescent="0.35">
      <c r="A720" t="s">
        <v>117</v>
      </c>
      <c r="B720" t="s">
        <v>587</v>
      </c>
      <c r="D720">
        <v>390</v>
      </c>
      <c r="F720" t="s">
        <v>6122</v>
      </c>
      <c r="H720" t="s">
        <v>7044</v>
      </c>
      <c r="I720" t="s">
        <v>4872</v>
      </c>
      <c r="K720" t="s">
        <v>7400</v>
      </c>
      <c r="L720" t="s">
        <v>7401</v>
      </c>
    </row>
    <row r="721" spans="1:12" x14ac:dyDescent="0.35">
      <c r="A721" t="s">
        <v>117</v>
      </c>
      <c r="B721" t="s">
        <v>587</v>
      </c>
      <c r="D721">
        <v>279</v>
      </c>
      <c r="F721" t="s">
        <v>5034</v>
      </c>
      <c r="H721" t="s">
        <v>4260</v>
      </c>
      <c r="I721" t="s">
        <v>4872</v>
      </c>
      <c r="K721" t="s">
        <v>7400</v>
      </c>
      <c r="L721" t="s">
        <v>7401</v>
      </c>
    </row>
    <row r="722" spans="1:12" x14ac:dyDescent="0.35">
      <c r="A722" t="s">
        <v>117</v>
      </c>
      <c r="B722" t="s">
        <v>313</v>
      </c>
      <c r="D722">
        <v>2.3E-2</v>
      </c>
      <c r="F722" t="s">
        <v>1457</v>
      </c>
      <c r="H722" t="s">
        <v>7045</v>
      </c>
      <c r="I722" t="s">
        <v>1494</v>
      </c>
      <c r="K722" t="s">
        <v>7400</v>
      </c>
      <c r="L722" t="s">
        <v>7401</v>
      </c>
    </row>
    <row r="723" spans="1:12" x14ac:dyDescent="0.35">
      <c r="A723" t="s">
        <v>117</v>
      </c>
      <c r="B723" t="s">
        <v>313</v>
      </c>
      <c r="D723">
        <v>3.7999999999999999E-2</v>
      </c>
      <c r="F723" t="s">
        <v>1803</v>
      </c>
      <c r="H723" t="s">
        <v>7046</v>
      </c>
      <c r="I723" t="s">
        <v>1494</v>
      </c>
      <c r="K723" t="s">
        <v>7400</v>
      </c>
      <c r="L723" t="s">
        <v>7401</v>
      </c>
    </row>
    <row r="724" spans="1:12" x14ac:dyDescent="0.35">
      <c r="A724" t="s">
        <v>117</v>
      </c>
      <c r="B724" t="s">
        <v>313</v>
      </c>
      <c r="D724">
        <v>4.2000000000000003E-2</v>
      </c>
      <c r="F724" t="s">
        <v>1338</v>
      </c>
      <c r="H724" t="s">
        <v>7047</v>
      </c>
      <c r="I724" t="s">
        <v>1494</v>
      </c>
      <c r="K724" t="s">
        <v>7400</v>
      </c>
      <c r="L724" t="s">
        <v>7401</v>
      </c>
    </row>
    <row r="725" spans="1:12" x14ac:dyDescent="0.35">
      <c r="A725" t="s">
        <v>117</v>
      </c>
      <c r="B725" t="s">
        <v>377</v>
      </c>
      <c r="D725">
        <v>150</v>
      </c>
      <c r="F725" t="s">
        <v>1892</v>
      </c>
      <c r="H725" t="s">
        <v>7048</v>
      </c>
      <c r="I725" t="s">
        <v>2323</v>
      </c>
      <c r="K725" t="s">
        <v>7400</v>
      </c>
      <c r="L725" t="s">
        <v>7401</v>
      </c>
    </row>
    <row r="726" spans="1:12" x14ac:dyDescent="0.35">
      <c r="A726" t="s">
        <v>117</v>
      </c>
      <c r="B726" t="s">
        <v>589</v>
      </c>
      <c r="D726">
        <v>140</v>
      </c>
      <c r="F726" t="s">
        <v>1515</v>
      </c>
      <c r="H726" t="s">
        <v>4265</v>
      </c>
      <c r="I726" t="s">
        <v>4872</v>
      </c>
      <c r="K726" t="s">
        <v>7400</v>
      </c>
      <c r="L726" t="s">
        <v>7401</v>
      </c>
    </row>
    <row r="727" spans="1:12" x14ac:dyDescent="0.35">
      <c r="A727" t="s">
        <v>117</v>
      </c>
      <c r="B727" t="s">
        <v>589</v>
      </c>
      <c r="D727">
        <v>618</v>
      </c>
      <c r="F727" t="s">
        <v>6356</v>
      </c>
      <c r="H727" t="s">
        <v>7049</v>
      </c>
      <c r="I727" t="s">
        <v>4872</v>
      </c>
      <c r="K727" t="s">
        <v>7400</v>
      </c>
      <c r="L727" t="s">
        <v>7401</v>
      </c>
    </row>
    <row r="728" spans="1:12" x14ac:dyDescent="0.35">
      <c r="A728" t="s">
        <v>117</v>
      </c>
      <c r="B728" t="s">
        <v>461</v>
      </c>
      <c r="D728">
        <v>356</v>
      </c>
      <c r="F728" t="s">
        <v>6357</v>
      </c>
      <c r="H728" t="s">
        <v>7050</v>
      </c>
      <c r="I728" t="s">
        <v>4897</v>
      </c>
      <c r="K728" t="s">
        <v>7400</v>
      </c>
      <c r="L728" t="s">
        <v>7401</v>
      </c>
    </row>
    <row r="729" spans="1:12" x14ac:dyDescent="0.35">
      <c r="A729" t="s">
        <v>117</v>
      </c>
      <c r="B729" t="s">
        <v>461</v>
      </c>
      <c r="D729">
        <v>1.94</v>
      </c>
      <c r="F729" t="s">
        <v>1989</v>
      </c>
      <c r="H729" t="s">
        <v>7051</v>
      </c>
      <c r="I729" t="s">
        <v>4897</v>
      </c>
      <c r="K729" t="s">
        <v>7400</v>
      </c>
      <c r="L729" t="s">
        <v>7401</v>
      </c>
    </row>
    <row r="730" spans="1:12" x14ac:dyDescent="0.35">
      <c r="A730" t="s">
        <v>117</v>
      </c>
      <c r="B730" t="s">
        <v>466</v>
      </c>
      <c r="D730">
        <v>284</v>
      </c>
      <c r="F730" t="s">
        <v>4959</v>
      </c>
      <c r="H730" t="s">
        <v>7052</v>
      </c>
      <c r="I730" t="s">
        <v>1359</v>
      </c>
      <c r="K730" t="s">
        <v>7400</v>
      </c>
      <c r="L730" t="s">
        <v>7401</v>
      </c>
    </row>
    <row r="731" spans="1:12" x14ac:dyDescent="0.35">
      <c r="A731" t="s">
        <v>117</v>
      </c>
      <c r="B731" t="s">
        <v>466</v>
      </c>
      <c r="D731">
        <v>105</v>
      </c>
      <c r="F731" t="s">
        <v>1494</v>
      </c>
      <c r="H731" t="s">
        <v>7053</v>
      </c>
      <c r="I731" t="s">
        <v>1359</v>
      </c>
      <c r="K731" t="s">
        <v>7400</v>
      </c>
      <c r="L731" t="s">
        <v>7401</v>
      </c>
    </row>
    <row r="732" spans="1:12" x14ac:dyDescent="0.35">
      <c r="A732" t="s">
        <v>117</v>
      </c>
      <c r="B732" t="s">
        <v>516</v>
      </c>
      <c r="D732">
        <v>33.24</v>
      </c>
      <c r="F732" t="s">
        <v>6358</v>
      </c>
      <c r="I732" t="s">
        <v>1390</v>
      </c>
      <c r="K732" t="s">
        <v>7400</v>
      </c>
      <c r="L732" t="s">
        <v>7401</v>
      </c>
    </row>
    <row r="733" spans="1:12" x14ac:dyDescent="0.35">
      <c r="A733" t="s">
        <v>117</v>
      </c>
      <c r="B733" t="s">
        <v>446</v>
      </c>
      <c r="D733">
        <v>8.5000000000000006E-2</v>
      </c>
      <c r="F733" t="s">
        <v>1459</v>
      </c>
      <c r="H733" t="s">
        <v>7054</v>
      </c>
      <c r="I733" t="s">
        <v>1494</v>
      </c>
      <c r="K733" t="s">
        <v>7400</v>
      </c>
      <c r="L733" t="s">
        <v>7401</v>
      </c>
    </row>
    <row r="734" spans="1:12" x14ac:dyDescent="0.35">
      <c r="A734" t="s">
        <v>117</v>
      </c>
      <c r="B734" t="s">
        <v>399</v>
      </c>
      <c r="D734">
        <v>68.7</v>
      </c>
      <c r="F734" t="s">
        <v>6359</v>
      </c>
      <c r="H734" t="s">
        <v>7055</v>
      </c>
      <c r="I734" t="s">
        <v>1966</v>
      </c>
      <c r="K734" t="s">
        <v>7400</v>
      </c>
      <c r="L734" t="s">
        <v>7401</v>
      </c>
    </row>
    <row r="735" spans="1:12" x14ac:dyDescent="0.35">
      <c r="A735" t="s">
        <v>117</v>
      </c>
      <c r="B735" t="s">
        <v>399</v>
      </c>
      <c r="D735">
        <v>46.2</v>
      </c>
      <c r="F735" t="s">
        <v>6360</v>
      </c>
      <c r="H735" t="s">
        <v>7056</v>
      </c>
      <c r="I735" t="s">
        <v>1966</v>
      </c>
      <c r="K735" t="s">
        <v>7400</v>
      </c>
      <c r="L735" t="s">
        <v>7401</v>
      </c>
    </row>
    <row r="736" spans="1:12" x14ac:dyDescent="0.35">
      <c r="A736" t="s">
        <v>117</v>
      </c>
      <c r="B736" t="s">
        <v>6083</v>
      </c>
      <c r="D736">
        <v>188.3</v>
      </c>
      <c r="F736" t="s">
        <v>6361</v>
      </c>
      <c r="I736" t="s">
        <v>2327</v>
      </c>
      <c r="K736" t="s">
        <v>7400</v>
      </c>
      <c r="L736" t="s">
        <v>7401</v>
      </c>
    </row>
    <row r="737" spans="1:12" x14ac:dyDescent="0.35">
      <c r="A737" t="s">
        <v>117</v>
      </c>
      <c r="B737" t="s">
        <v>320</v>
      </c>
      <c r="D737">
        <v>0.25800000000000001</v>
      </c>
      <c r="F737" t="s">
        <v>6362</v>
      </c>
      <c r="H737" t="s">
        <v>7057</v>
      </c>
      <c r="I737" t="s">
        <v>4852</v>
      </c>
      <c r="K737" t="s">
        <v>7400</v>
      </c>
      <c r="L737" t="s">
        <v>7401</v>
      </c>
    </row>
    <row r="738" spans="1:12" x14ac:dyDescent="0.35">
      <c r="A738" t="s">
        <v>117</v>
      </c>
      <c r="B738" t="s">
        <v>320</v>
      </c>
      <c r="D738">
        <v>565</v>
      </c>
      <c r="F738" t="s">
        <v>6363</v>
      </c>
      <c r="I738" t="s">
        <v>1372</v>
      </c>
      <c r="K738" t="s">
        <v>7400</v>
      </c>
      <c r="L738" t="s">
        <v>7401</v>
      </c>
    </row>
    <row r="739" spans="1:12" x14ac:dyDescent="0.35">
      <c r="A739" t="s">
        <v>117</v>
      </c>
      <c r="B739" t="s">
        <v>320</v>
      </c>
      <c r="D739">
        <v>0.19</v>
      </c>
      <c r="F739" t="s">
        <v>1538</v>
      </c>
      <c r="H739" t="s">
        <v>7058</v>
      </c>
      <c r="I739" t="s">
        <v>4852</v>
      </c>
      <c r="K739" t="s">
        <v>7400</v>
      </c>
      <c r="L739" t="s">
        <v>7401</v>
      </c>
    </row>
    <row r="740" spans="1:12" x14ac:dyDescent="0.35">
      <c r="A740" t="s">
        <v>117</v>
      </c>
      <c r="B740" t="s">
        <v>320</v>
      </c>
      <c r="D740">
        <v>2200</v>
      </c>
      <c r="F740" t="s">
        <v>6364</v>
      </c>
      <c r="I740" t="s">
        <v>1383</v>
      </c>
      <c r="K740" t="s">
        <v>7400</v>
      </c>
      <c r="L740" t="s">
        <v>7401</v>
      </c>
    </row>
    <row r="741" spans="1:12" x14ac:dyDescent="0.35">
      <c r="A741" t="s">
        <v>117</v>
      </c>
      <c r="B741" t="s">
        <v>320</v>
      </c>
      <c r="D741">
        <v>0.247</v>
      </c>
      <c r="F741" t="s">
        <v>2123</v>
      </c>
      <c r="H741" t="s">
        <v>7059</v>
      </c>
      <c r="I741" t="s">
        <v>4852</v>
      </c>
      <c r="K741" t="s">
        <v>7400</v>
      </c>
      <c r="L741" t="s">
        <v>7401</v>
      </c>
    </row>
    <row r="742" spans="1:12" x14ac:dyDescent="0.35">
      <c r="A742" t="s">
        <v>117</v>
      </c>
      <c r="B742" t="s">
        <v>320</v>
      </c>
      <c r="D742">
        <v>944</v>
      </c>
      <c r="F742" t="s">
        <v>6365</v>
      </c>
      <c r="I742" t="s">
        <v>1489</v>
      </c>
      <c r="K742" t="s">
        <v>7400</v>
      </c>
      <c r="L742" t="s">
        <v>7401</v>
      </c>
    </row>
    <row r="743" spans="1:12" x14ac:dyDescent="0.35">
      <c r="A743" t="s">
        <v>117</v>
      </c>
      <c r="B743" t="s">
        <v>320</v>
      </c>
      <c r="D743">
        <v>943.6</v>
      </c>
      <c r="F743" t="s">
        <v>6366</v>
      </c>
      <c r="I743" t="s">
        <v>1335</v>
      </c>
      <c r="K743" t="s">
        <v>7400</v>
      </c>
      <c r="L743" t="s">
        <v>7401</v>
      </c>
    </row>
    <row r="744" spans="1:12" x14ac:dyDescent="0.35">
      <c r="A744" t="s">
        <v>117</v>
      </c>
      <c r="B744" t="s">
        <v>320</v>
      </c>
      <c r="D744">
        <v>0.184</v>
      </c>
      <c r="F744" t="s">
        <v>6367</v>
      </c>
      <c r="H744" t="s">
        <v>7058</v>
      </c>
      <c r="I744" t="s">
        <v>4852</v>
      </c>
      <c r="K744" t="s">
        <v>7400</v>
      </c>
      <c r="L744" t="s">
        <v>7401</v>
      </c>
    </row>
    <row r="745" spans="1:12" x14ac:dyDescent="0.35">
      <c r="A745" t="s">
        <v>117</v>
      </c>
      <c r="B745" t="s">
        <v>320</v>
      </c>
      <c r="D745">
        <v>0.218</v>
      </c>
      <c r="F745" t="s">
        <v>6368</v>
      </c>
      <c r="H745" t="s">
        <v>7060</v>
      </c>
      <c r="I745" t="s">
        <v>4852</v>
      </c>
      <c r="K745" t="s">
        <v>7400</v>
      </c>
      <c r="L745" t="s">
        <v>7401</v>
      </c>
    </row>
    <row r="746" spans="1:12" x14ac:dyDescent="0.35">
      <c r="A746" t="s">
        <v>117</v>
      </c>
      <c r="B746" t="s">
        <v>320</v>
      </c>
      <c r="D746">
        <v>0.17199999999999999</v>
      </c>
      <c r="F746" t="s">
        <v>2160</v>
      </c>
      <c r="H746" t="s">
        <v>7061</v>
      </c>
      <c r="I746" t="s">
        <v>4852</v>
      </c>
      <c r="K746" t="s">
        <v>7400</v>
      </c>
      <c r="L746" t="s">
        <v>7401</v>
      </c>
    </row>
    <row r="747" spans="1:12" x14ac:dyDescent="0.35">
      <c r="A747" t="s">
        <v>117</v>
      </c>
      <c r="B747" t="s">
        <v>320</v>
      </c>
      <c r="D747">
        <v>0.221</v>
      </c>
      <c r="F747" t="s">
        <v>2514</v>
      </c>
      <c r="H747" t="s">
        <v>7062</v>
      </c>
      <c r="I747" t="s">
        <v>4852</v>
      </c>
      <c r="K747" t="s">
        <v>7400</v>
      </c>
      <c r="L747" t="s">
        <v>7401</v>
      </c>
    </row>
    <row r="748" spans="1:12" x14ac:dyDescent="0.35">
      <c r="A748" t="s">
        <v>117</v>
      </c>
      <c r="B748" t="s">
        <v>6084</v>
      </c>
      <c r="D748">
        <v>925</v>
      </c>
      <c r="F748" t="s">
        <v>6369</v>
      </c>
      <c r="I748" t="s">
        <v>1379</v>
      </c>
      <c r="K748" t="s">
        <v>7400</v>
      </c>
      <c r="L748" t="s">
        <v>7401</v>
      </c>
    </row>
    <row r="749" spans="1:12" x14ac:dyDescent="0.35">
      <c r="A749" t="s">
        <v>117</v>
      </c>
      <c r="B749" t="s">
        <v>591</v>
      </c>
      <c r="D749">
        <v>83.2</v>
      </c>
      <c r="F749" t="s">
        <v>6370</v>
      </c>
      <c r="I749" t="s">
        <v>1317</v>
      </c>
      <c r="K749" t="s">
        <v>7400</v>
      </c>
      <c r="L749" t="s">
        <v>7401</v>
      </c>
    </row>
    <row r="750" spans="1:12" x14ac:dyDescent="0.35">
      <c r="A750" t="s">
        <v>117</v>
      </c>
      <c r="B750" t="s">
        <v>479</v>
      </c>
      <c r="D750">
        <v>200</v>
      </c>
      <c r="F750" t="s">
        <v>2332</v>
      </c>
      <c r="I750" t="s">
        <v>4863</v>
      </c>
      <c r="K750" t="s">
        <v>7400</v>
      </c>
      <c r="L750" t="s">
        <v>7401</v>
      </c>
    </row>
    <row r="751" spans="1:12" x14ac:dyDescent="0.35">
      <c r="A751" t="s">
        <v>117</v>
      </c>
      <c r="B751" t="s">
        <v>592</v>
      </c>
      <c r="D751">
        <v>3570</v>
      </c>
      <c r="F751" t="s">
        <v>6371</v>
      </c>
      <c r="I751" t="s">
        <v>1878</v>
      </c>
      <c r="K751" t="s">
        <v>7400</v>
      </c>
      <c r="L751" t="s">
        <v>7401</v>
      </c>
    </row>
    <row r="752" spans="1:12" x14ac:dyDescent="0.35">
      <c r="A752" t="s">
        <v>117</v>
      </c>
      <c r="B752" t="s">
        <v>377</v>
      </c>
      <c r="D752">
        <v>90</v>
      </c>
      <c r="F752" t="s">
        <v>2330</v>
      </c>
      <c r="I752" t="s">
        <v>1516</v>
      </c>
      <c r="K752" t="s">
        <v>7400</v>
      </c>
      <c r="L752" t="s">
        <v>7401</v>
      </c>
    </row>
    <row r="753" spans="1:12" x14ac:dyDescent="0.35">
      <c r="A753" t="s">
        <v>117</v>
      </c>
      <c r="B753" t="s">
        <v>416</v>
      </c>
      <c r="D753">
        <v>0.34</v>
      </c>
      <c r="F753" t="s">
        <v>1327</v>
      </c>
      <c r="H753" t="s">
        <v>7063</v>
      </c>
      <c r="I753" t="s">
        <v>4871</v>
      </c>
      <c r="K753" t="s">
        <v>7400</v>
      </c>
      <c r="L753" t="s">
        <v>7401</v>
      </c>
    </row>
    <row r="754" spans="1:12" x14ac:dyDescent="0.35">
      <c r="A754" t="s">
        <v>117</v>
      </c>
      <c r="B754" t="s">
        <v>416</v>
      </c>
      <c r="D754">
        <v>3400</v>
      </c>
      <c r="F754" t="s">
        <v>6372</v>
      </c>
      <c r="H754" t="s">
        <v>7064</v>
      </c>
      <c r="I754" t="s">
        <v>4871</v>
      </c>
      <c r="K754" t="s">
        <v>7400</v>
      </c>
      <c r="L754" t="s">
        <v>7401</v>
      </c>
    </row>
    <row r="755" spans="1:12" x14ac:dyDescent="0.35">
      <c r="A755" t="s">
        <v>117</v>
      </c>
      <c r="B755" t="s">
        <v>327</v>
      </c>
      <c r="D755">
        <v>1.4</v>
      </c>
      <c r="F755" t="s">
        <v>1469</v>
      </c>
      <c r="H755" t="s">
        <v>7065</v>
      </c>
      <c r="I755" t="s">
        <v>4853</v>
      </c>
      <c r="K755" t="s">
        <v>7400</v>
      </c>
      <c r="L755" t="s">
        <v>7401</v>
      </c>
    </row>
    <row r="756" spans="1:12" x14ac:dyDescent="0.35">
      <c r="A756" t="s">
        <v>117</v>
      </c>
      <c r="B756" t="s">
        <v>327</v>
      </c>
      <c r="D756">
        <v>0.9</v>
      </c>
      <c r="F756" t="s">
        <v>1556</v>
      </c>
      <c r="H756" t="s">
        <v>7066</v>
      </c>
      <c r="I756" t="s">
        <v>4853</v>
      </c>
      <c r="K756" t="s">
        <v>7400</v>
      </c>
      <c r="L756" t="s">
        <v>7401</v>
      </c>
    </row>
    <row r="757" spans="1:12" x14ac:dyDescent="0.35">
      <c r="A757" t="s">
        <v>117</v>
      </c>
      <c r="B757" t="s">
        <v>327</v>
      </c>
      <c r="D757">
        <v>0.4</v>
      </c>
      <c r="F757" t="s">
        <v>1315</v>
      </c>
      <c r="H757" t="s">
        <v>7067</v>
      </c>
      <c r="I757" t="s">
        <v>4853</v>
      </c>
      <c r="K757" t="s">
        <v>7400</v>
      </c>
      <c r="L757" t="s">
        <v>7401</v>
      </c>
    </row>
    <row r="758" spans="1:12" x14ac:dyDescent="0.35">
      <c r="A758" t="s">
        <v>117</v>
      </c>
      <c r="B758" t="s">
        <v>327</v>
      </c>
      <c r="D758">
        <v>1150</v>
      </c>
      <c r="F758" t="s">
        <v>6373</v>
      </c>
      <c r="I758" t="s">
        <v>1373</v>
      </c>
      <c r="K758" t="s">
        <v>7400</v>
      </c>
      <c r="L758" t="s">
        <v>7401</v>
      </c>
    </row>
    <row r="759" spans="1:12" x14ac:dyDescent="0.35">
      <c r="A759" t="s">
        <v>117</v>
      </c>
      <c r="B759" t="s">
        <v>327</v>
      </c>
      <c r="D759">
        <v>1.17</v>
      </c>
      <c r="F759" t="s">
        <v>2635</v>
      </c>
      <c r="H759" t="s">
        <v>7068</v>
      </c>
      <c r="I759" t="s">
        <v>4853</v>
      </c>
      <c r="K759" t="s">
        <v>7400</v>
      </c>
      <c r="L759" t="s">
        <v>7401</v>
      </c>
    </row>
    <row r="760" spans="1:12" x14ac:dyDescent="0.35">
      <c r="A760" t="s">
        <v>117</v>
      </c>
      <c r="B760" t="s">
        <v>327</v>
      </c>
      <c r="D760">
        <v>110</v>
      </c>
      <c r="F760" t="s">
        <v>2331</v>
      </c>
      <c r="H760" t="s">
        <v>7069</v>
      </c>
      <c r="I760" t="s">
        <v>2323</v>
      </c>
      <c r="K760" t="s">
        <v>7400</v>
      </c>
      <c r="L760" t="s">
        <v>7401</v>
      </c>
    </row>
    <row r="761" spans="1:12" x14ac:dyDescent="0.35">
      <c r="A761" t="s">
        <v>117</v>
      </c>
      <c r="B761" t="s">
        <v>327</v>
      </c>
      <c r="D761">
        <v>1830</v>
      </c>
      <c r="F761" t="s">
        <v>6374</v>
      </c>
      <c r="I761" t="s">
        <v>2258</v>
      </c>
      <c r="K761" t="s">
        <v>7400</v>
      </c>
      <c r="L761" t="s">
        <v>7401</v>
      </c>
    </row>
    <row r="762" spans="1:12" x14ac:dyDescent="0.35">
      <c r="A762" t="s">
        <v>117</v>
      </c>
      <c r="B762" t="s">
        <v>327</v>
      </c>
      <c r="D762">
        <v>1019</v>
      </c>
      <c r="F762" t="s">
        <v>6375</v>
      </c>
      <c r="I762" t="s">
        <v>1450</v>
      </c>
      <c r="K762" t="s">
        <v>7400</v>
      </c>
      <c r="L762" t="s">
        <v>7401</v>
      </c>
    </row>
    <row r="763" spans="1:12" x14ac:dyDescent="0.35">
      <c r="A763" t="s">
        <v>117</v>
      </c>
      <c r="B763" t="s">
        <v>327</v>
      </c>
      <c r="D763">
        <v>1580</v>
      </c>
      <c r="F763" t="s">
        <v>6376</v>
      </c>
      <c r="H763" t="s">
        <v>7070</v>
      </c>
      <c r="I763" t="s">
        <v>4865</v>
      </c>
      <c r="K763" t="s">
        <v>7400</v>
      </c>
      <c r="L763" t="s">
        <v>7401</v>
      </c>
    </row>
    <row r="764" spans="1:12" x14ac:dyDescent="0.35">
      <c r="A764" t="s">
        <v>117</v>
      </c>
      <c r="B764" t="s">
        <v>179</v>
      </c>
      <c r="D764">
        <v>191</v>
      </c>
      <c r="F764" t="s">
        <v>4936</v>
      </c>
      <c r="H764" t="s">
        <v>7071</v>
      </c>
      <c r="I764" t="s">
        <v>1526</v>
      </c>
      <c r="K764" t="s">
        <v>7400</v>
      </c>
      <c r="L764" t="s">
        <v>7401</v>
      </c>
    </row>
    <row r="765" spans="1:12" x14ac:dyDescent="0.35">
      <c r="A765" t="s">
        <v>117</v>
      </c>
      <c r="B765" t="s">
        <v>179</v>
      </c>
      <c r="D765">
        <v>2415</v>
      </c>
      <c r="F765" t="s">
        <v>6377</v>
      </c>
      <c r="H765" t="s">
        <v>7072</v>
      </c>
      <c r="I765" t="s">
        <v>1526</v>
      </c>
      <c r="K765" t="s">
        <v>7400</v>
      </c>
      <c r="L765" t="s">
        <v>7401</v>
      </c>
    </row>
    <row r="766" spans="1:12" x14ac:dyDescent="0.35">
      <c r="A766" t="s">
        <v>117</v>
      </c>
      <c r="B766" t="s">
        <v>179</v>
      </c>
      <c r="D766">
        <v>2410</v>
      </c>
      <c r="F766" t="s">
        <v>6378</v>
      </c>
      <c r="I766" t="s">
        <v>1526</v>
      </c>
      <c r="K766" t="s">
        <v>7400</v>
      </c>
      <c r="L766" t="s">
        <v>7401</v>
      </c>
    </row>
    <row r="767" spans="1:12" x14ac:dyDescent="0.35">
      <c r="A767" t="s">
        <v>117</v>
      </c>
      <c r="B767" t="s">
        <v>179</v>
      </c>
      <c r="D767">
        <v>2110</v>
      </c>
      <c r="F767" t="s">
        <v>6379</v>
      </c>
      <c r="H767" t="s">
        <v>7073</v>
      </c>
      <c r="I767" t="s">
        <v>1372</v>
      </c>
      <c r="K767" t="s">
        <v>7400</v>
      </c>
      <c r="L767" t="s">
        <v>7401</v>
      </c>
    </row>
    <row r="768" spans="1:12" x14ac:dyDescent="0.35">
      <c r="A768" t="s">
        <v>117</v>
      </c>
      <c r="B768" t="s">
        <v>179</v>
      </c>
      <c r="D768">
        <v>1720</v>
      </c>
      <c r="F768" t="s">
        <v>6380</v>
      </c>
      <c r="I768" t="s">
        <v>1367</v>
      </c>
      <c r="K768" t="s">
        <v>7400</v>
      </c>
      <c r="L768" t="s">
        <v>7401</v>
      </c>
    </row>
    <row r="769" spans="1:12" x14ac:dyDescent="0.35">
      <c r="A769" t="s">
        <v>117</v>
      </c>
      <c r="B769" t="s">
        <v>179</v>
      </c>
      <c r="D769">
        <v>983</v>
      </c>
      <c r="F769" t="s">
        <v>5537</v>
      </c>
      <c r="H769" t="s">
        <v>7074</v>
      </c>
      <c r="I769" t="s">
        <v>1526</v>
      </c>
      <c r="K769" t="s">
        <v>7400</v>
      </c>
      <c r="L769" t="s">
        <v>7401</v>
      </c>
    </row>
    <row r="770" spans="1:12" x14ac:dyDescent="0.35">
      <c r="A770" t="s">
        <v>117</v>
      </c>
      <c r="B770" t="s">
        <v>179</v>
      </c>
      <c r="D770">
        <v>950</v>
      </c>
      <c r="F770" t="s">
        <v>6188</v>
      </c>
      <c r="H770" t="s">
        <v>7075</v>
      </c>
      <c r="I770" t="s">
        <v>1372</v>
      </c>
      <c r="K770" t="s">
        <v>7400</v>
      </c>
      <c r="L770" t="s">
        <v>7401</v>
      </c>
    </row>
    <row r="771" spans="1:12" x14ac:dyDescent="0.35">
      <c r="A771" t="s">
        <v>117</v>
      </c>
      <c r="B771" t="s">
        <v>179</v>
      </c>
      <c r="D771">
        <v>814</v>
      </c>
      <c r="F771" t="s">
        <v>6381</v>
      </c>
      <c r="H771" t="s">
        <v>7076</v>
      </c>
      <c r="I771" t="s">
        <v>1526</v>
      </c>
      <c r="K771" t="s">
        <v>7400</v>
      </c>
      <c r="L771" t="s">
        <v>7401</v>
      </c>
    </row>
    <row r="772" spans="1:12" x14ac:dyDescent="0.35">
      <c r="A772" t="s">
        <v>117</v>
      </c>
      <c r="B772" t="s">
        <v>179</v>
      </c>
      <c r="D772">
        <v>18.7</v>
      </c>
      <c r="F772" t="s">
        <v>5599</v>
      </c>
      <c r="I772" t="s">
        <v>2364</v>
      </c>
      <c r="K772" t="s">
        <v>7400</v>
      </c>
      <c r="L772" t="s">
        <v>7401</v>
      </c>
    </row>
    <row r="773" spans="1:12" x14ac:dyDescent="0.35">
      <c r="A773" t="s">
        <v>117</v>
      </c>
      <c r="B773" t="s">
        <v>179</v>
      </c>
      <c r="D773">
        <v>10.36</v>
      </c>
      <c r="F773" t="s">
        <v>6382</v>
      </c>
      <c r="H773" t="s">
        <v>7077</v>
      </c>
      <c r="I773" t="s">
        <v>4856</v>
      </c>
      <c r="K773" t="s">
        <v>7400</v>
      </c>
      <c r="L773" t="s">
        <v>7401</v>
      </c>
    </row>
    <row r="774" spans="1:12" x14ac:dyDescent="0.35">
      <c r="A774" t="s">
        <v>117</v>
      </c>
      <c r="B774" t="s">
        <v>179</v>
      </c>
      <c r="D774">
        <v>15.24</v>
      </c>
      <c r="F774" t="s">
        <v>6383</v>
      </c>
      <c r="H774" t="s">
        <v>7078</v>
      </c>
      <c r="I774" t="s">
        <v>4856</v>
      </c>
      <c r="K774" t="s">
        <v>7400</v>
      </c>
      <c r="L774" t="s">
        <v>7401</v>
      </c>
    </row>
    <row r="775" spans="1:12" x14ac:dyDescent="0.35">
      <c r="A775" t="s">
        <v>117</v>
      </c>
      <c r="B775" t="s">
        <v>179</v>
      </c>
      <c r="D775">
        <v>8.69</v>
      </c>
      <c r="F775" t="s">
        <v>5682</v>
      </c>
      <c r="H775" t="s">
        <v>7079</v>
      </c>
      <c r="I775" t="s">
        <v>4856</v>
      </c>
      <c r="K775" t="s">
        <v>7400</v>
      </c>
      <c r="L775" t="s">
        <v>7401</v>
      </c>
    </row>
    <row r="776" spans="1:12" x14ac:dyDescent="0.35">
      <c r="A776" t="s">
        <v>117</v>
      </c>
      <c r="B776" t="s">
        <v>179</v>
      </c>
      <c r="D776">
        <v>12.01</v>
      </c>
      <c r="F776" t="s">
        <v>6384</v>
      </c>
      <c r="H776" t="s">
        <v>7080</v>
      </c>
      <c r="I776" t="s">
        <v>4856</v>
      </c>
      <c r="K776" t="s">
        <v>7400</v>
      </c>
      <c r="L776" t="s">
        <v>7401</v>
      </c>
    </row>
    <row r="777" spans="1:12" x14ac:dyDescent="0.35">
      <c r="A777" t="s">
        <v>117</v>
      </c>
      <c r="B777" t="s">
        <v>179</v>
      </c>
      <c r="D777">
        <v>13.34</v>
      </c>
      <c r="F777" t="s">
        <v>6385</v>
      </c>
      <c r="H777" t="s">
        <v>7081</v>
      </c>
      <c r="I777" t="s">
        <v>4856</v>
      </c>
      <c r="K777" t="s">
        <v>7400</v>
      </c>
      <c r="L777" t="s">
        <v>7401</v>
      </c>
    </row>
    <row r="778" spans="1:12" x14ac:dyDescent="0.35">
      <c r="A778" t="s">
        <v>117</v>
      </c>
      <c r="B778" t="s">
        <v>179</v>
      </c>
      <c r="D778">
        <v>15.62</v>
      </c>
      <c r="F778" t="s">
        <v>6386</v>
      </c>
      <c r="H778" t="s">
        <v>7082</v>
      </c>
      <c r="I778" t="s">
        <v>4856</v>
      </c>
      <c r="K778" t="s">
        <v>7400</v>
      </c>
      <c r="L778" t="s">
        <v>7401</v>
      </c>
    </row>
    <row r="779" spans="1:12" x14ac:dyDescent="0.35">
      <c r="A779" t="s">
        <v>117</v>
      </c>
      <c r="B779" t="s">
        <v>593</v>
      </c>
      <c r="D779">
        <v>120</v>
      </c>
      <c r="F779" t="s">
        <v>2329</v>
      </c>
      <c r="H779" t="s">
        <v>7083</v>
      </c>
      <c r="I779" t="s">
        <v>1625</v>
      </c>
      <c r="K779" t="s">
        <v>7400</v>
      </c>
      <c r="L779" t="s">
        <v>7401</v>
      </c>
    </row>
    <row r="780" spans="1:12" x14ac:dyDescent="0.35">
      <c r="A780" t="s">
        <v>117</v>
      </c>
      <c r="B780" t="s">
        <v>593</v>
      </c>
      <c r="D780">
        <v>8.3000000000000007</v>
      </c>
      <c r="F780" t="s">
        <v>1382</v>
      </c>
      <c r="H780" t="s">
        <v>7084</v>
      </c>
      <c r="I780" t="s">
        <v>1625</v>
      </c>
      <c r="K780" t="s">
        <v>7400</v>
      </c>
      <c r="L780" t="s">
        <v>7401</v>
      </c>
    </row>
    <row r="781" spans="1:12" x14ac:dyDescent="0.35">
      <c r="A781" t="s">
        <v>118</v>
      </c>
      <c r="B781" t="s">
        <v>329</v>
      </c>
      <c r="D781">
        <v>0.49</v>
      </c>
      <c r="F781" t="s">
        <v>1724</v>
      </c>
      <c r="H781" t="s">
        <v>7085</v>
      </c>
      <c r="I781" t="s">
        <v>1335</v>
      </c>
      <c r="K781" t="s">
        <v>7400</v>
      </c>
      <c r="L781" t="s">
        <v>7401</v>
      </c>
    </row>
    <row r="782" spans="1:12" x14ac:dyDescent="0.35">
      <c r="A782" t="s">
        <v>118</v>
      </c>
      <c r="B782" t="s">
        <v>329</v>
      </c>
      <c r="D782">
        <v>3.44</v>
      </c>
      <c r="F782" t="s">
        <v>6387</v>
      </c>
      <c r="I782" t="s">
        <v>1335</v>
      </c>
      <c r="K782" t="s">
        <v>7400</v>
      </c>
      <c r="L782" t="s">
        <v>7401</v>
      </c>
    </row>
    <row r="783" spans="1:12" x14ac:dyDescent="0.35">
      <c r="A783" t="s">
        <v>118</v>
      </c>
      <c r="B783" t="s">
        <v>329</v>
      </c>
      <c r="D783">
        <v>20.39</v>
      </c>
      <c r="F783" t="s">
        <v>6388</v>
      </c>
      <c r="H783" t="s">
        <v>7086</v>
      </c>
      <c r="I783" t="s">
        <v>4996</v>
      </c>
      <c r="K783" t="s">
        <v>7400</v>
      </c>
      <c r="L783" t="s">
        <v>7401</v>
      </c>
    </row>
    <row r="784" spans="1:12" x14ac:dyDescent="0.35">
      <c r="A784" t="s">
        <v>118</v>
      </c>
      <c r="B784" t="s">
        <v>329</v>
      </c>
      <c r="D784">
        <v>0.75</v>
      </c>
      <c r="F784" t="s">
        <v>1475</v>
      </c>
      <c r="H784" t="s">
        <v>7087</v>
      </c>
      <c r="I784" t="s">
        <v>1335</v>
      </c>
      <c r="K784" t="s">
        <v>7400</v>
      </c>
      <c r="L784" t="s">
        <v>7401</v>
      </c>
    </row>
    <row r="785" spans="1:12" x14ac:dyDescent="0.35">
      <c r="A785" t="s">
        <v>118</v>
      </c>
      <c r="B785" t="s">
        <v>329</v>
      </c>
      <c r="D785">
        <v>0.03</v>
      </c>
      <c r="F785" t="s">
        <v>1266</v>
      </c>
      <c r="H785" t="s">
        <v>7088</v>
      </c>
      <c r="I785" t="s">
        <v>1335</v>
      </c>
      <c r="K785" t="s">
        <v>7400</v>
      </c>
      <c r="L785" t="s">
        <v>7401</v>
      </c>
    </row>
    <row r="786" spans="1:12" x14ac:dyDescent="0.35">
      <c r="A786" t="s">
        <v>118</v>
      </c>
      <c r="B786" t="s">
        <v>329</v>
      </c>
      <c r="D786">
        <v>0.83</v>
      </c>
      <c r="F786" t="s">
        <v>1734</v>
      </c>
      <c r="H786" t="s">
        <v>7089</v>
      </c>
      <c r="I786" t="s">
        <v>1335</v>
      </c>
      <c r="K786" t="s">
        <v>7400</v>
      </c>
      <c r="L786" t="s">
        <v>7401</v>
      </c>
    </row>
    <row r="787" spans="1:12" x14ac:dyDescent="0.35">
      <c r="A787" t="s">
        <v>118</v>
      </c>
      <c r="B787" t="s">
        <v>353</v>
      </c>
      <c r="D787">
        <v>0.76</v>
      </c>
      <c r="F787" t="s">
        <v>1750</v>
      </c>
      <c r="H787" t="s">
        <v>7090</v>
      </c>
      <c r="I787" t="s">
        <v>4855</v>
      </c>
      <c r="K787" t="s">
        <v>7400</v>
      </c>
      <c r="L787" t="s">
        <v>7401</v>
      </c>
    </row>
    <row r="788" spans="1:12" x14ac:dyDescent="0.35">
      <c r="A788" t="s">
        <v>118</v>
      </c>
      <c r="B788" t="s">
        <v>353</v>
      </c>
      <c r="D788">
        <v>1.01</v>
      </c>
      <c r="F788" t="s">
        <v>1487</v>
      </c>
      <c r="H788" t="s">
        <v>7091</v>
      </c>
      <c r="I788" t="s">
        <v>4855</v>
      </c>
      <c r="K788" t="s">
        <v>7400</v>
      </c>
      <c r="L788" t="s">
        <v>7401</v>
      </c>
    </row>
    <row r="789" spans="1:12" x14ac:dyDescent="0.35">
      <c r="A789" t="s">
        <v>118</v>
      </c>
      <c r="B789" t="s">
        <v>524</v>
      </c>
      <c r="D789">
        <v>26.9</v>
      </c>
      <c r="F789" t="s">
        <v>2273</v>
      </c>
      <c r="H789" t="s">
        <v>7092</v>
      </c>
      <c r="I789" t="s">
        <v>4998</v>
      </c>
      <c r="K789" t="s">
        <v>7400</v>
      </c>
      <c r="L789" t="s">
        <v>7401</v>
      </c>
    </row>
    <row r="790" spans="1:12" x14ac:dyDescent="0.35">
      <c r="A790" t="s">
        <v>118</v>
      </c>
      <c r="B790" t="s">
        <v>524</v>
      </c>
      <c r="D790">
        <v>1.51</v>
      </c>
      <c r="F790" t="s">
        <v>1917</v>
      </c>
      <c r="H790" t="s">
        <v>7093</v>
      </c>
      <c r="I790" t="s">
        <v>4998</v>
      </c>
      <c r="K790" t="s">
        <v>7400</v>
      </c>
      <c r="L790" t="s">
        <v>7401</v>
      </c>
    </row>
    <row r="791" spans="1:12" x14ac:dyDescent="0.35">
      <c r="A791" t="s">
        <v>118</v>
      </c>
      <c r="B791" t="s">
        <v>524</v>
      </c>
      <c r="D791">
        <v>1.1200000000000001</v>
      </c>
      <c r="F791" t="s">
        <v>1788</v>
      </c>
      <c r="H791" t="s">
        <v>7094</v>
      </c>
      <c r="I791" t="s">
        <v>4998</v>
      </c>
      <c r="K791" t="s">
        <v>7400</v>
      </c>
      <c r="L791" t="s">
        <v>7401</v>
      </c>
    </row>
    <row r="792" spans="1:12" x14ac:dyDescent="0.35">
      <c r="A792" t="s">
        <v>118</v>
      </c>
      <c r="B792" t="s">
        <v>524</v>
      </c>
      <c r="D792">
        <v>19.399999999999999</v>
      </c>
      <c r="F792" t="s">
        <v>1424</v>
      </c>
      <c r="H792" t="s">
        <v>7095</v>
      </c>
      <c r="I792" t="s">
        <v>4998</v>
      </c>
      <c r="K792" t="s">
        <v>7400</v>
      </c>
      <c r="L792" t="s">
        <v>7401</v>
      </c>
    </row>
    <row r="793" spans="1:12" x14ac:dyDescent="0.35">
      <c r="A793" t="s">
        <v>118</v>
      </c>
      <c r="B793" t="s">
        <v>524</v>
      </c>
      <c r="D793">
        <v>1.49</v>
      </c>
      <c r="F793" t="s">
        <v>2632</v>
      </c>
      <c r="H793" t="s">
        <v>7096</v>
      </c>
      <c r="I793" t="s">
        <v>4998</v>
      </c>
      <c r="K793" t="s">
        <v>7400</v>
      </c>
      <c r="L793" t="s">
        <v>7401</v>
      </c>
    </row>
    <row r="794" spans="1:12" x14ac:dyDescent="0.35">
      <c r="A794" t="s">
        <v>118</v>
      </c>
      <c r="B794" t="s">
        <v>524</v>
      </c>
      <c r="D794">
        <v>1.27</v>
      </c>
      <c r="F794" t="s">
        <v>1364</v>
      </c>
      <c r="H794" t="s">
        <v>7097</v>
      </c>
      <c r="I794" t="s">
        <v>4883</v>
      </c>
      <c r="K794" t="s">
        <v>7400</v>
      </c>
      <c r="L794" t="s">
        <v>7401</v>
      </c>
    </row>
    <row r="795" spans="1:12" x14ac:dyDescent="0.35">
      <c r="A795" t="s">
        <v>118</v>
      </c>
      <c r="B795" t="s">
        <v>524</v>
      </c>
      <c r="D795">
        <v>1.4</v>
      </c>
      <c r="F795" t="s">
        <v>1469</v>
      </c>
      <c r="H795" t="s">
        <v>7098</v>
      </c>
      <c r="I795" t="s">
        <v>4950</v>
      </c>
      <c r="K795" t="s">
        <v>7400</v>
      </c>
      <c r="L795" t="s">
        <v>7401</v>
      </c>
    </row>
    <row r="796" spans="1:12" x14ac:dyDescent="0.35">
      <c r="A796" t="s">
        <v>118</v>
      </c>
      <c r="B796" t="s">
        <v>596</v>
      </c>
      <c r="D796">
        <v>0.42</v>
      </c>
      <c r="F796" t="s">
        <v>1629</v>
      </c>
      <c r="H796" t="s">
        <v>7099</v>
      </c>
      <c r="I796" t="s">
        <v>4874</v>
      </c>
      <c r="K796" t="s">
        <v>7400</v>
      </c>
      <c r="L796" t="s">
        <v>7401</v>
      </c>
    </row>
    <row r="797" spans="1:12" x14ac:dyDescent="0.35">
      <c r="A797" t="s">
        <v>118</v>
      </c>
      <c r="B797" t="s">
        <v>596</v>
      </c>
      <c r="D797">
        <v>26</v>
      </c>
      <c r="F797" t="s">
        <v>1518</v>
      </c>
      <c r="H797" t="s">
        <v>7100</v>
      </c>
      <c r="I797" t="s">
        <v>4874</v>
      </c>
      <c r="K797" t="s">
        <v>7400</v>
      </c>
      <c r="L797" t="s">
        <v>7401</v>
      </c>
    </row>
    <row r="798" spans="1:12" x14ac:dyDescent="0.35">
      <c r="A798" t="s">
        <v>118</v>
      </c>
      <c r="B798" t="s">
        <v>596</v>
      </c>
      <c r="D798">
        <v>5.26</v>
      </c>
      <c r="F798" t="s">
        <v>6389</v>
      </c>
      <c r="H798" t="s">
        <v>7101</v>
      </c>
      <c r="I798" t="s">
        <v>4874</v>
      </c>
      <c r="K798" t="s">
        <v>7400</v>
      </c>
      <c r="L798" t="s">
        <v>7401</v>
      </c>
    </row>
    <row r="799" spans="1:12" x14ac:dyDescent="0.35">
      <c r="A799" t="s">
        <v>118</v>
      </c>
      <c r="B799" t="s">
        <v>596</v>
      </c>
      <c r="D799">
        <v>0.1</v>
      </c>
      <c r="F799" t="s">
        <v>1309</v>
      </c>
      <c r="H799" t="s">
        <v>7102</v>
      </c>
      <c r="I799" t="s">
        <v>4961</v>
      </c>
      <c r="K799" t="s">
        <v>7400</v>
      </c>
      <c r="L799" t="s">
        <v>7401</v>
      </c>
    </row>
    <row r="800" spans="1:12" x14ac:dyDescent="0.35">
      <c r="A800" t="s">
        <v>118</v>
      </c>
      <c r="B800" t="s">
        <v>596</v>
      </c>
      <c r="D800">
        <v>0.27</v>
      </c>
      <c r="F800" t="s">
        <v>1738</v>
      </c>
      <c r="H800" t="s">
        <v>7103</v>
      </c>
      <c r="I800" t="s">
        <v>4961</v>
      </c>
      <c r="K800" t="s">
        <v>7400</v>
      </c>
      <c r="L800" t="s">
        <v>7401</v>
      </c>
    </row>
    <row r="801" spans="1:12" x14ac:dyDescent="0.35">
      <c r="A801" t="s">
        <v>118</v>
      </c>
      <c r="B801" t="s">
        <v>596</v>
      </c>
      <c r="D801">
        <v>102</v>
      </c>
      <c r="F801" t="s">
        <v>4925</v>
      </c>
      <c r="H801" t="s">
        <v>7104</v>
      </c>
      <c r="I801" t="s">
        <v>4954</v>
      </c>
      <c r="K801" t="s">
        <v>7400</v>
      </c>
      <c r="L801" t="s">
        <v>7401</v>
      </c>
    </row>
    <row r="802" spans="1:12" x14ac:dyDescent="0.35">
      <c r="A802" t="s">
        <v>118</v>
      </c>
      <c r="B802" t="s">
        <v>6085</v>
      </c>
      <c r="D802">
        <v>0.16500000000000001</v>
      </c>
      <c r="F802" t="s">
        <v>6390</v>
      </c>
      <c r="H802" t="s">
        <v>7105</v>
      </c>
      <c r="I802" t="s">
        <v>2372</v>
      </c>
      <c r="K802" t="s">
        <v>7400</v>
      </c>
      <c r="L802" t="s">
        <v>7401</v>
      </c>
    </row>
    <row r="803" spans="1:12" x14ac:dyDescent="0.35">
      <c r="A803" t="s">
        <v>118</v>
      </c>
      <c r="B803" t="s">
        <v>6085</v>
      </c>
      <c r="D803">
        <v>34.549999999999997</v>
      </c>
      <c r="F803" t="s">
        <v>6391</v>
      </c>
      <c r="H803" t="s">
        <v>7105</v>
      </c>
      <c r="I803" t="s">
        <v>2372</v>
      </c>
      <c r="K803" t="s">
        <v>7400</v>
      </c>
      <c r="L803" t="s">
        <v>7401</v>
      </c>
    </row>
    <row r="804" spans="1:12" x14ac:dyDescent="0.35">
      <c r="A804" t="s">
        <v>118</v>
      </c>
      <c r="B804" t="s">
        <v>6085</v>
      </c>
      <c r="D804">
        <v>0.51</v>
      </c>
      <c r="F804" t="s">
        <v>1418</v>
      </c>
      <c r="H804" t="s">
        <v>7106</v>
      </c>
      <c r="I804" t="s">
        <v>2372</v>
      </c>
      <c r="K804" t="s">
        <v>7400</v>
      </c>
      <c r="L804" t="s">
        <v>7401</v>
      </c>
    </row>
    <row r="805" spans="1:12" x14ac:dyDescent="0.35">
      <c r="A805" t="s">
        <v>118</v>
      </c>
      <c r="B805" t="s">
        <v>597</v>
      </c>
      <c r="D805">
        <v>169.1</v>
      </c>
      <c r="F805" t="s">
        <v>6392</v>
      </c>
      <c r="I805" t="s">
        <v>2326</v>
      </c>
      <c r="K805" t="s">
        <v>7400</v>
      </c>
      <c r="L805" t="s">
        <v>7401</v>
      </c>
    </row>
    <row r="806" spans="1:12" x14ac:dyDescent="0.35">
      <c r="A806" t="s">
        <v>118</v>
      </c>
      <c r="B806" t="s">
        <v>619</v>
      </c>
      <c r="D806">
        <v>7.1</v>
      </c>
      <c r="F806" t="s">
        <v>1532</v>
      </c>
      <c r="H806" t="s">
        <v>7107</v>
      </c>
      <c r="I806" t="s">
        <v>1353</v>
      </c>
      <c r="K806" t="s">
        <v>7400</v>
      </c>
      <c r="L806" t="s">
        <v>7401</v>
      </c>
    </row>
    <row r="807" spans="1:12" x14ac:dyDescent="0.35">
      <c r="A807" t="s">
        <v>118</v>
      </c>
      <c r="B807" t="s">
        <v>619</v>
      </c>
      <c r="D807">
        <v>6.6</v>
      </c>
      <c r="F807" t="s">
        <v>1517</v>
      </c>
      <c r="H807" t="s">
        <v>7108</v>
      </c>
      <c r="I807" t="s">
        <v>1353</v>
      </c>
      <c r="K807" t="s">
        <v>7400</v>
      </c>
      <c r="L807" t="s">
        <v>7401</v>
      </c>
    </row>
    <row r="808" spans="1:12" x14ac:dyDescent="0.35">
      <c r="A808" t="s">
        <v>118</v>
      </c>
      <c r="B808" t="s">
        <v>598</v>
      </c>
      <c r="D808">
        <v>12.36</v>
      </c>
      <c r="F808" t="s">
        <v>6393</v>
      </c>
      <c r="I808" t="s">
        <v>4929</v>
      </c>
      <c r="K808" t="s">
        <v>7400</v>
      </c>
      <c r="L808" t="s">
        <v>7401</v>
      </c>
    </row>
    <row r="809" spans="1:12" x14ac:dyDescent="0.35">
      <c r="A809" t="s">
        <v>118</v>
      </c>
      <c r="B809" t="s">
        <v>327</v>
      </c>
      <c r="D809">
        <v>16.399999999999999</v>
      </c>
      <c r="F809" t="s">
        <v>5323</v>
      </c>
      <c r="I809" t="s">
        <v>1383</v>
      </c>
      <c r="K809" t="s">
        <v>7400</v>
      </c>
      <c r="L809" t="s">
        <v>7401</v>
      </c>
    </row>
    <row r="810" spans="1:12" x14ac:dyDescent="0.35">
      <c r="A810" t="s">
        <v>118</v>
      </c>
      <c r="B810" t="s">
        <v>327</v>
      </c>
      <c r="D810">
        <v>37</v>
      </c>
      <c r="F810" t="s">
        <v>1510</v>
      </c>
      <c r="H810" t="s">
        <v>7109</v>
      </c>
      <c r="I810" t="s">
        <v>1454</v>
      </c>
      <c r="K810" t="s">
        <v>7400</v>
      </c>
      <c r="L810" t="s">
        <v>7401</v>
      </c>
    </row>
    <row r="811" spans="1:12" x14ac:dyDescent="0.35">
      <c r="A811" t="s">
        <v>118</v>
      </c>
      <c r="B811" t="s">
        <v>327</v>
      </c>
      <c r="D811">
        <v>34</v>
      </c>
      <c r="F811" t="s">
        <v>1584</v>
      </c>
      <c r="H811" t="s">
        <v>7110</v>
      </c>
      <c r="I811" t="s">
        <v>1454</v>
      </c>
      <c r="K811" t="s">
        <v>7400</v>
      </c>
      <c r="L811" t="s">
        <v>7401</v>
      </c>
    </row>
    <row r="812" spans="1:12" x14ac:dyDescent="0.35">
      <c r="A812" t="s">
        <v>118</v>
      </c>
      <c r="B812" t="s">
        <v>327</v>
      </c>
      <c r="D812">
        <v>16</v>
      </c>
      <c r="F812" t="s">
        <v>1526</v>
      </c>
      <c r="H812" t="s">
        <v>7111</v>
      </c>
      <c r="I812" t="s">
        <v>1454</v>
      </c>
      <c r="K812" t="s">
        <v>7400</v>
      </c>
      <c r="L812" t="s">
        <v>7401</v>
      </c>
    </row>
    <row r="813" spans="1:12" x14ac:dyDescent="0.35">
      <c r="A813" t="s">
        <v>118</v>
      </c>
      <c r="B813" t="s">
        <v>327</v>
      </c>
      <c r="D813">
        <v>52</v>
      </c>
      <c r="F813" t="s">
        <v>1393</v>
      </c>
      <c r="I813" t="s">
        <v>1848</v>
      </c>
      <c r="K813" t="s">
        <v>7400</v>
      </c>
      <c r="L813" t="s">
        <v>7401</v>
      </c>
    </row>
    <row r="814" spans="1:12" x14ac:dyDescent="0.35">
      <c r="A814" t="s">
        <v>118</v>
      </c>
      <c r="B814" t="s">
        <v>327</v>
      </c>
      <c r="D814">
        <v>104</v>
      </c>
      <c r="F814" t="s">
        <v>4856</v>
      </c>
      <c r="I814" t="s">
        <v>1851</v>
      </c>
      <c r="K814" t="s">
        <v>7400</v>
      </c>
      <c r="L814" t="s">
        <v>7401</v>
      </c>
    </row>
    <row r="815" spans="1:12" x14ac:dyDescent="0.35">
      <c r="A815" t="s">
        <v>118</v>
      </c>
      <c r="B815" t="s">
        <v>327</v>
      </c>
      <c r="D815">
        <v>83</v>
      </c>
      <c r="F815" t="s">
        <v>4921</v>
      </c>
      <c r="I815" t="s">
        <v>2327</v>
      </c>
      <c r="K815" t="s">
        <v>7400</v>
      </c>
      <c r="L815" t="s">
        <v>7401</v>
      </c>
    </row>
    <row r="816" spans="1:12" x14ac:dyDescent="0.35">
      <c r="A816" t="s">
        <v>118</v>
      </c>
      <c r="B816" t="s">
        <v>327</v>
      </c>
      <c r="D816">
        <v>4.96</v>
      </c>
      <c r="F816" t="s">
        <v>2457</v>
      </c>
      <c r="H816" t="s">
        <v>7112</v>
      </c>
      <c r="I816" t="s">
        <v>2331</v>
      </c>
      <c r="K816" t="s">
        <v>7400</v>
      </c>
      <c r="L816" t="s">
        <v>7401</v>
      </c>
    </row>
    <row r="817" spans="1:12" x14ac:dyDescent="0.35">
      <c r="A817" t="s">
        <v>118</v>
      </c>
      <c r="B817" t="s">
        <v>327</v>
      </c>
      <c r="D817">
        <v>17</v>
      </c>
      <c r="F817" t="s">
        <v>1383</v>
      </c>
      <c r="H817" t="s">
        <v>7113</v>
      </c>
      <c r="I817" t="s">
        <v>1454</v>
      </c>
      <c r="K817" t="s">
        <v>7400</v>
      </c>
      <c r="L817" t="s">
        <v>7401</v>
      </c>
    </row>
    <row r="818" spans="1:12" x14ac:dyDescent="0.35">
      <c r="A818" t="s">
        <v>118</v>
      </c>
      <c r="B818" t="s">
        <v>327</v>
      </c>
      <c r="D818">
        <v>87</v>
      </c>
      <c r="F818" t="s">
        <v>4883</v>
      </c>
      <c r="I818" t="s">
        <v>1383</v>
      </c>
      <c r="K818" t="s">
        <v>7400</v>
      </c>
      <c r="L818" t="s">
        <v>7401</v>
      </c>
    </row>
    <row r="819" spans="1:12" x14ac:dyDescent="0.35">
      <c r="A819" t="s">
        <v>118</v>
      </c>
      <c r="B819" t="s">
        <v>327</v>
      </c>
      <c r="D819">
        <v>84</v>
      </c>
      <c r="F819" t="s">
        <v>4907</v>
      </c>
      <c r="H819" t="s">
        <v>7114</v>
      </c>
      <c r="I819" t="s">
        <v>4887</v>
      </c>
      <c r="K819" t="s">
        <v>7400</v>
      </c>
      <c r="L819" t="s">
        <v>7401</v>
      </c>
    </row>
    <row r="820" spans="1:12" x14ac:dyDescent="0.35">
      <c r="A820" t="s">
        <v>118</v>
      </c>
      <c r="B820" t="s">
        <v>327</v>
      </c>
      <c r="D820">
        <v>105</v>
      </c>
      <c r="F820" t="s">
        <v>1494</v>
      </c>
      <c r="H820" t="s">
        <v>7115</v>
      </c>
      <c r="I820" t="s">
        <v>1526</v>
      </c>
      <c r="K820" t="s">
        <v>7400</v>
      </c>
      <c r="L820" t="s">
        <v>7401</v>
      </c>
    </row>
    <row r="821" spans="1:12" x14ac:dyDescent="0.35">
      <c r="A821" t="s">
        <v>118</v>
      </c>
      <c r="B821" t="s">
        <v>327</v>
      </c>
      <c r="D821">
        <v>26.3</v>
      </c>
      <c r="F821" t="s">
        <v>1807</v>
      </c>
      <c r="H821" t="s">
        <v>7116</v>
      </c>
      <c r="I821" t="s">
        <v>1393</v>
      </c>
      <c r="K821" t="s">
        <v>7400</v>
      </c>
      <c r="L821" t="s">
        <v>7401</v>
      </c>
    </row>
    <row r="822" spans="1:12" x14ac:dyDescent="0.35">
      <c r="A822" t="s">
        <v>118</v>
      </c>
      <c r="B822" t="s">
        <v>327</v>
      </c>
      <c r="D822">
        <v>182</v>
      </c>
      <c r="F822" t="s">
        <v>4903</v>
      </c>
      <c r="H822" t="s">
        <v>7117</v>
      </c>
      <c r="I822" t="s">
        <v>4887</v>
      </c>
      <c r="K822" t="s">
        <v>7400</v>
      </c>
      <c r="L822" t="s">
        <v>7401</v>
      </c>
    </row>
    <row r="823" spans="1:12" x14ac:dyDescent="0.35">
      <c r="A823" t="s">
        <v>118</v>
      </c>
      <c r="B823" t="s">
        <v>327</v>
      </c>
      <c r="D823">
        <v>129</v>
      </c>
      <c r="F823" t="s">
        <v>4882</v>
      </c>
      <c r="H823" t="s">
        <v>7118</v>
      </c>
      <c r="I823" t="s">
        <v>4887</v>
      </c>
      <c r="K823" t="s">
        <v>7400</v>
      </c>
      <c r="L823" t="s">
        <v>7401</v>
      </c>
    </row>
    <row r="824" spans="1:12" x14ac:dyDescent="0.35">
      <c r="A824" t="s">
        <v>118</v>
      </c>
      <c r="B824" t="s">
        <v>327</v>
      </c>
      <c r="D824">
        <v>0.86</v>
      </c>
      <c r="F824" t="s">
        <v>1486</v>
      </c>
      <c r="H824" t="s">
        <v>7119</v>
      </c>
      <c r="I824" t="s">
        <v>1393</v>
      </c>
      <c r="K824" t="s">
        <v>7400</v>
      </c>
      <c r="L824" t="s">
        <v>7401</v>
      </c>
    </row>
    <row r="825" spans="1:12" x14ac:dyDescent="0.35">
      <c r="A825" t="s">
        <v>118</v>
      </c>
      <c r="B825" t="s">
        <v>327</v>
      </c>
      <c r="D825">
        <v>77</v>
      </c>
      <c r="F825" t="s">
        <v>1571</v>
      </c>
      <c r="H825" t="s">
        <v>7120</v>
      </c>
      <c r="I825" t="s">
        <v>1393</v>
      </c>
      <c r="K825" t="s">
        <v>7400</v>
      </c>
      <c r="L825" t="s">
        <v>7401</v>
      </c>
    </row>
    <row r="826" spans="1:12" x14ac:dyDescent="0.35">
      <c r="A826" t="s">
        <v>118</v>
      </c>
      <c r="B826" t="s">
        <v>327</v>
      </c>
      <c r="D826">
        <v>157</v>
      </c>
      <c r="F826" t="s">
        <v>4917</v>
      </c>
      <c r="H826" t="s">
        <v>7121</v>
      </c>
      <c r="I826" t="s">
        <v>4887</v>
      </c>
      <c r="K826" t="s">
        <v>7400</v>
      </c>
      <c r="L826" t="s">
        <v>7401</v>
      </c>
    </row>
    <row r="827" spans="1:12" x14ac:dyDescent="0.35">
      <c r="A827" t="s">
        <v>118</v>
      </c>
      <c r="B827" t="s">
        <v>327</v>
      </c>
      <c r="D827">
        <v>53.2</v>
      </c>
      <c r="F827" t="s">
        <v>6394</v>
      </c>
      <c r="H827" t="s">
        <v>7122</v>
      </c>
      <c r="I827" t="s">
        <v>5465</v>
      </c>
      <c r="K827" t="s">
        <v>7400</v>
      </c>
      <c r="L827" t="s">
        <v>7401</v>
      </c>
    </row>
    <row r="828" spans="1:12" x14ac:dyDescent="0.35">
      <c r="A828" t="s">
        <v>118</v>
      </c>
      <c r="B828" t="s">
        <v>327</v>
      </c>
      <c r="D828">
        <v>2.8999999999999998E-3</v>
      </c>
      <c r="F828" t="s">
        <v>2234</v>
      </c>
      <c r="H828" t="s">
        <v>7123</v>
      </c>
      <c r="I828" t="s">
        <v>1608</v>
      </c>
      <c r="K828" t="s">
        <v>7400</v>
      </c>
      <c r="L828" t="s">
        <v>7401</v>
      </c>
    </row>
    <row r="829" spans="1:12" x14ac:dyDescent="0.35">
      <c r="A829" t="s">
        <v>118</v>
      </c>
      <c r="B829" t="s">
        <v>327</v>
      </c>
      <c r="D829">
        <v>0.84</v>
      </c>
      <c r="F829" t="s">
        <v>1673</v>
      </c>
      <c r="H829" t="s">
        <v>7124</v>
      </c>
      <c r="I829" t="s">
        <v>1608</v>
      </c>
      <c r="K829" t="s">
        <v>7400</v>
      </c>
      <c r="L829" t="s">
        <v>7401</v>
      </c>
    </row>
    <row r="830" spans="1:12" x14ac:dyDescent="0.35">
      <c r="A830" t="s">
        <v>118</v>
      </c>
      <c r="B830" t="s">
        <v>327</v>
      </c>
      <c r="D830">
        <v>1.5</v>
      </c>
      <c r="F830" t="s">
        <v>1426</v>
      </c>
      <c r="H830" t="s">
        <v>7125</v>
      </c>
      <c r="I830" t="s">
        <v>1851</v>
      </c>
      <c r="K830" t="s">
        <v>7400</v>
      </c>
      <c r="L830" t="s">
        <v>7401</v>
      </c>
    </row>
    <row r="831" spans="1:12" x14ac:dyDescent="0.35">
      <c r="A831" t="s">
        <v>118</v>
      </c>
      <c r="B831" t="s">
        <v>327</v>
      </c>
      <c r="D831">
        <v>7.05</v>
      </c>
      <c r="F831" t="s">
        <v>2366</v>
      </c>
      <c r="H831" t="s">
        <v>7126</v>
      </c>
      <c r="I831" t="s">
        <v>1393</v>
      </c>
      <c r="K831" t="s">
        <v>7400</v>
      </c>
      <c r="L831" t="s">
        <v>7401</v>
      </c>
    </row>
    <row r="832" spans="1:12" x14ac:dyDescent="0.35">
      <c r="A832" t="s">
        <v>118</v>
      </c>
      <c r="B832" t="s">
        <v>327</v>
      </c>
      <c r="D832">
        <v>33</v>
      </c>
      <c r="F832" t="s">
        <v>1943</v>
      </c>
      <c r="H832" t="s">
        <v>7127</v>
      </c>
      <c r="I832" t="s">
        <v>1851</v>
      </c>
      <c r="K832" t="s">
        <v>7400</v>
      </c>
      <c r="L832" t="s">
        <v>7401</v>
      </c>
    </row>
    <row r="833" spans="1:12" x14ac:dyDescent="0.35">
      <c r="A833" t="s">
        <v>118</v>
      </c>
      <c r="B833" t="s">
        <v>327</v>
      </c>
      <c r="D833">
        <v>56.5</v>
      </c>
      <c r="F833" t="s">
        <v>6395</v>
      </c>
      <c r="I833" t="s">
        <v>1518</v>
      </c>
      <c r="K833" t="s">
        <v>7400</v>
      </c>
      <c r="L833" t="s">
        <v>7401</v>
      </c>
    </row>
    <row r="834" spans="1:12" x14ac:dyDescent="0.35">
      <c r="A834" t="s">
        <v>118</v>
      </c>
      <c r="B834" t="s">
        <v>327</v>
      </c>
      <c r="D834">
        <v>80</v>
      </c>
      <c r="F834" t="s">
        <v>1705</v>
      </c>
      <c r="H834" t="s">
        <v>7128</v>
      </c>
      <c r="I834" t="s">
        <v>2051</v>
      </c>
      <c r="K834" t="s">
        <v>7400</v>
      </c>
      <c r="L834" t="s">
        <v>7401</v>
      </c>
    </row>
    <row r="835" spans="1:12" x14ac:dyDescent="0.35">
      <c r="A835" t="s">
        <v>118</v>
      </c>
      <c r="B835" t="s">
        <v>327</v>
      </c>
      <c r="D835">
        <v>254.9</v>
      </c>
      <c r="F835" t="s">
        <v>6396</v>
      </c>
      <c r="I835" t="s">
        <v>1373</v>
      </c>
      <c r="K835" t="s">
        <v>7400</v>
      </c>
      <c r="L835" t="s">
        <v>7401</v>
      </c>
    </row>
    <row r="836" spans="1:12" x14ac:dyDescent="0.35">
      <c r="A836" t="s">
        <v>118</v>
      </c>
      <c r="B836" t="s">
        <v>327</v>
      </c>
      <c r="D836">
        <v>9.3600000000000003E-2</v>
      </c>
      <c r="F836" t="s">
        <v>6397</v>
      </c>
      <c r="I836" t="s">
        <v>5000</v>
      </c>
      <c r="K836" t="s">
        <v>7400</v>
      </c>
      <c r="L836" t="s">
        <v>7401</v>
      </c>
    </row>
    <row r="837" spans="1:12" x14ac:dyDescent="0.35">
      <c r="A837" t="s">
        <v>118</v>
      </c>
      <c r="B837" t="s">
        <v>327</v>
      </c>
      <c r="D837">
        <v>7.84</v>
      </c>
      <c r="F837" t="s">
        <v>2074</v>
      </c>
      <c r="H837" t="s">
        <v>7129</v>
      </c>
      <c r="I837" t="s">
        <v>2331</v>
      </c>
      <c r="K837" t="s">
        <v>7400</v>
      </c>
      <c r="L837" t="s">
        <v>7401</v>
      </c>
    </row>
    <row r="838" spans="1:12" x14ac:dyDescent="0.35">
      <c r="A838" t="s">
        <v>118</v>
      </c>
      <c r="B838" t="s">
        <v>327</v>
      </c>
      <c r="D838">
        <v>0.7</v>
      </c>
      <c r="F838" t="s">
        <v>1378</v>
      </c>
      <c r="H838" t="s">
        <v>7130</v>
      </c>
      <c r="I838" t="s">
        <v>1393</v>
      </c>
      <c r="K838" t="s">
        <v>7400</v>
      </c>
      <c r="L838" t="s">
        <v>7401</v>
      </c>
    </row>
    <row r="839" spans="1:12" x14ac:dyDescent="0.35">
      <c r="A839" t="s">
        <v>118</v>
      </c>
      <c r="B839" t="s">
        <v>327</v>
      </c>
      <c r="D839">
        <v>78</v>
      </c>
      <c r="F839" t="s">
        <v>2212</v>
      </c>
      <c r="H839" t="s">
        <v>7131</v>
      </c>
      <c r="I839" t="s">
        <v>1353</v>
      </c>
      <c r="K839" t="s">
        <v>7400</v>
      </c>
      <c r="L839" t="s">
        <v>7401</v>
      </c>
    </row>
    <row r="840" spans="1:12" x14ac:dyDescent="0.35">
      <c r="A840" t="s">
        <v>118</v>
      </c>
      <c r="B840" t="s">
        <v>327</v>
      </c>
      <c r="D840">
        <v>0.01</v>
      </c>
      <c r="F840" t="s">
        <v>1376</v>
      </c>
      <c r="H840" t="s">
        <v>7132</v>
      </c>
      <c r="I840" t="s">
        <v>1526</v>
      </c>
      <c r="K840" t="s">
        <v>7400</v>
      </c>
      <c r="L840" t="s">
        <v>7401</v>
      </c>
    </row>
    <row r="841" spans="1:12" x14ac:dyDescent="0.35">
      <c r="A841" t="s">
        <v>118</v>
      </c>
      <c r="B841" t="s">
        <v>327</v>
      </c>
      <c r="D841">
        <v>0.53</v>
      </c>
      <c r="F841" t="s">
        <v>1817</v>
      </c>
      <c r="H841" t="s">
        <v>7133</v>
      </c>
      <c r="I841" t="s">
        <v>5465</v>
      </c>
      <c r="K841" t="s">
        <v>7400</v>
      </c>
      <c r="L841" t="s">
        <v>7401</v>
      </c>
    </row>
    <row r="842" spans="1:12" x14ac:dyDescent="0.35">
      <c r="A842" t="s">
        <v>118</v>
      </c>
      <c r="B842" t="s">
        <v>327</v>
      </c>
      <c r="D842">
        <v>0.37</v>
      </c>
      <c r="F842" t="s">
        <v>1481</v>
      </c>
      <c r="H842" t="s">
        <v>7134</v>
      </c>
      <c r="I842" t="s">
        <v>1526</v>
      </c>
      <c r="K842" t="s">
        <v>7400</v>
      </c>
      <c r="L842" t="s">
        <v>7401</v>
      </c>
    </row>
    <row r="843" spans="1:12" x14ac:dyDescent="0.35">
      <c r="A843" t="s">
        <v>118</v>
      </c>
      <c r="B843" t="s">
        <v>327</v>
      </c>
      <c r="D843">
        <v>3.7</v>
      </c>
      <c r="F843" t="s">
        <v>1380</v>
      </c>
      <c r="H843" t="s">
        <v>7135</v>
      </c>
      <c r="I843" t="s">
        <v>1393</v>
      </c>
      <c r="K843" t="s">
        <v>7400</v>
      </c>
      <c r="L843" t="s">
        <v>7401</v>
      </c>
    </row>
    <row r="844" spans="1:12" x14ac:dyDescent="0.35">
      <c r="A844" t="s">
        <v>118</v>
      </c>
      <c r="B844" t="s">
        <v>327</v>
      </c>
      <c r="D844">
        <v>0.11</v>
      </c>
      <c r="F844" t="s">
        <v>1295</v>
      </c>
      <c r="H844" t="s">
        <v>7136</v>
      </c>
      <c r="I844" t="s">
        <v>1526</v>
      </c>
      <c r="K844" t="s">
        <v>7400</v>
      </c>
      <c r="L844" t="s">
        <v>7401</v>
      </c>
    </row>
    <row r="845" spans="1:12" x14ac:dyDescent="0.35">
      <c r="A845" t="s">
        <v>118</v>
      </c>
      <c r="B845" t="s">
        <v>327</v>
      </c>
      <c r="D845">
        <v>7.0000000000000007E-2</v>
      </c>
      <c r="F845" t="s">
        <v>1456</v>
      </c>
      <c r="H845" t="s">
        <v>7137</v>
      </c>
      <c r="I845" t="s">
        <v>1526</v>
      </c>
      <c r="K845" t="s">
        <v>7400</v>
      </c>
      <c r="L845" t="s">
        <v>7401</v>
      </c>
    </row>
    <row r="846" spans="1:12" x14ac:dyDescent="0.35">
      <c r="A846" t="s">
        <v>118</v>
      </c>
      <c r="B846" t="s">
        <v>327</v>
      </c>
      <c r="D846">
        <v>66</v>
      </c>
      <c r="F846" t="s">
        <v>2226</v>
      </c>
      <c r="H846" t="s">
        <v>7138</v>
      </c>
      <c r="I846" t="s">
        <v>1454</v>
      </c>
      <c r="K846" t="s">
        <v>7400</v>
      </c>
      <c r="L846" t="s">
        <v>7401</v>
      </c>
    </row>
    <row r="847" spans="1:12" x14ac:dyDescent="0.35">
      <c r="A847" t="s">
        <v>118</v>
      </c>
      <c r="B847" t="s">
        <v>599</v>
      </c>
      <c r="D847">
        <v>3.07</v>
      </c>
      <c r="F847" t="s">
        <v>6398</v>
      </c>
      <c r="H847" t="s">
        <v>7139</v>
      </c>
      <c r="I847" t="s">
        <v>4883</v>
      </c>
      <c r="K847" t="s">
        <v>7400</v>
      </c>
      <c r="L847" t="s">
        <v>7401</v>
      </c>
    </row>
    <row r="848" spans="1:12" x14ac:dyDescent="0.35">
      <c r="A848" t="s">
        <v>118</v>
      </c>
      <c r="B848" t="s">
        <v>600</v>
      </c>
      <c r="D848">
        <v>1.79</v>
      </c>
      <c r="F848" t="s">
        <v>1647</v>
      </c>
      <c r="H848" t="s">
        <v>7140</v>
      </c>
      <c r="I848" t="s">
        <v>4883</v>
      </c>
      <c r="K848" t="s">
        <v>7400</v>
      </c>
      <c r="L848" t="s">
        <v>7401</v>
      </c>
    </row>
    <row r="849" spans="1:12" x14ac:dyDescent="0.35">
      <c r="A849" t="s">
        <v>118</v>
      </c>
      <c r="B849" t="s">
        <v>602</v>
      </c>
      <c r="D849">
        <v>108.9</v>
      </c>
      <c r="F849" t="s">
        <v>6399</v>
      </c>
      <c r="I849" t="s">
        <v>2346</v>
      </c>
      <c r="K849" t="s">
        <v>7400</v>
      </c>
      <c r="L849" t="s">
        <v>7401</v>
      </c>
    </row>
    <row r="850" spans="1:12" x14ac:dyDescent="0.35">
      <c r="A850" t="s">
        <v>118</v>
      </c>
      <c r="B850" t="s">
        <v>328</v>
      </c>
      <c r="D850">
        <v>2.7</v>
      </c>
      <c r="F850" t="s">
        <v>1557</v>
      </c>
      <c r="H850" t="s">
        <v>7141</v>
      </c>
      <c r="I850" t="s">
        <v>4863</v>
      </c>
      <c r="K850" t="s">
        <v>7400</v>
      </c>
      <c r="L850" t="s">
        <v>7401</v>
      </c>
    </row>
    <row r="851" spans="1:12" x14ac:dyDescent="0.35">
      <c r="A851" t="s">
        <v>118</v>
      </c>
      <c r="B851" t="s">
        <v>328</v>
      </c>
      <c r="D851">
        <v>0.06</v>
      </c>
      <c r="F851" t="s">
        <v>1370</v>
      </c>
      <c r="H851" t="s">
        <v>7142</v>
      </c>
      <c r="I851" t="s">
        <v>7397</v>
      </c>
      <c r="K851" t="s">
        <v>7400</v>
      </c>
      <c r="L851" t="s">
        <v>7401</v>
      </c>
    </row>
    <row r="852" spans="1:12" x14ac:dyDescent="0.35">
      <c r="A852" t="s">
        <v>118</v>
      </c>
      <c r="B852" t="s">
        <v>328</v>
      </c>
      <c r="D852">
        <v>10.83</v>
      </c>
      <c r="F852" t="s">
        <v>5355</v>
      </c>
      <c r="I852" t="s">
        <v>1626</v>
      </c>
      <c r="K852" t="s">
        <v>7400</v>
      </c>
      <c r="L852" t="s">
        <v>7401</v>
      </c>
    </row>
    <row r="853" spans="1:12" x14ac:dyDescent="0.35">
      <c r="A853" t="s">
        <v>118</v>
      </c>
      <c r="B853" t="s">
        <v>328</v>
      </c>
      <c r="D853">
        <v>0.13900000000000001</v>
      </c>
      <c r="F853" t="s">
        <v>2176</v>
      </c>
      <c r="H853" t="s">
        <v>7143</v>
      </c>
      <c r="I853" t="s">
        <v>7397</v>
      </c>
      <c r="K853" t="s">
        <v>7400</v>
      </c>
      <c r="L853" t="s">
        <v>7401</v>
      </c>
    </row>
    <row r="854" spans="1:12" x14ac:dyDescent="0.35">
      <c r="A854" t="s">
        <v>118</v>
      </c>
      <c r="B854" t="s">
        <v>328</v>
      </c>
      <c r="D854">
        <v>4.0999999999999996</v>
      </c>
      <c r="F854" t="s">
        <v>1385</v>
      </c>
      <c r="H854" t="s">
        <v>7144</v>
      </c>
      <c r="I854" t="s">
        <v>1454</v>
      </c>
      <c r="K854" t="s">
        <v>7400</v>
      </c>
      <c r="L854" t="s">
        <v>7401</v>
      </c>
    </row>
    <row r="855" spans="1:12" x14ac:dyDescent="0.35">
      <c r="A855" t="s">
        <v>118</v>
      </c>
      <c r="B855" t="s">
        <v>328</v>
      </c>
      <c r="D855">
        <v>130</v>
      </c>
      <c r="F855" t="s">
        <v>1893</v>
      </c>
      <c r="I855" t="s">
        <v>1387</v>
      </c>
      <c r="K855" t="s">
        <v>7400</v>
      </c>
      <c r="L855" t="s">
        <v>7401</v>
      </c>
    </row>
    <row r="856" spans="1:12" x14ac:dyDescent="0.35">
      <c r="A856" t="s">
        <v>118</v>
      </c>
      <c r="B856" t="s">
        <v>328</v>
      </c>
      <c r="D856">
        <v>14.8</v>
      </c>
      <c r="F856" t="s">
        <v>1666</v>
      </c>
      <c r="H856" t="s">
        <v>7145</v>
      </c>
      <c r="I856" t="s">
        <v>4907</v>
      </c>
      <c r="K856" t="s">
        <v>7400</v>
      </c>
      <c r="L856" t="s">
        <v>7401</v>
      </c>
    </row>
    <row r="857" spans="1:12" x14ac:dyDescent="0.35">
      <c r="A857" t="s">
        <v>118</v>
      </c>
      <c r="B857" t="s">
        <v>328</v>
      </c>
      <c r="D857">
        <v>13.8</v>
      </c>
      <c r="F857" t="s">
        <v>1677</v>
      </c>
      <c r="H857" t="s">
        <v>7146</v>
      </c>
      <c r="I857" t="s">
        <v>2345</v>
      </c>
      <c r="K857" t="s">
        <v>7400</v>
      </c>
      <c r="L857" t="s">
        <v>7401</v>
      </c>
    </row>
    <row r="858" spans="1:12" x14ac:dyDescent="0.35">
      <c r="A858" t="s">
        <v>118</v>
      </c>
      <c r="B858" t="s">
        <v>328</v>
      </c>
      <c r="D858">
        <v>21.5</v>
      </c>
      <c r="F858" t="s">
        <v>5688</v>
      </c>
      <c r="H858" t="s">
        <v>7147</v>
      </c>
      <c r="I858" t="s">
        <v>4863</v>
      </c>
      <c r="K858" t="s">
        <v>7400</v>
      </c>
      <c r="L858" t="s">
        <v>7401</v>
      </c>
    </row>
    <row r="859" spans="1:12" x14ac:dyDescent="0.35">
      <c r="A859" t="s">
        <v>118</v>
      </c>
      <c r="B859" t="s">
        <v>328</v>
      </c>
      <c r="D859">
        <v>0.11899999999999999</v>
      </c>
      <c r="F859" t="s">
        <v>2542</v>
      </c>
      <c r="I859" t="s">
        <v>5000</v>
      </c>
      <c r="K859" t="s">
        <v>7400</v>
      </c>
      <c r="L859" t="s">
        <v>7401</v>
      </c>
    </row>
    <row r="860" spans="1:12" x14ac:dyDescent="0.35">
      <c r="A860" t="s">
        <v>118</v>
      </c>
      <c r="B860" t="s">
        <v>328</v>
      </c>
      <c r="D860">
        <v>26.7</v>
      </c>
      <c r="F860" t="s">
        <v>2374</v>
      </c>
      <c r="H860" t="s">
        <v>7148</v>
      </c>
      <c r="I860" t="s">
        <v>2345</v>
      </c>
      <c r="K860" t="s">
        <v>7400</v>
      </c>
      <c r="L860" t="s">
        <v>7401</v>
      </c>
    </row>
    <row r="861" spans="1:12" x14ac:dyDescent="0.35">
      <c r="A861" t="s">
        <v>118</v>
      </c>
      <c r="B861" t="s">
        <v>328</v>
      </c>
      <c r="D861">
        <v>37.1</v>
      </c>
      <c r="F861" t="s">
        <v>6400</v>
      </c>
      <c r="H861" t="s">
        <v>4391</v>
      </c>
      <c r="I861" t="s">
        <v>4907</v>
      </c>
      <c r="K861" t="s">
        <v>7400</v>
      </c>
      <c r="L861" t="s">
        <v>7401</v>
      </c>
    </row>
    <row r="862" spans="1:12" x14ac:dyDescent="0.35">
      <c r="A862" t="s">
        <v>118</v>
      </c>
      <c r="B862" t="s">
        <v>328</v>
      </c>
      <c r="D862">
        <v>30.9</v>
      </c>
      <c r="F862" t="s">
        <v>6401</v>
      </c>
      <c r="H862" t="s">
        <v>4399</v>
      </c>
      <c r="I862" t="s">
        <v>4907</v>
      </c>
      <c r="K862" t="s">
        <v>7400</v>
      </c>
      <c r="L862" t="s">
        <v>7401</v>
      </c>
    </row>
    <row r="863" spans="1:12" x14ac:dyDescent="0.35">
      <c r="A863" t="s">
        <v>118</v>
      </c>
      <c r="B863" t="s">
        <v>328</v>
      </c>
      <c r="D863">
        <v>0.92200000000000004</v>
      </c>
      <c r="F863" t="s">
        <v>6402</v>
      </c>
      <c r="H863" t="s">
        <v>7149</v>
      </c>
      <c r="I863" t="s">
        <v>1707</v>
      </c>
      <c r="K863" t="s">
        <v>7400</v>
      </c>
      <c r="L863" t="s">
        <v>7401</v>
      </c>
    </row>
    <row r="864" spans="1:12" x14ac:dyDescent="0.35">
      <c r="A864" t="s">
        <v>118</v>
      </c>
      <c r="B864" t="s">
        <v>328</v>
      </c>
      <c r="D864">
        <v>0.98399999999999999</v>
      </c>
      <c r="F864" t="s">
        <v>6403</v>
      </c>
      <c r="H864" t="s">
        <v>7150</v>
      </c>
      <c r="I864" t="s">
        <v>7397</v>
      </c>
      <c r="K864" t="s">
        <v>7400</v>
      </c>
      <c r="L864" t="s">
        <v>7401</v>
      </c>
    </row>
    <row r="865" spans="1:12" x14ac:dyDescent="0.35">
      <c r="A865" t="s">
        <v>118</v>
      </c>
      <c r="B865" t="s">
        <v>328</v>
      </c>
      <c r="D865">
        <v>7.4999999999999997E-2</v>
      </c>
      <c r="F865" t="s">
        <v>1460</v>
      </c>
      <c r="H865" t="s">
        <v>7151</v>
      </c>
      <c r="I865" t="s">
        <v>7397</v>
      </c>
      <c r="K865" t="s">
        <v>7400</v>
      </c>
      <c r="L865" t="s">
        <v>7401</v>
      </c>
    </row>
    <row r="866" spans="1:12" x14ac:dyDescent="0.35">
      <c r="A866" t="s">
        <v>118</v>
      </c>
      <c r="B866" t="s">
        <v>328</v>
      </c>
      <c r="D866">
        <v>61.5</v>
      </c>
      <c r="F866" t="s">
        <v>6404</v>
      </c>
      <c r="H866" t="s">
        <v>4393</v>
      </c>
      <c r="I866" t="s">
        <v>4907</v>
      </c>
      <c r="K866" t="s">
        <v>7400</v>
      </c>
      <c r="L866" t="s">
        <v>7401</v>
      </c>
    </row>
    <row r="867" spans="1:12" x14ac:dyDescent="0.35">
      <c r="A867" t="s">
        <v>118</v>
      </c>
      <c r="B867" t="s">
        <v>328</v>
      </c>
      <c r="D867">
        <v>29.2</v>
      </c>
      <c r="F867" t="s">
        <v>2467</v>
      </c>
      <c r="H867" t="s">
        <v>7152</v>
      </c>
      <c r="I867" t="s">
        <v>1454</v>
      </c>
      <c r="K867" t="s">
        <v>7400</v>
      </c>
      <c r="L867" t="s">
        <v>7401</v>
      </c>
    </row>
    <row r="868" spans="1:12" x14ac:dyDescent="0.35">
      <c r="A868" t="s">
        <v>118</v>
      </c>
      <c r="B868" t="s">
        <v>328</v>
      </c>
      <c r="D868">
        <v>2.4199999999999998E-3</v>
      </c>
      <c r="F868" t="s">
        <v>6405</v>
      </c>
      <c r="I868" t="s">
        <v>1368</v>
      </c>
      <c r="K868" t="s">
        <v>7400</v>
      </c>
      <c r="L868" t="s">
        <v>7401</v>
      </c>
    </row>
    <row r="869" spans="1:12" x14ac:dyDescent="0.35">
      <c r="A869" t="s">
        <v>118</v>
      </c>
      <c r="B869" t="s">
        <v>328</v>
      </c>
      <c r="D869">
        <v>1.7689999999999999</v>
      </c>
      <c r="F869" t="s">
        <v>6406</v>
      </c>
      <c r="H869" t="s">
        <v>7153</v>
      </c>
      <c r="I869" t="s">
        <v>1707</v>
      </c>
      <c r="K869" t="s">
        <v>7400</v>
      </c>
      <c r="L869" t="s">
        <v>7401</v>
      </c>
    </row>
    <row r="870" spans="1:12" x14ac:dyDescent="0.35">
      <c r="A870" t="s">
        <v>118</v>
      </c>
      <c r="B870" t="s">
        <v>328</v>
      </c>
      <c r="D870">
        <v>16.7</v>
      </c>
      <c r="F870" t="s">
        <v>2257</v>
      </c>
      <c r="H870" t="s">
        <v>7154</v>
      </c>
      <c r="I870" t="s">
        <v>1839</v>
      </c>
      <c r="K870" t="s">
        <v>7400</v>
      </c>
      <c r="L870" t="s">
        <v>7401</v>
      </c>
    </row>
    <row r="871" spans="1:12" x14ac:dyDescent="0.35">
      <c r="A871" t="s">
        <v>118</v>
      </c>
      <c r="B871" t="s">
        <v>328</v>
      </c>
      <c r="D871">
        <v>17</v>
      </c>
      <c r="F871" t="s">
        <v>1383</v>
      </c>
      <c r="I871" t="s">
        <v>2364</v>
      </c>
      <c r="K871" t="s">
        <v>7400</v>
      </c>
      <c r="L871" t="s">
        <v>7401</v>
      </c>
    </row>
    <row r="872" spans="1:12" x14ac:dyDescent="0.35">
      <c r="A872" t="s">
        <v>118</v>
      </c>
      <c r="B872" t="s">
        <v>328</v>
      </c>
      <c r="D872">
        <v>0.69199999999999995</v>
      </c>
      <c r="F872" t="s">
        <v>6407</v>
      </c>
      <c r="H872" t="s">
        <v>7155</v>
      </c>
      <c r="I872" t="s">
        <v>7397</v>
      </c>
      <c r="K872" t="s">
        <v>7400</v>
      </c>
      <c r="L872" t="s">
        <v>7401</v>
      </c>
    </row>
    <row r="873" spans="1:12" x14ac:dyDescent="0.35">
      <c r="A873" t="s">
        <v>118</v>
      </c>
      <c r="B873" t="s">
        <v>328</v>
      </c>
      <c r="D873">
        <v>0.70199999999999996</v>
      </c>
      <c r="F873" t="s">
        <v>6408</v>
      </c>
      <c r="H873" t="s">
        <v>7156</v>
      </c>
      <c r="I873" t="s">
        <v>7397</v>
      </c>
      <c r="K873" t="s">
        <v>7400</v>
      </c>
      <c r="L873" t="s">
        <v>7401</v>
      </c>
    </row>
    <row r="874" spans="1:12" x14ac:dyDescent="0.35">
      <c r="A874" t="s">
        <v>118</v>
      </c>
      <c r="B874" t="s">
        <v>328</v>
      </c>
      <c r="D874">
        <v>0.98499999999999999</v>
      </c>
      <c r="F874" t="s">
        <v>6409</v>
      </c>
      <c r="H874" t="s">
        <v>7157</v>
      </c>
      <c r="I874" t="s">
        <v>7397</v>
      </c>
      <c r="K874" t="s">
        <v>7400</v>
      </c>
      <c r="L874" t="s">
        <v>7401</v>
      </c>
    </row>
    <row r="875" spans="1:12" x14ac:dyDescent="0.35">
      <c r="A875" t="s">
        <v>118</v>
      </c>
      <c r="B875" t="s">
        <v>328</v>
      </c>
      <c r="D875">
        <v>2</v>
      </c>
      <c r="F875" t="s">
        <v>1372</v>
      </c>
      <c r="H875" t="s">
        <v>7158</v>
      </c>
      <c r="I875" t="s">
        <v>1454</v>
      </c>
      <c r="K875" t="s">
        <v>7400</v>
      </c>
      <c r="L875" t="s">
        <v>7401</v>
      </c>
    </row>
    <row r="876" spans="1:12" x14ac:dyDescent="0.35">
      <c r="A876" t="s">
        <v>118</v>
      </c>
      <c r="B876" t="s">
        <v>328</v>
      </c>
      <c r="D876">
        <v>0.13</v>
      </c>
      <c r="F876" t="s">
        <v>1466</v>
      </c>
      <c r="H876" t="s">
        <v>7159</v>
      </c>
      <c r="I876" t="s">
        <v>4883</v>
      </c>
      <c r="K876" t="s">
        <v>7400</v>
      </c>
      <c r="L876" t="s">
        <v>7401</v>
      </c>
    </row>
    <row r="877" spans="1:12" x14ac:dyDescent="0.35">
      <c r="A877" t="s">
        <v>118</v>
      </c>
      <c r="B877" t="s">
        <v>328</v>
      </c>
      <c r="D877">
        <v>1.8</v>
      </c>
      <c r="F877" t="s">
        <v>1375</v>
      </c>
      <c r="H877" t="s">
        <v>7160</v>
      </c>
      <c r="I877" t="s">
        <v>1961</v>
      </c>
      <c r="K877" t="s">
        <v>7400</v>
      </c>
      <c r="L877" t="s">
        <v>7401</v>
      </c>
    </row>
    <row r="878" spans="1:12" x14ac:dyDescent="0.35">
      <c r="A878" t="s">
        <v>118</v>
      </c>
      <c r="B878" t="s">
        <v>328</v>
      </c>
      <c r="D878">
        <v>0.12</v>
      </c>
      <c r="F878" t="s">
        <v>1473</v>
      </c>
      <c r="H878" t="s">
        <v>7161</v>
      </c>
      <c r="I878" t="s">
        <v>1961</v>
      </c>
      <c r="K878" t="s">
        <v>7400</v>
      </c>
      <c r="L878" t="s">
        <v>7401</v>
      </c>
    </row>
    <row r="879" spans="1:12" x14ac:dyDescent="0.35">
      <c r="A879" t="s">
        <v>118</v>
      </c>
      <c r="B879" t="s">
        <v>328</v>
      </c>
      <c r="D879">
        <v>0.34</v>
      </c>
      <c r="F879" t="s">
        <v>1327</v>
      </c>
      <c r="H879" t="s">
        <v>7162</v>
      </c>
      <c r="I879" t="s">
        <v>1961</v>
      </c>
      <c r="K879" t="s">
        <v>7400</v>
      </c>
      <c r="L879" t="s">
        <v>7401</v>
      </c>
    </row>
    <row r="880" spans="1:12" x14ac:dyDescent="0.35">
      <c r="A880" t="s">
        <v>118</v>
      </c>
      <c r="B880" t="s">
        <v>328</v>
      </c>
      <c r="D880">
        <v>14</v>
      </c>
      <c r="F880" t="s">
        <v>1467</v>
      </c>
      <c r="H880" t="s">
        <v>7163</v>
      </c>
      <c r="I880" t="s">
        <v>1454</v>
      </c>
      <c r="K880" t="s">
        <v>7400</v>
      </c>
      <c r="L880" t="s">
        <v>7401</v>
      </c>
    </row>
    <row r="881" spans="1:12" x14ac:dyDescent="0.35">
      <c r="A881" t="s">
        <v>118</v>
      </c>
      <c r="B881" t="s">
        <v>328</v>
      </c>
      <c r="D881">
        <v>0.5</v>
      </c>
      <c r="F881" t="s">
        <v>1440</v>
      </c>
      <c r="H881" t="s">
        <v>7164</v>
      </c>
      <c r="I881" t="s">
        <v>4907</v>
      </c>
      <c r="K881" t="s">
        <v>7400</v>
      </c>
      <c r="L881" t="s">
        <v>7401</v>
      </c>
    </row>
    <row r="882" spans="1:12" x14ac:dyDescent="0.35">
      <c r="A882" t="s">
        <v>118</v>
      </c>
      <c r="B882" t="s">
        <v>328</v>
      </c>
      <c r="D882">
        <v>0.18</v>
      </c>
      <c r="F882" t="s">
        <v>1531</v>
      </c>
      <c r="H882" t="s">
        <v>7165</v>
      </c>
      <c r="I882" t="s">
        <v>1961</v>
      </c>
      <c r="K882" t="s">
        <v>7400</v>
      </c>
      <c r="L882" t="s">
        <v>7401</v>
      </c>
    </row>
    <row r="883" spans="1:12" x14ac:dyDescent="0.35">
      <c r="A883" t="s">
        <v>118</v>
      </c>
      <c r="B883" t="s">
        <v>328</v>
      </c>
      <c r="D883">
        <v>0.05</v>
      </c>
      <c r="F883" t="s">
        <v>1559</v>
      </c>
      <c r="H883" t="s">
        <v>7166</v>
      </c>
      <c r="I883" t="s">
        <v>5013</v>
      </c>
      <c r="K883" t="s">
        <v>7400</v>
      </c>
      <c r="L883" t="s">
        <v>7401</v>
      </c>
    </row>
    <row r="884" spans="1:12" x14ac:dyDescent="0.35">
      <c r="A884" t="s">
        <v>118</v>
      </c>
      <c r="B884" t="s">
        <v>328</v>
      </c>
      <c r="D884">
        <v>0.81</v>
      </c>
      <c r="F884" t="s">
        <v>1820</v>
      </c>
      <c r="H884" t="s">
        <v>7167</v>
      </c>
      <c r="I884" t="s">
        <v>1454</v>
      </c>
      <c r="K884" t="s">
        <v>7400</v>
      </c>
      <c r="L884" t="s">
        <v>7401</v>
      </c>
    </row>
    <row r="885" spans="1:12" x14ac:dyDescent="0.35">
      <c r="A885" t="s">
        <v>118</v>
      </c>
      <c r="B885" t="s">
        <v>328</v>
      </c>
      <c r="D885">
        <v>3.5000000000000003E-2</v>
      </c>
      <c r="F885" t="s">
        <v>1341</v>
      </c>
      <c r="H885" t="s">
        <v>7168</v>
      </c>
      <c r="I885" t="s">
        <v>4907</v>
      </c>
      <c r="K885" t="s">
        <v>7400</v>
      </c>
      <c r="L885" t="s">
        <v>7401</v>
      </c>
    </row>
    <row r="886" spans="1:12" x14ac:dyDescent="0.35">
      <c r="A886" t="s">
        <v>118</v>
      </c>
      <c r="B886" t="s">
        <v>328</v>
      </c>
      <c r="D886">
        <v>0.4</v>
      </c>
      <c r="F886" t="s">
        <v>1315</v>
      </c>
      <c r="H886" t="s">
        <v>7169</v>
      </c>
      <c r="I886" t="s">
        <v>1961</v>
      </c>
      <c r="K886" t="s">
        <v>7400</v>
      </c>
      <c r="L886" t="s">
        <v>7401</v>
      </c>
    </row>
    <row r="887" spans="1:12" x14ac:dyDescent="0.35">
      <c r="A887" t="s">
        <v>118</v>
      </c>
      <c r="B887" t="s">
        <v>477</v>
      </c>
      <c r="D887">
        <v>4.5999999999999996</v>
      </c>
      <c r="F887" t="s">
        <v>1468</v>
      </c>
      <c r="H887" t="s">
        <v>7170</v>
      </c>
      <c r="I887" t="s">
        <v>1625</v>
      </c>
      <c r="K887" t="s">
        <v>7400</v>
      </c>
      <c r="L887" t="s">
        <v>7401</v>
      </c>
    </row>
    <row r="888" spans="1:12" x14ac:dyDescent="0.35">
      <c r="A888" t="s">
        <v>118</v>
      </c>
      <c r="B888" t="s">
        <v>477</v>
      </c>
      <c r="D888">
        <v>1220</v>
      </c>
      <c r="F888" t="s">
        <v>6410</v>
      </c>
      <c r="H888" t="s">
        <v>7171</v>
      </c>
      <c r="I888" t="s">
        <v>1625</v>
      </c>
      <c r="K888" t="s">
        <v>7400</v>
      </c>
      <c r="L888" t="s">
        <v>7401</v>
      </c>
    </row>
    <row r="889" spans="1:12" x14ac:dyDescent="0.35">
      <c r="A889" t="s">
        <v>118</v>
      </c>
      <c r="B889" t="s">
        <v>477</v>
      </c>
      <c r="D889">
        <v>13.4</v>
      </c>
      <c r="F889" t="s">
        <v>1963</v>
      </c>
      <c r="H889" t="s">
        <v>7172</v>
      </c>
      <c r="I889" t="s">
        <v>4997</v>
      </c>
      <c r="K889" t="s">
        <v>7400</v>
      </c>
      <c r="L889" t="s">
        <v>7401</v>
      </c>
    </row>
    <row r="890" spans="1:12" x14ac:dyDescent="0.35">
      <c r="A890" t="s">
        <v>118</v>
      </c>
      <c r="B890" t="s">
        <v>606</v>
      </c>
      <c r="D890">
        <v>1.47E-2</v>
      </c>
      <c r="F890" t="s">
        <v>1800</v>
      </c>
      <c r="H890" t="s">
        <v>7173</v>
      </c>
      <c r="I890" t="s">
        <v>5004</v>
      </c>
      <c r="K890" t="s">
        <v>7400</v>
      </c>
      <c r="L890" t="s">
        <v>7401</v>
      </c>
    </row>
    <row r="891" spans="1:12" x14ac:dyDescent="0.35">
      <c r="A891" t="s">
        <v>118</v>
      </c>
      <c r="B891" t="s">
        <v>607</v>
      </c>
      <c r="D891">
        <v>7.4999999999999997E-3</v>
      </c>
      <c r="F891" t="s">
        <v>1343</v>
      </c>
      <c r="H891" t="s">
        <v>7174</v>
      </c>
      <c r="I891" t="s">
        <v>5004</v>
      </c>
      <c r="K891" t="s">
        <v>7400</v>
      </c>
      <c r="L891" t="s">
        <v>7401</v>
      </c>
    </row>
    <row r="892" spans="1:12" x14ac:dyDescent="0.35">
      <c r="A892" t="s">
        <v>118</v>
      </c>
      <c r="B892" t="s">
        <v>609</v>
      </c>
      <c r="D892">
        <v>4.54</v>
      </c>
      <c r="F892" t="s">
        <v>6411</v>
      </c>
      <c r="H892" t="s">
        <v>7175</v>
      </c>
      <c r="I892" t="s">
        <v>5005</v>
      </c>
      <c r="K892" t="s">
        <v>7400</v>
      </c>
      <c r="L892" t="s">
        <v>7401</v>
      </c>
    </row>
    <row r="893" spans="1:12" x14ac:dyDescent="0.35">
      <c r="A893" t="s">
        <v>118</v>
      </c>
      <c r="B893" t="s">
        <v>609</v>
      </c>
      <c r="D893">
        <v>5.0999999999999996</v>
      </c>
      <c r="F893" t="s">
        <v>1710</v>
      </c>
      <c r="H893" t="s">
        <v>7176</v>
      </c>
      <c r="I893" t="s">
        <v>5005</v>
      </c>
      <c r="K893" t="s">
        <v>7400</v>
      </c>
      <c r="L893" t="s">
        <v>7401</v>
      </c>
    </row>
    <row r="894" spans="1:12" x14ac:dyDescent="0.35">
      <c r="A894" t="s">
        <v>118</v>
      </c>
      <c r="B894" t="s">
        <v>609</v>
      </c>
      <c r="D894">
        <v>4.04</v>
      </c>
      <c r="F894" t="s">
        <v>1992</v>
      </c>
      <c r="H894" t="s">
        <v>7177</v>
      </c>
      <c r="I894" t="s">
        <v>5005</v>
      </c>
      <c r="K894" t="s">
        <v>7400</v>
      </c>
      <c r="L894" t="s">
        <v>7401</v>
      </c>
    </row>
    <row r="895" spans="1:12" x14ac:dyDescent="0.35">
      <c r="A895" t="s">
        <v>118</v>
      </c>
      <c r="B895" t="s">
        <v>609</v>
      </c>
      <c r="D895">
        <v>13.14</v>
      </c>
      <c r="F895" t="s">
        <v>6412</v>
      </c>
      <c r="H895" t="s">
        <v>7178</v>
      </c>
      <c r="I895" t="s">
        <v>5005</v>
      </c>
      <c r="K895" t="s">
        <v>7400</v>
      </c>
      <c r="L895" t="s">
        <v>7401</v>
      </c>
    </row>
    <row r="896" spans="1:12" x14ac:dyDescent="0.35">
      <c r="A896" t="s">
        <v>118</v>
      </c>
      <c r="B896" t="s">
        <v>609</v>
      </c>
      <c r="D896">
        <v>68.540000000000006</v>
      </c>
      <c r="F896" t="s">
        <v>6413</v>
      </c>
      <c r="H896" t="s">
        <v>7179</v>
      </c>
      <c r="I896" t="s">
        <v>5005</v>
      </c>
      <c r="K896" t="s">
        <v>7400</v>
      </c>
      <c r="L896" t="s">
        <v>7401</v>
      </c>
    </row>
    <row r="897" spans="1:12" x14ac:dyDescent="0.35">
      <c r="A897" t="s">
        <v>118</v>
      </c>
      <c r="B897" t="s">
        <v>6086</v>
      </c>
      <c r="D897">
        <v>0.14099999999999999</v>
      </c>
      <c r="F897" t="s">
        <v>2575</v>
      </c>
      <c r="H897" t="s">
        <v>7180</v>
      </c>
      <c r="I897" t="s">
        <v>7398</v>
      </c>
      <c r="K897" t="s">
        <v>7400</v>
      </c>
      <c r="L897" t="s">
        <v>7401</v>
      </c>
    </row>
    <row r="898" spans="1:12" x14ac:dyDescent="0.35">
      <c r="A898" t="s">
        <v>118</v>
      </c>
      <c r="B898" t="s">
        <v>6064</v>
      </c>
      <c r="D898">
        <v>0.36</v>
      </c>
      <c r="F898" t="s">
        <v>1398</v>
      </c>
      <c r="H898" t="s">
        <v>7181</v>
      </c>
      <c r="I898" t="s">
        <v>5505</v>
      </c>
      <c r="K898" t="s">
        <v>7400</v>
      </c>
      <c r="L898" t="s">
        <v>7401</v>
      </c>
    </row>
    <row r="899" spans="1:12" x14ac:dyDescent="0.35">
      <c r="A899" t="s">
        <v>118</v>
      </c>
      <c r="B899" t="s">
        <v>380</v>
      </c>
      <c r="D899">
        <v>124</v>
      </c>
      <c r="F899" t="s">
        <v>4887</v>
      </c>
      <c r="I899" t="s">
        <v>1878</v>
      </c>
      <c r="K899" t="s">
        <v>7400</v>
      </c>
      <c r="L899" t="s">
        <v>7401</v>
      </c>
    </row>
    <row r="900" spans="1:12" x14ac:dyDescent="0.35">
      <c r="A900" t="s">
        <v>118</v>
      </c>
      <c r="B900" t="s">
        <v>380</v>
      </c>
      <c r="D900">
        <v>3.6</v>
      </c>
      <c r="F900" t="s">
        <v>1391</v>
      </c>
      <c r="H900" t="s">
        <v>7182</v>
      </c>
      <c r="I900" t="s">
        <v>1449</v>
      </c>
      <c r="K900" t="s">
        <v>7400</v>
      </c>
      <c r="L900" t="s">
        <v>7401</v>
      </c>
    </row>
    <row r="901" spans="1:12" x14ac:dyDescent="0.35">
      <c r="A901" t="s">
        <v>118</v>
      </c>
      <c r="B901" t="s">
        <v>380</v>
      </c>
      <c r="D901">
        <v>7.9</v>
      </c>
      <c r="F901" t="s">
        <v>1676</v>
      </c>
      <c r="H901" t="s">
        <v>7183</v>
      </c>
      <c r="I901" t="s">
        <v>1449</v>
      </c>
      <c r="K901" t="s">
        <v>7400</v>
      </c>
      <c r="L901" t="s">
        <v>7401</v>
      </c>
    </row>
    <row r="902" spans="1:12" x14ac:dyDescent="0.35">
      <c r="A902" t="s">
        <v>118</v>
      </c>
      <c r="B902" t="s">
        <v>6087</v>
      </c>
      <c r="D902">
        <v>31.2</v>
      </c>
      <c r="F902" t="s">
        <v>5274</v>
      </c>
      <c r="H902" t="s">
        <v>7184</v>
      </c>
      <c r="I902" t="s">
        <v>4884</v>
      </c>
      <c r="K902" t="s">
        <v>7400</v>
      </c>
      <c r="L902" t="s">
        <v>7401</v>
      </c>
    </row>
    <row r="903" spans="1:12" x14ac:dyDescent="0.35">
      <c r="A903" t="s">
        <v>118</v>
      </c>
      <c r="B903" t="s">
        <v>175</v>
      </c>
      <c r="D903">
        <v>0.33500000000000002</v>
      </c>
      <c r="F903" t="s">
        <v>2061</v>
      </c>
      <c r="H903" t="s">
        <v>7185</v>
      </c>
      <c r="I903" t="s">
        <v>4870</v>
      </c>
      <c r="K903" t="s">
        <v>7400</v>
      </c>
      <c r="L903" t="s">
        <v>7401</v>
      </c>
    </row>
    <row r="904" spans="1:12" x14ac:dyDescent="0.35">
      <c r="A904" t="s">
        <v>118</v>
      </c>
      <c r="B904" t="s">
        <v>175</v>
      </c>
      <c r="D904">
        <v>14.56</v>
      </c>
      <c r="F904" t="s">
        <v>6414</v>
      </c>
      <c r="H904" t="s">
        <v>7186</v>
      </c>
      <c r="I904" t="s">
        <v>4870</v>
      </c>
      <c r="K904" t="s">
        <v>7400</v>
      </c>
      <c r="L904" t="s">
        <v>7401</v>
      </c>
    </row>
    <row r="905" spans="1:12" x14ac:dyDescent="0.35">
      <c r="A905" t="s">
        <v>118</v>
      </c>
      <c r="B905" t="s">
        <v>175</v>
      </c>
      <c r="D905">
        <v>10.45</v>
      </c>
      <c r="F905" t="s">
        <v>6415</v>
      </c>
      <c r="H905" t="s">
        <v>7187</v>
      </c>
      <c r="I905" t="s">
        <v>4870</v>
      </c>
      <c r="K905" t="s">
        <v>7400</v>
      </c>
      <c r="L905" t="s">
        <v>7401</v>
      </c>
    </row>
    <row r="906" spans="1:12" x14ac:dyDescent="0.35">
      <c r="A906" t="s">
        <v>118</v>
      </c>
      <c r="B906" t="s">
        <v>6088</v>
      </c>
      <c r="D906">
        <v>300.60000000000002</v>
      </c>
      <c r="F906" t="s">
        <v>6416</v>
      </c>
      <c r="H906" t="s">
        <v>7188</v>
      </c>
      <c r="I906" t="s">
        <v>2325</v>
      </c>
      <c r="K906" t="s">
        <v>7400</v>
      </c>
      <c r="L906" t="s">
        <v>7401</v>
      </c>
    </row>
    <row r="907" spans="1:12" x14ac:dyDescent="0.35">
      <c r="A907" t="s">
        <v>118</v>
      </c>
      <c r="B907" t="s">
        <v>611</v>
      </c>
      <c r="D907">
        <v>0.127</v>
      </c>
      <c r="F907" t="s">
        <v>2311</v>
      </c>
      <c r="H907" t="s">
        <v>7189</v>
      </c>
      <c r="I907" t="s">
        <v>4973</v>
      </c>
      <c r="K907" t="s">
        <v>7400</v>
      </c>
      <c r="L907" t="s">
        <v>7401</v>
      </c>
    </row>
    <row r="908" spans="1:12" x14ac:dyDescent="0.35">
      <c r="A908" t="s">
        <v>118</v>
      </c>
      <c r="B908" t="s">
        <v>473</v>
      </c>
      <c r="D908">
        <v>2.2999999999999998</v>
      </c>
      <c r="F908" t="s">
        <v>1453</v>
      </c>
      <c r="H908" t="s">
        <v>7190</v>
      </c>
      <c r="I908" t="s">
        <v>1841</v>
      </c>
      <c r="K908" t="s">
        <v>7400</v>
      </c>
      <c r="L908" t="s">
        <v>7401</v>
      </c>
    </row>
    <row r="909" spans="1:12" x14ac:dyDescent="0.35">
      <c r="A909" t="s">
        <v>118</v>
      </c>
      <c r="B909" t="s">
        <v>473</v>
      </c>
      <c r="D909">
        <v>12.72</v>
      </c>
      <c r="F909" t="s">
        <v>6417</v>
      </c>
      <c r="H909" t="s">
        <v>7191</v>
      </c>
      <c r="I909" t="s">
        <v>1450</v>
      </c>
      <c r="K909" t="s">
        <v>7400</v>
      </c>
      <c r="L909" t="s">
        <v>7401</v>
      </c>
    </row>
    <row r="910" spans="1:12" x14ac:dyDescent="0.35">
      <c r="A910" t="s">
        <v>118</v>
      </c>
      <c r="B910" t="s">
        <v>473</v>
      </c>
      <c r="D910">
        <v>15.47</v>
      </c>
      <c r="F910" t="s">
        <v>6418</v>
      </c>
      <c r="H910" t="s">
        <v>7192</v>
      </c>
      <c r="I910" t="s">
        <v>1450</v>
      </c>
      <c r="K910" t="s">
        <v>7400</v>
      </c>
      <c r="L910" t="s">
        <v>7401</v>
      </c>
    </row>
    <row r="911" spans="1:12" x14ac:dyDescent="0.35">
      <c r="A911" t="s">
        <v>118</v>
      </c>
      <c r="B911" t="s">
        <v>473</v>
      </c>
      <c r="D911">
        <v>4.58</v>
      </c>
      <c r="F911" t="s">
        <v>2187</v>
      </c>
      <c r="H911" t="s">
        <v>7193</v>
      </c>
      <c r="I911" t="s">
        <v>5465</v>
      </c>
      <c r="K911" t="s">
        <v>7400</v>
      </c>
      <c r="L911" t="s">
        <v>7401</v>
      </c>
    </row>
    <row r="912" spans="1:12" x14ac:dyDescent="0.35">
      <c r="A912" t="s">
        <v>118</v>
      </c>
      <c r="B912" t="s">
        <v>473</v>
      </c>
      <c r="D912">
        <v>15</v>
      </c>
      <c r="F912" t="s">
        <v>1489</v>
      </c>
      <c r="H912" t="s">
        <v>7194</v>
      </c>
      <c r="I912" t="s">
        <v>1841</v>
      </c>
      <c r="K912" t="s">
        <v>7400</v>
      </c>
      <c r="L912" t="s">
        <v>7401</v>
      </c>
    </row>
    <row r="913" spans="1:12" x14ac:dyDescent="0.35">
      <c r="A913" t="s">
        <v>118</v>
      </c>
      <c r="B913" t="s">
        <v>473</v>
      </c>
      <c r="D913">
        <v>5.0000000000000001E-3</v>
      </c>
      <c r="F913" t="s">
        <v>1264</v>
      </c>
      <c r="H913" t="s">
        <v>7195</v>
      </c>
      <c r="I913" t="s">
        <v>5465</v>
      </c>
      <c r="K913" t="s">
        <v>7400</v>
      </c>
      <c r="L913" t="s">
        <v>7401</v>
      </c>
    </row>
    <row r="914" spans="1:12" x14ac:dyDescent="0.35">
      <c r="A914" t="s">
        <v>118</v>
      </c>
      <c r="B914" t="s">
        <v>6089</v>
      </c>
      <c r="D914">
        <v>1.3</v>
      </c>
      <c r="F914" t="s">
        <v>1358</v>
      </c>
      <c r="H914" t="s">
        <v>7196</v>
      </c>
      <c r="I914" t="s">
        <v>5458</v>
      </c>
      <c r="K914" t="s">
        <v>7400</v>
      </c>
      <c r="L914" t="s">
        <v>7401</v>
      </c>
    </row>
    <row r="915" spans="1:12" x14ac:dyDescent="0.35">
      <c r="A915" t="s">
        <v>118</v>
      </c>
      <c r="B915" t="s">
        <v>6089</v>
      </c>
      <c r="D915">
        <v>0.19</v>
      </c>
      <c r="F915" t="s">
        <v>1538</v>
      </c>
      <c r="H915" t="s">
        <v>7197</v>
      </c>
      <c r="I915" t="s">
        <v>5458</v>
      </c>
      <c r="K915" t="s">
        <v>7400</v>
      </c>
      <c r="L915" t="s">
        <v>7401</v>
      </c>
    </row>
    <row r="916" spans="1:12" x14ac:dyDescent="0.35">
      <c r="A916" t="s">
        <v>118</v>
      </c>
      <c r="B916" t="s">
        <v>6089</v>
      </c>
      <c r="D916">
        <v>0.63</v>
      </c>
      <c r="F916" t="s">
        <v>1931</v>
      </c>
      <c r="H916" t="s">
        <v>7198</v>
      </c>
      <c r="I916" t="s">
        <v>5458</v>
      </c>
      <c r="K916" t="s">
        <v>7400</v>
      </c>
      <c r="L916" t="s">
        <v>7401</v>
      </c>
    </row>
    <row r="917" spans="1:12" x14ac:dyDescent="0.35">
      <c r="A917" t="s">
        <v>118</v>
      </c>
      <c r="B917" t="s">
        <v>6089</v>
      </c>
      <c r="D917">
        <v>0.56000000000000005</v>
      </c>
      <c r="F917" t="s">
        <v>2170</v>
      </c>
      <c r="H917" t="s">
        <v>7199</v>
      </c>
      <c r="I917" t="s">
        <v>4961</v>
      </c>
      <c r="K917" t="s">
        <v>7400</v>
      </c>
      <c r="L917" t="s">
        <v>7401</v>
      </c>
    </row>
    <row r="918" spans="1:12" x14ac:dyDescent="0.35">
      <c r="A918" t="s">
        <v>118</v>
      </c>
      <c r="B918" t="s">
        <v>175</v>
      </c>
      <c r="D918">
        <v>31.5</v>
      </c>
      <c r="F918" t="s">
        <v>5468</v>
      </c>
      <c r="H918" t="s">
        <v>7200</v>
      </c>
      <c r="I918" t="s">
        <v>4961</v>
      </c>
      <c r="K918" t="s">
        <v>7400</v>
      </c>
      <c r="L918" t="s">
        <v>7401</v>
      </c>
    </row>
    <row r="919" spans="1:12" x14ac:dyDescent="0.35">
      <c r="A919" t="s">
        <v>118</v>
      </c>
      <c r="B919" t="s">
        <v>175</v>
      </c>
      <c r="D919">
        <v>1.38</v>
      </c>
      <c r="F919" t="s">
        <v>1932</v>
      </c>
      <c r="H919" t="s">
        <v>7201</v>
      </c>
      <c r="I919" t="s">
        <v>4961</v>
      </c>
      <c r="K919" t="s">
        <v>7400</v>
      </c>
      <c r="L919" t="s">
        <v>7401</v>
      </c>
    </row>
    <row r="920" spans="1:12" x14ac:dyDescent="0.35">
      <c r="A920" t="s">
        <v>118</v>
      </c>
      <c r="B920" t="s">
        <v>175</v>
      </c>
      <c r="D920">
        <v>0.91</v>
      </c>
      <c r="F920" t="s">
        <v>1874</v>
      </c>
      <c r="H920" t="s">
        <v>7202</v>
      </c>
      <c r="I920" t="s">
        <v>4961</v>
      </c>
      <c r="K920" t="s">
        <v>7400</v>
      </c>
      <c r="L920" t="s">
        <v>7401</v>
      </c>
    </row>
    <row r="921" spans="1:12" x14ac:dyDescent="0.35">
      <c r="A921" t="s">
        <v>118</v>
      </c>
      <c r="B921" t="s">
        <v>175</v>
      </c>
      <c r="D921">
        <v>7.26</v>
      </c>
      <c r="F921" t="s">
        <v>6419</v>
      </c>
      <c r="H921" t="s">
        <v>7203</v>
      </c>
      <c r="I921" t="s">
        <v>5465</v>
      </c>
      <c r="K921" t="s">
        <v>7400</v>
      </c>
      <c r="L921" t="s">
        <v>7401</v>
      </c>
    </row>
    <row r="922" spans="1:12" x14ac:dyDescent="0.35">
      <c r="A922" t="s">
        <v>118</v>
      </c>
      <c r="B922" t="s">
        <v>175</v>
      </c>
      <c r="D922">
        <v>0.21</v>
      </c>
      <c r="F922" t="s">
        <v>1572</v>
      </c>
      <c r="H922" t="s">
        <v>7204</v>
      </c>
      <c r="I922" t="s">
        <v>5002</v>
      </c>
      <c r="K922" t="s">
        <v>7400</v>
      </c>
      <c r="L922" t="s">
        <v>7401</v>
      </c>
    </row>
    <row r="923" spans="1:12" x14ac:dyDescent="0.35">
      <c r="A923" t="s">
        <v>118</v>
      </c>
      <c r="B923" t="s">
        <v>617</v>
      </c>
      <c r="D923">
        <v>25.6</v>
      </c>
      <c r="F923" t="s">
        <v>5177</v>
      </c>
      <c r="I923" t="s">
        <v>4891</v>
      </c>
      <c r="K923" t="s">
        <v>7400</v>
      </c>
      <c r="L923" t="s">
        <v>7401</v>
      </c>
    </row>
    <row r="924" spans="1:12" x14ac:dyDescent="0.35">
      <c r="A924" t="s">
        <v>118</v>
      </c>
      <c r="B924" t="s">
        <v>617</v>
      </c>
      <c r="D924">
        <v>4610</v>
      </c>
      <c r="F924" t="s">
        <v>6420</v>
      </c>
      <c r="H924" t="s">
        <v>7205</v>
      </c>
      <c r="I924" t="s">
        <v>4889</v>
      </c>
      <c r="K924" t="s">
        <v>7400</v>
      </c>
      <c r="L924" t="s">
        <v>7401</v>
      </c>
    </row>
    <row r="925" spans="1:12" x14ac:dyDescent="0.35">
      <c r="A925" t="s">
        <v>118</v>
      </c>
      <c r="B925" t="s">
        <v>617</v>
      </c>
      <c r="D925">
        <v>0.72799999999999998</v>
      </c>
      <c r="F925" t="s">
        <v>6421</v>
      </c>
      <c r="H925" t="s">
        <v>7206</v>
      </c>
      <c r="I925" t="s">
        <v>4889</v>
      </c>
      <c r="K925" t="s">
        <v>7400</v>
      </c>
      <c r="L925" t="s">
        <v>7401</v>
      </c>
    </row>
    <row r="926" spans="1:12" x14ac:dyDescent="0.35">
      <c r="A926" t="s">
        <v>118</v>
      </c>
      <c r="B926" t="s">
        <v>179</v>
      </c>
      <c r="D926">
        <v>12.8</v>
      </c>
      <c r="F926" t="s">
        <v>5597</v>
      </c>
      <c r="H926" t="s">
        <v>7207</v>
      </c>
      <c r="I926" t="s">
        <v>4961</v>
      </c>
      <c r="K926" t="s">
        <v>7400</v>
      </c>
      <c r="L926" t="s">
        <v>7401</v>
      </c>
    </row>
    <row r="927" spans="1:12" x14ac:dyDescent="0.35">
      <c r="A927" t="s">
        <v>118</v>
      </c>
      <c r="B927" t="s">
        <v>179</v>
      </c>
      <c r="D927">
        <v>2.3E-2</v>
      </c>
      <c r="F927" t="s">
        <v>1457</v>
      </c>
      <c r="H927" t="s">
        <v>7208</v>
      </c>
      <c r="I927" t="s">
        <v>5465</v>
      </c>
      <c r="K927" t="s">
        <v>7400</v>
      </c>
      <c r="L927" t="s">
        <v>7401</v>
      </c>
    </row>
    <row r="928" spans="1:12" x14ac:dyDescent="0.35">
      <c r="A928" t="s">
        <v>118</v>
      </c>
      <c r="B928" t="s">
        <v>179</v>
      </c>
      <c r="D928">
        <v>1.9E-2</v>
      </c>
      <c r="F928" t="s">
        <v>1628</v>
      </c>
      <c r="H928" t="s">
        <v>7209</v>
      </c>
      <c r="I928" t="s">
        <v>4954</v>
      </c>
      <c r="K928" t="s">
        <v>7400</v>
      </c>
      <c r="L928" t="s">
        <v>7401</v>
      </c>
    </row>
    <row r="929" spans="1:12" x14ac:dyDescent="0.35">
      <c r="A929" t="s">
        <v>118</v>
      </c>
      <c r="B929" t="s">
        <v>618</v>
      </c>
      <c r="D929">
        <v>6.0819999999999999</v>
      </c>
      <c r="F929" t="s">
        <v>6422</v>
      </c>
      <c r="H929" t="s">
        <v>7210</v>
      </c>
      <c r="I929" t="s">
        <v>4952</v>
      </c>
      <c r="K929" t="s">
        <v>7400</v>
      </c>
      <c r="L929" t="s">
        <v>7401</v>
      </c>
    </row>
    <row r="930" spans="1:12" x14ac:dyDescent="0.35">
      <c r="A930" t="s">
        <v>118</v>
      </c>
      <c r="B930" t="s">
        <v>619</v>
      </c>
      <c r="D930">
        <v>0.22</v>
      </c>
      <c r="F930" t="s">
        <v>1438</v>
      </c>
      <c r="H930" t="s">
        <v>7211</v>
      </c>
      <c r="I930" t="s">
        <v>4916</v>
      </c>
      <c r="K930" t="s">
        <v>7400</v>
      </c>
      <c r="L930" t="s">
        <v>7401</v>
      </c>
    </row>
    <row r="931" spans="1:12" x14ac:dyDescent="0.35">
      <c r="A931" t="s">
        <v>118</v>
      </c>
      <c r="B931" t="s">
        <v>619</v>
      </c>
      <c r="D931">
        <v>2.48</v>
      </c>
      <c r="F931" t="s">
        <v>5625</v>
      </c>
      <c r="H931" t="s">
        <v>7212</v>
      </c>
      <c r="I931" t="s">
        <v>4916</v>
      </c>
      <c r="K931" t="s">
        <v>7400</v>
      </c>
      <c r="L931" t="s">
        <v>7401</v>
      </c>
    </row>
    <row r="932" spans="1:12" x14ac:dyDescent="0.35">
      <c r="A932" t="s">
        <v>118</v>
      </c>
      <c r="B932" t="s">
        <v>619</v>
      </c>
      <c r="D932">
        <v>51.5</v>
      </c>
      <c r="F932" t="s">
        <v>6423</v>
      </c>
      <c r="H932" t="s">
        <v>7213</v>
      </c>
      <c r="I932" t="s">
        <v>4916</v>
      </c>
      <c r="K932" t="s">
        <v>7400</v>
      </c>
      <c r="L932" t="s">
        <v>7401</v>
      </c>
    </row>
    <row r="933" spans="1:12" x14ac:dyDescent="0.35">
      <c r="A933" t="s">
        <v>118</v>
      </c>
      <c r="B933" t="s">
        <v>619</v>
      </c>
      <c r="D933">
        <v>3.51</v>
      </c>
      <c r="F933" t="s">
        <v>6424</v>
      </c>
      <c r="H933" t="s">
        <v>7214</v>
      </c>
      <c r="I933" t="s">
        <v>4916</v>
      </c>
      <c r="K933" t="s">
        <v>7400</v>
      </c>
      <c r="L933" t="s">
        <v>7401</v>
      </c>
    </row>
    <row r="934" spans="1:12" x14ac:dyDescent="0.35">
      <c r="A934" t="s">
        <v>118</v>
      </c>
      <c r="B934" t="s">
        <v>620</v>
      </c>
      <c r="D934">
        <v>4.3999999999999997E-2</v>
      </c>
      <c r="F934" t="s">
        <v>1429</v>
      </c>
      <c r="H934" t="s">
        <v>7215</v>
      </c>
      <c r="I934" t="s">
        <v>4865</v>
      </c>
      <c r="K934" t="s">
        <v>7400</v>
      </c>
      <c r="L934" t="s">
        <v>7401</v>
      </c>
    </row>
    <row r="935" spans="1:12" x14ac:dyDescent="0.35">
      <c r="A935" t="s">
        <v>118</v>
      </c>
      <c r="B935" t="s">
        <v>620</v>
      </c>
      <c r="D935">
        <v>8.6999999999999994E-2</v>
      </c>
      <c r="F935" t="s">
        <v>1463</v>
      </c>
      <c r="H935" t="s">
        <v>7216</v>
      </c>
      <c r="I935" t="s">
        <v>4865</v>
      </c>
      <c r="K935" t="s">
        <v>7400</v>
      </c>
      <c r="L935" t="s">
        <v>7401</v>
      </c>
    </row>
    <row r="936" spans="1:12" x14ac:dyDescent="0.35">
      <c r="A936" t="s">
        <v>118</v>
      </c>
      <c r="B936" t="s">
        <v>620</v>
      </c>
      <c r="D936">
        <v>3.4000000000000002E-2</v>
      </c>
      <c r="F936" t="s">
        <v>1323</v>
      </c>
      <c r="H936" t="s">
        <v>7217</v>
      </c>
      <c r="I936" t="s">
        <v>4865</v>
      </c>
      <c r="K936" t="s">
        <v>7400</v>
      </c>
      <c r="L936" t="s">
        <v>7401</v>
      </c>
    </row>
    <row r="937" spans="1:12" x14ac:dyDescent="0.35">
      <c r="A937" t="s">
        <v>118</v>
      </c>
      <c r="B937" t="s">
        <v>620</v>
      </c>
      <c r="D937">
        <v>3.5999999999999997E-2</v>
      </c>
      <c r="F937" t="s">
        <v>1837</v>
      </c>
      <c r="H937" t="s">
        <v>7218</v>
      </c>
      <c r="I937" t="s">
        <v>4865</v>
      </c>
      <c r="K937" t="s">
        <v>7400</v>
      </c>
      <c r="L937" t="s">
        <v>7401</v>
      </c>
    </row>
    <row r="938" spans="1:12" x14ac:dyDescent="0.35">
      <c r="A938" t="s">
        <v>118</v>
      </c>
      <c r="B938" t="s">
        <v>620</v>
      </c>
      <c r="D938">
        <v>0.3</v>
      </c>
      <c r="F938" t="s">
        <v>1401</v>
      </c>
      <c r="H938" t="s">
        <v>7219</v>
      </c>
      <c r="I938" t="s">
        <v>4865</v>
      </c>
      <c r="K938" t="s">
        <v>7400</v>
      </c>
      <c r="L938" t="s">
        <v>7401</v>
      </c>
    </row>
    <row r="939" spans="1:12" x14ac:dyDescent="0.35">
      <c r="A939" t="s">
        <v>118</v>
      </c>
      <c r="B939" t="s">
        <v>620</v>
      </c>
      <c r="D939">
        <v>0.56999999999999995</v>
      </c>
      <c r="F939" t="s">
        <v>1711</v>
      </c>
      <c r="H939" t="s">
        <v>7220</v>
      </c>
      <c r="I939" t="s">
        <v>4865</v>
      </c>
      <c r="K939" t="s">
        <v>7400</v>
      </c>
      <c r="L939" t="s">
        <v>7401</v>
      </c>
    </row>
    <row r="940" spans="1:12" x14ac:dyDescent="0.35">
      <c r="A940" t="s">
        <v>118</v>
      </c>
      <c r="B940" t="s">
        <v>620</v>
      </c>
      <c r="D940">
        <v>0.31</v>
      </c>
      <c r="F940" t="s">
        <v>1714</v>
      </c>
      <c r="H940" t="s">
        <v>7221</v>
      </c>
      <c r="I940" t="s">
        <v>4865</v>
      </c>
      <c r="K940" t="s">
        <v>7400</v>
      </c>
      <c r="L940" t="s">
        <v>7401</v>
      </c>
    </row>
    <row r="941" spans="1:12" x14ac:dyDescent="0.35">
      <c r="A941" t="s">
        <v>118</v>
      </c>
      <c r="B941" t="s">
        <v>620</v>
      </c>
      <c r="D941">
        <v>12.3</v>
      </c>
      <c r="F941" t="s">
        <v>6425</v>
      </c>
      <c r="H941" t="s">
        <v>7222</v>
      </c>
      <c r="I941" t="s">
        <v>4865</v>
      </c>
      <c r="K941" t="s">
        <v>7400</v>
      </c>
      <c r="L941" t="s">
        <v>7401</v>
      </c>
    </row>
    <row r="942" spans="1:12" x14ac:dyDescent="0.35">
      <c r="A942" t="s">
        <v>118</v>
      </c>
      <c r="B942" t="s">
        <v>620</v>
      </c>
      <c r="D942">
        <v>27</v>
      </c>
      <c r="F942" t="s">
        <v>2364</v>
      </c>
      <c r="H942" t="s">
        <v>7223</v>
      </c>
      <c r="I942" t="s">
        <v>4865</v>
      </c>
      <c r="K942" t="s">
        <v>7400</v>
      </c>
      <c r="L942" t="s">
        <v>7401</v>
      </c>
    </row>
    <row r="943" spans="1:12" x14ac:dyDescent="0.35">
      <c r="A943" t="s">
        <v>118</v>
      </c>
      <c r="B943" t="s">
        <v>620</v>
      </c>
      <c r="D943">
        <v>2.1000000000000001E-2</v>
      </c>
      <c r="F943" t="s">
        <v>1617</v>
      </c>
      <c r="H943" t="s">
        <v>7224</v>
      </c>
      <c r="I943" t="s">
        <v>4865</v>
      </c>
      <c r="K943" t="s">
        <v>7400</v>
      </c>
      <c r="L943" t="s">
        <v>7401</v>
      </c>
    </row>
    <row r="944" spans="1:12" x14ac:dyDescent="0.35">
      <c r="A944" t="s">
        <v>118</v>
      </c>
      <c r="B944" t="s">
        <v>620</v>
      </c>
      <c r="D944">
        <v>2.5000000000000001E-2</v>
      </c>
      <c r="F944" t="s">
        <v>1282</v>
      </c>
      <c r="H944" t="s">
        <v>7225</v>
      </c>
      <c r="I944" t="s">
        <v>4865</v>
      </c>
      <c r="K944" t="s">
        <v>7400</v>
      </c>
      <c r="L944" t="s">
        <v>7401</v>
      </c>
    </row>
    <row r="945" spans="1:12" x14ac:dyDescent="0.35">
      <c r="A945" t="s">
        <v>118</v>
      </c>
      <c r="B945" t="s">
        <v>620</v>
      </c>
      <c r="D945">
        <v>0.28999999999999998</v>
      </c>
      <c r="F945" t="s">
        <v>1396</v>
      </c>
      <c r="H945" t="s">
        <v>7226</v>
      </c>
      <c r="I945" t="s">
        <v>4865</v>
      </c>
      <c r="K945" t="s">
        <v>7400</v>
      </c>
      <c r="L945" t="s">
        <v>7401</v>
      </c>
    </row>
    <row r="946" spans="1:12" x14ac:dyDescent="0.35">
      <c r="A946" t="s">
        <v>118</v>
      </c>
      <c r="B946" t="s">
        <v>620</v>
      </c>
      <c r="D946">
        <v>1.7999999999999999E-2</v>
      </c>
      <c r="F946" t="s">
        <v>1611</v>
      </c>
      <c r="H946" t="s">
        <v>7227</v>
      </c>
      <c r="I946" t="s">
        <v>4865</v>
      </c>
      <c r="K946" t="s">
        <v>7400</v>
      </c>
      <c r="L946" t="s">
        <v>7401</v>
      </c>
    </row>
    <row r="947" spans="1:12" x14ac:dyDescent="0.35">
      <c r="A947" t="s">
        <v>118</v>
      </c>
      <c r="B947" t="s">
        <v>620</v>
      </c>
      <c r="D947">
        <v>4.9000000000000002E-2</v>
      </c>
      <c r="F947" t="s">
        <v>1452</v>
      </c>
      <c r="H947" t="s">
        <v>7228</v>
      </c>
      <c r="I947" t="s">
        <v>4865</v>
      </c>
      <c r="K947" t="s">
        <v>7400</v>
      </c>
      <c r="L947" t="s">
        <v>7401</v>
      </c>
    </row>
    <row r="948" spans="1:12" x14ac:dyDescent="0.35">
      <c r="A948" t="s">
        <v>118</v>
      </c>
      <c r="B948" t="s">
        <v>620</v>
      </c>
      <c r="D948">
        <v>4.8000000000000001E-2</v>
      </c>
      <c r="F948" t="s">
        <v>1434</v>
      </c>
      <c r="H948" t="s">
        <v>7229</v>
      </c>
      <c r="I948" t="s">
        <v>4865</v>
      </c>
      <c r="K948" t="s">
        <v>7400</v>
      </c>
      <c r="L948" t="s">
        <v>7401</v>
      </c>
    </row>
    <row r="949" spans="1:12" x14ac:dyDescent="0.35">
      <c r="A949" t="s">
        <v>118</v>
      </c>
      <c r="B949" t="s">
        <v>620</v>
      </c>
      <c r="D949">
        <v>2.9000000000000001E-2</v>
      </c>
      <c r="F949" t="s">
        <v>2038</v>
      </c>
      <c r="H949" t="s">
        <v>7230</v>
      </c>
      <c r="I949" t="s">
        <v>4865</v>
      </c>
      <c r="K949" t="s">
        <v>7400</v>
      </c>
      <c r="L949" t="s">
        <v>7401</v>
      </c>
    </row>
    <row r="950" spans="1:12" x14ac:dyDescent="0.35">
      <c r="A950" t="s">
        <v>118</v>
      </c>
      <c r="B950" t="s">
        <v>620</v>
      </c>
      <c r="D950">
        <v>5.1999999999999998E-2</v>
      </c>
      <c r="F950" t="s">
        <v>1529</v>
      </c>
      <c r="H950" t="s">
        <v>7231</v>
      </c>
      <c r="I950" t="s">
        <v>4865</v>
      </c>
      <c r="K950" t="s">
        <v>7400</v>
      </c>
      <c r="L950" t="s">
        <v>7401</v>
      </c>
    </row>
    <row r="951" spans="1:12" x14ac:dyDescent="0.35">
      <c r="A951" t="s">
        <v>118</v>
      </c>
      <c r="B951" t="s">
        <v>620</v>
      </c>
      <c r="D951">
        <v>1.2E-2</v>
      </c>
      <c r="F951" t="s">
        <v>1280</v>
      </c>
      <c r="H951" t="s">
        <v>7232</v>
      </c>
      <c r="I951" t="s">
        <v>4865</v>
      </c>
      <c r="K951" t="s">
        <v>7400</v>
      </c>
      <c r="L951" t="s">
        <v>7401</v>
      </c>
    </row>
    <row r="952" spans="1:12" x14ac:dyDescent="0.35">
      <c r="A952" t="s">
        <v>118</v>
      </c>
      <c r="B952" t="s">
        <v>620</v>
      </c>
      <c r="D952">
        <v>32.200000000000003</v>
      </c>
      <c r="F952" t="s">
        <v>6426</v>
      </c>
      <c r="H952" t="s">
        <v>7233</v>
      </c>
      <c r="I952" t="s">
        <v>4865</v>
      </c>
      <c r="K952" t="s">
        <v>7400</v>
      </c>
      <c r="L952" t="s">
        <v>7401</v>
      </c>
    </row>
    <row r="953" spans="1:12" x14ac:dyDescent="0.35">
      <c r="A953" t="s">
        <v>118</v>
      </c>
      <c r="B953" t="s">
        <v>620</v>
      </c>
      <c r="D953">
        <v>6.0000000000000001E-3</v>
      </c>
      <c r="F953" t="s">
        <v>1273</v>
      </c>
      <c r="H953" t="s">
        <v>7234</v>
      </c>
      <c r="I953" t="s">
        <v>4865</v>
      </c>
      <c r="K953" t="s">
        <v>7400</v>
      </c>
      <c r="L953" t="s">
        <v>7401</v>
      </c>
    </row>
    <row r="954" spans="1:12" x14ac:dyDescent="0.35">
      <c r="A954" t="s">
        <v>118</v>
      </c>
      <c r="B954" t="s">
        <v>620</v>
      </c>
      <c r="D954">
        <v>22.9</v>
      </c>
      <c r="F954" t="s">
        <v>6427</v>
      </c>
      <c r="H954" t="s">
        <v>7235</v>
      </c>
      <c r="I954" t="s">
        <v>4865</v>
      </c>
      <c r="K954" t="s">
        <v>7400</v>
      </c>
      <c r="L954" t="s">
        <v>7401</v>
      </c>
    </row>
    <row r="955" spans="1:12" x14ac:dyDescent="0.35">
      <c r="A955" t="s">
        <v>118</v>
      </c>
      <c r="B955" t="s">
        <v>620</v>
      </c>
      <c r="D955">
        <v>12.2</v>
      </c>
      <c r="F955" t="s">
        <v>1471</v>
      </c>
      <c r="H955" t="s">
        <v>7236</v>
      </c>
      <c r="I955" t="s">
        <v>4865</v>
      </c>
      <c r="K955" t="s">
        <v>7400</v>
      </c>
      <c r="L955" t="s">
        <v>7401</v>
      </c>
    </row>
    <row r="956" spans="1:12" x14ac:dyDescent="0.35">
      <c r="A956" t="s">
        <v>118</v>
      </c>
      <c r="B956" t="s">
        <v>620</v>
      </c>
      <c r="D956">
        <v>36.200000000000003</v>
      </c>
      <c r="F956" t="s">
        <v>5348</v>
      </c>
      <c r="H956" t="s">
        <v>7237</v>
      </c>
      <c r="I956" t="s">
        <v>4865</v>
      </c>
      <c r="K956" t="s">
        <v>7400</v>
      </c>
      <c r="L956" t="s">
        <v>7401</v>
      </c>
    </row>
    <row r="957" spans="1:12" x14ac:dyDescent="0.35">
      <c r="A957" t="s">
        <v>118</v>
      </c>
      <c r="B957" t="s">
        <v>620</v>
      </c>
      <c r="D957">
        <v>0.64</v>
      </c>
      <c r="F957" t="s">
        <v>2041</v>
      </c>
      <c r="H957" t="s">
        <v>7238</v>
      </c>
      <c r="I957" t="s">
        <v>4865</v>
      </c>
      <c r="K957" t="s">
        <v>7400</v>
      </c>
      <c r="L957" t="s">
        <v>7401</v>
      </c>
    </row>
    <row r="958" spans="1:12" x14ac:dyDescent="0.35">
      <c r="A958" t="s">
        <v>118</v>
      </c>
      <c r="B958" t="s">
        <v>620</v>
      </c>
      <c r="D958">
        <v>0.61</v>
      </c>
      <c r="F958" t="s">
        <v>1891</v>
      </c>
      <c r="H958" t="s">
        <v>7239</v>
      </c>
      <c r="I958" t="s">
        <v>4865</v>
      </c>
      <c r="K958" t="s">
        <v>7400</v>
      </c>
      <c r="L958" t="s">
        <v>7401</v>
      </c>
    </row>
    <row r="959" spans="1:12" x14ac:dyDescent="0.35">
      <c r="A959" t="s">
        <v>118</v>
      </c>
      <c r="B959" t="s">
        <v>620</v>
      </c>
      <c r="D959">
        <v>74.3</v>
      </c>
      <c r="F959" t="s">
        <v>6428</v>
      </c>
      <c r="H959" t="s">
        <v>7240</v>
      </c>
      <c r="I959" t="s">
        <v>4865</v>
      </c>
      <c r="K959" t="s">
        <v>7400</v>
      </c>
      <c r="L959" t="s">
        <v>7401</v>
      </c>
    </row>
    <row r="960" spans="1:12" x14ac:dyDescent="0.35">
      <c r="A960" t="s">
        <v>118</v>
      </c>
      <c r="B960" t="s">
        <v>620</v>
      </c>
      <c r="D960">
        <v>25.2</v>
      </c>
      <c r="F960" t="s">
        <v>5687</v>
      </c>
      <c r="H960" t="s">
        <v>7235</v>
      </c>
      <c r="I960" t="s">
        <v>4865</v>
      </c>
      <c r="K960" t="s">
        <v>7400</v>
      </c>
      <c r="L960" t="s">
        <v>7401</v>
      </c>
    </row>
    <row r="961" spans="1:12" x14ac:dyDescent="0.35">
      <c r="A961" t="s">
        <v>118</v>
      </c>
      <c r="B961" t="s">
        <v>620</v>
      </c>
      <c r="D961">
        <v>5.2999999999999999E-2</v>
      </c>
      <c r="F961" t="s">
        <v>1739</v>
      </c>
      <c r="H961" t="s">
        <v>7241</v>
      </c>
      <c r="I961" t="s">
        <v>4865</v>
      </c>
      <c r="K961" t="s">
        <v>7400</v>
      </c>
      <c r="L961" t="s">
        <v>7401</v>
      </c>
    </row>
    <row r="962" spans="1:12" x14ac:dyDescent="0.35">
      <c r="A962" t="s">
        <v>118</v>
      </c>
      <c r="B962" t="s">
        <v>620</v>
      </c>
      <c r="D962">
        <v>7.2999999999999995E-2</v>
      </c>
      <c r="F962" t="s">
        <v>1787</v>
      </c>
      <c r="H962" t="s">
        <v>7242</v>
      </c>
      <c r="I962" t="s">
        <v>4865</v>
      </c>
      <c r="K962" t="s">
        <v>7400</v>
      </c>
      <c r="L962" t="s">
        <v>7401</v>
      </c>
    </row>
    <row r="963" spans="1:12" x14ac:dyDescent="0.35">
      <c r="A963" t="s">
        <v>118</v>
      </c>
      <c r="B963" t="s">
        <v>620</v>
      </c>
      <c r="D963">
        <v>8.5000000000000006E-2</v>
      </c>
      <c r="F963" t="s">
        <v>1459</v>
      </c>
      <c r="H963" t="s">
        <v>7243</v>
      </c>
      <c r="I963" t="s">
        <v>4865</v>
      </c>
      <c r="K963" t="s">
        <v>7400</v>
      </c>
      <c r="L963" t="s">
        <v>7401</v>
      </c>
    </row>
    <row r="964" spans="1:12" x14ac:dyDescent="0.35">
      <c r="A964" t="s">
        <v>118</v>
      </c>
      <c r="B964" t="s">
        <v>620</v>
      </c>
      <c r="D964">
        <v>8.9999999999999993E-3</v>
      </c>
      <c r="F964" t="s">
        <v>1546</v>
      </c>
      <c r="H964" t="s">
        <v>7244</v>
      </c>
      <c r="I964" t="s">
        <v>4865</v>
      </c>
      <c r="K964" t="s">
        <v>7400</v>
      </c>
      <c r="L964" t="s">
        <v>7401</v>
      </c>
    </row>
    <row r="965" spans="1:12" x14ac:dyDescent="0.35">
      <c r="A965" t="s">
        <v>118</v>
      </c>
      <c r="B965" t="s">
        <v>620</v>
      </c>
      <c r="D965">
        <v>5.8999999999999997E-2</v>
      </c>
      <c r="F965" t="s">
        <v>1729</v>
      </c>
      <c r="H965" t="s">
        <v>7245</v>
      </c>
      <c r="I965" t="s">
        <v>4865</v>
      </c>
      <c r="K965" t="s">
        <v>7400</v>
      </c>
      <c r="L965" t="s">
        <v>7401</v>
      </c>
    </row>
    <row r="966" spans="1:12" x14ac:dyDescent="0.35">
      <c r="A966" t="s">
        <v>118</v>
      </c>
      <c r="B966" t="s">
        <v>620</v>
      </c>
      <c r="D966">
        <v>2.5999999999999999E-2</v>
      </c>
      <c r="F966" t="s">
        <v>1737</v>
      </c>
      <c r="H966" t="s">
        <v>7246</v>
      </c>
      <c r="I966" t="s">
        <v>4865</v>
      </c>
      <c r="K966" t="s">
        <v>7400</v>
      </c>
      <c r="L966" t="s">
        <v>7401</v>
      </c>
    </row>
    <row r="967" spans="1:12" x14ac:dyDescent="0.35">
      <c r="A967" t="s">
        <v>118</v>
      </c>
      <c r="B967" t="s">
        <v>620</v>
      </c>
      <c r="D967">
        <v>6.8000000000000005E-2</v>
      </c>
      <c r="F967" t="s">
        <v>2426</v>
      </c>
      <c r="H967" t="s">
        <v>7247</v>
      </c>
      <c r="I967" t="s">
        <v>4865</v>
      </c>
      <c r="K967" t="s">
        <v>7400</v>
      </c>
      <c r="L967" t="s">
        <v>7401</v>
      </c>
    </row>
    <row r="968" spans="1:12" x14ac:dyDescent="0.35">
      <c r="A968" t="s">
        <v>118</v>
      </c>
      <c r="B968" t="s">
        <v>620</v>
      </c>
      <c r="D968">
        <v>7.9000000000000001E-2</v>
      </c>
      <c r="F968" t="s">
        <v>1730</v>
      </c>
      <c r="H968" t="s">
        <v>7248</v>
      </c>
      <c r="I968" t="s">
        <v>4865</v>
      </c>
      <c r="K968" t="s">
        <v>7400</v>
      </c>
      <c r="L968" t="s">
        <v>7401</v>
      </c>
    </row>
    <row r="969" spans="1:12" x14ac:dyDescent="0.35">
      <c r="A969" t="s">
        <v>118</v>
      </c>
      <c r="B969" t="s">
        <v>620</v>
      </c>
      <c r="D969">
        <v>26.1</v>
      </c>
      <c r="F969" t="s">
        <v>2621</v>
      </c>
      <c r="H969" t="s">
        <v>7249</v>
      </c>
      <c r="I969" t="s">
        <v>4865</v>
      </c>
      <c r="K969" t="s">
        <v>7400</v>
      </c>
      <c r="L969" t="s">
        <v>7401</v>
      </c>
    </row>
    <row r="970" spans="1:12" x14ac:dyDescent="0.35">
      <c r="A970" t="s">
        <v>118</v>
      </c>
      <c r="B970" t="s">
        <v>620</v>
      </c>
      <c r="D970">
        <v>8.0299999999999994</v>
      </c>
      <c r="F970" t="s">
        <v>2089</v>
      </c>
      <c r="H970" t="s">
        <v>7250</v>
      </c>
      <c r="I970" t="s">
        <v>4865</v>
      </c>
      <c r="K970" t="s">
        <v>7400</v>
      </c>
      <c r="L970" t="s">
        <v>7401</v>
      </c>
    </row>
    <row r="971" spans="1:12" x14ac:dyDescent="0.35">
      <c r="A971" t="s">
        <v>118</v>
      </c>
      <c r="B971" t="s">
        <v>620</v>
      </c>
      <c r="D971">
        <v>4.28</v>
      </c>
      <c r="F971" t="s">
        <v>1747</v>
      </c>
      <c r="H971" t="s">
        <v>7251</v>
      </c>
      <c r="I971" t="s">
        <v>4865</v>
      </c>
      <c r="K971" t="s">
        <v>7400</v>
      </c>
      <c r="L971" t="s">
        <v>7401</v>
      </c>
    </row>
    <row r="972" spans="1:12" x14ac:dyDescent="0.35">
      <c r="A972" t="s">
        <v>118</v>
      </c>
      <c r="B972" t="s">
        <v>620</v>
      </c>
      <c r="D972">
        <v>6.9000000000000006E-2</v>
      </c>
      <c r="F972" t="s">
        <v>1619</v>
      </c>
      <c r="H972" t="s">
        <v>7252</v>
      </c>
      <c r="I972" t="s">
        <v>4865</v>
      </c>
      <c r="K972" t="s">
        <v>7400</v>
      </c>
      <c r="L972" t="s">
        <v>7401</v>
      </c>
    </row>
    <row r="973" spans="1:12" x14ac:dyDescent="0.35">
      <c r="A973" t="s">
        <v>118</v>
      </c>
      <c r="B973" t="s">
        <v>620</v>
      </c>
      <c r="D973">
        <v>3.03</v>
      </c>
      <c r="F973" t="s">
        <v>5476</v>
      </c>
      <c r="H973" t="s">
        <v>7253</v>
      </c>
      <c r="I973" t="s">
        <v>4865</v>
      </c>
      <c r="K973" t="s">
        <v>7400</v>
      </c>
      <c r="L973" t="s">
        <v>7401</v>
      </c>
    </row>
    <row r="974" spans="1:12" x14ac:dyDescent="0.35">
      <c r="A974" t="s">
        <v>118</v>
      </c>
      <c r="B974" t="s">
        <v>620</v>
      </c>
      <c r="D974">
        <v>52.4</v>
      </c>
      <c r="F974" t="s">
        <v>5508</v>
      </c>
      <c r="H974" t="s">
        <v>7254</v>
      </c>
      <c r="I974" t="s">
        <v>4865</v>
      </c>
      <c r="K974" t="s">
        <v>7400</v>
      </c>
      <c r="L974" t="s">
        <v>7401</v>
      </c>
    </row>
    <row r="975" spans="1:12" x14ac:dyDescent="0.35">
      <c r="A975" t="s">
        <v>118</v>
      </c>
      <c r="B975" t="s">
        <v>620</v>
      </c>
      <c r="D975">
        <v>58.6</v>
      </c>
      <c r="F975" t="s">
        <v>6429</v>
      </c>
      <c r="H975" t="s">
        <v>7255</v>
      </c>
      <c r="I975" t="s">
        <v>4865</v>
      </c>
      <c r="K975" t="s">
        <v>7400</v>
      </c>
      <c r="L975" t="s">
        <v>7401</v>
      </c>
    </row>
    <row r="976" spans="1:12" x14ac:dyDescent="0.35">
      <c r="A976" t="s">
        <v>118</v>
      </c>
      <c r="B976" t="s">
        <v>620</v>
      </c>
      <c r="D976">
        <v>44.3</v>
      </c>
      <c r="F976" t="s">
        <v>6430</v>
      </c>
      <c r="H976" t="s">
        <v>7256</v>
      </c>
      <c r="I976" t="s">
        <v>4865</v>
      </c>
      <c r="K976" t="s">
        <v>7400</v>
      </c>
      <c r="L976" t="s">
        <v>7401</v>
      </c>
    </row>
    <row r="977" spans="1:12" x14ac:dyDescent="0.35">
      <c r="A977" t="s">
        <v>118</v>
      </c>
      <c r="B977" t="s">
        <v>620</v>
      </c>
      <c r="D977">
        <v>0.04</v>
      </c>
      <c r="F977" t="s">
        <v>1334</v>
      </c>
      <c r="H977" t="s">
        <v>7257</v>
      </c>
      <c r="I977" t="s">
        <v>4865</v>
      </c>
      <c r="K977" t="s">
        <v>7400</v>
      </c>
      <c r="L977" t="s">
        <v>7401</v>
      </c>
    </row>
    <row r="978" spans="1:12" x14ac:dyDescent="0.35">
      <c r="A978" t="s">
        <v>118</v>
      </c>
      <c r="B978" t="s">
        <v>620</v>
      </c>
      <c r="D978">
        <v>8.5999999999999993E-2</v>
      </c>
      <c r="F978" t="s">
        <v>1582</v>
      </c>
      <c r="H978" t="s">
        <v>7258</v>
      </c>
      <c r="I978" t="s">
        <v>4865</v>
      </c>
      <c r="K978" t="s">
        <v>7400</v>
      </c>
      <c r="L978" t="s">
        <v>7401</v>
      </c>
    </row>
    <row r="979" spans="1:12" x14ac:dyDescent="0.35">
      <c r="A979" t="s">
        <v>118</v>
      </c>
      <c r="B979" t="s">
        <v>620</v>
      </c>
      <c r="D979">
        <v>1.03</v>
      </c>
      <c r="F979" t="s">
        <v>1850</v>
      </c>
      <c r="H979" t="s">
        <v>7259</v>
      </c>
      <c r="I979" t="s">
        <v>4865</v>
      </c>
      <c r="K979" t="s">
        <v>7400</v>
      </c>
      <c r="L979" t="s">
        <v>7401</v>
      </c>
    </row>
    <row r="980" spans="1:12" x14ac:dyDescent="0.35">
      <c r="A980" t="s">
        <v>118</v>
      </c>
      <c r="B980" t="s">
        <v>620</v>
      </c>
      <c r="D980">
        <v>0.47</v>
      </c>
      <c r="F980" t="s">
        <v>1795</v>
      </c>
      <c r="H980" t="s">
        <v>7260</v>
      </c>
      <c r="I980" t="s">
        <v>4865</v>
      </c>
      <c r="K980" t="s">
        <v>7400</v>
      </c>
      <c r="L980" t="s">
        <v>7401</v>
      </c>
    </row>
    <row r="981" spans="1:12" x14ac:dyDescent="0.35">
      <c r="A981" t="s">
        <v>118</v>
      </c>
      <c r="B981" t="s">
        <v>620</v>
      </c>
      <c r="D981">
        <v>4.2999999999999997E-2</v>
      </c>
      <c r="F981" t="s">
        <v>1437</v>
      </c>
      <c r="H981" t="s">
        <v>7261</v>
      </c>
      <c r="I981" t="s">
        <v>4865</v>
      </c>
      <c r="K981" t="s">
        <v>7400</v>
      </c>
      <c r="L981" t="s">
        <v>7401</v>
      </c>
    </row>
    <row r="982" spans="1:12" x14ac:dyDescent="0.35">
      <c r="A982" t="s">
        <v>118</v>
      </c>
      <c r="B982" t="s">
        <v>621</v>
      </c>
      <c r="D982">
        <v>0.15</v>
      </c>
      <c r="F982" t="s">
        <v>1269</v>
      </c>
      <c r="H982" t="s">
        <v>7262</v>
      </c>
      <c r="I982" t="s">
        <v>4874</v>
      </c>
      <c r="K982" t="s">
        <v>7400</v>
      </c>
      <c r="L982" t="s">
        <v>7401</v>
      </c>
    </row>
    <row r="983" spans="1:12" x14ac:dyDescent="0.35">
      <c r="A983" t="s">
        <v>118</v>
      </c>
      <c r="B983" t="s">
        <v>621</v>
      </c>
      <c r="D983">
        <v>0.14000000000000001</v>
      </c>
      <c r="F983" t="s">
        <v>1361</v>
      </c>
      <c r="H983" t="s">
        <v>7263</v>
      </c>
      <c r="I983" t="s">
        <v>4874</v>
      </c>
      <c r="K983" t="s">
        <v>7400</v>
      </c>
      <c r="L983" t="s">
        <v>7401</v>
      </c>
    </row>
    <row r="984" spans="1:12" x14ac:dyDescent="0.35">
      <c r="A984" t="s">
        <v>118</v>
      </c>
      <c r="B984" t="s">
        <v>621</v>
      </c>
      <c r="D984">
        <v>11</v>
      </c>
      <c r="F984" t="s">
        <v>1841</v>
      </c>
      <c r="H984" t="s">
        <v>7264</v>
      </c>
      <c r="I984" t="s">
        <v>4874</v>
      </c>
      <c r="K984" t="s">
        <v>7400</v>
      </c>
      <c r="L984" t="s">
        <v>7401</v>
      </c>
    </row>
    <row r="985" spans="1:12" x14ac:dyDescent="0.35">
      <c r="A985" t="s">
        <v>118</v>
      </c>
      <c r="B985" t="s">
        <v>621</v>
      </c>
      <c r="D985">
        <v>5</v>
      </c>
      <c r="F985" t="s">
        <v>1477</v>
      </c>
      <c r="H985" t="s">
        <v>7265</v>
      </c>
      <c r="I985" t="s">
        <v>4874</v>
      </c>
      <c r="K985" t="s">
        <v>7400</v>
      </c>
      <c r="L985" t="s">
        <v>7401</v>
      </c>
    </row>
    <row r="986" spans="1:12" x14ac:dyDescent="0.35">
      <c r="A986" t="s">
        <v>118</v>
      </c>
      <c r="B986" t="s">
        <v>621</v>
      </c>
      <c r="D986">
        <v>3.7999999999999999E-2</v>
      </c>
      <c r="F986" t="s">
        <v>1803</v>
      </c>
      <c r="H986" t="s">
        <v>7266</v>
      </c>
      <c r="I986" t="s">
        <v>4874</v>
      </c>
      <c r="K986" t="s">
        <v>7400</v>
      </c>
      <c r="L986" t="s">
        <v>7401</v>
      </c>
    </row>
    <row r="987" spans="1:12" x14ac:dyDescent="0.35">
      <c r="A987" t="s">
        <v>118</v>
      </c>
      <c r="B987" t="s">
        <v>621</v>
      </c>
      <c r="D987">
        <v>1.54</v>
      </c>
      <c r="F987" t="s">
        <v>1781</v>
      </c>
      <c r="H987" t="s">
        <v>7267</v>
      </c>
      <c r="I987" t="s">
        <v>4874</v>
      </c>
      <c r="K987" t="s">
        <v>7400</v>
      </c>
      <c r="L987" t="s">
        <v>7401</v>
      </c>
    </row>
    <row r="988" spans="1:12" x14ac:dyDescent="0.35">
      <c r="A988" t="s">
        <v>118</v>
      </c>
      <c r="B988" t="s">
        <v>621</v>
      </c>
      <c r="D988">
        <v>33</v>
      </c>
      <c r="F988" t="s">
        <v>1943</v>
      </c>
      <c r="H988" t="s">
        <v>7268</v>
      </c>
      <c r="I988" t="s">
        <v>4874</v>
      </c>
      <c r="K988" t="s">
        <v>7400</v>
      </c>
      <c r="L988" t="s">
        <v>7401</v>
      </c>
    </row>
    <row r="989" spans="1:12" x14ac:dyDescent="0.35">
      <c r="A989" t="s">
        <v>118</v>
      </c>
      <c r="B989" t="s">
        <v>621</v>
      </c>
      <c r="D989">
        <v>10.039999999999999</v>
      </c>
      <c r="F989" t="s">
        <v>6431</v>
      </c>
      <c r="H989" t="s">
        <v>7269</v>
      </c>
      <c r="I989" t="s">
        <v>4874</v>
      </c>
      <c r="K989" t="s">
        <v>7400</v>
      </c>
      <c r="L989" t="s">
        <v>7401</v>
      </c>
    </row>
    <row r="990" spans="1:12" x14ac:dyDescent="0.35">
      <c r="A990" t="s">
        <v>118</v>
      </c>
      <c r="B990" t="s">
        <v>621</v>
      </c>
      <c r="D990">
        <v>0.24</v>
      </c>
      <c r="F990" t="s">
        <v>1488</v>
      </c>
      <c r="H990" t="s">
        <v>7270</v>
      </c>
      <c r="I990" t="s">
        <v>4874</v>
      </c>
      <c r="K990" t="s">
        <v>7400</v>
      </c>
      <c r="L990" t="s">
        <v>7401</v>
      </c>
    </row>
    <row r="991" spans="1:12" x14ac:dyDescent="0.35">
      <c r="A991" t="s">
        <v>118</v>
      </c>
      <c r="B991" t="s">
        <v>621</v>
      </c>
      <c r="D991">
        <v>8</v>
      </c>
      <c r="F991" t="s">
        <v>1373</v>
      </c>
      <c r="H991" t="s">
        <v>7271</v>
      </c>
      <c r="I991" t="s">
        <v>4874</v>
      </c>
      <c r="K991" t="s">
        <v>7400</v>
      </c>
      <c r="L991" t="s">
        <v>7401</v>
      </c>
    </row>
    <row r="992" spans="1:12" x14ac:dyDescent="0.35">
      <c r="A992" t="s">
        <v>118</v>
      </c>
      <c r="B992" t="s">
        <v>179</v>
      </c>
      <c r="D992">
        <v>5.6</v>
      </c>
      <c r="F992" t="s">
        <v>1847</v>
      </c>
      <c r="H992" t="s">
        <v>7272</v>
      </c>
      <c r="I992" t="s">
        <v>4947</v>
      </c>
      <c r="K992" t="s">
        <v>7400</v>
      </c>
      <c r="L992" t="s">
        <v>7401</v>
      </c>
    </row>
    <row r="993" spans="1:12" x14ac:dyDescent="0.35">
      <c r="A993" t="s">
        <v>118</v>
      </c>
      <c r="B993" t="s">
        <v>358</v>
      </c>
      <c r="D993">
        <v>4.1100000000000002E-4</v>
      </c>
      <c r="F993" t="s">
        <v>6432</v>
      </c>
      <c r="H993" t="s">
        <v>7273</v>
      </c>
      <c r="I993" t="s">
        <v>4924</v>
      </c>
      <c r="K993" t="s">
        <v>7400</v>
      </c>
      <c r="L993" t="s">
        <v>7401</v>
      </c>
    </row>
    <row r="994" spans="1:12" x14ac:dyDescent="0.35">
      <c r="A994" t="s">
        <v>118</v>
      </c>
      <c r="B994" t="s">
        <v>5044</v>
      </c>
      <c r="D994">
        <v>13.07</v>
      </c>
      <c r="F994" t="s">
        <v>6433</v>
      </c>
      <c r="H994" t="s">
        <v>7274</v>
      </c>
      <c r="I994" t="s">
        <v>1969</v>
      </c>
      <c r="K994" t="s">
        <v>7400</v>
      </c>
      <c r="L994" t="s">
        <v>7401</v>
      </c>
    </row>
    <row r="995" spans="1:12" x14ac:dyDescent="0.35">
      <c r="A995" t="s">
        <v>118</v>
      </c>
      <c r="B995" t="s">
        <v>175</v>
      </c>
      <c r="D995">
        <v>3</v>
      </c>
      <c r="F995" t="s">
        <v>1368</v>
      </c>
      <c r="H995" t="s">
        <v>7275</v>
      </c>
      <c r="I995" t="s">
        <v>4950</v>
      </c>
      <c r="K995" t="s">
        <v>7400</v>
      </c>
      <c r="L995" t="s">
        <v>7401</v>
      </c>
    </row>
    <row r="996" spans="1:12" x14ac:dyDescent="0.35">
      <c r="A996" t="s">
        <v>118</v>
      </c>
      <c r="B996" t="s">
        <v>175</v>
      </c>
      <c r="D996">
        <v>4.75</v>
      </c>
      <c r="F996" t="s">
        <v>5479</v>
      </c>
      <c r="H996" t="s">
        <v>7276</v>
      </c>
      <c r="I996" t="s">
        <v>5001</v>
      </c>
      <c r="K996" t="s">
        <v>7400</v>
      </c>
      <c r="L996" t="s">
        <v>7401</v>
      </c>
    </row>
    <row r="997" spans="1:12" x14ac:dyDescent="0.35">
      <c r="A997" t="s">
        <v>118</v>
      </c>
      <c r="B997" t="s">
        <v>175</v>
      </c>
      <c r="D997">
        <v>70</v>
      </c>
      <c r="F997" t="s">
        <v>1752</v>
      </c>
      <c r="H997" t="s">
        <v>7277</v>
      </c>
      <c r="I997" t="s">
        <v>4950</v>
      </c>
      <c r="K997" t="s">
        <v>7400</v>
      </c>
      <c r="L997" t="s">
        <v>7401</v>
      </c>
    </row>
    <row r="998" spans="1:12" x14ac:dyDescent="0.35">
      <c r="A998" t="s">
        <v>118</v>
      </c>
      <c r="B998" t="s">
        <v>175</v>
      </c>
      <c r="D998">
        <v>4</v>
      </c>
      <c r="F998" t="s">
        <v>1379</v>
      </c>
      <c r="H998" t="s">
        <v>7278</v>
      </c>
      <c r="I998" t="s">
        <v>4950</v>
      </c>
      <c r="K998" t="s">
        <v>7400</v>
      </c>
      <c r="L998" t="s">
        <v>7401</v>
      </c>
    </row>
    <row r="999" spans="1:12" x14ac:dyDescent="0.35">
      <c r="A999" t="s">
        <v>118</v>
      </c>
      <c r="B999" t="s">
        <v>175</v>
      </c>
      <c r="D999">
        <v>3.4</v>
      </c>
      <c r="F999" t="s">
        <v>1706</v>
      </c>
      <c r="H999" t="s">
        <v>7279</v>
      </c>
      <c r="I999" t="s">
        <v>4954</v>
      </c>
      <c r="K999" t="s">
        <v>7400</v>
      </c>
      <c r="L999" t="s">
        <v>7401</v>
      </c>
    </row>
    <row r="1000" spans="1:12" x14ac:dyDescent="0.35">
      <c r="A1000" t="s">
        <v>118</v>
      </c>
      <c r="B1000" t="s">
        <v>175</v>
      </c>
      <c r="D1000">
        <v>110</v>
      </c>
      <c r="F1000" t="s">
        <v>2331</v>
      </c>
      <c r="H1000" t="s">
        <v>7280</v>
      </c>
      <c r="I1000" t="s">
        <v>4950</v>
      </c>
      <c r="K1000" t="s">
        <v>7400</v>
      </c>
      <c r="L1000" t="s">
        <v>7401</v>
      </c>
    </row>
    <row r="1001" spans="1:12" x14ac:dyDescent="0.35">
      <c r="A1001" t="s">
        <v>118</v>
      </c>
      <c r="B1001" t="s">
        <v>175</v>
      </c>
      <c r="D1001">
        <v>60</v>
      </c>
      <c r="F1001" t="s">
        <v>1569</v>
      </c>
      <c r="H1001" t="s">
        <v>7281</v>
      </c>
      <c r="I1001" t="s">
        <v>4950</v>
      </c>
      <c r="K1001" t="s">
        <v>7400</v>
      </c>
      <c r="L1001" t="s">
        <v>7401</v>
      </c>
    </row>
    <row r="1002" spans="1:12" x14ac:dyDescent="0.35">
      <c r="A1002" t="s">
        <v>118</v>
      </c>
      <c r="B1002" t="s">
        <v>175</v>
      </c>
      <c r="D1002">
        <v>2.52</v>
      </c>
      <c r="F1002" t="s">
        <v>2019</v>
      </c>
      <c r="H1002" t="s">
        <v>7282</v>
      </c>
      <c r="I1002" t="s">
        <v>5001</v>
      </c>
      <c r="K1002" t="s">
        <v>7400</v>
      </c>
      <c r="L1002" t="s">
        <v>7401</v>
      </c>
    </row>
    <row r="1003" spans="1:12" x14ac:dyDescent="0.35">
      <c r="A1003" t="s">
        <v>118</v>
      </c>
      <c r="B1003" t="s">
        <v>175</v>
      </c>
      <c r="D1003">
        <v>71.7</v>
      </c>
      <c r="F1003" t="s">
        <v>6434</v>
      </c>
      <c r="H1003" t="s">
        <v>7283</v>
      </c>
      <c r="I1003" t="s">
        <v>5001</v>
      </c>
      <c r="K1003" t="s">
        <v>7400</v>
      </c>
      <c r="L1003" t="s">
        <v>7401</v>
      </c>
    </row>
    <row r="1004" spans="1:12" x14ac:dyDescent="0.35">
      <c r="A1004" t="s">
        <v>118</v>
      </c>
      <c r="B1004" t="s">
        <v>175</v>
      </c>
      <c r="D1004">
        <v>61.07</v>
      </c>
      <c r="F1004" t="s">
        <v>6435</v>
      </c>
      <c r="H1004" t="s">
        <v>7284</v>
      </c>
      <c r="I1004" t="s">
        <v>5001</v>
      </c>
      <c r="K1004" t="s">
        <v>7400</v>
      </c>
      <c r="L1004" t="s">
        <v>7401</v>
      </c>
    </row>
    <row r="1005" spans="1:12" x14ac:dyDescent="0.35">
      <c r="A1005" t="s">
        <v>118</v>
      </c>
      <c r="B1005" t="s">
        <v>175</v>
      </c>
      <c r="D1005">
        <v>36.130000000000003</v>
      </c>
      <c r="F1005" t="s">
        <v>6436</v>
      </c>
      <c r="H1005" t="s">
        <v>7285</v>
      </c>
      <c r="I1005" t="s">
        <v>5001</v>
      </c>
      <c r="K1005" t="s">
        <v>7400</v>
      </c>
      <c r="L1005" t="s">
        <v>7401</v>
      </c>
    </row>
    <row r="1006" spans="1:12" x14ac:dyDescent="0.35">
      <c r="A1006" t="s">
        <v>118</v>
      </c>
      <c r="B1006" t="s">
        <v>175</v>
      </c>
      <c r="D1006">
        <v>75</v>
      </c>
      <c r="F1006" t="s">
        <v>2346</v>
      </c>
      <c r="H1006" t="s">
        <v>7286</v>
      </c>
      <c r="I1006" t="s">
        <v>4954</v>
      </c>
      <c r="K1006" t="s">
        <v>7400</v>
      </c>
      <c r="L1006" t="s">
        <v>7401</v>
      </c>
    </row>
    <row r="1007" spans="1:12" x14ac:dyDescent="0.35">
      <c r="A1007" t="s">
        <v>118</v>
      </c>
      <c r="B1007" t="s">
        <v>619</v>
      </c>
      <c r="D1007">
        <v>0.9</v>
      </c>
      <c r="F1007" t="s">
        <v>1556</v>
      </c>
      <c r="H1007" t="s">
        <v>7287</v>
      </c>
      <c r="I1007" t="s">
        <v>5013</v>
      </c>
      <c r="K1007" t="s">
        <v>7400</v>
      </c>
      <c r="L1007" t="s">
        <v>7401</v>
      </c>
    </row>
    <row r="1008" spans="1:12" x14ac:dyDescent="0.35">
      <c r="A1008" t="s">
        <v>118</v>
      </c>
      <c r="B1008" t="s">
        <v>619</v>
      </c>
      <c r="D1008">
        <v>6.7000000000000004E-2</v>
      </c>
      <c r="F1008" t="s">
        <v>2054</v>
      </c>
      <c r="H1008" t="s">
        <v>7288</v>
      </c>
      <c r="I1008" t="s">
        <v>5013</v>
      </c>
      <c r="K1008" t="s">
        <v>7400</v>
      </c>
      <c r="L1008" t="s">
        <v>7401</v>
      </c>
    </row>
    <row r="1009" spans="1:12" x14ac:dyDescent="0.35">
      <c r="A1009" t="s">
        <v>118</v>
      </c>
      <c r="B1009" t="s">
        <v>6090</v>
      </c>
      <c r="D1009">
        <v>40</v>
      </c>
      <c r="F1009" t="s">
        <v>2345</v>
      </c>
      <c r="H1009" t="s">
        <v>7289</v>
      </c>
      <c r="I1009" t="s">
        <v>2407</v>
      </c>
      <c r="K1009" t="s">
        <v>7400</v>
      </c>
      <c r="L1009" t="s">
        <v>7401</v>
      </c>
    </row>
    <row r="1010" spans="1:12" x14ac:dyDescent="0.35">
      <c r="A1010" t="s">
        <v>118</v>
      </c>
      <c r="B1010" t="s">
        <v>6090</v>
      </c>
      <c r="D1010">
        <v>325</v>
      </c>
      <c r="F1010" t="s">
        <v>6437</v>
      </c>
      <c r="H1010" t="s">
        <v>7290</v>
      </c>
      <c r="I1010" t="s">
        <v>2407</v>
      </c>
      <c r="K1010" t="s">
        <v>7400</v>
      </c>
      <c r="L1010" t="s">
        <v>7401</v>
      </c>
    </row>
    <row r="1011" spans="1:12" x14ac:dyDescent="0.35">
      <c r="A1011" t="s">
        <v>118</v>
      </c>
      <c r="B1011" t="s">
        <v>175</v>
      </c>
      <c r="D1011">
        <v>3.9E-2</v>
      </c>
      <c r="F1011" t="s">
        <v>1407</v>
      </c>
      <c r="H1011" t="s">
        <v>7291</v>
      </c>
      <c r="I1011" t="s">
        <v>4961</v>
      </c>
      <c r="K1011" t="s">
        <v>7400</v>
      </c>
      <c r="L1011" t="s">
        <v>7401</v>
      </c>
    </row>
    <row r="1012" spans="1:12" x14ac:dyDescent="0.35">
      <c r="A1012" t="s">
        <v>118</v>
      </c>
      <c r="B1012" t="s">
        <v>175</v>
      </c>
      <c r="D1012">
        <v>56.4</v>
      </c>
      <c r="F1012" t="s">
        <v>6438</v>
      </c>
      <c r="H1012" t="s">
        <v>7292</v>
      </c>
      <c r="I1012" t="s">
        <v>4961</v>
      </c>
      <c r="K1012" t="s">
        <v>7400</v>
      </c>
      <c r="L1012" t="s">
        <v>7401</v>
      </c>
    </row>
    <row r="1013" spans="1:12" x14ac:dyDescent="0.35">
      <c r="A1013" t="s">
        <v>118</v>
      </c>
      <c r="B1013" t="s">
        <v>175</v>
      </c>
      <c r="D1013">
        <v>6.6000000000000003E-2</v>
      </c>
      <c r="F1013" t="s">
        <v>1623</v>
      </c>
      <c r="H1013" t="s">
        <v>7293</v>
      </c>
      <c r="I1013" t="s">
        <v>4961</v>
      </c>
      <c r="K1013" t="s">
        <v>7400</v>
      </c>
      <c r="L1013" t="s">
        <v>7401</v>
      </c>
    </row>
    <row r="1014" spans="1:12" x14ac:dyDescent="0.35">
      <c r="A1014" t="s">
        <v>118</v>
      </c>
      <c r="B1014" t="s">
        <v>175</v>
      </c>
      <c r="D1014">
        <v>3</v>
      </c>
      <c r="F1014" t="s">
        <v>1368</v>
      </c>
      <c r="H1014" t="s">
        <v>7294</v>
      </c>
      <c r="I1014" t="s">
        <v>4961</v>
      </c>
      <c r="K1014" t="s">
        <v>7400</v>
      </c>
      <c r="L1014" t="s">
        <v>7401</v>
      </c>
    </row>
    <row r="1015" spans="1:12" x14ac:dyDescent="0.35">
      <c r="A1015" t="s">
        <v>118</v>
      </c>
      <c r="B1015" t="s">
        <v>175</v>
      </c>
      <c r="D1015">
        <v>61.8</v>
      </c>
      <c r="F1015" t="s">
        <v>6439</v>
      </c>
      <c r="H1015" t="s">
        <v>7295</v>
      </c>
      <c r="I1015" t="s">
        <v>5465</v>
      </c>
      <c r="K1015" t="s">
        <v>7400</v>
      </c>
      <c r="L1015" t="s">
        <v>7401</v>
      </c>
    </row>
    <row r="1016" spans="1:12" x14ac:dyDescent="0.35">
      <c r="A1016" t="s">
        <v>118</v>
      </c>
      <c r="B1016" t="s">
        <v>473</v>
      </c>
      <c r="D1016">
        <v>0.38</v>
      </c>
      <c r="F1016" t="s">
        <v>1624</v>
      </c>
      <c r="H1016" t="s">
        <v>7296</v>
      </c>
      <c r="I1016" t="s">
        <v>4961</v>
      </c>
      <c r="K1016" t="s">
        <v>7400</v>
      </c>
      <c r="L1016" t="s">
        <v>7401</v>
      </c>
    </row>
    <row r="1017" spans="1:12" x14ac:dyDescent="0.35">
      <c r="A1017" t="s">
        <v>118</v>
      </c>
      <c r="B1017" t="s">
        <v>473</v>
      </c>
      <c r="D1017">
        <v>0.87</v>
      </c>
      <c r="F1017" t="s">
        <v>1897</v>
      </c>
      <c r="H1017" t="s">
        <v>7297</v>
      </c>
      <c r="I1017" t="s">
        <v>4961</v>
      </c>
      <c r="K1017" t="s">
        <v>7400</v>
      </c>
      <c r="L1017" t="s">
        <v>7401</v>
      </c>
    </row>
    <row r="1018" spans="1:12" x14ac:dyDescent="0.35">
      <c r="A1018" t="s">
        <v>118</v>
      </c>
      <c r="B1018" t="s">
        <v>473</v>
      </c>
      <c r="D1018">
        <v>26.6</v>
      </c>
      <c r="F1018" t="s">
        <v>5181</v>
      </c>
      <c r="H1018" t="s">
        <v>7298</v>
      </c>
      <c r="I1018" t="s">
        <v>4961</v>
      </c>
      <c r="K1018" t="s">
        <v>7400</v>
      </c>
      <c r="L1018" t="s">
        <v>7401</v>
      </c>
    </row>
    <row r="1019" spans="1:12" x14ac:dyDescent="0.35">
      <c r="A1019" t="s">
        <v>118</v>
      </c>
      <c r="B1019" t="s">
        <v>179</v>
      </c>
      <c r="D1019">
        <v>2.57</v>
      </c>
      <c r="F1019" t="s">
        <v>2441</v>
      </c>
      <c r="H1019" t="s">
        <v>7299</v>
      </c>
      <c r="I1019" t="s">
        <v>5465</v>
      </c>
      <c r="K1019" t="s">
        <v>7400</v>
      </c>
      <c r="L1019" t="s">
        <v>7401</v>
      </c>
    </row>
    <row r="1020" spans="1:12" x14ac:dyDescent="0.35">
      <c r="A1020" t="s">
        <v>118</v>
      </c>
      <c r="B1020" t="s">
        <v>179</v>
      </c>
      <c r="D1020">
        <v>4.5199999999999996</v>
      </c>
      <c r="F1020" t="s">
        <v>6440</v>
      </c>
      <c r="H1020" t="s">
        <v>7300</v>
      </c>
      <c r="I1020" t="s">
        <v>4961</v>
      </c>
      <c r="K1020" t="s">
        <v>7400</v>
      </c>
      <c r="L1020" t="s">
        <v>7401</v>
      </c>
    </row>
    <row r="1021" spans="1:12" x14ac:dyDescent="0.35">
      <c r="A1021" t="s">
        <v>118</v>
      </c>
      <c r="B1021" t="s">
        <v>6091</v>
      </c>
      <c r="D1021">
        <v>3.3</v>
      </c>
      <c r="F1021" t="s">
        <v>1377</v>
      </c>
      <c r="H1021" t="s">
        <v>7301</v>
      </c>
      <c r="I1021" t="s">
        <v>4937</v>
      </c>
      <c r="K1021" t="s">
        <v>7400</v>
      </c>
      <c r="L1021" t="s">
        <v>7401</v>
      </c>
    </row>
    <row r="1022" spans="1:12" x14ac:dyDescent="0.35">
      <c r="A1022" t="s">
        <v>118</v>
      </c>
      <c r="B1022" t="s">
        <v>624</v>
      </c>
      <c r="D1022">
        <v>5.9</v>
      </c>
      <c r="F1022" t="s">
        <v>1852</v>
      </c>
      <c r="H1022" t="s">
        <v>4544</v>
      </c>
      <c r="I1022" t="s">
        <v>1496</v>
      </c>
      <c r="K1022" t="s">
        <v>7400</v>
      </c>
      <c r="L1022" t="s">
        <v>7401</v>
      </c>
    </row>
    <row r="1023" spans="1:12" x14ac:dyDescent="0.35">
      <c r="A1023" t="s">
        <v>118</v>
      </c>
      <c r="B1023" t="s">
        <v>624</v>
      </c>
      <c r="D1023">
        <v>3.1</v>
      </c>
      <c r="F1023" t="s">
        <v>1374</v>
      </c>
      <c r="H1023" t="s">
        <v>4547</v>
      </c>
      <c r="I1023" t="s">
        <v>1496</v>
      </c>
      <c r="K1023" t="s">
        <v>7400</v>
      </c>
      <c r="L1023" t="s">
        <v>7401</v>
      </c>
    </row>
    <row r="1024" spans="1:12" x14ac:dyDescent="0.35">
      <c r="A1024" t="s">
        <v>118</v>
      </c>
      <c r="B1024" t="s">
        <v>624</v>
      </c>
      <c r="D1024">
        <v>0.08</v>
      </c>
      <c r="F1024" t="s">
        <v>1402</v>
      </c>
      <c r="H1024" t="s">
        <v>7302</v>
      </c>
      <c r="I1024" t="s">
        <v>1496</v>
      </c>
      <c r="K1024" t="s">
        <v>7400</v>
      </c>
      <c r="L1024" t="s">
        <v>7401</v>
      </c>
    </row>
    <row r="1025" spans="1:12" x14ac:dyDescent="0.35">
      <c r="A1025" t="s">
        <v>118</v>
      </c>
      <c r="B1025" t="s">
        <v>544</v>
      </c>
      <c r="D1025">
        <v>7.6E-3</v>
      </c>
      <c r="F1025" t="s">
        <v>6441</v>
      </c>
      <c r="H1025" t="s">
        <v>7303</v>
      </c>
      <c r="I1025" t="s">
        <v>4970</v>
      </c>
      <c r="K1025" t="s">
        <v>7400</v>
      </c>
      <c r="L1025" t="s">
        <v>7401</v>
      </c>
    </row>
    <row r="1026" spans="1:12" x14ac:dyDescent="0.35">
      <c r="A1026" t="s">
        <v>118</v>
      </c>
      <c r="B1026" t="s">
        <v>544</v>
      </c>
      <c r="D1026">
        <v>0.09</v>
      </c>
      <c r="F1026" t="s">
        <v>1310</v>
      </c>
      <c r="H1026" t="s">
        <v>7304</v>
      </c>
      <c r="I1026" t="s">
        <v>4970</v>
      </c>
      <c r="K1026" t="s">
        <v>7400</v>
      </c>
      <c r="L1026" t="s">
        <v>7401</v>
      </c>
    </row>
    <row r="1027" spans="1:12" x14ac:dyDescent="0.35">
      <c r="A1027" t="s">
        <v>118</v>
      </c>
      <c r="B1027" t="s">
        <v>6092</v>
      </c>
      <c r="D1027">
        <v>0.25</v>
      </c>
      <c r="F1027" t="s">
        <v>1403</v>
      </c>
      <c r="H1027" t="s">
        <v>7305</v>
      </c>
      <c r="I1027" t="s">
        <v>7394</v>
      </c>
      <c r="K1027" t="s">
        <v>7400</v>
      </c>
      <c r="L1027" t="s">
        <v>7401</v>
      </c>
    </row>
    <row r="1028" spans="1:12" x14ac:dyDescent="0.35">
      <c r="A1028" t="s">
        <v>118</v>
      </c>
      <c r="B1028" t="s">
        <v>6092</v>
      </c>
      <c r="D1028">
        <v>1.06</v>
      </c>
      <c r="F1028" t="s">
        <v>1758</v>
      </c>
      <c r="H1028" t="s">
        <v>7306</v>
      </c>
      <c r="I1028" t="s">
        <v>7394</v>
      </c>
      <c r="K1028" t="s">
        <v>7400</v>
      </c>
      <c r="L1028" t="s">
        <v>7401</v>
      </c>
    </row>
    <row r="1029" spans="1:12" x14ac:dyDescent="0.35">
      <c r="A1029" t="s">
        <v>118</v>
      </c>
      <c r="B1029" t="s">
        <v>333</v>
      </c>
      <c r="D1029">
        <v>20.399999999999999</v>
      </c>
      <c r="F1029" t="s">
        <v>1667</v>
      </c>
      <c r="H1029" t="s">
        <v>7307</v>
      </c>
      <c r="I1029" t="s">
        <v>4868</v>
      </c>
      <c r="K1029" t="s">
        <v>7400</v>
      </c>
      <c r="L1029" t="s">
        <v>7401</v>
      </c>
    </row>
    <row r="1030" spans="1:12" x14ac:dyDescent="0.35">
      <c r="A1030" t="s">
        <v>118</v>
      </c>
      <c r="B1030" t="s">
        <v>333</v>
      </c>
      <c r="D1030">
        <v>14.5</v>
      </c>
      <c r="F1030" t="s">
        <v>5497</v>
      </c>
      <c r="H1030" t="s">
        <v>7308</v>
      </c>
      <c r="I1030" t="s">
        <v>4868</v>
      </c>
      <c r="K1030" t="s">
        <v>7400</v>
      </c>
      <c r="L1030" t="s">
        <v>7401</v>
      </c>
    </row>
    <row r="1031" spans="1:12" x14ac:dyDescent="0.35">
      <c r="A1031" t="s">
        <v>118</v>
      </c>
      <c r="B1031" t="s">
        <v>626</v>
      </c>
      <c r="D1031">
        <v>1.1000000000000001</v>
      </c>
      <c r="F1031" t="s">
        <v>1505</v>
      </c>
      <c r="H1031" t="s">
        <v>7309</v>
      </c>
      <c r="I1031" t="s">
        <v>1610</v>
      </c>
      <c r="K1031" t="s">
        <v>7400</v>
      </c>
      <c r="L1031" t="s">
        <v>7401</v>
      </c>
    </row>
    <row r="1032" spans="1:12" x14ac:dyDescent="0.35">
      <c r="A1032" t="s">
        <v>118</v>
      </c>
      <c r="B1032" t="s">
        <v>626</v>
      </c>
      <c r="D1032">
        <v>15.94</v>
      </c>
      <c r="F1032" t="s">
        <v>6442</v>
      </c>
      <c r="H1032" t="s">
        <v>7310</v>
      </c>
      <c r="I1032" t="s">
        <v>1610</v>
      </c>
      <c r="K1032" t="s">
        <v>7400</v>
      </c>
      <c r="L1032" t="s">
        <v>7401</v>
      </c>
    </row>
    <row r="1033" spans="1:12" x14ac:dyDescent="0.35">
      <c r="A1033" t="s">
        <v>118</v>
      </c>
      <c r="B1033" t="s">
        <v>626</v>
      </c>
      <c r="D1033">
        <v>0.69</v>
      </c>
      <c r="F1033" t="s">
        <v>1754</v>
      </c>
      <c r="H1033" t="s">
        <v>7311</v>
      </c>
      <c r="I1033" t="s">
        <v>1610</v>
      </c>
      <c r="K1033" t="s">
        <v>7400</v>
      </c>
      <c r="L1033" t="s">
        <v>7401</v>
      </c>
    </row>
    <row r="1034" spans="1:12" x14ac:dyDescent="0.35">
      <c r="A1034" t="s">
        <v>118</v>
      </c>
      <c r="B1034" t="s">
        <v>626</v>
      </c>
      <c r="D1034">
        <v>3.34</v>
      </c>
      <c r="F1034" t="s">
        <v>1988</v>
      </c>
      <c r="H1034" t="s">
        <v>7312</v>
      </c>
      <c r="I1034" t="s">
        <v>1610</v>
      </c>
      <c r="K1034" t="s">
        <v>7400</v>
      </c>
      <c r="L1034" t="s">
        <v>7401</v>
      </c>
    </row>
    <row r="1035" spans="1:12" x14ac:dyDescent="0.35">
      <c r="A1035" t="s">
        <v>118</v>
      </c>
      <c r="B1035" t="s">
        <v>178</v>
      </c>
      <c r="D1035">
        <v>3.83</v>
      </c>
      <c r="F1035" t="s">
        <v>5425</v>
      </c>
      <c r="H1035" t="s">
        <v>7313</v>
      </c>
      <c r="I1035" t="s">
        <v>5016</v>
      </c>
      <c r="K1035" t="s">
        <v>7400</v>
      </c>
      <c r="L1035" t="s">
        <v>7401</v>
      </c>
    </row>
    <row r="1036" spans="1:12" x14ac:dyDescent="0.35">
      <c r="A1036" t="s">
        <v>118</v>
      </c>
      <c r="B1036" t="s">
        <v>627</v>
      </c>
      <c r="D1036">
        <v>2.0999999999999999E-3</v>
      </c>
      <c r="F1036" t="s">
        <v>2231</v>
      </c>
      <c r="H1036" t="s">
        <v>7314</v>
      </c>
      <c r="I1036" t="s">
        <v>5010</v>
      </c>
      <c r="K1036" t="s">
        <v>7400</v>
      </c>
      <c r="L1036" t="s">
        <v>7401</v>
      </c>
    </row>
    <row r="1037" spans="1:12" x14ac:dyDescent="0.35">
      <c r="A1037" t="s">
        <v>118</v>
      </c>
      <c r="B1037" t="s">
        <v>627</v>
      </c>
      <c r="D1037">
        <v>1.1999999999999999E-3</v>
      </c>
      <c r="F1037" t="s">
        <v>1337</v>
      </c>
      <c r="H1037" t="s">
        <v>7315</v>
      </c>
      <c r="I1037" t="s">
        <v>5010</v>
      </c>
      <c r="K1037" t="s">
        <v>7400</v>
      </c>
      <c r="L1037" t="s">
        <v>7401</v>
      </c>
    </row>
    <row r="1038" spans="1:12" x14ac:dyDescent="0.35">
      <c r="A1038" t="s">
        <v>118</v>
      </c>
      <c r="B1038" t="s">
        <v>627</v>
      </c>
      <c r="D1038">
        <v>6.4999999999999997E-4</v>
      </c>
      <c r="F1038" t="s">
        <v>6443</v>
      </c>
      <c r="H1038" t="s">
        <v>7316</v>
      </c>
      <c r="I1038" t="s">
        <v>5010</v>
      </c>
      <c r="K1038" t="s">
        <v>7400</v>
      </c>
      <c r="L1038" t="s">
        <v>7401</v>
      </c>
    </row>
    <row r="1039" spans="1:12" x14ac:dyDescent="0.35">
      <c r="A1039" t="s">
        <v>118</v>
      </c>
      <c r="B1039" t="s">
        <v>627</v>
      </c>
      <c r="D1039">
        <v>6.4500000000000002E-2</v>
      </c>
      <c r="F1039" t="s">
        <v>6444</v>
      </c>
      <c r="H1039" t="s">
        <v>7317</v>
      </c>
      <c r="I1039" t="s">
        <v>5010</v>
      </c>
      <c r="K1039" t="s">
        <v>7400</v>
      </c>
      <c r="L1039" t="s">
        <v>7401</v>
      </c>
    </row>
    <row r="1040" spans="1:12" x14ac:dyDescent="0.35">
      <c r="A1040" t="s">
        <v>118</v>
      </c>
      <c r="B1040" t="s">
        <v>627</v>
      </c>
      <c r="D1040">
        <v>6.7400000000000002E-2</v>
      </c>
      <c r="F1040" t="s">
        <v>6445</v>
      </c>
      <c r="H1040" t="s">
        <v>7318</v>
      </c>
      <c r="I1040" t="s">
        <v>5010</v>
      </c>
      <c r="K1040" t="s">
        <v>7400</v>
      </c>
      <c r="L1040" t="s">
        <v>7401</v>
      </c>
    </row>
    <row r="1041" spans="1:12" x14ac:dyDescent="0.35">
      <c r="A1041" t="s">
        <v>118</v>
      </c>
      <c r="B1041" t="s">
        <v>627</v>
      </c>
      <c r="D1041">
        <v>4.9399999999999999E-2</v>
      </c>
      <c r="F1041" t="s">
        <v>6446</v>
      </c>
      <c r="H1041" t="s">
        <v>7319</v>
      </c>
      <c r="I1041" t="s">
        <v>5010</v>
      </c>
      <c r="K1041" t="s">
        <v>7400</v>
      </c>
      <c r="L1041" t="s">
        <v>7401</v>
      </c>
    </row>
    <row r="1042" spans="1:12" x14ac:dyDescent="0.35">
      <c r="A1042" t="s">
        <v>118</v>
      </c>
      <c r="B1042" t="s">
        <v>548</v>
      </c>
      <c r="D1042">
        <v>6</v>
      </c>
      <c r="F1042" t="s">
        <v>1766</v>
      </c>
      <c r="H1042" t="s">
        <v>7320</v>
      </c>
      <c r="I1042" t="s">
        <v>4927</v>
      </c>
      <c r="K1042" t="s">
        <v>7400</v>
      </c>
      <c r="L1042" t="s">
        <v>7401</v>
      </c>
    </row>
    <row r="1043" spans="1:12" x14ac:dyDescent="0.35">
      <c r="A1043" t="s">
        <v>118</v>
      </c>
      <c r="B1043" t="s">
        <v>340</v>
      </c>
      <c r="D1043">
        <v>0.20300000000000001</v>
      </c>
      <c r="F1043" t="s">
        <v>6258</v>
      </c>
      <c r="H1043" t="s">
        <v>7321</v>
      </c>
      <c r="I1043" t="s">
        <v>5018</v>
      </c>
      <c r="K1043" t="s">
        <v>7400</v>
      </c>
      <c r="L1043" t="s">
        <v>7401</v>
      </c>
    </row>
    <row r="1044" spans="1:12" x14ac:dyDescent="0.35">
      <c r="A1044" t="s">
        <v>118</v>
      </c>
      <c r="B1044" t="s">
        <v>474</v>
      </c>
      <c r="D1044">
        <v>5.2</v>
      </c>
      <c r="F1044" t="s">
        <v>1511</v>
      </c>
      <c r="H1044" t="s">
        <v>7322</v>
      </c>
      <c r="I1044" t="s">
        <v>5016</v>
      </c>
      <c r="K1044" t="s">
        <v>7400</v>
      </c>
      <c r="L1044" t="s">
        <v>7401</v>
      </c>
    </row>
    <row r="1045" spans="1:12" x14ac:dyDescent="0.35">
      <c r="A1045" t="s">
        <v>118</v>
      </c>
      <c r="B1045" t="s">
        <v>474</v>
      </c>
      <c r="D1045">
        <v>1.7</v>
      </c>
      <c r="F1045" t="s">
        <v>1416</v>
      </c>
      <c r="H1045" t="s">
        <v>7323</v>
      </c>
      <c r="I1045" t="s">
        <v>4950</v>
      </c>
      <c r="K1045" t="s">
        <v>7400</v>
      </c>
      <c r="L1045" t="s">
        <v>7401</v>
      </c>
    </row>
    <row r="1046" spans="1:12" x14ac:dyDescent="0.35">
      <c r="A1046" t="s">
        <v>118</v>
      </c>
      <c r="B1046" t="s">
        <v>324</v>
      </c>
      <c r="D1046">
        <v>8.7000000000000001E-4</v>
      </c>
      <c r="F1046" t="s">
        <v>6447</v>
      </c>
      <c r="H1046" t="s">
        <v>7324</v>
      </c>
      <c r="I1046" t="s">
        <v>4924</v>
      </c>
      <c r="K1046" t="s">
        <v>7400</v>
      </c>
      <c r="L1046" t="s">
        <v>7401</v>
      </c>
    </row>
    <row r="1047" spans="1:12" x14ac:dyDescent="0.35">
      <c r="A1047" t="s">
        <v>118</v>
      </c>
      <c r="B1047" t="s">
        <v>324</v>
      </c>
      <c r="D1047">
        <v>21</v>
      </c>
      <c r="F1047" t="s">
        <v>2051</v>
      </c>
      <c r="H1047" t="s">
        <v>7325</v>
      </c>
      <c r="I1047" t="s">
        <v>1889</v>
      </c>
      <c r="K1047" t="s">
        <v>7400</v>
      </c>
      <c r="L1047" t="s">
        <v>7401</v>
      </c>
    </row>
    <row r="1048" spans="1:12" x14ac:dyDescent="0.35">
      <c r="A1048" t="s">
        <v>118</v>
      </c>
      <c r="B1048" t="s">
        <v>376</v>
      </c>
      <c r="D1048">
        <v>0.57999999999999996</v>
      </c>
      <c r="F1048" t="s">
        <v>1444</v>
      </c>
      <c r="H1048" t="s">
        <v>7326</v>
      </c>
      <c r="I1048" t="s">
        <v>5002</v>
      </c>
      <c r="K1048" t="s">
        <v>7400</v>
      </c>
      <c r="L1048" t="s">
        <v>7401</v>
      </c>
    </row>
    <row r="1049" spans="1:12" x14ac:dyDescent="0.35">
      <c r="A1049" t="s">
        <v>118</v>
      </c>
      <c r="B1049" t="s">
        <v>376</v>
      </c>
      <c r="D1049">
        <v>34.700000000000003</v>
      </c>
      <c r="F1049" t="s">
        <v>1928</v>
      </c>
      <c r="H1049" t="s">
        <v>7327</v>
      </c>
      <c r="I1049" t="s">
        <v>5002</v>
      </c>
      <c r="K1049" t="s">
        <v>7400</v>
      </c>
      <c r="L1049" t="s">
        <v>7401</v>
      </c>
    </row>
    <row r="1050" spans="1:12" x14ac:dyDescent="0.35">
      <c r="A1050" t="s">
        <v>118</v>
      </c>
      <c r="B1050" t="s">
        <v>480</v>
      </c>
      <c r="D1050">
        <v>4.57</v>
      </c>
      <c r="F1050" t="s">
        <v>6448</v>
      </c>
      <c r="H1050" t="s">
        <v>7328</v>
      </c>
      <c r="I1050" t="s">
        <v>4972</v>
      </c>
      <c r="K1050" t="s">
        <v>7400</v>
      </c>
      <c r="L1050" t="s">
        <v>7401</v>
      </c>
    </row>
    <row r="1051" spans="1:12" x14ac:dyDescent="0.35">
      <c r="A1051" t="s">
        <v>118</v>
      </c>
      <c r="B1051" t="s">
        <v>480</v>
      </c>
      <c r="D1051">
        <v>4.33</v>
      </c>
      <c r="F1051" t="s">
        <v>1997</v>
      </c>
      <c r="H1051" t="s">
        <v>7329</v>
      </c>
      <c r="I1051" t="s">
        <v>4972</v>
      </c>
      <c r="K1051" t="s">
        <v>7400</v>
      </c>
      <c r="L1051" t="s">
        <v>7401</v>
      </c>
    </row>
    <row r="1052" spans="1:12" x14ac:dyDescent="0.35">
      <c r="A1052" t="s">
        <v>118</v>
      </c>
      <c r="B1052" t="s">
        <v>480</v>
      </c>
      <c r="D1052">
        <v>6.17</v>
      </c>
      <c r="F1052" t="s">
        <v>5522</v>
      </c>
      <c r="H1052" t="s">
        <v>7330</v>
      </c>
      <c r="I1052" t="s">
        <v>4972</v>
      </c>
      <c r="K1052" t="s">
        <v>7400</v>
      </c>
      <c r="L1052" t="s">
        <v>7401</v>
      </c>
    </row>
    <row r="1053" spans="1:12" x14ac:dyDescent="0.35">
      <c r="A1053" t="s">
        <v>118</v>
      </c>
      <c r="B1053" t="s">
        <v>478</v>
      </c>
      <c r="D1053">
        <v>2.4E-2</v>
      </c>
      <c r="F1053" t="s">
        <v>1620</v>
      </c>
      <c r="H1053" t="s">
        <v>7331</v>
      </c>
      <c r="I1053" t="s">
        <v>1369</v>
      </c>
      <c r="K1053" t="s">
        <v>7400</v>
      </c>
      <c r="L1053" t="s">
        <v>7401</v>
      </c>
    </row>
    <row r="1054" spans="1:12" x14ac:dyDescent="0.35">
      <c r="A1054" t="s">
        <v>118</v>
      </c>
      <c r="B1054" t="s">
        <v>478</v>
      </c>
      <c r="D1054">
        <v>4.9000000000000004</v>
      </c>
      <c r="F1054" t="s">
        <v>1669</v>
      </c>
      <c r="H1054" t="s">
        <v>7332</v>
      </c>
      <c r="I1054" t="s">
        <v>1369</v>
      </c>
      <c r="K1054" t="s">
        <v>7400</v>
      </c>
      <c r="L1054" t="s">
        <v>7401</v>
      </c>
    </row>
    <row r="1055" spans="1:12" x14ac:dyDescent="0.35">
      <c r="A1055" t="s">
        <v>118</v>
      </c>
      <c r="B1055" t="s">
        <v>6093</v>
      </c>
      <c r="D1055">
        <v>3.47</v>
      </c>
      <c r="F1055" t="s">
        <v>5350</v>
      </c>
      <c r="I1055" t="s">
        <v>4855</v>
      </c>
      <c r="K1055" t="s">
        <v>7400</v>
      </c>
      <c r="L1055" t="s">
        <v>7401</v>
      </c>
    </row>
    <row r="1056" spans="1:12" x14ac:dyDescent="0.35">
      <c r="A1056" t="s">
        <v>118</v>
      </c>
      <c r="B1056" t="s">
        <v>308</v>
      </c>
      <c r="D1056">
        <v>0.74</v>
      </c>
      <c r="F1056" t="s">
        <v>1685</v>
      </c>
      <c r="H1056" t="s">
        <v>7333</v>
      </c>
      <c r="I1056" t="s">
        <v>5505</v>
      </c>
      <c r="K1056" t="s">
        <v>7400</v>
      </c>
      <c r="L1056" t="s">
        <v>7401</v>
      </c>
    </row>
    <row r="1057" spans="1:12" x14ac:dyDescent="0.35">
      <c r="A1057" t="s">
        <v>118</v>
      </c>
      <c r="B1057" t="s">
        <v>586</v>
      </c>
      <c r="D1057">
        <v>270</v>
      </c>
      <c r="F1057" t="s">
        <v>5008</v>
      </c>
      <c r="H1057" t="s">
        <v>7334</v>
      </c>
      <c r="I1057" t="s">
        <v>5023</v>
      </c>
      <c r="K1057" t="s">
        <v>7400</v>
      </c>
      <c r="L1057" t="s">
        <v>7401</v>
      </c>
    </row>
    <row r="1058" spans="1:12" x14ac:dyDescent="0.35">
      <c r="A1058" t="s">
        <v>118</v>
      </c>
      <c r="B1058" t="s">
        <v>314</v>
      </c>
      <c r="D1058">
        <v>36</v>
      </c>
      <c r="F1058" t="s">
        <v>1848</v>
      </c>
      <c r="H1058" t="s">
        <v>7335</v>
      </c>
      <c r="I1058" t="s">
        <v>7399</v>
      </c>
      <c r="K1058" t="s">
        <v>7400</v>
      </c>
      <c r="L1058" t="s">
        <v>7401</v>
      </c>
    </row>
    <row r="1059" spans="1:12" x14ac:dyDescent="0.35">
      <c r="A1059" t="s">
        <v>118</v>
      </c>
      <c r="B1059" t="s">
        <v>314</v>
      </c>
      <c r="D1059">
        <v>74</v>
      </c>
      <c r="F1059" t="s">
        <v>4904</v>
      </c>
      <c r="H1059" t="s">
        <v>7336</v>
      </c>
      <c r="I1059" t="s">
        <v>7399</v>
      </c>
      <c r="K1059" t="s">
        <v>7400</v>
      </c>
      <c r="L1059" t="s">
        <v>7401</v>
      </c>
    </row>
    <row r="1060" spans="1:12" x14ac:dyDescent="0.35">
      <c r="A1060" t="s">
        <v>118</v>
      </c>
      <c r="B1060" t="s">
        <v>6094</v>
      </c>
      <c r="D1060">
        <v>0.435</v>
      </c>
      <c r="F1060" t="s">
        <v>2100</v>
      </c>
      <c r="I1060" t="s">
        <v>4855</v>
      </c>
      <c r="K1060" t="s">
        <v>7400</v>
      </c>
      <c r="L1060" t="s">
        <v>7401</v>
      </c>
    </row>
    <row r="1061" spans="1:12" x14ac:dyDescent="0.35">
      <c r="A1061" t="s">
        <v>118</v>
      </c>
      <c r="B1061" t="s">
        <v>609</v>
      </c>
      <c r="D1061">
        <v>120.3</v>
      </c>
      <c r="F1061" t="s">
        <v>6449</v>
      </c>
      <c r="H1061" t="s">
        <v>7337</v>
      </c>
      <c r="I1061" t="s">
        <v>5024</v>
      </c>
      <c r="K1061" t="s">
        <v>7400</v>
      </c>
      <c r="L1061" t="s">
        <v>7401</v>
      </c>
    </row>
    <row r="1062" spans="1:12" x14ac:dyDescent="0.35">
      <c r="A1062" t="s">
        <v>118</v>
      </c>
      <c r="B1062" t="s">
        <v>609</v>
      </c>
      <c r="D1062">
        <v>105.45</v>
      </c>
      <c r="F1062" t="s">
        <v>6450</v>
      </c>
      <c r="H1062" t="s">
        <v>7338</v>
      </c>
      <c r="I1062" t="s">
        <v>5024</v>
      </c>
      <c r="K1062" t="s">
        <v>7400</v>
      </c>
      <c r="L1062" t="s">
        <v>7401</v>
      </c>
    </row>
    <row r="1063" spans="1:12" x14ac:dyDescent="0.35">
      <c r="A1063" t="s">
        <v>118</v>
      </c>
      <c r="B1063" t="s">
        <v>636</v>
      </c>
      <c r="D1063">
        <v>4.4830000000000002E-2</v>
      </c>
      <c r="F1063" t="s">
        <v>6451</v>
      </c>
      <c r="H1063" t="s">
        <v>7339</v>
      </c>
      <c r="I1063" t="s">
        <v>4963</v>
      </c>
      <c r="K1063" t="s">
        <v>7400</v>
      </c>
      <c r="L1063" t="s">
        <v>7401</v>
      </c>
    </row>
    <row r="1064" spans="1:12" x14ac:dyDescent="0.35">
      <c r="A1064" t="s">
        <v>118</v>
      </c>
      <c r="B1064" t="s">
        <v>638</v>
      </c>
      <c r="D1064">
        <v>6.79</v>
      </c>
      <c r="F1064" t="s">
        <v>6452</v>
      </c>
      <c r="H1064" t="s">
        <v>7340</v>
      </c>
      <c r="I1064" t="s">
        <v>4967</v>
      </c>
      <c r="K1064" t="s">
        <v>7400</v>
      </c>
      <c r="L1064" t="s">
        <v>7401</v>
      </c>
    </row>
    <row r="1065" spans="1:12" x14ac:dyDescent="0.35">
      <c r="A1065" t="s">
        <v>118</v>
      </c>
      <c r="B1065" t="s">
        <v>638</v>
      </c>
      <c r="D1065">
        <v>5.35</v>
      </c>
      <c r="F1065" t="s">
        <v>6453</v>
      </c>
      <c r="H1065" t="s">
        <v>7341</v>
      </c>
      <c r="I1065" t="s">
        <v>4967</v>
      </c>
      <c r="K1065" t="s">
        <v>7400</v>
      </c>
      <c r="L1065" t="s">
        <v>7401</v>
      </c>
    </row>
    <row r="1066" spans="1:12" x14ac:dyDescent="0.35">
      <c r="A1066" t="s">
        <v>118</v>
      </c>
      <c r="B1066" t="s">
        <v>638</v>
      </c>
      <c r="D1066">
        <v>21.03</v>
      </c>
      <c r="F1066" t="s">
        <v>6454</v>
      </c>
      <c r="H1066" t="s">
        <v>7342</v>
      </c>
      <c r="I1066" t="s">
        <v>4967</v>
      </c>
      <c r="K1066" t="s">
        <v>7400</v>
      </c>
      <c r="L1066" t="s">
        <v>7401</v>
      </c>
    </row>
    <row r="1067" spans="1:12" x14ac:dyDescent="0.35">
      <c r="A1067" t="s">
        <v>118</v>
      </c>
      <c r="B1067" t="s">
        <v>638</v>
      </c>
      <c r="D1067">
        <v>4.41</v>
      </c>
      <c r="F1067" t="s">
        <v>6455</v>
      </c>
      <c r="H1067" t="s">
        <v>7343</v>
      </c>
      <c r="I1067" t="s">
        <v>4967</v>
      </c>
      <c r="K1067" t="s">
        <v>7400</v>
      </c>
      <c r="L1067" t="s">
        <v>7401</v>
      </c>
    </row>
    <row r="1068" spans="1:12" x14ac:dyDescent="0.35">
      <c r="A1068" t="s">
        <v>118</v>
      </c>
      <c r="B1068" t="s">
        <v>639</v>
      </c>
      <c r="D1068">
        <v>9.1000000000000004E-3</v>
      </c>
      <c r="F1068" t="s">
        <v>2180</v>
      </c>
      <c r="H1068" t="s">
        <v>7344</v>
      </c>
      <c r="I1068" t="s">
        <v>5027</v>
      </c>
      <c r="K1068" t="s">
        <v>7400</v>
      </c>
      <c r="L1068" t="s">
        <v>7401</v>
      </c>
    </row>
    <row r="1069" spans="1:12" x14ac:dyDescent="0.35">
      <c r="A1069" t="s">
        <v>118</v>
      </c>
      <c r="B1069" t="s">
        <v>639</v>
      </c>
      <c r="D1069">
        <v>1.5900000000000001E-2</v>
      </c>
      <c r="F1069" t="s">
        <v>1791</v>
      </c>
      <c r="H1069" t="s">
        <v>7345</v>
      </c>
      <c r="I1069" t="s">
        <v>5027</v>
      </c>
      <c r="K1069" t="s">
        <v>7400</v>
      </c>
      <c r="L1069" t="s">
        <v>7401</v>
      </c>
    </row>
    <row r="1070" spans="1:12" x14ac:dyDescent="0.35">
      <c r="A1070" t="s">
        <v>118</v>
      </c>
      <c r="B1070" t="s">
        <v>639</v>
      </c>
      <c r="D1070">
        <v>1.0628</v>
      </c>
      <c r="F1070" t="s">
        <v>6456</v>
      </c>
      <c r="H1070" t="s">
        <v>7346</v>
      </c>
      <c r="I1070" t="s">
        <v>5027</v>
      </c>
      <c r="K1070" t="s">
        <v>7400</v>
      </c>
      <c r="L1070" t="s">
        <v>7401</v>
      </c>
    </row>
    <row r="1071" spans="1:12" x14ac:dyDescent="0.35">
      <c r="A1071" t="s">
        <v>118</v>
      </c>
      <c r="B1071" t="s">
        <v>639</v>
      </c>
      <c r="D1071">
        <v>0.30009999999999998</v>
      </c>
      <c r="F1071" t="s">
        <v>6457</v>
      </c>
      <c r="H1071" t="s">
        <v>7347</v>
      </c>
      <c r="I1071" t="s">
        <v>5027</v>
      </c>
      <c r="K1071" t="s">
        <v>7400</v>
      </c>
      <c r="L1071" t="s">
        <v>7401</v>
      </c>
    </row>
    <row r="1072" spans="1:12" x14ac:dyDescent="0.35">
      <c r="A1072" t="s">
        <v>118</v>
      </c>
      <c r="B1072" t="s">
        <v>639</v>
      </c>
      <c r="D1072">
        <v>0.1396</v>
      </c>
      <c r="F1072" t="s">
        <v>6458</v>
      </c>
      <c r="H1072" t="s">
        <v>7348</v>
      </c>
      <c r="I1072" t="s">
        <v>5027</v>
      </c>
      <c r="K1072" t="s">
        <v>7400</v>
      </c>
      <c r="L1072" t="s">
        <v>7401</v>
      </c>
    </row>
    <row r="1073" spans="1:12" x14ac:dyDescent="0.35">
      <c r="A1073" t="s">
        <v>118</v>
      </c>
      <c r="B1073" t="s">
        <v>639</v>
      </c>
      <c r="D1073">
        <v>0.79749999999999999</v>
      </c>
      <c r="F1073" t="s">
        <v>6459</v>
      </c>
      <c r="H1073" t="s">
        <v>7349</v>
      </c>
      <c r="I1073" t="s">
        <v>5027</v>
      </c>
      <c r="K1073" t="s">
        <v>7400</v>
      </c>
      <c r="L1073" t="s">
        <v>7401</v>
      </c>
    </row>
    <row r="1074" spans="1:12" x14ac:dyDescent="0.35">
      <c r="A1074" t="s">
        <v>118</v>
      </c>
      <c r="B1074" t="s">
        <v>639</v>
      </c>
      <c r="D1074">
        <v>0.1991</v>
      </c>
      <c r="F1074" t="s">
        <v>6460</v>
      </c>
      <c r="H1074" t="s">
        <v>7350</v>
      </c>
      <c r="I1074" t="s">
        <v>5027</v>
      </c>
      <c r="K1074" t="s">
        <v>7400</v>
      </c>
      <c r="L1074" t="s">
        <v>7401</v>
      </c>
    </row>
    <row r="1075" spans="1:12" x14ac:dyDescent="0.35">
      <c r="A1075" t="s">
        <v>118</v>
      </c>
      <c r="B1075" t="s">
        <v>639</v>
      </c>
      <c r="D1075">
        <v>3.0099999999999998E-2</v>
      </c>
      <c r="F1075" t="s">
        <v>6461</v>
      </c>
      <c r="H1075" t="s">
        <v>7351</v>
      </c>
      <c r="I1075" t="s">
        <v>5027</v>
      </c>
      <c r="K1075" t="s">
        <v>7400</v>
      </c>
      <c r="L1075" t="s">
        <v>7401</v>
      </c>
    </row>
    <row r="1076" spans="1:12" x14ac:dyDescent="0.35">
      <c r="A1076" t="s">
        <v>118</v>
      </c>
      <c r="B1076" t="s">
        <v>639</v>
      </c>
      <c r="D1076">
        <v>9.0700000000000003E-2</v>
      </c>
      <c r="F1076" t="s">
        <v>6462</v>
      </c>
      <c r="H1076" t="s">
        <v>7352</v>
      </c>
      <c r="I1076" t="s">
        <v>5027</v>
      </c>
      <c r="K1076" t="s">
        <v>7400</v>
      </c>
      <c r="L1076" t="s">
        <v>7401</v>
      </c>
    </row>
    <row r="1077" spans="1:12" x14ac:dyDescent="0.35">
      <c r="A1077" t="s">
        <v>118</v>
      </c>
      <c r="B1077" t="s">
        <v>335</v>
      </c>
      <c r="D1077">
        <v>0.14599999999999999</v>
      </c>
      <c r="F1077" t="s">
        <v>1971</v>
      </c>
      <c r="I1077" t="s">
        <v>5000</v>
      </c>
      <c r="K1077" t="s">
        <v>7400</v>
      </c>
      <c r="L1077" t="s">
        <v>7401</v>
      </c>
    </row>
    <row r="1078" spans="1:12" x14ac:dyDescent="0.35">
      <c r="A1078" t="s">
        <v>118</v>
      </c>
      <c r="B1078" t="s">
        <v>457</v>
      </c>
      <c r="D1078">
        <v>2E-3</v>
      </c>
      <c r="F1078" t="s">
        <v>1286</v>
      </c>
      <c r="H1078" t="s">
        <v>7353</v>
      </c>
      <c r="I1078" t="s">
        <v>5029</v>
      </c>
      <c r="K1078" t="s">
        <v>7400</v>
      </c>
      <c r="L1078" t="s">
        <v>7401</v>
      </c>
    </row>
    <row r="1079" spans="1:12" x14ac:dyDescent="0.35">
      <c r="A1079" t="s">
        <v>118</v>
      </c>
      <c r="B1079" t="s">
        <v>457</v>
      </c>
      <c r="D1079">
        <v>0.79</v>
      </c>
      <c r="F1079" t="s">
        <v>2224</v>
      </c>
      <c r="I1079" t="s">
        <v>4855</v>
      </c>
      <c r="K1079" t="s">
        <v>7400</v>
      </c>
      <c r="L1079" t="s">
        <v>7401</v>
      </c>
    </row>
    <row r="1080" spans="1:12" x14ac:dyDescent="0.35">
      <c r="A1080" t="s">
        <v>118</v>
      </c>
      <c r="B1080" t="s">
        <v>457</v>
      </c>
      <c r="D1080">
        <v>1.0999999999999999E-2</v>
      </c>
      <c r="F1080" t="s">
        <v>1612</v>
      </c>
      <c r="H1080" t="s">
        <v>7354</v>
      </c>
      <c r="I1080" t="s">
        <v>5029</v>
      </c>
      <c r="K1080" t="s">
        <v>7400</v>
      </c>
      <c r="L1080" t="s">
        <v>7401</v>
      </c>
    </row>
    <row r="1081" spans="1:12" x14ac:dyDescent="0.35">
      <c r="A1081" t="s">
        <v>118</v>
      </c>
      <c r="B1081" t="s">
        <v>457</v>
      </c>
      <c r="D1081">
        <v>0.67</v>
      </c>
      <c r="F1081" t="s">
        <v>1478</v>
      </c>
      <c r="H1081" t="s">
        <v>7355</v>
      </c>
      <c r="I1081" t="s">
        <v>5029</v>
      </c>
      <c r="K1081" t="s">
        <v>7400</v>
      </c>
      <c r="L1081" t="s">
        <v>7401</v>
      </c>
    </row>
    <row r="1082" spans="1:12" x14ac:dyDescent="0.35">
      <c r="A1082" t="s">
        <v>118</v>
      </c>
      <c r="B1082" t="s">
        <v>457</v>
      </c>
      <c r="D1082">
        <v>1.08</v>
      </c>
      <c r="F1082" t="s">
        <v>1831</v>
      </c>
      <c r="H1082" t="s">
        <v>7356</v>
      </c>
      <c r="I1082" t="s">
        <v>5029</v>
      </c>
      <c r="K1082" t="s">
        <v>7400</v>
      </c>
      <c r="L1082" t="s">
        <v>7401</v>
      </c>
    </row>
    <row r="1083" spans="1:12" x14ac:dyDescent="0.35">
      <c r="A1083" t="s">
        <v>118</v>
      </c>
      <c r="B1083" t="s">
        <v>457</v>
      </c>
      <c r="D1083">
        <v>1E-3</v>
      </c>
      <c r="F1083" t="s">
        <v>1722</v>
      </c>
      <c r="H1083" t="s">
        <v>7357</v>
      </c>
      <c r="I1083" t="s">
        <v>5029</v>
      </c>
      <c r="K1083" t="s">
        <v>7400</v>
      </c>
      <c r="L1083" t="s">
        <v>7401</v>
      </c>
    </row>
    <row r="1084" spans="1:12" x14ac:dyDescent="0.35">
      <c r="A1084" t="s">
        <v>118</v>
      </c>
      <c r="B1084" t="s">
        <v>457</v>
      </c>
      <c r="D1084">
        <v>0.48</v>
      </c>
      <c r="F1084" t="s">
        <v>1508</v>
      </c>
      <c r="H1084" t="s">
        <v>7358</v>
      </c>
      <c r="I1084" t="s">
        <v>5029</v>
      </c>
      <c r="K1084" t="s">
        <v>7400</v>
      </c>
      <c r="L1084" t="s">
        <v>7401</v>
      </c>
    </row>
    <row r="1085" spans="1:12" x14ac:dyDescent="0.35">
      <c r="A1085" t="s">
        <v>118</v>
      </c>
      <c r="B1085" t="s">
        <v>457</v>
      </c>
      <c r="D1085">
        <v>8.7999999999999995E-2</v>
      </c>
      <c r="F1085" t="s">
        <v>1400</v>
      </c>
      <c r="H1085" t="s">
        <v>7359</v>
      </c>
      <c r="I1085" t="s">
        <v>5029</v>
      </c>
      <c r="K1085" t="s">
        <v>7400</v>
      </c>
      <c r="L1085" t="s">
        <v>7401</v>
      </c>
    </row>
    <row r="1086" spans="1:12" x14ac:dyDescent="0.35">
      <c r="A1086" t="s">
        <v>118</v>
      </c>
      <c r="B1086" t="s">
        <v>457</v>
      </c>
      <c r="D1086">
        <v>3.31</v>
      </c>
      <c r="F1086" t="s">
        <v>2340</v>
      </c>
      <c r="H1086" t="s">
        <v>7360</v>
      </c>
      <c r="I1086" t="s">
        <v>5029</v>
      </c>
      <c r="K1086" t="s">
        <v>7400</v>
      </c>
      <c r="L1086" t="s">
        <v>7401</v>
      </c>
    </row>
    <row r="1087" spans="1:12" x14ac:dyDescent="0.35">
      <c r="A1087" t="s">
        <v>118</v>
      </c>
      <c r="B1087" t="s">
        <v>457</v>
      </c>
      <c r="D1087">
        <v>3.69</v>
      </c>
      <c r="F1087" t="s">
        <v>2625</v>
      </c>
      <c r="H1087" t="s">
        <v>7361</v>
      </c>
      <c r="I1087" t="s">
        <v>5029</v>
      </c>
      <c r="K1087" t="s">
        <v>7400</v>
      </c>
      <c r="L1087" t="s">
        <v>7401</v>
      </c>
    </row>
    <row r="1088" spans="1:12" x14ac:dyDescent="0.35">
      <c r="A1088" t="s">
        <v>118</v>
      </c>
      <c r="B1088" t="s">
        <v>457</v>
      </c>
      <c r="D1088">
        <v>22.69</v>
      </c>
      <c r="F1088" t="s">
        <v>6463</v>
      </c>
      <c r="H1088" t="s">
        <v>7362</v>
      </c>
      <c r="I1088" t="s">
        <v>5029</v>
      </c>
      <c r="K1088" t="s">
        <v>7400</v>
      </c>
      <c r="L1088" t="s">
        <v>7401</v>
      </c>
    </row>
    <row r="1089" spans="1:12" x14ac:dyDescent="0.35">
      <c r="A1089" t="s">
        <v>118</v>
      </c>
      <c r="B1089" t="s">
        <v>457</v>
      </c>
      <c r="D1089">
        <v>7.89</v>
      </c>
      <c r="F1089" t="s">
        <v>2084</v>
      </c>
      <c r="H1089" t="s">
        <v>7363</v>
      </c>
      <c r="I1089" t="s">
        <v>5029</v>
      </c>
      <c r="K1089" t="s">
        <v>7400</v>
      </c>
      <c r="L1089" t="s">
        <v>7401</v>
      </c>
    </row>
    <row r="1090" spans="1:12" x14ac:dyDescent="0.35">
      <c r="A1090" t="s">
        <v>118</v>
      </c>
      <c r="B1090" t="s">
        <v>457</v>
      </c>
      <c r="D1090">
        <v>1.31</v>
      </c>
      <c r="F1090" t="s">
        <v>1751</v>
      </c>
      <c r="H1090" t="s">
        <v>7364</v>
      </c>
      <c r="I1090" t="s">
        <v>5029</v>
      </c>
      <c r="K1090" t="s">
        <v>7400</v>
      </c>
      <c r="L1090" t="s">
        <v>7401</v>
      </c>
    </row>
    <row r="1091" spans="1:12" x14ac:dyDescent="0.35">
      <c r="A1091" t="s">
        <v>118</v>
      </c>
      <c r="B1091" t="s">
        <v>457</v>
      </c>
      <c r="D1091">
        <v>1.91</v>
      </c>
      <c r="F1091" t="s">
        <v>1585</v>
      </c>
      <c r="H1091" t="s">
        <v>7365</v>
      </c>
      <c r="I1091" t="s">
        <v>5029</v>
      </c>
      <c r="K1091" t="s">
        <v>7400</v>
      </c>
      <c r="L1091" t="s">
        <v>7401</v>
      </c>
    </row>
    <row r="1092" spans="1:12" x14ac:dyDescent="0.35">
      <c r="A1092" t="s">
        <v>118</v>
      </c>
      <c r="B1092" t="s">
        <v>457</v>
      </c>
      <c r="D1092">
        <v>0.17</v>
      </c>
      <c r="F1092" t="s">
        <v>1409</v>
      </c>
      <c r="H1092" t="s">
        <v>7366</v>
      </c>
      <c r="I1092" t="s">
        <v>7394</v>
      </c>
      <c r="K1092" t="s">
        <v>7400</v>
      </c>
      <c r="L1092" t="s">
        <v>7401</v>
      </c>
    </row>
    <row r="1093" spans="1:12" x14ac:dyDescent="0.35">
      <c r="A1093" t="s">
        <v>118</v>
      </c>
      <c r="B1093" t="s">
        <v>457</v>
      </c>
      <c r="D1093">
        <v>4.0000000000000001E-3</v>
      </c>
      <c r="F1093" t="s">
        <v>1838</v>
      </c>
      <c r="H1093" t="s">
        <v>7367</v>
      </c>
      <c r="I1093" t="s">
        <v>4961</v>
      </c>
      <c r="K1093" t="s">
        <v>7400</v>
      </c>
      <c r="L1093" t="s">
        <v>7401</v>
      </c>
    </row>
    <row r="1094" spans="1:12" x14ac:dyDescent="0.35">
      <c r="A1094" t="s">
        <v>118</v>
      </c>
      <c r="B1094" t="s">
        <v>457</v>
      </c>
      <c r="D1094">
        <v>1.7000000000000001E-2</v>
      </c>
      <c r="F1094" t="s">
        <v>1363</v>
      </c>
      <c r="H1094" t="s">
        <v>7368</v>
      </c>
      <c r="I1094" t="s">
        <v>4865</v>
      </c>
      <c r="K1094" t="s">
        <v>7400</v>
      </c>
      <c r="L1094" t="s">
        <v>7401</v>
      </c>
    </row>
    <row r="1095" spans="1:12" x14ac:dyDescent="0.35">
      <c r="A1095" t="s">
        <v>118</v>
      </c>
      <c r="B1095" t="s">
        <v>457</v>
      </c>
      <c r="D1095">
        <v>8.1000000000000003E-2</v>
      </c>
      <c r="F1095" t="s">
        <v>6464</v>
      </c>
      <c r="H1095" t="s">
        <v>7369</v>
      </c>
      <c r="I1095" t="s">
        <v>4961</v>
      </c>
      <c r="K1095" t="s">
        <v>7400</v>
      </c>
      <c r="L1095" t="s">
        <v>7401</v>
      </c>
    </row>
    <row r="1096" spans="1:12" x14ac:dyDescent="0.35">
      <c r="A1096" t="s">
        <v>118</v>
      </c>
      <c r="B1096" t="s">
        <v>6095</v>
      </c>
      <c r="D1096">
        <v>1.47</v>
      </c>
      <c r="F1096" t="s">
        <v>1521</v>
      </c>
      <c r="I1096" t="s">
        <v>4855</v>
      </c>
      <c r="K1096" t="s">
        <v>7400</v>
      </c>
      <c r="L1096" t="s">
        <v>7401</v>
      </c>
    </row>
    <row r="1097" spans="1:12" x14ac:dyDescent="0.35">
      <c r="A1097" t="s">
        <v>118</v>
      </c>
      <c r="B1097" t="s">
        <v>458</v>
      </c>
      <c r="D1097">
        <v>38.200000000000003</v>
      </c>
      <c r="F1097" t="s">
        <v>6465</v>
      </c>
      <c r="H1097" t="s">
        <v>7370</v>
      </c>
      <c r="I1097" t="s">
        <v>1569</v>
      </c>
      <c r="K1097" t="s">
        <v>7400</v>
      </c>
      <c r="L1097" t="s">
        <v>7401</v>
      </c>
    </row>
    <row r="1098" spans="1:12" x14ac:dyDescent="0.35">
      <c r="A1098" t="s">
        <v>118</v>
      </c>
      <c r="B1098" t="s">
        <v>458</v>
      </c>
      <c r="D1098">
        <v>0.312</v>
      </c>
      <c r="F1098" t="s">
        <v>1637</v>
      </c>
      <c r="H1098" t="s">
        <v>7371</v>
      </c>
      <c r="I1098" t="s">
        <v>1569</v>
      </c>
      <c r="K1098" t="s">
        <v>7400</v>
      </c>
      <c r="L1098" t="s">
        <v>7401</v>
      </c>
    </row>
    <row r="1099" spans="1:12" x14ac:dyDescent="0.35">
      <c r="A1099" t="s">
        <v>118</v>
      </c>
      <c r="B1099" t="s">
        <v>458</v>
      </c>
      <c r="D1099">
        <v>0.26</v>
      </c>
      <c r="F1099" t="s">
        <v>1447</v>
      </c>
      <c r="H1099" t="s">
        <v>7372</v>
      </c>
      <c r="I1099" t="s">
        <v>1569</v>
      </c>
      <c r="K1099" t="s">
        <v>7400</v>
      </c>
      <c r="L1099" t="s">
        <v>7401</v>
      </c>
    </row>
    <row r="1100" spans="1:12" x14ac:dyDescent="0.35">
      <c r="A1100" t="s">
        <v>118</v>
      </c>
      <c r="B1100" t="s">
        <v>641</v>
      </c>
      <c r="D1100">
        <v>2.66</v>
      </c>
      <c r="F1100" t="s">
        <v>2010</v>
      </c>
      <c r="H1100" t="s">
        <v>7373</v>
      </c>
      <c r="I1100" t="s">
        <v>2408</v>
      </c>
      <c r="K1100" t="s">
        <v>7400</v>
      </c>
      <c r="L1100" t="s">
        <v>7401</v>
      </c>
    </row>
    <row r="1101" spans="1:12" x14ac:dyDescent="0.35">
      <c r="A1101" t="s">
        <v>118</v>
      </c>
      <c r="B1101" t="s">
        <v>641</v>
      </c>
      <c r="D1101">
        <v>42.8</v>
      </c>
      <c r="F1101" t="s">
        <v>6466</v>
      </c>
      <c r="H1101" t="s">
        <v>7374</v>
      </c>
      <c r="I1101" t="s">
        <v>2408</v>
      </c>
      <c r="K1101" t="s">
        <v>7400</v>
      </c>
      <c r="L1101" t="s">
        <v>7401</v>
      </c>
    </row>
    <row r="1102" spans="1:12" x14ac:dyDescent="0.35">
      <c r="A1102" t="s">
        <v>118</v>
      </c>
      <c r="B1102" t="s">
        <v>616</v>
      </c>
      <c r="D1102">
        <v>8</v>
      </c>
      <c r="F1102" t="s">
        <v>1373</v>
      </c>
      <c r="I1102" t="s">
        <v>2052</v>
      </c>
      <c r="K1102" t="s">
        <v>7400</v>
      </c>
      <c r="L1102" t="s">
        <v>7401</v>
      </c>
    </row>
    <row r="1103" spans="1:12" x14ac:dyDescent="0.35">
      <c r="A1103" t="s">
        <v>118</v>
      </c>
      <c r="B1103" t="s">
        <v>391</v>
      </c>
      <c r="D1103">
        <v>4.03</v>
      </c>
      <c r="F1103" t="s">
        <v>5502</v>
      </c>
      <c r="I1103" t="s">
        <v>4869</v>
      </c>
      <c r="K1103" t="s">
        <v>7400</v>
      </c>
      <c r="L1103" t="s">
        <v>7401</v>
      </c>
    </row>
    <row r="1104" spans="1:12" x14ac:dyDescent="0.35">
      <c r="A1104" t="s">
        <v>118</v>
      </c>
      <c r="B1104" t="s">
        <v>6096</v>
      </c>
      <c r="D1104">
        <v>2.5</v>
      </c>
      <c r="F1104" t="s">
        <v>1406</v>
      </c>
      <c r="H1104" t="s">
        <v>7375</v>
      </c>
      <c r="I1104" t="s">
        <v>4950</v>
      </c>
      <c r="K1104" t="s">
        <v>7400</v>
      </c>
      <c r="L1104" t="s">
        <v>7401</v>
      </c>
    </row>
    <row r="1105" spans="1:12" x14ac:dyDescent="0.35">
      <c r="A1105" t="s">
        <v>118</v>
      </c>
      <c r="B1105" t="s">
        <v>643</v>
      </c>
      <c r="D1105">
        <v>0.41</v>
      </c>
      <c r="F1105" t="s">
        <v>1555</v>
      </c>
      <c r="I1105" t="s">
        <v>1394</v>
      </c>
      <c r="K1105" t="s">
        <v>7400</v>
      </c>
      <c r="L1105" t="s">
        <v>7401</v>
      </c>
    </row>
    <row r="1106" spans="1:12" x14ac:dyDescent="0.35">
      <c r="A1106" t="s">
        <v>118</v>
      </c>
      <c r="B1106" t="s">
        <v>340</v>
      </c>
      <c r="D1106">
        <v>82.27</v>
      </c>
      <c r="F1106" t="s">
        <v>6467</v>
      </c>
      <c r="H1106" t="s">
        <v>7376</v>
      </c>
      <c r="I1106" t="s">
        <v>2254</v>
      </c>
      <c r="K1106" t="s">
        <v>7400</v>
      </c>
      <c r="L1106" t="s">
        <v>7401</v>
      </c>
    </row>
    <row r="1107" spans="1:12" x14ac:dyDescent="0.35">
      <c r="A1107" t="s">
        <v>118</v>
      </c>
      <c r="B1107" t="s">
        <v>340</v>
      </c>
      <c r="D1107">
        <v>93.21</v>
      </c>
      <c r="F1107" t="s">
        <v>6468</v>
      </c>
      <c r="H1107" t="s">
        <v>7377</v>
      </c>
      <c r="I1107" t="s">
        <v>2254</v>
      </c>
      <c r="K1107" t="s">
        <v>7400</v>
      </c>
      <c r="L1107" t="s">
        <v>7401</v>
      </c>
    </row>
    <row r="1108" spans="1:12" x14ac:dyDescent="0.35">
      <c r="A1108" t="s">
        <v>118</v>
      </c>
      <c r="B1108" t="s">
        <v>6097</v>
      </c>
      <c r="D1108">
        <v>0.32300000000000001</v>
      </c>
      <c r="F1108" t="s">
        <v>6469</v>
      </c>
      <c r="I1108" t="s">
        <v>1516</v>
      </c>
      <c r="K1108" t="s">
        <v>7400</v>
      </c>
      <c r="L1108" t="s">
        <v>7401</v>
      </c>
    </row>
    <row r="1109" spans="1:12" x14ac:dyDescent="0.35">
      <c r="A1109" t="s">
        <v>118</v>
      </c>
      <c r="B1109" t="s">
        <v>645</v>
      </c>
      <c r="D1109">
        <v>10.5</v>
      </c>
      <c r="F1109" t="s">
        <v>5461</v>
      </c>
      <c r="H1109" t="s">
        <v>7378</v>
      </c>
      <c r="I1109" t="s">
        <v>5031</v>
      </c>
      <c r="K1109" t="s">
        <v>7400</v>
      </c>
      <c r="L1109" t="s">
        <v>7401</v>
      </c>
    </row>
    <row r="1110" spans="1:12" x14ac:dyDescent="0.35">
      <c r="A1110" t="s">
        <v>118</v>
      </c>
      <c r="B1110" t="s">
        <v>645</v>
      </c>
      <c r="D1110">
        <v>60.2</v>
      </c>
      <c r="F1110" t="s">
        <v>5546</v>
      </c>
      <c r="H1110" t="s">
        <v>7379</v>
      </c>
      <c r="I1110" t="s">
        <v>5031</v>
      </c>
      <c r="K1110" t="s">
        <v>7400</v>
      </c>
      <c r="L1110" t="s">
        <v>7401</v>
      </c>
    </row>
    <row r="1111" spans="1:12" x14ac:dyDescent="0.35">
      <c r="A1111" t="s">
        <v>118</v>
      </c>
      <c r="B1111" t="s">
        <v>6098</v>
      </c>
      <c r="D1111">
        <v>0.318</v>
      </c>
      <c r="F1111" t="s">
        <v>6470</v>
      </c>
      <c r="I1111" t="s">
        <v>5000</v>
      </c>
      <c r="K1111" t="s">
        <v>7400</v>
      </c>
      <c r="L1111" t="s">
        <v>7401</v>
      </c>
    </row>
    <row r="1112" spans="1:12" x14ac:dyDescent="0.35">
      <c r="A1112" t="s">
        <v>118</v>
      </c>
      <c r="B1112" t="s">
        <v>646</v>
      </c>
      <c r="D1112">
        <v>4.1000000000000002E-2</v>
      </c>
      <c r="F1112" t="s">
        <v>1814</v>
      </c>
      <c r="H1112" t="s">
        <v>7380</v>
      </c>
      <c r="I1112" t="s">
        <v>4997</v>
      </c>
      <c r="K1112" t="s">
        <v>7400</v>
      </c>
      <c r="L1112" t="s">
        <v>7401</v>
      </c>
    </row>
    <row r="1113" spans="1:12" x14ac:dyDescent="0.35">
      <c r="A1113" t="s">
        <v>118</v>
      </c>
      <c r="B1113" t="s">
        <v>647</v>
      </c>
      <c r="D1113">
        <v>440.1</v>
      </c>
      <c r="F1113" t="s">
        <v>6471</v>
      </c>
      <c r="H1113" t="s">
        <v>7381</v>
      </c>
      <c r="I1113" t="s">
        <v>1893</v>
      </c>
      <c r="K1113" t="s">
        <v>7400</v>
      </c>
      <c r="L1113" t="s">
        <v>7401</v>
      </c>
    </row>
    <row r="1114" spans="1:12" x14ac:dyDescent="0.35">
      <c r="A1114" t="s">
        <v>118</v>
      </c>
      <c r="B1114" t="s">
        <v>386</v>
      </c>
      <c r="D1114">
        <v>1789.5</v>
      </c>
      <c r="F1114" t="s">
        <v>6472</v>
      </c>
      <c r="H1114" t="s">
        <v>7382</v>
      </c>
      <c r="I1114" t="s">
        <v>6234</v>
      </c>
      <c r="K1114" t="s">
        <v>7400</v>
      </c>
      <c r="L1114" t="s">
        <v>7401</v>
      </c>
    </row>
    <row r="1115" spans="1:12" x14ac:dyDescent="0.35">
      <c r="A1115" t="s">
        <v>118</v>
      </c>
      <c r="B1115" t="s">
        <v>386</v>
      </c>
      <c r="D1115">
        <v>3980.6</v>
      </c>
      <c r="F1115" t="s">
        <v>6473</v>
      </c>
      <c r="H1115" t="s">
        <v>7383</v>
      </c>
      <c r="I1115" t="s">
        <v>6234</v>
      </c>
      <c r="K1115" t="s">
        <v>7400</v>
      </c>
      <c r="L1115" t="s">
        <v>7401</v>
      </c>
    </row>
    <row r="1116" spans="1:12" x14ac:dyDescent="0.35">
      <c r="A1116" t="s">
        <v>118</v>
      </c>
      <c r="B1116" t="s">
        <v>568</v>
      </c>
      <c r="D1116">
        <v>4.8</v>
      </c>
      <c r="F1116" t="s">
        <v>1567</v>
      </c>
      <c r="H1116" t="s">
        <v>7384</v>
      </c>
      <c r="I1116" t="s">
        <v>4855</v>
      </c>
      <c r="K1116" t="s">
        <v>7400</v>
      </c>
      <c r="L1116" t="s">
        <v>7401</v>
      </c>
    </row>
    <row r="1117" spans="1:12" x14ac:dyDescent="0.35">
      <c r="A1117" t="s">
        <v>118</v>
      </c>
      <c r="B1117" t="s">
        <v>568</v>
      </c>
      <c r="D1117">
        <v>4.18</v>
      </c>
      <c r="F1117" t="s">
        <v>5571</v>
      </c>
      <c r="H1117" t="s">
        <v>7385</v>
      </c>
      <c r="I1117" t="s">
        <v>4855</v>
      </c>
      <c r="K1117" t="s">
        <v>7400</v>
      </c>
      <c r="L1117" t="s">
        <v>7401</v>
      </c>
    </row>
    <row r="1118" spans="1:12" x14ac:dyDescent="0.35">
      <c r="A1118" t="s">
        <v>118</v>
      </c>
      <c r="B1118" t="s">
        <v>6099</v>
      </c>
      <c r="D1118">
        <v>68.5</v>
      </c>
      <c r="F1118" t="s">
        <v>6474</v>
      </c>
      <c r="H1118" t="s">
        <v>7386</v>
      </c>
      <c r="I1118" t="s">
        <v>4918</v>
      </c>
      <c r="K1118" t="s">
        <v>7400</v>
      </c>
      <c r="L1118" t="s">
        <v>7401</v>
      </c>
    </row>
    <row r="1119" spans="1:12" x14ac:dyDescent="0.35">
      <c r="A1119" t="s">
        <v>118</v>
      </c>
      <c r="B1119" t="s">
        <v>6099</v>
      </c>
      <c r="D1119">
        <v>77.7</v>
      </c>
      <c r="F1119" t="s">
        <v>6475</v>
      </c>
      <c r="H1119" t="s">
        <v>7387</v>
      </c>
      <c r="I1119" t="s">
        <v>4918</v>
      </c>
      <c r="K1119" t="s">
        <v>7400</v>
      </c>
      <c r="L1119" t="s">
        <v>7401</v>
      </c>
    </row>
    <row r="1120" spans="1:12" x14ac:dyDescent="0.35">
      <c r="A1120" t="s">
        <v>118</v>
      </c>
      <c r="B1120" t="s">
        <v>651</v>
      </c>
      <c r="D1120">
        <v>0.78</v>
      </c>
      <c r="F1120" t="s">
        <v>1442</v>
      </c>
      <c r="H1120" t="s">
        <v>7388</v>
      </c>
      <c r="I1120" t="s">
        <v>4915</v>
      </c>
      <c r="K1120" t="s">
        <v>7400</v>
      </c>
      <c r="L1120" t="s">
        <v>7401</v>
      </c>
    </row>
    <row r="1121" spans="1:12" x14ac:dyDescent="0.35">
      <c r="A1121" t="s">
        <v>118</v>
      </c>
      <c r="B1121" t="s">
        <v>326</v>
      </c>
      <c r="D1121">
        <v>148</v>
      </c>
      <c r="F1121" t="s">
        <v>5000</v>
      </c>
      <c r="I1121" t="s">
        <v>1372</v>
      </c>
      <c r="K1121" t="s">
        <v>7400</v>
      </c>
      <c r="L1121" t="s">
        <v>7401</v>
      </c>
    </row>
    <row r="1122" spans="1:12" x14ac:dyDescent="0.35">
      <c r="A1122" t="s">
        <v>118</v>
      </c>
      <c r="B1122" t="s">
        <v>326</v>
      </c>
      <c r="D1122">
        <v>0.97199999999999998</v>
      </c>
      <c r="F1122" t="s">
        <v>6476</v>
      </c>
      <c r="I1122" t="s">
        <v>5000</v>
      </c>
      <c r="K1122" t="s">
        <v>7400</v>
      </c>
      <c r="L1122" t="s">
        <v>7401</v>
      </c>
    </row>
    <row r="1123" spans="1:12" x14ac:dyDescent="0.35">
      <c r="A1123" t="s">
        <v>118</v>
      </c>
      <c r="B1123" t="s">
        <v>6100</v>
      </c>
      <c r="D1123">
        <v>108</v>
      </c>
      <c r="F1123" t="s">
        <v>4884</v>
      </c>
      <c r="I1123" t="s">
        <v>1943</v>
      </c>
      <c r="K1123" t="s">
        <v>7400</v>
      </c>
      <c r="L1123" t="s">
        <v>7401</v>
      </c>
    </row>
    <row r="1124" spans="1:12" x14ac:dyDescent="0.35">
      <c r="A1124" t="s">
        <v>118</v>
      </c>
      <c r="B1124" t="s">
        <v>653</v>
      </c>
      <c r="D1124">
        <v>29.4</v>
      </c>
      <c r="F1124" t="s">
        <v>1404</v>
      </c>
      <c r="I1124" t="s">
        <v>4861</v>
      </c>
      <c r="K1124" t="s">
        <v>7400</v>
      </c>
      <c r="L1124" t="s">
        <v>7401</v>
      </c>
    </row>
    <row r="1125" spans="1:12" x14ac:dyDescent="0.35">
      <c r="A1125" t="s">
        <v>118</v>
      </c>
      <c r="B1125" t="s">
        <v>654</v>
      </c>
      <c r="D1125">
        <v>85.1</v>
      </c>
      <c r="F1125" t="s">
        <v>6211</v>
      </c>
      <c r="I1125" t="s">
        <v>4885</v>
      </c>
      <c r="K1125" t="s">
        <v>7400</v>
      </c>
      <c r="L1125" t="s">
        <v>7401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18"/>
  <sheetViews>
    <sheetView workbookViewId="0"/>
  </sheetViews>
  <sheetFormatPr defaultRowHeight="14.5" x14ac:dyDescent="0.35"/>
  <cols>
    <col min="1" max="1" width="8.81640625" customWidth="1"/>
    <col min="2" max="2" width="48.453125" customWidth="1"/>
    <col min="3" max="3" width="9.453125" customWidth="1"/>
    <col min="4" max="4" width="7.1796875" customWidth="1"/>
    <col min="5" max="5" width="14.81640625" customWidth="1"/>
    <col min="6" max="6" width="9.54296875" customWidth="1"/>
    <col min="7" max="7" width="18.453125" customWidth="1"/>
    <col min="8" max="8" width="435.81640625" customWidth="1"/>
    <col min="9" max="9" width="15.453125" customWidth="1"/>
    <col min="10" max="10" width="16.453125" customWidth="1"/>
    <col min="11" max="11" width="10.453125" customWidth="1"/>
    <col min="12" max="12" width="4.7265625" customWidth="1"/>
  </cols>
  <sheetData>
    <row r="1" spans="1:12" x14ac:dyDescent="0.35">
      <c r="A1" t="s">
        <v>306</v>
      </c>
      <c r="B1" t="s">
        <v>307</v>
      </c>
      <c r="C1" t="s">
        <v>655</v>
      </c>
      <c r="D1" t="s">
        <v>1258</v>
      </c>
      <c r="E1" t="s">
        <v>1259</v>
      </c>
      <c r="F1" t="s">
        <v>1260</v>
      </c>
      <c r="G1" t="s">
        <v>2638</v>
      </c>
      <c r="H1" t="s">
        <v>2639</v>
      </c>
      <c r="I1" t="s">
        <v>4851</v>
      </c>
      <c r="J1" t="s">
        <v>5035</v>
      </c>
      <c r="K1" t="s">
        <v>5036</v>
      </c>
      <c r="L1" t="s">
        <v>5038</v>
      </c>
    </row>
    <row r="2" spans="1:12" x14ac:dyDescent="0.35">
      <c r="A2" t="s">
        <v>98</v>
      </c>
      <c r="B2" t="s">
        <v>6061</v>
      </c>
      <c r="D2">
        <v>151000</v>
      </c>
      <c r="F2" t="s">
        <v>7444</v>
      </c>
      <c r="H2" t="s">
        <v>7865</v>
      </c>
      <c r="I2" t="s">
        <v>1368</v>
      </c>
      <c r="K2" t="s">
        <v>8664</v>
      </c>
      <c r="L2" t="s">
        <v>8665</v>
      </c>
    </row>
    <row r="3" spans="1:12" x14ac:dyDescent="0.35">
      <c r="A3" t="s">
        <v>98</v>
      </c>
      <c r="B3" t="s">
        <v>6061</v>
      </c>
      <c r="D3">
        <v>41000</v>
      </c>
      <c r="F3" t="s">
        <v>7445</v>
      </c>
      <c r="H3" t="s">
        <v>7866</v>
      </c>
      <c r="I3" t="s">
        <v>1372</v>
      </c>
      <c r="K3" t="s">
        <v>8664</v>
      </c>
      <c r="L3" t="s">
        <v>8665</v>
      </c>
    </row>
    <row r="4" spans="1:12" x14ac:dyDescent="0.35">
      <c r="A4" t="s">
        <v>98</v>
      </c>
      <c r="B4" t="s">
        <v>6061</v>
      </c>
      <c r="D4">
        <v>83000</v>
      </c>
      <c r="F4" t="s">
        <v>7446</v>
      </c>
      <c r="H4" t="s">
        <v>7867</v>
      </c>
      <c r="I4" t="s">
        <v>1368</v>
      </c>
      <c r="K4" t="s">
        <v>8664</v>
      </c>
      <c r="L4" t="s">
        <v>8665</v>
      </c>
    </row>
    <row r="5" spans="1:12" x14ac:dyDescent="0.35">
      <c r="A5" t="s">
        <v>98</v>
      </c>
      <c r="B5" t="s">
        <v>6061</v>
      </c>
      <c r="D5">
        <v>330000</v>
      </c>
      <c r="F5" t="s">
        <v>7447</v>
      </c>
      <c r="H5" t="s">
        <v>7868</v>
      </c>
      <c r="I5" t="s">
        <v>1368</v>
      </c>
      <c r="K5" t="s">
        <v>8664</v>
      </c>
      <c r="L5" t="s">
        <v>8665</v>
      </c>
    </row>
    <row r="6" spans="1:12" x14ac:dyDescent="0.35">
      <c r="A6" t="s">
        <v>98</v>
      </c>
      <c r="B6" t="s">
        <v>335</v>
      </c>
      <c r="D6">
        <v>68000</v>
      </c>
      <c r="F6" t="s">
        <v>7448</v>
      </c>
      <c r="H6" t="s">
        <v>7869</v>
      </c>
      <c r="I6" t="s">
        <v>1387</v>
      </c>
      <c r="K6" t="s">
        <v>8664</v>
      </c>
      <c r="L6" t="s">
        <v>8665</v>
      </c>
    </row>
    <row r="7" spans="1:12" x14ac:dyDescent="0.35">
      <c r="A7" t="s">
        <v>98</v>
      </c>
      <c r="B7" t="s">
        <v>335</v>
      </c>
      <c r="D7">
        <v>150000</v>
      </c>
      <c r="F7" t="s">
        <v>7449</v>
      </c>
      <c r="H7" t="s">
        <v>7870</v>
      </c>
      <c r="I7" t="s">
        <v>1387</v>
      </c>
      <c r="K7" t="s">
        <v>8664</v>
      </c>
      <c r="L7" t="s">
        <v>8665</v>
      </c>
    </row>
    <row r="8" spans="1:12" x14ac:dyDescent="0.35">
      <c r="A8" t="s">
        <v>98</v>
      </c>
      <c r="B8" t="s">
        <v>313</v>
      </c>
      <c r="D8">
        <v>103169</v>
      </c>
      <c r="F8" t="s">
        <v>7450</v>
      </c>
      <c r="H8" t="s">
        <v>7871</v>
      </c>
      <c r="I8" t="s">
        <v>2009</v>
      </c>
      <c r="K8" t="s">
        <v>8664</v>
      </c>
      <c r="L8" t="s">
        <v>8665</v>
      </c>
    </row>
    <row r="9" spans="1:12" x14ac:dyDescent="0.35">
      <c r="A9" t="s">
        <v>98</v>
      </c>
      <c r="B9" t="s">
        <v>171</v>
      </c>
      <c r="D9">
        <v>29000</v>
      </c>
      <c r="F9" t="s">
        <v>7451</v>
      </c>
      <c r="H9" t="s">
        <v>7872</v>
      </c>
      <c r="I9" t="s">
        <v>4854</v>
      </c>
      <c r="K9" t="s">
        <v>8664</v>
      </c>
      <c r="L9" t="s">
        <v>8665</v>
      </c>
    </row>
    <row r="10" spans="1:12" x14ac:dyDescent="0.35">
      <c r="A10" t="s">
        <v>98</v>
      </c>
      <c r="B10" t="s">
        <v>171</v>
      </c>
      <c r="D10">
        <v>34000</v>
      </c>
      <c r="F10" t="s">
        <v>7452</v>
      </c>
      <c r="H10" t="s">
        <v>7873</v>
      </c>
      <c r="I10" t="s">
        <v>4854</v>
      </c>
      <c r="K10" t="s">
        <v>8664</v>
      </c>
      <c r="L10" t="s">
        <v>8665</v>
      </c>
    </row>
    <row r="11" spans="1:12" x14ac:dyDescent="0.35">
      <c r="A11" t="s">
        <v>98</v>
      </c>
      <c r="B11" t="s">
        <v>171</v>
      </c>
      <c r="D11">
        <v>27600</v>
      </c>
      <c r="F11" t="s">
        <v>7453</v>
      </c>
      <c r="H11" t="s">
        <v>7874</v>
      </c>
      <c r="I11" t="s">
        <v>4855</v>
      </c>
      <c r="K11" t="s">
        <v>8664</v>
      </c>
      <c r="L11" t="s">
        <v>8665</v>
      </c>
    </row>
    <row r="12" spans="1:12" x14ac:dyDescent="0.35">
      <c r="A12" t="s">
        <v>98</v>
      </c>
      <c r="B12" t="s">
        <v>315</v>
      </c>
      <c r="D12">
        <v>82000</v>
      </c>
      <c r="F12" t="s">
        <v>7454</v>
      </c>
      <c r="H12" t="s">
        <v>7875</v>
      </c>
      <c r="I12" t="s">
        <v>1317</v>
      </c>
      <c r="K12" t="s">
        <v>8664</v>
      </c>
      <c r="L12" t="s">
        <v>8665</v>
      </c>
    </row>
    <row r="13" spans="1:12" x14ac:dyDescent="0.35">
      <c r="A13" t="s">
        <v>98</v>
      </c>
      <c r="B13" t="s">
        <v>315</v>
      </c>
      <c r="D13">
        <v>57000</v>
      </c>
      <c r="F13" t="s">
        <v>7455</v>
      </c>
      <c r="H13" t="s">
        <v>7876</v>
      </c>
      <c r="I13" t="s">
        <v>1841</v>
      </c>
      <c r="K13" t="s">
        <v>8664</v>
      </c>
      <c r="L13" t="s">
        <v>8665</v>
      </c>
    </row>
    <row r="14" spans="1:12" x14ac:dyDescent="0.35">
      <c r="A14" t="s">
        <v>98</v>
      </c>
      <c r="B14" t="s">
        <v>315</v>
      </c>
      <c r="D14">
        <v>28000</v>
      </c>
      <c r="F14" t="s">
        <v>7456</v>
      </c>
      <c r="H14" t="s">
        <v>7877</v>
      </c>
      <c r="I14" t="s">
        <v>1317</v>
      </c>
      <c r="K14" t="s">
        <v>8664</v>
      </c>
      <c r="L14" t="s">
        <v>8665</v>
      </c>
    </row>
    <row r="15" spans="1:12" x14ac:dyDescent="0.35">
      <c r="A15" t="s">
        <v>98</v>
      </c>
      <c r="B15" t="s">
        <v>315</v>
      </c>
      <c r="D15">
        <v>21000</v>
      </c>
      <c r="F15" t="s">
        <v>7457</v>
      </c>
      <c r="H15" t="s">
        <v>7878</v>
      </c>
      <c r="I15" t="s">
        <v>2050</v>
      </c>
      <c r="K15" t="s">
        <v>8664</v>
      </c>
      <c r="L15" t="s">
        <v>8665</v>
      </c>
    </row>
    <row r="16" spans="1:12" x14ac:dyDescent="0.35">
      <c r="A16" t="s">
        <v>98</v>
      </c>
      <c r="B16" t="s">
        <v>315</v>
      </c>
      <c r="D16">
        <v>42500</v>
      </c>
      <c r="F16" t="s">
        <v>7458</v>
      </c>
      <c r="H16" t="s">
        <v>7879</v>
      </c>
      <c r="I16" t="s">
        <v>1851</v>
      </c>
      <c r="K16" t="s">
        <v>8664</v>
      </c>
      <c r="L16" t="s">
        <v>8665</v>
      </c>
    </row>
    <row r="17" spans="1:12" x14ac:dyDescent="0.35">
      <c r="A17" t="s">
        <v>98</v>
      </c>
      <c r="B17" t="s">
        <v>315</v>
      </c>
      <c r="D17">
        <v>44500</v>
      </c>
      <c r="F17" t="s">
        <v>7459</v>
      </c>
      <c r="H17" t="s">
        <v>7880</v>
      </c>
      <c r="I17" t="s">
        <v>2050</v>
      </c>
      <c r="K17" t="s">
        <v>8664</v>
      </c>
      <c r="L17" t="s">
        <v>8665</v>
      </c>
    </row>
    <row r="18" spans="1:12" x14ac:dyDescent="0.35">
      <c r="A18" t="s">
        <v>98</v>
      </c>
      <c r="B18" t="s">
        <v>175</v>
      </c>
      <c r="D18">
        <v>65800</v>
      </c>
      <c r="F18" t="s">
        <v>7460</v>
      </c>
      <c r="H18" t="s">
        <v>7881</v>
      </c>
      <c r="I18" t="s">
        <v>1510</v>
      </c>
      <c r="K18" t="s">
        <v>8664</v>
      </c>
      <c r="L18" t="s">
        <v>8665</v>
      </c>
    </row>
    <row r="19" spans="1:12" x14ac:dyDescent="0.35">
      <c r="A19" t="s">
        <v>98</v>
      </c>
      <c r="B19" t="s">
        <v>175</v>
      </c>
      <c r="D19">
        <v>78100</v>
      </c>
      <c r="F19" t="s">
        <v>7461</v>
      </c>
      <c r="H19" t="s">
        <v>7882</v>
      </c>
      <c r="I19" t="s">
        <v>1510</v>
      </c>
      <c r="K19" t="s">
        <v>8664</v>
      </c>
      <c r="L19" t="s">
        <v>8665</v>
      </c>
    </row>
    <row r="20" spans="1:12" x14ac:dyDescent="0.35">
      <c r="A20" t="s">
        <v>98</v>
      </c>
      <c r="B20" t="s">
        <v>7402</v>
      </c>
      <c r="D20">
        <v>112000</v>
      </c>
      <c r="F20" t="s">
        <v>7462</v>
      </c>
      <c r="H20" t="s">
        <v>7883</v>
      </c>
      <c r="I20" t="s">
        <v>1467</v>
      </c>
      <c r="K20" t="s">
        <v>8664</v>
      </c>
      <c r="L20" t="s">
        <v>8665</v>
      </c>
    </row>
    <row r="21" spans="1:12" x14ac:dyDescent="0.35">
      <c r="A21" t="s">
        <v>98</v>
      </c>
      <c r="B21" t="s">
        <v>318</v>
      </c>
      <c r="D21">
        <v>38000</v>
      </c>
      <c r="F21" t="s">
        <v>7463</v>
      </c>
      <c r="H21" t="s">
        <v>7884</v>
      </c>
      <c r="I21" t="s">
        <v>4857</v>
      </c>
      <c r="K21" t="s">
        <v>8664</v>
      </c>
      <c r="L21" t="s">
        <v>8665</v>
      </c>
    </row>
    <row r="22" spans="1:12" x14ac:dyDescent="0.35">
      <c r="A22" t="s">
        <v>98</v>
      </c>
      <c r="B22" t="s">
        <v>318</v>
      </c>
      <c r="D22">
        <v>37800</v>
      </c>
      <c r="F22" t="s">
        <v>7464</v>
      </c>
      <c r="H22" t="s">
        <v>7885</v>
      </c>
      <c r="I22" t="s">
        <v>4857</v>
      </c>
      <c r="K22" t="s">
        <v>8664</v>
      </c>
      <c r="L22" t="s">
        <v>8665</v>
      </c>
    </row>
    <row r="23" spans="1:12" x14ac:dyDescent="0.35">
      <c r="A23" t="s">
        <v>98</v>
      </c>
      <c r="B23" t="s">
        <v>318</v>
      </c>
      <c r="D23">
        <v>33600</v>
      </c>
      <c r="F23" t="s">
        <v>7465</v>
      </c>
      <c r="H23" t="s">
        <v>7884</v>
      </c>
      <c r="I23" t="s">
        <v>4857</v>
      </c>
      <c r="K23" t="s">
        <v>8664</v>
      </c>
      <c r="L23" t="s">
        <v>8665</v>
      </c>
    </row>
    <row r="24" spans="1:12" x14ac:dyDescent="0.35">
      <c r="A24" t="s">
        <v>98</v>
      </c>
      <c r="B24" t="s">
        <v>175</v>
      </c>
      <c r="D24">
        <v>78000</v>
      </c>
      <c r="F24" t="s">
        <v>7466</v>
      </c>
      <c r="H24" t="s">
        <v>7886</v>
      </c>
      <c r="I24" t="s">
        <v>4860</v>
      </c>
      <c r="K24" t="s">
        <v>8664</v>
      </c>
      <c r="L24" t="s">
        <v>8665</v>
      </c>
    </row>
    <row r="25" spans="1:12" x14ac:dyDescent="0.35">
      <c r="A25" t="s">
        <v>98</v>
      </c>
      <c r="B25" t="s">
        <v>175</v>
      </c>
      <c r="D25">
        <v>75000</v>
      </c>
      <c r="F25" t="s">
        <v>7467</v>
      </c>
      <c r="H25" t="s">
        <v>7887</v>
      </c>
      <c r="I25" t="s">
        <v>4860</v>
      </c>
      <c r="K25" t="s">
        <v>8664</v>
      </c>
      <c r="L25" t="s">
        <v>8665</v>
      </c>
    </row>
    <row r="26" spans="1:12" x14ac:dyDescent="0.35">
      <c r="A26" t="s">
        <v>98</v>
      </c>
      <c r="B26" t="s">
        <v>175</v>
      </c>
      <c r="D26">
        <v>100000</v>
      </c>
      <c r="F26" t="s">
        <v>7468</v>
      </c>
      <c r="H26" t="s">
        <v>7888</v>
      </c>
      <c r="I26" t="s">
        <v>4860</v>
      </c>
      <c r="K26" t="s">
        <v>8664</v>
      </c>
      <c r="L26" t="s">
        <v>8665</v>
      </c>
    </row>
    <row r="27" spans="1:12" x14ac:dyDescent="0.35">
      <c r="A27" t="s">
        <v>98</v>
      </c>
      <c r="B27" t="s">
        <v>175</v>
      </c>
      <c r="D27">
        <v>110000</v>
      </c>
      <c r="F27" t="s">
        <v>7469</v>
      </c>
      <c r="H27" t="s">
        <v>7889</v>
      </c>
      <c r="I27" t="s">
        <v>4860</v>
      </c>
      <c r="K27" t="s">
        <v>8664</v>
      </c>
      <c r="L27" t="s">
        <v>8665</v>
      </c>
    </row>
    <row r="28" spans="1:12" x14ac:dyDescent="0.35">
      <c r="A28" t="s">
        <v>98</v>
      </c>
      <c r="B28" t="s">
        <v>175</v>
      </c>
      <c r="D28">
        <v>124000</v>
      </c>
      <c r="F28" t="s">
        <v>7470</v>
      </c>
      <c r="I28" t="s">
        <v>2393</v>
      </c>
      <c r="K28" t="s">
        <v>8664</v>
      </c>
      <c r="L28" t="s">
        <v>8665</v>
      </c>
    </row>
    <row r="29" spans="1:12" x14ac:dyDescent="0.35">
      <c r="A29" t="s">
        <v>98</v>
      </c>
      <c r="B29" t="s">
        <v>175</v>
      </c>
      <c r="D29">
        <v>61000</v>
      </c>
      <c r="F29" t="s">
        <v>7471</v>
      </c>
      <c r="H29" t="s">
        <v>7890</v>
      </c>
      <c r="I29" t="s">
        <v>1766</v>
      </c>
      <c r="K29" t="s">
        <v>8664</v>
      </c>
      <c r="L29" t="s">
        <v>8665</v>
      </c>
    </row>
    <row r="30" spans="1:12" x14ac:dyDescent="0.35">
      <c r="A30" t="s">
        <v>98</v>
      </c>
      <c r="B30" t="s">
        <v>175</v>
      </c>
      <c r="D30">
        <v>105000</v>
      </c>
      <c r="F30" t="s">
        <v>7472</v>
      </c>
      <c r="H30" t="s">
        <v>7888</v>
      </c>
      <c r="I30" t="s">
        <v>4860</v>
      </c>
      <c r="K30" t="s">
        <v>8664</v>
      </c>
      <c r="L30" t="s">
        <v>8665</v>
      </c>
    </row>
    <row r="31" spans="1:12" x14ac:dyDescent="0.35">
      <c r="A31" t="s">
        <v>98</v>
      </c>
      <c r="B31" t="s">
        <v>175</v>
      </c>
      <c r="D31">
        <v>55000</v>
      </c>
      <c r="F31" t="s">
        <v>7473</v>
      </c>
      <c r="H31" t="s">
        <v>7886</v>
      </c>
      <c r="I31" t="s">
        <v>4860</v>
      </c>
      <c r="K31" t="s">
        <v>8664</v>
      </c>
      <c r="L31" t="s">
        <v>8665</v>
      </c>
    </row>
    <row r="32" spans="1:12" x14ac:dyDescent="0.35">
      <c r="A32" t="s">
        <v>98</v>
      </c>
      <c r="B32" t="s">
        <v>175</v>
      </c>
      <c r="D32">
        <v>64000</v>
      </c>
      <c r="F32" t="s">
        <v>7474</v>
      </c>
      <c r="H32" t="s">
        <v>7886</v>
      </c>
      <c r="I32" t="s">
        <v>4860</v>
      </c>
      <c r="K32" t="s">
        <v>8664</v>
      </c>
      <c r="L32" t="s">
        <v>8665</v>
      </c>
    </row>
    <row r="33" spans="1:12" x14ac:dyDescent="0.35">
      <c r="A33" t="s">
        <v>98</v>
      </c>
      <c r="B33" t="s">
        <v>175</v>
      </c>
      <c r="D33">
        <v>72000</v>
      </c>
      <c r="F33" t="s">
        <v>7475</v>
      </c>
      <c r="H33" t="s">
        <v>7891</v>
      </c>
      <c r="I33" t="s">
        <v>2346</v>
      </c>
      <c r="K33" t="s">
        <v>8664</v>
      </c>
      <c r="L33" t="s">
        <v>8665</v>
      </c>
    </row>
    <row r="34" spans="1:12" x14ac:dyDescent="0.35">
      <c r="A34" t="s">
        <v>98</v>
      </c>
      <c r="B34" t="s">
        <v>175</v>
      </c>
      <c r="D34">
        <v>56000</v>
      </c>
      <c r="F34" t="s">
        <v>7476</v>
      </c>
      <c r="H34" t="s">
        <v>7886</v>
      </c>
      <c r="I34" t="s">
        <v>4860</v>
      </c>
      <c r="K34" t="s">
        <v>8664</v>
      </c>
      <c r="L34" t="s">
        <v>8665</v>
      </c>
    </row>
    <row r="35" spans="1:12" x14ac:dyDescent="0.35">
      <c r="A35" t="s">
        <v>98</v>
      </c>
      <c r="B35" t="s">
        <v>175</v>
      </c>
      <c r="D35">
        <v>190000</v>
      </c>
      <c r="F35" t="s">
        <v>7477</v>
      </c>
      <c r="H35" t="s">
        <v>7892</v>
      </c>
      <c r="I35" t="s">
        <v>4860</v>
      </c>
      <c r="K35" t="s">
        <v>8664</v>
      </c>
      <c r="L35" t="s">
        <v>8665</v>
      </c>
    </row>
    <row r="36" spans="1:12" x14ac:dyDescent="0.35">
      <c r="A36" t="s">
        <v>98</v>
      </c>
      <c r="B36" t="s">
        <v>175</v>
      </c>
      <c r="D36">
        <v>220000</v>
      </c>
      <c r="F36" t="s">
        <v>7478</v>
      </c>
      <c r="H36" t="s">
        <v>7893</v>
      </c>
      <c r="I36" t="s">
        <v>4860</v>
      </c>
      <c r="K36" t="s">
        <v>8664</v>
      </c>
      <c r="L36" t="s">
        <v>8665</v>
      </c>
    </row>
    <row r="37" spans="1:12" x14ac:dyDescent="0.35">
      <c r="A37" t="s">
        <v>98</v>
      </c>
      <c r="B37" t="s">
        <v>175</v>
      </c>
      <c r="D37">
        <v>66000</v>
      </c>
      <c r="F37" t="s">
        <v>7479</v>
      </c>
      <c r="H37" t="s">
        <v>7894</v>
      </c>
      <c r="I37" t="s">
        <v>1477</v>
      </c>
      <c r="K37" t="s">
        <v>8664</v>
      </c>
      <c r="L37" t="s">
        <v>8665</v>
      </c>
    </row>
    <row r="38" spans="1:12" x14ac:dyDescent="0.35">
      <c r="A38" t="s">
        <v>98</v>
      </c>
      <c r="B38" t="s">
        <v>175</v>
      </c>
      <c r="D38">
        <v>140000</v>
      </c>
      <c r="F38" t="s">
        <v>7480</v>
      </c>
      <c r="H38" t="s">
        <v>7895</v>
      </c>
      <c r="I38" t="s">
        <v>8619</v>
      </c>
      <c r="K38" t="s">
        <v>8664</v>
      </c>
      <c r="L38" t="s">
        <v>8665</v>
      </c>
    </row>
    <row r="39" spans="1:12" x14ac:dyDescent="0.35">
      <c r="A39" t="s">
        <v>98</v>
      </c>
      <c r="B39" t="s">
        <v>175</v>
      </c>
      <c r="D39">
        <v>60000</v>
      </c>
      <c r="F39" t="s">
        <v>7481</v>
      </c>
      <c r="H39" t="s">
        <v>7896</v>
      </c>
      <c r="I39" t="s">
        <v>1551</v>
      </c>
      <c r="K39" t="s">
        <v>8664</v>
      </c>
      <c r="L39" t="s">
        <v>8665</v>
      </c>
    </row>
    <row r="40" spans="1:12" x14ac:dyDescent="0.35">
      <c r="A40" t="s">
        <v>98</v>
      </c>
      <c r="B40" t="s">
        <v>179</v>
      </c>
      <c r="D40">
        <v>70000</v>
      </c>
      <c r="F40" t="s">
        <v>7482</v>
      </c>
      <c r="H40" t="s">
        <v>7897</v>
      </c>
      <c r="I40" t="s">
        <v>1966</v>
      </c>
      <c r="K40" t="s">
        <v>8664</v>
      </c>
      <c r="L40" t="s">
        <v>8665</v>
      </c>
    </row>
    <row r="41" spans="1:12" x14ac:dyDescent="0.35">
      <c r="A41" t="s">
        <v>98</v>
      </c>
      <c r="B41" t="s">
        <v>179</v>
      </c>
      <c r="D41">
        <v>74000</v>
      </c>
      <c r="F41" t="s">
        <v>7483</v>
      </c>
      <c r="H41" t="s">
        <v>7898</v>
      </c>
      <c r="I41" t="s">
        <v>1551</v>
      </c>
      <c r="K41" t="s">
        <v>8664</v>
      </c>
      <c r="L41" t="s">
        <v>8665</v>
      </c>
    </row>
    <row r="42" spans="1:12" x14ac:dyDescent="0.35">
      <c r="A42" t="s">
        <v>98</v>
      </c>
      <c r="B42" t="s">
        <v>179</v>
      </c>
      <c r="D42">
        <v>79000</v>
      </c>
      <c r="F42" t="s">
        <v>7484</v>
      </c>
      <c r="H42" t="s">
        <v>7897</v>
      </c>
      <c r="I42" t="s">
        <v>1966</v>
      </c>
      <c r="K42" t="s">
        <v>8664</v>
      </c>
      <c r="L42" t="s">
        <v>8665</v>
      </c>
    </row>
    <row r="43" spans="1:12" x14ac:dyDescent="0.35">
      <c r="A43" t="s">
        <v>98</v>
      </c>
      <c r="B43" t="s">
        <v>179</v>
      </c>
      <c r="D43">
        <v>63000</v>
      </c>
      <c r="F43" t="s">
        <v>7485</v>
      </c>
      <c r="H43" t="s">
        <v>7899</v>
      </c>
      <c r="I43" t="s">
        <v>1454</v>
      </c>
      <c r="K43" t="s">
        <v>8664</v>
      </c>
      <c r="L43" t="s">
        <v>8665</v>
      </c>
    </row>
    <row r="44" spans="1:12" x14ac:dyDescent="0.35">
      <c r="A44" t="s">
        <v>98</v>
      </c>
      <c r="B44" t="s">
        <v>321</v>
      </c>
      <c r="D44">
        <v>102000</v>
      </c>
      <c r="F44" t="s">
        <v>7486</v>
      </c>
      <c r="H44" t="s">
        <v>7900</v>
      </c>
      <c r="I44" t="s">
        <v>1335</v>
      </c>
      <c r="K44" t="s">
        <v>8664</v>
      </c>
      <c r="L44" t="s">
        <v>8665</v>
      </c>
    </row>
    <row r="45" spans="1:12" x14ac:dyDescent="0.35">
      <c r="A45" t="s">
        <v>98</v>
      </c>
      <c r="B45" t="s">
        <v>321</v>
      </c>
      <c r="D45">
        <v>201000</v>
      </c>
      <c r="F45" t="s">
        <v>7487</v>
      </c>
      <c r="H45" t="s">
        <v>7901</v>
      </c>
      <c r="I45" t="s">
        <v>1335</v>
      </c>
      <c r="K45" t="s">
        <v>8664</v>
      </c>
      <c r="L45" t="s">
        <v>8665</v>
      </c>
    </row>
    <row r="46" spans="1:12" x14ac:dyDescent="0.35">
      <c r="A46" t="s">
        <v>98</v>
      </c>
      <c r="B46" t="s">
        <v>321</v>
      </c>
      <c r="D46">
        <v>116000</v>
      </c>
      <c r="F46" t="s">
        <v>7488</v>
      </c>
      <c r="H46" t="s">
        <v>7902</v>
      </c>
      <c r="I46" t="s">
        <v>2327</v>
      </c>
      <c r="K46" t="s">
        <v>8664</v>
      </c>
      <c r="L46" t="s">
        <v>8665</v>
      </c>
    </row>
    <row r="47" spans="1:12" x14ac:dyDescent="0.35">
      <c r="A47" t="s">
        <v>98</v>
      </c>
      <c r="B47" t="s">
        <v>321</v>
      </c>
      <c r="D47">
        <v>59000</v>
      </c>
      <c r="F47" t="s">
        <v>7489</v>
      </c>
      <c r="H47" t="s">
        <v>7903</v>
      </c>
      <c r="I47" t="s">
        <v>1841</v>
      </c>
      <c r="K47" t="s">
        <v>8664</v>
      </c>
      <c r="L47" t="s">
        <v>8665</v>
      </c>
    </row>
    <row r="48" spans="1:12" x14ac:dyDescent="0.35">
      <c r="A48" t="s">
        <v>100</v>
      </c>
      <c r="B48" t="s">
        <v>178</v>
      </c>
      <c r="D48">
        <v>34000</v>
      </c>
      <c r="F48" t="s">
        <v>7452</v>
      </c>
      <c r="H48" t="s">
        <v>7904</v>
      </c>
      <c r="I48" t="s">
        <v>1526</v>
      </c>
      <c r="K48" t="s">
        <v>8664</v>
      </c>
      <c r="L48" t="s">
        <v>8665</v>
      </c>
    </row>
    <row r="49" spans="1:12" x14ac:dyDescent="0.35">
      <c r="A49" t="s">
        <v>100</v>
      </c>
      <c r="B49" t="s">
        <v>178</v>
      </c>
      <c r="D49">
        <v>40300</v>
      </c>
      <c r="F49" t="s">
        <v>7490</v>
      </c>
      <c r="H49" t="s">
        <v>7904</v>
      </c>
      <c r="I49" t="s">
        <v>1526</v>
      </c>
      <c r="K49" t="s">
        <v>8664</v>
      </c>
      <c r="L49" t="s">
        <v>8665</v>
      </c>
    </row>
    <row r="50" spans="1:12" x14ac:dyDescent="0.35">
      <c r="A50" t="s">
        <v>100</v>
      </c>
      <c r="B50" t="s">
        <v>323</v>
      </c>
      <c r="D50">
        <v>36000</v>
      </c>
      <c r="F50" t="s">
        <v>7491</v>
      </c>
      <c r="H50" t="s">
        <v>7905</v>
      </c>
      <c r="I50" t="s">
        <v>1368</v>
      </c>
      <c r="K50" t="s">
        <v>8664</v>
      </c>
      <c r="L50" t="s">
        <v>8665</v>
      </c>
    </row>
    <row r="51" spans="1:12" x14ac:dyDescent="0.35">
      <c r="A51" t="s">
        <v>100</v>
      </c>
      <c r="B51" t="s">
        <v>325</v>
      </c>
      <c r="D51">
        <v>120000</v>
      </c>
      <c r="F51" t="s">
        <v>7492</v>
      </c>
      <c r="H51" t="s">
        <v>7906</v>
      </c>
      <c r="I51" t="s">
        <v>1368</v>
      </c>
      <c r="K51" t="s">
        <v>8664</v>
      </c>
      <c r="L51" t="s">
        <v>8665</v>
      </c>
    </row>
    <row r="52" spans="1:12" x14ac:dyDescent="0.35">
      <c r="A52" t="s">
        <v>100</v>
      </c>
      <c r="B52" t="s">
        <v>327</v>
      </c>
      <c r="D52">
        <v>62000</v>
      </c>
      <c r="F52" t="s">
        <v>7493</v>
      </c>
      <c r="H52" t="s">
        <v>7907</v>
      </c>
      <c r="I52" t="s">
        <v>1467</v>
      </c>
      <c r="K52" t="s">
        <v>8664</v>
      </c>
      <c r="L52" t="s">
        <v>8665</v>
      </c>
    </row>
    <row r="53" spans="1:12" x14ac:dyDescent="0.35">
      <c r="A53" t="s">
        <v>100</v>
      </c>
      <c r="B53" t="s">
        <v>327</v>
      </c>
      <c r="D53">
        <v>30000</v>
      </c>
      <c r="F53" t="s">
        <v>7494</v>
      </c>
      <c r="H53" t="s">
        <v>7908</v>
      </c>
      <c r="I53" t="s">
        <v>1467</v>
      </c>
      <c r="K53" t="s">
        <v>8664</v>
      </c>
      <c r="L53" t="s">
        <v>8665</v>
      </c>
    </row>
    <row r="54" spans="1:12" x14ac:dyDescent="0.35">
      <c r="A54" t="s">
        <v>100</v>
      </c>
      <c r="B54" t="s">
        <v>328</v>
      </c>
      <c r="D54">
        <v>58000</v>
      </c>
      <c r="F54" t="s">
        <v>7495</v>
      </c>
      <c r="H54" t="s">
        <v>7909</v>
      </c>
      <c r="I54" t="s">
        <v>1467</v>
      </c>
      <c r="K54" t="s">
        <v>8664</v>
      </c>
      <c r="L54" t="s">
        <v>8665</v>
      </c>
    </row>
    <row r="55" spans="1:12" x14ac:dyDescent="0.35">
      <c r="A55" t="s">
        <v>100</v>
      </c>
      <c r="B55" t="s">
        <v>328</v>
      </c>
      <c r="D55">
        <v>60000</v>
      </c>
      <c r="F55" t="s">
        <v>7481</v>
      </c>
      <c r="H55" t="s">
        <v>7910</v>
      </c>
      <c r="I55" t="s">
        <v>1467</v>
      </c>
      <c r="K55" t="s">
        <v>8664</v>
      </c>
      <c r="L55" t="s">
        <v>8665</v>
      </c>
    </row>
    <row r="56" spans="1:12" x14ac:dyDescent="0.35">
      <c r="A56" t="s">
        <v>100</v>
      </c>
      <c r="B56" t="s">
        <v>328</v>
      </c>
      <c r="D56">
        <v>27000</v>
      </c>
      <c r="F56" t="s">
        <v>7496</v>
      </c>
      <c r="H56" t="s">
        <v>7911</v>
      </c>
      <c r="I56" t="s">
        <v>1467</v>
      </c>
      <c r="K56" t="s">
        <v>8664</v>
      </c>
      <c r="L56" t="s">
        <v>8665</v>
      </c>
    </row>
    <row r="57" spans="1:12" x14ac:dyDescent="0.35">
      <c r="A57" t="s">
        <v>100</v>
      </c>
      <c r="B57" t="s">
        <v>328</v>
      </c>
      <c r="D57">
        <v>26000</v>
      </c>
      <c r="F57" t="s">
        <v>7497</v>
      </c>
      <c r="H57" t="s">
        <v>7912</v>
      </c>
      <c r="I57" t="s">
        <v>1467</v>
      </c>
      <c r="K57" t="s">
        <v>8664</v>
      </c>
      <c r="L57" t="s">
        <v>8665</v>
      </c>
    </row>
    <row r="58" spans="1:12" x14ac:dyDescent="0.35">
      <c r="A58" t="s">
        <v>100</v>
      </c>
      <c r="B58" t="s">
        <v>328</v>
      </c>
      <c r="D58">
        <v>28000</v>
      </c>
      <c r="F58" t="s">
        <v>7456</v>
      </c>
      <c r="H58" t="s">
        <v>7913</v>
      </c>
      <c r="I58" t="s">
        <v>1317</v>
      </c>
      <c r="K58" t="s">
        <v>8664</v>
      </c>
      <c r="L58" t="s">
        <v>8665</v>
      </c>
    </row>
    <row r="59" spans="1:12" x14ac:dyDescent="0.35">
      <c r="A59" t="s">
        <v>100</v>
      </c>
      <c r="B59" t="s">
        <v>328</v>
      </c>
      <c r="D59">
        <v>31000</v>
      </c>
      <c r="F59" t="s">
        <v>7498</v>
      </c>
      <c r="H59" t="s">
        <v>7914</v>
      </c>
      <c r="I59" t="s">
        <v>1450</v>
      </c>
      <c r="K59" t="s">
        <v>8664</v>
      </c>
      <c r="L59" t="s">
        <v>8665</v>
      </c>
    </row>
    <row r="60" spans="1:12" x14ac:dyDescent="0.35">
      <c r="A60" t="s">
        <v>101</v>
      </c>
      <c r="B60" t="s">
        <v>317</v>
      </c>
      <c r="D60">
        <v>45000</v>
      </c>
      <c r="F60" t="s">
        <v>7499</v>
      </c>
      <c r="H60" t="s">
        <v>7915</v>
      </c>
      <c r="I60" t="s">
        <v>2254</v>
      </c>
      <c r="K60" t="s">
        <v>8664</v>
      </c>
      <c r="L60" t="s">
        <v>8665</v>
      </c>
    </row>
    <row r="61" spans="1:12" x14ac:dyDescent="0.35">
      <c r="A61" t="s">
        <v>101</v>
      </c>
      <c r="B61" t="s">
        <v>317</v>
      </c>
      <c r="D61">
        <v>90000</v>
      </c>
      <c r="F61" t="s">
        <v>7500</v>
      </c>
      <c r="H61" t="s">
        <v>7916</v>
      </c>
      <c r="I61" t="s">
        <v>2254</v>
      </c>
      <c r="K61" t="s">
        <v>8664</v>
      </c>
      <c r="L61" t="s">
        <v>8665</v>
      </c>
    </row>
    <row r="62" spans="1:12" x14ac:dyDescent="0.35">
      <c r="A62" t="s">
        <v>101</v>
      </c>
      <c r="B62" t="s">
        <v>321</v>
      </c>
      <c r="D62">
        <v>90000</v>
      </c>
      <c r="F62" t="s">
        <v>7500</v>
      </c>
      <c r="H62" t="s">
        <v>7917</v>
      </c>
      <c r="I62" t="s">
        <v>1851</v>
      </c>
      <c r="K62" t="s">
        <v>8664</v>
      </c>
      <c r="L62" t="s">
        <v>8665</v>
      </c>
    </row>
    <row r="63" spans="1:12" x14ac:dyDescent="0.35">
      <c r="A63" t="s">
        <v>101</v>
      </c>
      <c r="B63" t="s">
        <v>321</v>
      </c>
      <c r="D63">
        <v>103000</v>
      </c>
      <c r="F63" t="s">
        <v>7501</v>
      </c>
      <c r="H63" t="s">
        <v>7918</v>
      </c>
      <c r="I63" t="s">
        <v>1851</v>
      </c>
      <c r="K63" t="s">
        <v>8664</v>
      </c>
      <c r="L63" t="s">
        <v>8665</v>
      </c>
    </row>
    <row r="64" spans="1:12" x14ac:dyDescent="0.35">
      <c r="A64" t="s">
        <v>101</v>
      </c>
      <c r="B64" t="s">
        <v>321</v>
      </c>
      <c r="D64">
        <v>46500</v>
      </c>
      <c r="F64" t="s">
        <v>7502</v>
      </c>
      <c r="H64" t="s">
        <v>7919</v>
      </c>
      <c r="I64" t="s">
        <v>2364</v>
      </c>
      <c r="K64" t="s">
        <v>8664</v>
      </c>
      <c r="L64" t="s">
        <v>8665</v>
      </c>
    </row>
    <row r="65" spans="1:12" x14ac:dyDescent="0.35">
      <c r="A65" t="s">
        <v>101</v>
      </c>
      <c r="B65" t="s">
        <v>332</v>
      </c>
      <c r="D65">
        <v>45400</v>
      </c>
      <c r="F65" t="s">
        <v>7503</v>
      </c>
      <c r="H65" t="s">
        <v>7920</v>
      </c>
      <c r="I65" t="s">
        <v>2051</v>
      </c>
      <c r="K65" t="s">
        <v>8664</v>
      </c>
      <c r="L65" t="s">
        <v>8665</v>
      </c>
    </row>
    <row r="66" spans="1:12" x14ac:dyDescent="0.35">
      <c r="A66" t="s">
        <v>101</v>
      </c>
      <c r="B66" t="s">
        <v>332</v>
      </c>
      <c r="D66">
        <v>91000</v>
      </c>
      <c r="F66" t="s">
        <v>7504</v>
      </c>
      <c r="H66" t="s">
        <v>7921</v>
      </c>
      <c r="I66" t="s">
        <v>2051</v>
      </c>
      <c r="K66" t="s">
        <v>8664</v>
      </c>
      <c r="L66" t="s">
        <v>8665</v>
      </c>
    </row>
    <row r="67" spans="1:12" x14ac:dyDescent="0.35">
      <c r="A67" t="s">
        <v>101</v>
      </c>
      <c r="B67" t="s">
        <v>332</v>
      </c>
      <c r="D67">
        <v>46300</v>
      </c>
      <c r="F67" t="s">
        <v>7505</v>
      </c>
      <c r="H67" t="s">
        <v>7922</v>
      </c>
      <c r="I67" t="s">
        <v>2051</v>
      </c>
      <c r="K67" t="s">
        <v>8664</v>
      </c>
      <c r="L67" t="s">
        <v>8665</v>
      </c>
    </row>
    <row r="68" spans="1:12" x14ac:dyDescent="0.35">
      <c r="A68" t="s">
        <v>101</v>
      </c>
      <c r="B68" t="s">
        <v>332</v>
      </c>
      <c r="D68">
        <v>94000</v>
      </c>
      <c r="F68" t="s">
        <v>7506</v>
      </c>
      <c r="H68" t="s">
        <v>7923</v>
      </c>
      <c r="I68" t="s">
        <v>1450</v>
      </c>
      <c r="K68" t="s">
        <v>8664</v>
      </c>
      <c r="L68" t="s">
        <v>8665</v>
      </c>
    </row>
    <row r="69" spans="1:12" x14ac:dyDescent="0.35">
      <c r="A69" t="s">
        <v>101</v>
      </c>
      <c r="B69" t="s">
        <v>6028</v>
      </c>
      <c r="D69">
        <v>57000</v>
      </c>
      <c r="F69" t="s">
        <v>7455</v>
      </c>
      <c r="H69" t="s">
        <v>7924</v>
      </c>
      <c r="I69" t="s">
        <v>2253</v>
      </c>
      <c r="K69" t="s">
        <v>8664</v>
      </c>
      <c r="L69" t="s">
        <v>8665</v>
      </c>
    </row>
    <row r="70" spans="1:12" x14ac:dyDescent="0.35">
      <c r="A70" t="s">
        <v>101</v>
      </c>
      <c r="B70" t="s">
        <v>6028</v>
      </c>
      <c r="D70">
        <v>180000</v>
      </c>
      <c r="F70" t="s">
        <v>7507</v>
      </c>
      <c r="H70" t="s">
        <v>7925</v>
      </c>
      <c r="I70" t="s">
        <v>1707</v>
      </c>
      <c r="K70" t="s">
        <v>8664</v>
      </c>
      <c r="L70" t="s">
        <v>8665</v>
      </c>
    </row>
    <row r="71" spans="1:12" x14ac:dyDescent="0.35">
      <c r="A71" t="s">
        <v>101</v>
      </c>
      <c r="B71" t="s">
        <v>6028</v>
      </c>
      <c r="D71">
        <v>50000</v>
      </c>
      <c r="F71" t="s">
        <v>7508</v>
      </c>
      <c r="H71" t="s">
        <v>7926</v>
      </c>
      <c r="I71" t="s">
        <v>8620</v>
      </c>
      <c r="K71" t="s">
        <v>8664</v>
      </c>
      <c r="L71" t="s">
        <v>8665</v>
      </c>
    </row>
    <row r="72" spans="1:12" x14ac:dyDescent="0.35">
      <c r="A72" t="s">
        <v>101</v>
      </c>
      <c r="B72" t="s">
        <v>333</v>
      </c>
      <c r="D72">
        <v>88900</v>
      </c>
      <c r="F72" t="s">
        <v>7509</v>
      </c>
      <c r="H72" t="s">
        <v>7927</v>
      </c>
      <c r="I72" t="s">
        <v>1394</v>
      </c>
      <c r="K72" t="s">
        <v>8664</v>
      </c>
      <c r="L72" t="s">
        <v>8665</v>
      </c>
    </row>
    <row r="73" spans="1:12" x14ac:dyDescent="0.35">
      <c r="A73" t="s">
        <v>101</v>
      </c>
      <c r="B73" t="s">
        <v>333</v>
      </c>
      <c r="D73">
        <v>87100</v>
      </c>
      <c r="F73" t="s">
        <v>7510</v>
      </c>
      <c r="H73" t="s">
        <v>7928</v>
      </c>
      <c r="I73" t="s">
        <v>1509</v>
      </c>
      <c r="K73" t="s">
        <v>8664</v>
      </c>
      <c r="L73" t="s">
        <v>8665</v>
      </c>
    </row>
    <row r="74" spans="1:12" x14ac:dyDescent="0.35">
      <c r="A74" t="s">
        <v>101</v>
      </c>
      <c r="B74" t="s">
        <v>6029</v>
      </c>
      <c r="D74">
        <v>100000</v>
      </c>
      <c r="F74" t="s">
        <v>7468</v>
      </c>
      <c r="H74" t="s">
        <v>7929</v>
      </c>
      <c r="I74" t="s">
        <v>8621</v>
      </c>
      <c r="K74" t="s">
        <v>8664</v>
      </c>
      <c r="L74" t="s">
        <v>8665</v>
      </c>
    </row>
    <row r="75" spans="1:12" x14ac:dyDescent="0.35">
      <c r="A75" t="s">
        <v>101</v>
      </c>
      <c r="B75" t="s">
        <v>7403</v>
      </c>
      <c r="D75">
        <v>48170</v>
      </c>
      <c r="F75" t="s">
        <v>7511</v>
      </c>
      <c r="I75" t="s">
        <v>2330</v>
      </c>
      <c r="K75" t="s">
        <v>8664</v>
      </c>
      <c r="L75" t="s">
        <v>8665</v>
      </c>
    </row>
    <row r="76" spans="1:12" x14ac:dyDescent="0.35">
      <c r="A76" t="s">
        <v>101</v>
      </c>
      <c r="B76" t="s">
        <v>6030</v>
      </c>
      <c r="D76">
        <v>130000</v>
      </c>
      <c r="F76" t="s">
        <v>7512</v>
      </c>
      <c r="H76" t="s">
        <v>7930</v>
      </c>
      <c r="I76" t="s">
        <v>2009</v>
      </c>
      <c r="K76" t="s">
        <v>8664</v>
      </c>
      <c r="L76" t="s">
        <v>8665</v>
      </c>
    </row>
    <row r="77" spans="1:12" x14ac:dyDescent="0.35">
      <c r="A77" t="s">
        <v>101</v>
      </c>
      <c r="B77" t="s">
        <v>586</v>
      </c>
      <c r="D77">
        <v>80000</v>
      </c>
      <c r="F77" t="s">
        <v>7513</v>
      </c>
      <c r="H77" t="s">
        <v>7931</v>
      </c>
      <c r="I77" t="s">
        <v>8622</v>
      </c>
      <c r="K77" t="s">
        <v>8664</v>
      </c>
      <c r="L77" t="s">
        <v>8665</v>
      </c>
    </row>
    <row r="78" spans="1:12" x14ac:dyDescent="0.35">
      <c r="A78" t="s">
        <v>101</v>
      </c>
      <c r="B78" t="s">
        <v>334</v>
      </c>
      <c r="D78">
        <v>44000</v>
      </c>
      <c r="F78" t="s">
        <v>7514</v>
      </c>
      <c r="H78" t="s">
        <v>7932</v>
      </c>
      <c r="I78" t="s">
        <v>1450</v>
      </c>
      <c r="K78" t="s">
        <v>8664</v>
      </c>
      <c r="L78" t="s">
        <v>8665</v>
      </c>
    </row>
    <row r="79" spans="1:12" x14ac:dyDescent="0.35">
      <c r="A79" t="s">
        <v>101</v>
      </c>
      <c r="B79" t="s">
        <v>336</v>
      </c>
      <c r="D79">
        <v>40000</v>
      </c>
      <c r="F79" t="s">
        <v>7515</v>
      </c>
      <c r="H79" t="s">
        <v>7933</v>
      </c>
      <c r="I79" t="s">
        <v>4870</v>
      </c>
      <c r="K79" t="s">
        <v>8664</v>
      </c>
      <c r="L79" t="s">
        <v>8665</v>
      </c>
    </row>
    <row r="80" spans="1:12" x14ac:dyDescent="0.35">
      <c r="A80" t="s">
        <v>101</v>
      </c>
      <c r="B80" t="s">
        <v>337</v>
      </c>
      <c r="D80">
        <v>136000</v>
      </c>
      <c r="F80" t="s">
        <v>7516</v>
      </c>
      <c r="H80" t="s">
        <v>7934</v>
      </c>
      <c r="I80" t="s">
        <v>2323</v>
      </c>
      <c r="K80" t="s">
        <v>8664</v>
      </c>
      <c r="L80" t="s">
        <v>8665</v>
      </c>
    </row>
    <row r="81" spans="1:12" x14ac:dyDescent="0.35">
      <c r="A81" t="s">
        <v>101</v>
      </c>
      <c r="B81" t="s">
        <v>337</v>
      </c>
      <c r="D81">
        <v>112000</v>
      </c>
      <c r="F81" t="s">
        <v>7462</v>
      </c>
      <c r="H81" t="s">
        <v>7935</v>
      </c>
      <c r="I81" t="s">
        <v>2323</v>
      </c>
      <c r="K81" t="s">
        <v>8664</v>
      </c>
      <c r="L81" t="s">
        <v>8665</v>
      </c>
    </row>
    <row r="82" spans="1:12" x14ac:dyDescent="0.35">
      <c r="A82" t="s">
        <v>101</v>
      </c>
      <c r="B82" t="s">
        <v>337</v>
      </c>
      <c r="D82">
        <v>52200</v>
      </c>
      <c r="F82" t="s">
        <v>7517</v>
      </c>
      <c r="H82" t="s">
        <v>7936</v>
      </c>
      <c r="I82" t="s">
        <v>2323</v>
      </c>
      <c r="K82" t="s">
        <v>8664</v>
      </c>
      <c r="L82" t="s">
        <v>8665</v>
      </c>
    </row>
    <row r="83" spans="1:12" x14ac:dyDescent="0.35">
      <c r="A83" t="s">
        <v>101</v>
      </c>
      <c r="B83" t="s">
        <v>337</v>
      </c>
      <c r="D83">
        <v>54800</v>
      </c>
      <c r="F83" t="s">
        <v>7518</v>
      </c>
      <c r="H83" t="s">
        <v>7937</v>
      </c>
      <c r="I83" t="s">
        <v>2323</v>
      </c>
      <c r="K83" t="s">
        <v>8664</v>
      </c>
      <c r="L83" t="s">
        <v>8665</v>
      </c>
    </row>
    <row r="84" spans="1:12" x14ac:dyDescent="0.35">
      <c r="A84" t="s">
        <v>101</v>
      </c>
      <c r="B84" t="s">
        <v>337</v>
      </c>
      <c r="D84">
        <v>88000</v>
      </c>
      <c r="F84" t="s">
        <v>7519</v>
      </c>
      <c r="H84" t="s">
        <v>7938</v>
      </c>
      <c r="I84" t="s">
        <v>8623</v>
      </c>
      <c r="K84" t="s">
        <v>8664</v>
      </c>
      <c r="L84" t="s">
        <v>8665</v>
      </c>
    </row>
    <row r="85" spans="1:12" x14ac:dyDescent="0.35">
      <c r="A85" t="s">
        <v>101</v>
      </c>
      <c r="B85" t="s">
        <v>338</v>
      </c>
      <c r="D85">
        <v>97000</v>
      </c>
      <c r="F85" t="s">
        <v>7520</v>
      </c>
      <c r="H85" t="s">
        <v>7939</v>
      </c>
      <c r="I85" t="s">
        <v>2258</v>
      </c>
      <c r="K85" t="s">
        <v>8664</v>
      </c>
      <c r="L85" t="s">
        <v>8665</v>
      </c>
    </row>
    <row r="86" spans="1:12" x14ac:dyDescent="0.35">
      <c r="A86" t="s">
        <v>101</v>
      </c>
      <c r="B86" t="s">
        <v>338</v>
      </c>
      <c r="D86">
        <v>42000</v>
      </c>
      <c r="F86" t="s">
        <v>7521</v>
      </c>
      <c r="H86" t="s">
        <v>7940</v>
      </c>
      <c r="I86" t="s">
        <v>8624</v>
      </c>
      <c r="K86" t="s">
        <v>8664</v>
      </c>
      <c r="L86" t="s">
        <v>8665</v>
      </c>
    </row>
    <row r="87" spans="1:12" x14ac:dyDescent="0.35">
      <c r="A87" t="s">
        <v>101</v>
      </c>
      <c r="B87" t="s">
        <v>339</v>
      </c>
      <c r="D87">
        <v>65000</v>
      </c>
      <c r="F87" t="s">
        <v>7522</v>
      </c>
      <c r="H87" t="s">
        <v>7941</v>
      </c>
      <c r="I87" t="s">
        <v>4859</v>
      </c>
      <c r="K87" t="s">
        <v>8664</v>
      </c>
      <c r="L87" t="s">
        <v>8665</v>
      </c>
    </row>
    <row r="88" spans="1:12" x14ac:dyDescent="0.35">
      <c r="A88" t="s">
        <v>101</v>
      </c>
      <c r="B88" t="s">
        <v>339</v>
      </c>
      <c r="D88">
        <v>138000</v>
      </c>
      <c r="F88" t="s">
        <v>7523</v>
      </c>
      <c r="H88" t="s">
        <v>7942</v>
      </c>
      <c r="I88" t="s">
        <v>4859</v>
      </c>
      <c r="K88" t="s">
        <v>8664</v>
      </c>
      <c r="L88" t="s">
        <v>8665</v>
      </c>
    </row>
    <row r="89" spans="1:12" x14ac:dyDescent="0.35">
      <c r="A89" t="s">
        <v>101</v>
      </c>
      <c r="B89" t="s">
        <v>7404</v>
      </c>
      <c r="D89">
        <v>111000</v>
      </c>
      <c r="F89" t="s">
        <v>7524</v>
      </c>
      <c r="H89" t="s">
        <v>7943</v>
      </c>
      <c r="I89" t="s">
        <v>1626</v>
      </c>
      <c r="K89" t="s">
        <v>8664</v>
      </c>
      <c r="L89" t="s">
        <v>8665</v>
      </c>
    </row>
    <row r="90" spans="1:12" x14ac:dyDescent="0.35">
      <c r="A90" t="s">
        <v>101</v>
      </c>
      <c r="B90" t="s">
        <v>6032</v>
      </c>
      <c r="D90">
        <v>95000</v>
      </c>
      <c r="F90" t="s">
        <v>7525</v>
      </c>
      <c r="H90" t="s">
        <v>7944</v>
      </c>
      <c r="I90" t="s">
        <v>2050</v>
      </c>
      <c r="K90" t="s">
        <v>8664</v>
      </c>
      <c r="L90" t="s">
        <v>8665</v>
      </c>
    </row>
    <row r="91" spans="1:12" x14ac:dyDescent="0.35">
      <c r="A91" t="s">
        <v>101</v>
      </c>
      <c r="B91" t="s">
        <v>6032</v>
      </c>
      <c r="D91">
        <v>46000</v>
      </c>
      <c r="F91" t="s">
        <v>7526</v>
      </c>
      <c r="H91" t="s">
        <v>7945</v>
      </c>
      <c r="I91" t="s">
        <v>2050</v>
      </c>
      <c r="K91" t="s">
        <v>8664</v>
      </c>
      <c r="L91" t="s">
        <v>8665</v>
      </c>
    </row>
    <row r="92" spans="1:12" x14ac:dyDescent="0.35">
      <c r="A92" t="s">
        <v>101</v>
      </c>
      <c r="B92" t="s">
        <v>340</v>
      </c>
      <c r="D92">
        <v>53000</v>
      </c>
      <c r="F92" t="s">
        <v>7527</v>
      </c>
      <c r="H92" t="s">
        <v>7946</v>
      </c>
      <c r="I92" t="s">
        <v>1494</v>
      </c>
      <c r="K92" t="s">
        <v>8664</v>
      </c>
      <c r="L92" t="s">
        <v>8665</v>
      </c>
    </row>
    <row r="93" spans="1:12" x14ac:dyDescent="0.35">
      <c r="A93" t="s">
        <v>101</v>
      </c>
      <c r="B93" t="s">
        <v>340</v>
      </c>
      <c r="D93">
        <v>52800</v>
      </c>
      <c r="F93" t="s">
        <v>7528</v>
      </c>
      <c r="H93" t="s">
        <v>7947</v>
      </c>
      <c r="I93" t="s">
        <v>1494</v>
      </c>
      <c r="K93" t="s">
        <v>8664</v>
      </c>
      <c r="L93" t="s">
        <v>8665</v>
      </c>
    </row>
    <row r="94" spans="1:12" x14ac:dyDescent="0.35">
      <c r="A94" t="s">
        <v>101</v>
      </c>
      <c r="B94" t="s">
        <v>341</v>
      </c>
      <c r="D94">
        <v>108000</v>
      </c>
      <c r="F94" t="s">
        <v>7529</v>
      </c>
      <c r="H94" t="s">
        <v>7948</v>
      </c>
      <c r="I94" t="s">
        <v>1354</v>
      </c>
      <c r="K94" t="s">
        <v>8664</v>
      </c>
      <c r="L94" t="s">
        <v>8665</v>
      </c>
    </row>
    <row r="95" spans="1:12" x14ac:dyDescent="0.35">
      <c r="A95" t="s">
        <v>101</v>
      </c>
      <c r="B95" t="s">
        <v>341</v>
      </c>
      <c r="D95">
        <v>120000</v>
      </c>
      <c r="F95" t="s">
        <v>7492</v>
      </c>
      <c r="H95" t="s">
        <v>7949</v>
      </c>
      <c r="I95" t="s">
        <v>8625</v>
      </c>
      <c r="K95" t="s">
        <v>8664</v>
      </c>
      <c r="L95" t="s">
        <v>8665</v>
      </c>
    </row>
    <row r="96" spans="1:12" x14ac:dyDescent="0.35">
      <c r="A96" t="s">
        <v>101</v>
      </c>
      <c r="B96" t="s">
        <v>6033</v>
      </c>
      <c r="D96">
        <v>32500</v>
      </c>
      <c r="F96" t="s">
        <v>7530</v>
      </c>
      <c r="H96" t="s">
        <v>7950</v>
      </c>
      <c r="I96" t="s">
        <v>1359</v>
      </c>
      <c r="K96" t="s">
        <v>8664</v>
      </c>
      <c r="L96" t="s">
        <v>8665</v>
      </c>
    </row>
    <row r="97" spans="1:12" x14ac:dyDescent="0.35">
      <c r="A97" t="s">
        <v>101</v>
      </c>
      <c r="B97" t="s">
        <v>6033</v>
      </c>
      <c r="D97">
        <v>64200</v>
      </c>
      <c r="F97" t="s">
        <v>7531</v>
      </c>
      <c r="H97" t="s">
        <v>7951</v>
      </c>
      <c r="I97" t="s">
        <v>1359</v>
      </c>
      <c r="K97" t="s">
        <v>8664</v>
      </c>
      <c r="L97" t="s">
        <v>8665</v>
      </c>
    </row>
    <row r="98" spans="1:12" x14ac:dyDescent="0.35">
      <c r="A98" t="s">
        <v>101</v>
      </c>
      <c r="B98" t="s">
        <v>343</v>
      </c>
      <c r="D98">
        <v>105000</v>
      </c>
      <c r="F98" t="s">
        <v>7472</v>
      </c>
      <c r="H98" t="s">
        <v>7952</v>
      </c>
      <c r="I98" t="s">
        <v>1393</v>
      </c>
      <c r="K98" t="s">
        <v>8664</v>
      </c>
      <c r="L98" t="s">
        <v>8665</v>
      </c>
    </row>
    <row r="99" spans="1:12" x14ac:dyDescent="0.35">
      <c r="A99" t="s">
        <v>101</v>
      </c>
      <c r="B99" t="s">
        <v>343</v>
      </c>
      <c r="D99">
        <v>96000</v>
      </c>
      <c r="F99" t="s">
        <v>7532</v>
      </c>
      <c r="H99" t="s">
        <v>7953</v>
      </c>
      <c r="I99" t="s">
        <v>1393</v>
      </c>
      <c r="K99" t="s">
        <v>8664</v>
      </c>
      <c r="L99" t="s">
        <v>8665</v>
      </c>
    </row>
    <row r="100" spans="1:12" x14ac:dyDescent="0.35">
      <c r="A100" t="s">
        <v>101</v>
      </c>
      <c r="B100" t="s">
        <v>344</v>
      </c>
      <c r="D100">
        <v>162000</v>
      </c>
      <c r="F100" t="s">
        <v>7533</v>
      </c>
      <c r="H100" t="s">
        <v>7954</v>
      </c>
      <c r="I100" t="s">
        <v>1368</v>
      </c>
      <c r="K100" t="s">
        <v>8664</v>
      </c>
      <c r="L100" t="s">
        <v>8665</v>
      </c>
    </row>
    <row r="101" spans="1:12" x14ac:dyDescent="0.35">
      <c r="A101" t="s">
        <v>101</v>
      </c>
      <c r="B101" t="s">
        <v>347</v>
      </c>
      <c r="D101">
        <v>46410</v>
      </c>
      <c r="F101" t="s">
        <v>7534</v>
      </c>
      <c r="H101" t="s">
        <v>7955</v>
      </c>
      <c r="I101" t="s">
        <v>4870</v>
      </c>
      <c r="K101" t="s">
        <v>8664</v>
      </c>
      <c r="L101" t="s">
        <v>8665</v>
      </c>
    </row>
    <row r="102" spans="1:12" x14ac:dyDescent="0.35">
      <c r="A102" t="s">
        <v>101</v>
      </c>
      <c r="B102" t="s">
        <v>350</v>
      </c>
      <c r="D102">
        <v>85000</v>
      </c>
      <c r="F102" t="s">
        <v>7535</v>
      </c>
      <c r="H102" t="s">
        <v>7956</v>
      </c>
      <c r="I102" t="s">
        <v>1360</v>
      </c>
      <c r="K102" t="s">
        <v>8664</v>
      </c>
      <c r="L102" t="s">
        <v>8665</v>
      </c>
    </row>
    <row r="103" spans="1:12" x14ac:dyDescent="0.35">
      <c r="A103" t="s">
        <v>101</v>
      </c>
      <c r="B103" t="s">
        <v>351</v>
      </c>
      <c r="D103">
        <v>52000</v>
      </c>
      <c r="F103" t="s">
        <v>7536</v>
      </c>
      <c r="H103" t="s">
        <v>7957</v>
      </c>
      <c r="I103" t="s">
        <v>4871</v>
      </c>
      <c r="K103" t="s">
        <v>8664</v>
      </c>
      <c r="L103" t="s">
        <v>8665</v>
      </c>
    </row>
    <row r="104" spans="1:12" x14ac:dyDescent="0.35">
      <c r="A104" t="s">
        <v>101</v>
      </c>
      <c r="B104" t="s">
        <v>352</v>
      </c>
      <c r="D104">
        <v>82000</v>
      </c>
      <c r="F104" t="s">
        <v>7454</v>
      </c>
      <c r="H104" t="s">
        <v>7958</v>
      </c>
      <c r="I104" t="s">
        <v>1372</v>
      </c>
      <c r="K104" t="s">
        <v>8664</v>
      </c>
      <c r="L104" t="s">
        <v>8665</v>
      </c>
    </row>
    <row r="105" spans="1:12" x14ac:dyDescent="0.35">
      <c r="A105" t="s">
        <v>101</v>
      </c>
      <c r="B105" t="s">
        <v>352</v>
      </c>
      <c r="D105">
        <v>80000</v>
      </c>
      <c r="F105" t="s">
        <v>7513</v>
      </c>
      <c r="H105" t="s">
        <v>7959</v>
      </c>
      <c r="I105" t="s">
        <v>1889</v>
      </c>
      <c r="K105" t="s">
        <v>8664</v>
      </c>
      <c r="L105" t="s">
        <v>8665</v>
      </c>
    </row>
    <row r="106" spans="1:12" x14ac:dyDescent="0.35">
      <c r="A106" t="s">
        <v>101</v>
      </c>
      <c r="B106" t="s">
        <v>352</v>
      </c>
      <c r="D106">
        <v>84000</v>
      </c>
      <c r="F106" t="s">
        <v>7537</v>
      </c>
      <c r="H106" t="s">
        <v>7960</v>
      </c>
      <c r="I106" t="s">
        <v>1367</v>
      </c>
      <c r="K106" t="s">
        <v>8664</v>
      </c>
      <c r="L106" t="s">
        <v>8665</v>
      </c>
    </row>
    <row r="107" spans="1:12" x14ac:dyDescent="0.35">
      <c r="A107" t="s">
        <v>101</v>
      </c>
      <c r="B107" t="s">
        <v>352</v>
      </c>
      <c r="D107">
        <v>43000</v>
      </c>
      <c r="F107" t="s">
        <v>7538</v>
      </c>
      <c r="H107" t="s">
        <v>7961</v>
      </c>
      <c r="I107" t="s">
        <v>2329</v>
      </c>
      <c r="K107" t="s">
        <v>8664</v>
      </c>
      <c r="L107" t="s">
        <v>8665</v>
      </c>
    </row>
    <row r="108" spans="1:12" x14ac:dyDescent="0.35">
      <c r="A108" t="s">
        <v>101</v>
      </c>
      <c r="B108" t="s">
        <v>472</v>
      </c>
      <c r="D108">
        <v>43776</v>
      </c>
      <c r="F108" t="s">
        <v>7539</v>
      </c>
      <c r="H108" t="s">
        <v>7962</v>
      </c>
      <c r="I108" t="s">
        <v>4899</v>
      </c>
      <c r="K108" t="s">
        <v>8664</v>
      </c>
      <c r="L108" t="s">
        <v>8665</v>
      </c>
    </row>
    <row r="109" spans="1:12" x14ac:dyDescent="0.35">
      <c r="A109" t="s">
        <v>101</v>
      </c>
      <c r="B109" t="s">
        <v>7405</v>
      </c>
      <c r="D109">
        <v>45300</v>
      </c>
      <c r="F109" t="s">
        <v>7540</v>
      </c>
      <c r="H109" t="s">
        <v>7963</v>
      </c>
      <c r="I109" t="s">
        <v>4930</v>
      </c>
      <c r="K109" t="s">
        <v>8664</v>
      </c>
      <c r="L109" t="s">
        <v>8665</v>
      </c>
    </row>
    <row r="110" spans="1:12" x14ac:dyDescent="0.35">
      <c r="A110" t="s">
        <v>101</v>
      </c>
      <c r="B110" t="s">
        <v>353</v>
      </c>
      <c r="D110">
        <v>87000</v>
      </c>
      <c r="F110" t="s">
        <v>7541</v>
      </c>
      <c r="H110" t="s">
        <v>7964</v>
      </c>
      <c r="I110" t="s">
        <v>4898</v>
      </c>
      <c r="K110" t="s">
        <v>8664</v>
      </c>
      <c r="L110" t="s">
        <v>8665</v>
      </c>
    </row>
    <row r="111" spans="1:12" x14ac:dyDescent="0.35">
      <c r="A111" t="s">
        <v>101</v>
      </c>
      <c r="B111" t="s">
        <v>353</v>
      </c>
      <c r="D111">
        <v>43500</v>
      </c>
      <c r="F111" t="s">
        <v>7542</v>
      </c>
      <c r="H111" t="s">
        <v>7965</v>
      </c>
      <c r="I111" t="s">
        <v>4898</v>
      </c>
      <c r="K111" t="s">
        <v>8664</v>
      </c>
      <c r="L111" t="s">
        <v>8665</v>
      </c>
    </row>
    <row r="112" spans="1:12" x14ac:dyDescent="0.35">
      <c r="A112" t="s">
        <v>101</v>
      </c>
      <c r="B112" t="s">
        <v>341</v>
      </c>
      <c r="D112">
        <v>45620</v>
      </c>
      <c r="F112" t="s">
        <v>7543</v>
      </c>
      <c r="H112" t="s">
        <v>7966</v>
      </c>
      <c r="I112" t="s">
        <v>4853</v>
      </c>
      <c r="K112" t="s">
        <v>8664</v>
      </c>
      <c r="L112" t="s">
        <v>8665</v>
      </c>
    </row>
    <row r="113" spans="1:12" x14ac:dyDescent="0.35">
      <c r="A113" t="s">
        <v>101</v>
      </c>
      <c r="B113" t="s">
        <v>356</v>
      </c>
      <c r="D113">
        <v>55000</v>
      </c>
      <c r="F113" t="s">
        <v>7473</v>
      </c>
      <c r="H113" t="s">
        <v>7967</v>
      </c>
      <c r="I113" t="s">
        <v>4864</v>
      </c>
      <c r="K113" t="s">
        <v>8664</v>
      </c>
      <c r="L113" t="s">
        <v>8665</v>
      </c>
    </row>
    <row r="114" spans="1:12" x14ac:dyDescent="0.35">
      <c r="A114" t="s">
        <v>101</v>
      </c>
      <c r="B114" t="s">
        <v>356</v>
      </c>
      <c r="D114">
        <v>49100</v>
      </c>
      <c r="F114" t="s">
        <v>7544</v>
      </c>
      <c r="H114" t="s">
        <v>7968</v>
      </c>
      <c r="I114" t="s">
        <v>4864</v>
      </c>
      <c r="K114" t="s">
        <v>8664</v>
      </c>
      <c r="L114" t="s">
        <v>8665</v>
      </c>
    </row>
    <row r="115" spans="1:12" x14ac:dyDescent="0.35">
      <c r="A115" t="s">
        <v>101</v>
      </c>
      <c r="B115" t="s">
        <v>179</v>
      </c>
      <c r="D115">
        <v>41000</v>
      </c>
      <c r="F115" t="s">
        <v>7445</v>
      </c>
      <c r="H115" t="s">
        <v>7969</v>
      </c>
      <c r="I115" t="s">
        <v>1449</v>
      </c>
      <c r="K115" t="s">
        <v>8664</v>
      </c>
      <c r="L115" t="s">
        <v>8665</v>
      </c>
    </row>
    <row r="116" spans="1:12" x14ac:dyDescent="0.35">
      <c r="A116" t="s">
        <v>101</v>
      </c>
      <c r="B116" t="s">
        <v>179</v>
      </c>
      <c r="D116">
        <v>98000</v>
      </c>
      <c r="F116" t="s">
        <v>7545</v>
      </c>
      <c r="H116" t="s">
        <v>7970</v>
      </c>
      <c r="I116" t="s">
        <v>4854</v>
      </c>
      <c r="K116" t="s">
        <v>8664</v>
      </c>
      <c r="L116" t="s">
        <v>8665</v>
      </c>
    </row>
    <row r="117" spans="1:12" x14ac:dyDescent="0.35">
      <c r="A117" t="s">
        <v>101</v>
      </c>
      <c r="B117" t="s">
        <v>179</v>
      </c>
      <c r="D117">
        <v>44600</v>
      </c>
      <c r="F117" t="s">
        <v>7546</v>
      </c>
      <c r="H117" t="s">
        <v>7971</v>
      </c>
      <c r="I117" t="s">
        <v>4885</v>
      </c>
      <c r="K117" t="s">
        <v>8664</v>
      </c>
      <c r="L117" t="s">
        <v>8665</v>
      </c>
    </row>
    <row r="118" spans="1:12" x14ac:dyDescent="0.35">
      <c r="A118" t="s">
        <v>101</v>
      </c>
      <c r="B118" t="s">
        <v>179</v>
      </c>
      <c r="D118">
        <v>43400</v>
      </c>
      <c r="F118" t="s">
        <v>7547</v>
      </c>
      <c r="H118" t="s">
        <v>7972</v>
      </c>
      <c r="I118" t="s">
        <v>1449</v>
      </c>
      <c r="K118" t="s">
        <v>8664</v>
      </c>
      <c r="L118" t="s">
        <v>8665</v>
      </c>
    </row>
    <row r="119" spans="1:12" x14ac:dyDescent="0.35">
      <c r="A119" t="s">
        <v>101</v>
      </c>
      <c r="B119" t="s">
        <v>179</v>
      </c>
      <c r="D119">
        <v>86000</v>
      </c>
      <c r="F119" t="s">
        <v>7548</v>
      </c>
      <c r="H119" t="s">
        <v>7973</v>
      </c>
      <c r="I119" t="s">
        <v>1394</v>
      </c>
      <c r="K119" t="s">
        <v>8664</v>
      </c>
      <c r="L119" t="s">
        <v>8665</v>
      </c>
    </row>
    <row r="120" spans="1:12" x14ac:dyDescent="0.35">
      <c r="A120" t="s">
        <v>101</v>
      </c>
      <c r="B120" t="s">
        <v>179</v>
      </c>
      <c r="D120">
        <v>92000</v>
      </c>
      <c r="F120" t="s">
        <v>7549</v>
      </c>
      <c r="H120" t="s">
        <v>7974</v>
      </c>
      <c r="I120" t="s">
        <v>2323</v>
      </c>
      <c r="K120" t="s">
        <v>8664</v>
      </c>
      <c r="L120" t="s">
        <v>8665</v>
      </c>
    </row>
    <row r="121" spans="1:12" x14ac:dyDescent="0.35">
      <c r="A121" t="s">
        <v>101</v>
      </c>
      <c r="B121" t="s">
        <v>179</v>
      </c>
      <c r="D121">
        <v>47000</v>
      </c>
      <c r="F121" t="s">
        <v>7550</v>
      </c>
      <c r="H121" t="s">
        <v>7975</v>
      </c>
      <c r="I121" t="s">
        <v>1450</v>
      </c>
      <c r="K121" t="s">
        <v>8664</v>
      </c>
      <c r="L121" t="s">
        <v>8665</v>
      </c>
    </row>
    <row r="122" spans="1:12" x14ac:dyDescent="0.35">
      <c r="A122" t="s">
        <v>101</v>
      </c>
      <c r="B122" t="s">
        <v>380</v>
      </c>
      <c r="D122">
        <v>93150</v>
      </c>
      <c r="F122" t="s">
        <v>7551</v>
      </c>
      <c r="H122" t="s">
        <v>7976</v>
      </c>
      <c r="I122" t="s">
        <v>1533</v>
      </c>
      <c r="K122" t="s">
        <v>8664</v>
      </c>
      <c r="L122" t="s">
        <v>8665</v>
      </c>
    </row>
    <row r="123" spans="1:12" x14ac:dyDescent="0.35">
      <c r="A123" t="s">
        <v>101</v>
      </c>
      <c r="B123" t="s">
        <v>380</v>
      </c>
      <c r="D123">
        <v>46470</v>
      </c>
      <c r="F123" t="s">
        <v>7552</v>
      </c>
      <c r="H123" t="s">
        <v>7977</v>
      </c>
      <c r="I123" t="s">
        <v>1878</v>
      </c>
      <c r="K123" t="s">
        <v>8664</v>
      </c>
      <c r="L123" t="s">
        <v>8665</v>
      </c>
    </row>
    <row r="124" spans="1:12" x14ac:dyDescent="0.35">
      <c r="A124" t="s">
        <v>101</v>
      </c>
      <c r="B124" t="s">
        <v>380</v>
      </c>
      <c r="D124">
        <v>46344</v>
      </c>
      <c r="F124" t="s">
        <v>7553</v>
      </c>
      <c r="H124" t="s">
        <v>7978</v>
      </c>
      <c r="I124" t="s">
        <v>1533</v>
      </c>
      <c r="K124" t="s">
        <v>8664</v>
      </c>
      <c r="L124" t="s">
        <v>8665</v>
      </c>
    </row>
    <row r="125" spans="1:12" x14ac:dyDescent="0.35">
      <c r="A125" t="s">
        <v>101</v>
      </c>
      <c r="B125" t="s">
        <v>312</v>
      </c>
      <c r="D125">
        <v>42035</v>
      </c>
      <c r="F125" t="s">
        <v>7554</v>
      </c>
      <c r="I125" t="s">
        <v>4886</v>
      </c>
      <c r="K125" t="s">
        <v>8664</v>
      </c>
      <c r="L125" t="s">
        <v>8665</v>
      </c>
    </row>
    <row r="126" spans="1:12" x14ac:dyDescent="0.35">
      <c r="A126" t="s">
        <v>101</v>
      </c>
      <c r="B126" t="s">
        <v>358</v>
      </c>
      <c r="D126">
        <v>72400</v>
      </c>
      <c r="F126" t="s">
        <v>7555</v>
      </c>
      <c r="H126" t="s">
        <v>7979</v>
      </c>
      <c r="I126" t="s">
        <v>4879</v>
      </c>
      <c r="K126" t="s">
        <v>8664</v>
      </c>
      <c r="L126" t="s">
        <v>8665</v>
      </c>
    </row>
    <row r="127" spans="1:12" x14ac:dyDescent="0.35">
      <c r="A127" t="s">
        <v>101</v>
      </c>
      <c r="B127" t="s">
        <v>358</v>
      </c>
      <c r="D127">
        <v>43700</v>
      </c>
      <c r="F127" t="s">
        <v>7556</v>
      </c>
      <c r="I127" t="s">
        <v>4879</v>
      </c>
      <c r="K127" t="s">
        <v>8664</v>
      </c>
      <c r="L127" t="s">
        <v>8665</v>
      </c>
    </row>
    <row r="128" spans="1:12" x14ac:dyDescent="0.35">
      <c r="A128" t="s">
        <v>101</v>
      </c>
      <c r="B128" t="s">
        <v>341</v>
      </c>
      <c r="D128">
        <v>45705</v>
      </c>
      <c r="F128" t="s">
        <v>7557</v>
      </c>
      <c r="H128" t="s">
        <v>7980</v>
      </c>
      <c r="I128" t="s">
        <v>2331</v>
      </c>
      <c r="K128" t="s">
        <v>8664</v>
      </c>
      <c r="L128" t="s">
        <v>8665</v>
      </c>
    </row>
    <row r="129" spans="1:12" x14ac:dyDescent="0.35">
      <c r="A129" t="s">
        <v>102</v>
      </c>
      <c r="B129" t="s">
        <v>332</v>
      </c>
      <c r="D129">
        <v>140000</v>
      </c>
      <c r="F129" t="s">
        <v>7480</v>
      </c>
      <c r="H129" t="s">
        <v>7981</v>
      </c>
      <c r="I129" t="s">
        <v>1461</v>
      </c>
      <c r="K129" t="s">
        <v>8664</v>
      </c>
      <c r="L129" t="s">
        <v>8665</v>
      </c>
    </row>
    <row r="130" spans="1:12" x14ac:dyDescent="0.35">
      <c r="A130" t="s">
        <v>102</v>
      </c>
      <c r="B130" t="s">
        <v>363</v>
      </c>
      <c r="D130">
        <v>77000</v>
      </c>
      <c r="F130" t="s">
        <v>7558</v>
      </c>
      <c r="H130" t="s">
        <v>7982</v>
      </c>
      <c r="I130" t="s">
        <v>2254</v>
      </c>
      <c r="K130" t="s">
        <v>8664</v>
      </c>
      <c r="L130" t="s">
        <v>8665</v>
      </c>
    </row>
    <row r="131" spans="1:12" x14ac:dyDescent="0.35">
      <c r="A131" t="s">
        <v>102</v>
      </c>
      <c r="B131" t="s">
        <v>369</v>
      </c>
      <c r="D131">
        <v>35200</v>
      </c>
      <c r="F131" t="s">
        <v>7559</v>
      </c>
      <c r="H131" t="s">
        <v>7983</v>
      </c>
      <c r="I131" t="s">
        <v>1494</v>
      </c>
      <c r="K131" t="s">
        <v>8664</v>
      </c>
      <c r="L131" t="s">
        <v>8665</v>
      </c>
    </row>
    <row r="132" spans="1:12" x14ac:dyDescent="0.35">
      <c r="A132" t="s">
        <v>102</v>
      </c>
      <c r="B132" t="s">
        <v>7406</v>
      </c>
      <c r="D132">
        <v>39200</v>
      </c>
      <c r="F132" t="s">
        <v>7560</v>
      </c>
      <c r="H132" t="s">
        <v>7984</v>
      </c>
      <c r="I132" t="s">
        <v>1353</v>
      </c>
      <c r="K132" t="s">
        <v>8664</v>
      </c>
      <c r="L132" t="s">
        <v>8665</v>
      </c>
    </row>
    <row r="133" spans="1:12" x14ac:dyDescent="0.35">
      <c r="A133" t="s">
        <v>102</v>
      </c>
      <c r="B133" t="s">
        <v>7406</v>
      </c>
      <c r="D133">
        <v>39900</v>
      </c>
      <c r="F133" t="s">
        <v>7561</v>
      </c>
      <c r="H133" t="s">
        <v>7985</v>
      </c>
      <c r="I133" t="s">
        <v>1353</v>
      </c>
      <c r="K133" t="s">
        <v>8664</v>
      </c>
      <c r="L133" t="s">
        <v>8665</v>
      </c>
    </row>
    <row r="134" spans="1:12" x14ac:dyDescent="0.35">
      <c r="A134" t="s">
        <v>102</v>
      </c>
      <c r="B134" t="s">
        <v>383</v>
      </c>
      <c r="D134">
        <v>40000</v>
      </c>
      <c r="F134" t="s">
        <v>7515</v>
      </c>
      <c r="H134" t="s">
        <v>7986</v>
      </c>
      <c r="I134" t="s">
        <v>2051</v>
      </c>
      <c r="K134" t="s">
        <v>8664</v>
      </c>
      <c r="L134" t="s">
        <v>8665</v>
      </c>
    </row>
    <row r="135" spans="1:12" x14ac:dyDescent="0.35">
      <c r="A135" t="s">
        <v>102</v>
      </c>
      <c r="B135" t="s">
        <v>383</v>
      </c>
      <c r="D135">
        <v>670000</v>
      </c>
      <c r="F135" t="s">
        <v>7562</v>
      </c>
      <c r="H135" t="s">
        <v>7987</v>
      </c>
      <c r="I135" t="s">
        <v>2051</v>
      </c>
      <c r="K135" t="s">
        <v>8664</v>
      </c>
      <c r="L135" t="s">
        <v>8665</v>
      </c>
    </row>
    <row r="136" spans="1:12" x14ac:dyDescent="0.35">
      <c r="A136" t="s">
        <v>102</v>
      </c>
      <c r="B136" t="s">
        <v>387</v>
      </c>
      <c r="D136">
        <v>132000</v>
      </c>
      <c r="F136" t="s">
        <v>7563</v>
      </c>
      <c r="H136" t="s">
        <v>7988</v>
      </c>
      <c r="I136" t="s">
        <v>1477</v>
      </c>
      <c r="K136" t="s">
        <v>8664</v>
      </c>
      <c r="L136" t="s">
        <v>8665</v>
      </c>
    </row>
    <row r="137" spans="1:12" x14ac:dyDescent="0.35">
      <c r="A137" t="s">
        <v>102</v>
      </c>
      <c r="B137" t="s">
        <v>387</v>
      </c>
      <c r="D137">
        <v>135000</v>
      </c>
      <c r="F137" t="s">
        <v>7564</v>
      </c>
      <c r="H137" t="s">
        <v>7989</v>
      </c>
      <c r="I137" t="s">
        <v>1477</v>
      </c>
      <c r="K137" t="s">
        <v>8664</v>
      </c>
      <c r="L137" t="s">
        <v>8665</v>
      </c>
    </row>
    <row r="138" spans="1:12" x14ac:dyDescent="0.35">
      <c r="A138" t="s">
        <v>102</v>
      </c>
      <c r="B138" t="s">
        <v>387</v>
      </c>
      <c r="D138">
        <v>34000</v>
      </c>
      <c r="F138" t="s">
        <v>7452</v>
      </c>
      <c r="H138" t="s">
        <v>7990</v>
      </c>
      <c r="I138" t="s">
        <v>1477</v>
      </c>
      <c r="K138" t="s">
        <v>8664</v>
      </c>
      <c r="L138" t="s">
        <v>8665</v>
      </c>
    </row>
    <row r="139" spans="1:12" x14ac:dyDescent="0.35">
      <c r="A139" t="s">
        <v>102</v>
      </c>
      <c r="B139" t="s">
        <v>6040</v>
      </c>
      <c r="D139">
        <v>130000</v>
      </c>
      <c r="F139" t="s">
        <v>7512</v>
      </c>
      <c r="H139" t="s">
        <v>7991</v>
      </c>
      <c r="I139" t="s">
        <v>1766</v>
      </c>
      <c r="K139" t="s">
        <v>8664</v>
      </c>
      <c r="L139" t="s">
        <v>8665</v>
      </c>
    </row>
    <row r="140" spans="1:12" x14ac:dyDescent="0.35">
      <c r="A140" t="s">
        <v>102</v>
      </c>
      <c r="B140" t="s">
        <v>6040</v>
      </c>
      <c r="D140">
        <v>36000</v>
      </c>
      <c r="F140" t="s">
        <v>7491</v>
      </c>
      <c r="H140" t="s">
        <v>7992</v>
      </c>
      <c r="I140" t="s">
        <v>1889</v>
      </c>
      <c r="K140" t="s">
        <v>8664</v>
      </c>
      <c r="L140" t="s">
        <v>8665</v>
      </c>
    </row>
    <row r="141" spans="1:12" x14ac:dyDescent="0.35">
      <c r="A141" t="s">
        <v>102</v>
      </c>
      <c r="B141" t="s">
        <v>7403</v>
      </c>
      <c r="D141">
        <v>34600</v>
      </c>
      <c r="F141" t="s">
        <v>7565</v>
      </c>
      <c r="H141" t="s">
        <v>7993</v>
      </c>
      <c r="I141" t="s">
        <v>4918</v>
      </c>
      <c r="K141" t="s">
        <v>8664</v>
      </c>
      <c r="L141" t="s">
        <v>8665</v>
      </c>
    </row>
    <row r="142" spans="1:12" x14ac:dyDescent="0.35">
      <c r="A142" t="s">
        <v>102</v>
      </c>
      <c r="B142" t="s">
        <v>7403</v>
      </c>
      <c r="D142">
        <v>39000</v>
      </c>
      <c r="F142" t="s">
        <v>7566</v>
      </c>
      <c r="H142" t="s">
        <v>7994</v>
      </c>
      <c r="I142" t="s">
        <v>4891</v>
      </c>
      <c r="K142" t="s">
        <v>8664</v>
      </c>
      <c r="L142" t="s">
        <v>8665</v>
      </c>
    </row>
    <row r="143" spans="1:12" x14ac:dyDescent="0.35">
      <c r="A143" t="s">
        <v>102</v>
      </c>
      <c r="B143" t="s">
        <v>389</v>
      </c>
      <c r="D143">
        <v>78000</v>
      </c>
      <c r="F143" t="s">
        <v>7466</v>
      </c>
      <c r="H143" t="s">
        <v>7995</v>
      </c>
      <c r="I143" t="s">
        <v>4891</v>
      </c>
      <c r="K143" t="s">
        <v>8664</v>
      </c>
      <c r="L143" t="s">
        <v>8665</v>
      </c>
    </row>
    <row r="144" spans="1:12" x14ac:dyDescent="0.35">
      <c r="A144" t="s">
        <v>102</v>
      </c>
      <c r="B144" t="s">
        <v>6041</v>
      </c>
      <c r="D144">
        <v>37000</v>
      </c>
      <c r="F144" t="s">
        <v>7567</v>
      </c>
      <c r="H144" t="s">
        <v>7996</v>
      </c>
      <c r="I144" t="s">
        <v>1841</v>
      </c>
      <c r="K144" t="s">
        <v>8664</v>
      </c>
      <c r="L144" t="s">
        <v>8665</v>
      </c>
    </row>
    <row r="145" spans="1:12" x14ac:dyDescent="0.35">
      <c r="A145" t="s">
        <v>102</v>
      </c>
      <c r="B145" t="s">
        <v>6041</v>
      </c>
      <c r="D145">
        <v>65000</v>
      </c>
      <c r="F145" t="s">
        <v>7522</v>
      </c>
      <c r="H145" t="s">
        <v>7997</v>
      </c>
      <c r="I145" t="s">
        <v>1841</v>
      </c>
      <c r="K145" t="s">
        <v>8664</v>
      </c>
      <c r="L145" t="s">
        <v>8665</v>
      </c>
    </row>
    <row r="146" spans="1:12" x14ac:dyDescent="0.35">
      <c r="A146" t="s">
        <v>102</v>
      </c>
      <c r="B146" t="s">
        <v>395</v>
      </c>
      <c r="D146">
        <v>58000</v>
      </c>
      <c r="F146" t="s">
        <v>7495</v>
      </c>
      <c r="H146" t="s">
        <v>7998</v>
      </c>
      <c r="I146" t="s">
        <v>1354</v>
      </c>
      <c r="K146" t="s">
        <v>8664</v>
      </c>
      <c r="L146" t="s">
        <v>8665</v>
      </c>
    </row>
    <row r="147" spans="1:12" x14ac:dyDescent="0.35">
      <c r="A147" t="s">
        <v>102</v>
      </c>
      <c r="B147" t="s">
        <v>395</v>
      </c>
      <c r="D147">
        <v>113000</v>
      </c>
      <c r="F147" t="s">
        <v>7568</v>
      </c>
      <c r="H147" t="s">
        <v>7999</v>
      </c>
      <c r="I147" t="s">
        <v>1354</v>
      </c>
      <c r="K147" t="s">
        <v>8664</v>
      </c>
      <c r="L147" t="s">
        <v>8665</v>
      </c>
    </row>
    <row r="148" spans="1:12" x14ac:dyDescent="0.35">
      <c r="A148" t="s">
        <v>102</v>
      </c>
      <c r="B148" t="s">
        <v>397</v>
      </c>
      <c r="D148">
        <v>35900</v>
      </c>
      <c r="F148" t="s">
        <v>7569</v>
      </c>
      <c r="H148" t="s">
        <v>8000</v>
      </c>
      <c r="I148" t="s">
        <v>1372</v>
      </c>
      <c r="K148" t="s">
        <v>8664</v>
      </c>
      <c r="L148" t="s">
        <v>8665</v>
      </c>
    </row>
    <row r="149" spans="1:12" x14ac:dyDescent="0.35">
      <c r="A149" t="s">
        <v>102</v>
      </c>
      <c r="B149" t="s">
        <v>397</v>
      </c>
      <c r="D149">
        <v>144000</v>
      </c>
      <c r="F149" t="s">
        <v>7570</v>
      </c>
      <c r="H149" t="s">
        <v>8001</v>
      </c>
      <c r="I149" t="s">
        <v>1372</v>
      </c>
      <c r="K149" t="s">
        <v>8664</v>
      </c>
      <c r="L149" t="s">
        <v>8665</v>
      </c>
    </row>
    <row r="150" spans="1:12" x14ac:dyDescent="0.35">
      <c r="A150" t="s">
        <v>102</v>
      </c>
      <c r="B150" t="s">
        <v>319</v>
      </c>
      <c r="D150">
        <v>280000</v>
      </c>
      <c r="F150" t="s">
        <v>7571</v>
      </c>
      <c r="H150" t="s">
        <v>8002</v>
      </c>
      <c r="I150" t="s">
        <v>1961</v>
      </c>
      <c r="K150" t="s">
        <v>8664</v>
      </c>
      <c r="L150" t="s">
        <v>8665</v>
      </c>
    </row>
    <row r="151" spans="1:12" x14ac:dyDescent="0.35">
      <c r="A151" t="s">
        <v>102</v>
      </c>
      <c r="B151" t="s">
        <v>319</v>
      </c>
      <c r="D151">
        <v>269300</v>
      </c>
      <c r="F151" t="s">
        <v>7572</v>
      </c>
      <c r="H151" t="s">
        <v>8003</v>
      </c>
      <c r="I151" t="s">
        <v>1961</v>
      </c>
      <c r="K151" t="s">
        <v>8664</v>
      </c>
      <c r="L151" t="s">
        <v>8665</v>
      </c>
    </row>
    <row r="152" spans="1:12" x14ac:dyDescent="0.35">
      <c r="A152" t="s">
        <v>102</v>
      </c>
      <c r="B152" t="s">
        <v>319</v>
      </c>
      <c r="D152">
        <v>280900</v>
      </c>
      <c r="F152" t="s">
        <v>7573</v>
      </c>
      <c r="H152" t="s">
        <v>8004</v>
      </c>
      <c r="I152" t="s">
        <v>1961</v>
      </c>
      <c r="K152" t="s">
        <v>8664</v>
      </c>
      <c r="L152" t="s">
        <v>8665</v>
      </c>
    </row>
    <row r="153" spans="1:12" x14ac:dyDescent="0.35">
      <c r="A153" t="s">
        <v>102</v>
      </c>
      <c r="B153" t="s">
        <v>400</v>
      </c>
      <c r="D153">
        <v>150000</v>
      </c>
      <c r="F153" t="s">
        <v>7449</v>
      </c>
      <c r="H153" t="s">
        <v>8005</v>
      </c>
      <c r="I153" t="s">
        <v>1526</v>
      </c>
      <c r="K153" t="s">
        <v>8664</v>
      </c>
      <c r="L153" t="s">
        <v>8665</v>
      </c>
    </row>
    <row r="154" spans="1:12" x14ac:dyDescent="0.35">
      <c r="A154" t="s">
        <v>102</v>
      </c>
      <c r="B154" t="s">
        <v>401</v>
      </c>
      <c r="D154">
        <v>125000</v>
      </c>
      <c r="F154" t="s">
        <v>7574</v>
      </c>
      <c r="H154" t="s">
        <v>8006</v>
      </c>
      <c r="I154" t="s">
        <v>2258</v>
      </c>
      <c r="K154" t="s">
        <v>8664</v>
      </c>
      <c r="L154" t="s">
        <v>8665</v>
      </c>
    </row>
    <row r="155" spans="1:12" x14ac:dyDescent="0.35">
      <c r="A155" t="s">
        <v>102</v>
      </c>
      <c r="B155" t="s">
        <v>6042</v>
      </c>
      <c r="D155">
        <v>139000</v>
      </c>
      <c r="F155" t="s">
        <v>7575</v>
      </c>
      <c r="H155" t="s">
        <v>8007</v>
      </c>
      <c r="I155" t="s">
        <v>1368</v>
      </c>
      <c r="K155" t="s">
        <v>8664</v>
      </c>
      <c r="L155" t="s">
        <v>8665</v>
      </c>
    </row>
    <row r="156" spans="1:12" x14ac:dyDescent="0.35">
      <c r="A156" t="s">
        <v>102</v>
      </c>
      <c r="B156" t="s">
        <v>6042</v>
      </c>
      <c r="D156">
        <v>187000</v>
      </c>
      <c r="F156" t="s">
        <v>7576</v>
      </c>
      <c r="H156" t="s">
        <v>8008</v>
      </c>
      <c r="I156" t="s">
        <v>1368</v>
      </c>
      <c r="K156" t="s">
        <v>8664</v>
      </c>
      <c r="L156" t="s">
        <v>8665</v>
      </c>
    </row>
    <row r="157" spans="1:12" x14ac:dyDescent="0.35">
      <c r="A157" t="s">
        <v>102</v>
      </c>
      <c r="B157" t="s">
        <v>6042</v>
      </c>
      <c r="D157">
        <v>33700</v>
      </c>
      <c r="F157" t="s">
        <v>7577</v>
      </c>
      <c r="H157" t="s">
        <v>8009</v>
      </c>
      <c r="I157" t="s">
        <v>1368</v>
      </c>
      <c r="K157" t="s">
        <v>8664</v>
      </c>
      <c r="L157" t="s">
        <v>8665</v>
      </c>
    </row>
    <row r="158" spans="1:12" x14ac:dyDescent="0.35">
      <c r="A158" t="s">
        <v>102</v>
      </c>
      <c r="B158" t="s">
        <v>372</v>
      </c>
      <c r="D158">
        <v>33500</v>
      </c>
      <c r="F158" t="s">
        <v>7578</v>
      </c>
      <c r="H158" t="s">
        <v>8010</v>
      </c>
      <c r="I158" t="s">
        <v>2050</v>
      </c>
      <c r="K158" t="s">
        <v>8664</v>
      </c>
      <c r="L158" t="s">
        <v>8665</v>
      </c>
    </row>
    <row r="159" spans="1:12" x14ac:dyDescent="0.35">
      <c r="A159" t="s">
        <v>102</v>
      </c>
      <c r="B159" t="s">
        <v>372</v>
      </c>
      <c r="D159">
        <v>134000</v>
      </c>
      <c r="F159" t="s">
        <v>7579</v>
      </c>
      <c r="H159" t="s">
        <v>8011</v>
      </c>
      <c r="I159" t="s">
        <v>2050</v>
      </c>
      <c r="K159" t="s">
        <v>8664</v>
      </c>
      <c r="L159" t="s">
        <v>8665</v>
      </c>
    </row>
    <row r="160" spans="1:12" x14ac:dyDescent="0.35">
      <c r="A160" t="s">
        <v>102</v>
      </c>
      <c r="B160" t="s">
        <v>175</v>
      </c>
      <c r="D160">
        <v>35000</v>
      </c>
      <c r="F160" t="s">
        <v>7580</v>
      </c>
      <c r="H160" t="s">
        <v>8012</v>
      </c>
      <c r="I160" t="s">
        <v>4906</v>
      </c>
      <c r="K160" t="s">
        <v>8664</v>
      </c>
      <c r="L160" t="s">
        <v>8665</v>
      </c>
    </row>
    <row r="161" spans="1:12" x14ac:dyDescent="0.35">
      <c r="A161" t="s">
        <v>102</v>
      </c>
      <c r="B161" t="s">
        <v>404</v>
      </c>
      <c r="D161">
        <v>42000</v>
      </c>
      <c r="F161" t="s">
        <v>7521</v>
      </c>
      <c r="H161" t="s">
        <v>8013</v>
      </c>
      <c r="I161" t="s">
        <v>4853</v>
      </c>
      <c r="K161" t="s">
        <v>8664</v>
      </c>
      <c r="L161" t="s">
        <v>8665</v>
      </c>
    </row>
    <row r="162" spans="1:12" x14ac:dyDescent="0.35">
      <c r="A162" t="s">
        <v>156</v>
      </c>
      <c r="B162" t="s">
        <v>410</v>
      </c>
      <c r="D162">
        <v>46000</v>
      </c>
      <c r="F162" t="s">
        <v>7526</v>
      </c>
      <c r="I162" t="s">
        <v>1393</v>
      </c>
      <c r="K162" t="s">
        <v>8664</v>
      </c>
      <c r="L162" t="s">
        <v>8665</v>
      </c>
    </row>
    <row r="163" spans="1:12" x14ac:dyDescent="0.35">
      <c r="A163" t="s">
        <v>156</v>
      </c>
      <c r="B163" t="s">
        <v>446</v>
      </c>
      <c r="D163">
        <v>49600</v>
      </c>
      <c r="F163" t="s">
        <v>7581</v>
      </c>
      <c r="H163" t="s">
        <v>8014</v>
      </c>
      <c r="I163" t="s">
        <v>4863</v>
      </c>
      <c r="K163" t="s">
        <v>8664</v>
      </c>
      <c r="L163" t="s">
        <v>8665</v>
      </c>
    </row>
    <row r="164" spans="1:12" x14ac:dyDescent="0.35">
      <c r="A164" t="s">
        <v>156</v>
      </c>
      <c r="B164" t="s">
        <v>6043</v>
      </c>
      <c r="D164">
        <v>85000</v>
      </c>
      <c r="F164" t="s">
        <v>7535</v>
      </c>
      <c r="H164" t="s">
        <v>8015</v>
      </c>
      <c r="I164" t="s">
        <v>1526</v>
      </c>
      <c r="K164" t="s">
        <v>8664</v>
      </c>
      <c r="L164" t="s">
        <v>8665</v>
      </c>
    </row>
    <row r="165" spans="1:12" x14ac:dyDescent="0.35">
      <c r="A165" t="s">
        <v>156</v>
      </c>
      <c r="B165" t="s">
        <v>7407</v>
      </c>
      <c r="D165">
        <v>65000</v>
      </c>
      <c r="F165" t="s">
        <v>7522</v>
      </c>
      <c r="H165" t="s">
        <v>8016</v>
      </c>
      <c r="I165" t="s">
        <v>1354</v>
      </c>
      <c r="K165" t="s">
        <v>8664</v>
      </c>
      <c r="L165" t="s">
        <v>8665</v>
      </c>
    </row>
    <row r="166" spans="1:12" x14ac:dyDescent="0.35">
      <c r="A166" t="s">
        <v>156</v>
      </c>
      <c r="B166" t="s">
        <v>7408</v>
      </c>
      <c r="D166">
        <v>130000</v>
      </c>
      <c r="F166" t="s">
        <v>7512</v>
      </c>
      <c r="I166" t="s">
        <v>1389</v>
      </c>
      <c r="K166" t="s">
        <v>8664</v>
      </c>
      <c r="L166" t="s">
        <v>8665</v>
      </c>
    </row>
    <row r="167" spans="1:12" x14ac:dyDescent="0.35">
      <c r="A167" t="s">
        <v>156</v>
      </c>
      <c r="B167" t="s">
        <v>413</v>
      </c>
      <c r="D167">
        <v>56000</v>
      </c>
      <c r="F167" t="s">
        <v>7476</v>
      </c>
      <c r="H167" t="s">
        <v>8017</v>
      </c>
      <c r="I167" t="s">
        <v>1467</v>
      </c>
      <c r="K167" t="s">
        <v>8664</v>
      </c>
      <c r="L167" t="s">
        <v>8665</v>
      </c>
    </row>
    <row r="168" spans="1:12" x14ac:dyDescent="0.35">
      <c r="A168" t="s">
        <v>156</v>
      </c>
      <c r="B168" t="s">
        <v>413</v>
      </c>
      <c r="D168">
        <v>43000</v>
      </c>
      <c r="F168" t="s">
        <v>7538</v>
      </c>
      <c r="H168" t="s">
        <v>8018</v>
      </c>
      <c r="I168" t="s">
        <v>1467</v>
      </c>
      <c r="K168" t="s">
        <v>8664</v>
      </c>
      <c r="L168" t="s">
        <v>8665</v>
      </c>
    </row>
    <row r="169" spans="1:12" x14ac:dyDescent="0.35">
      <c r="A169" t="s">
        <v>156</v>
      </c>
      <c r="B169" t="s">
        <v>413</v>
      </c>
      <c r="D169">
        <v>180000</v>
      </c>
      <c r="F169" t="s">
        <v>7507</v>
      </c>
      <c r="H169" t="s">
        <v>8019</v>
      </c>
      <c r="I169" t="s">
        <v>1467</v>
      </c>
      <c r="K169" t="s">
        <v>8664</v>
      </c>
      <c r="L169" t="s">
        <v>8665</v>
      </c>
    </row>
    <row r="170" spans="1:12" x14ac:dyDescent="0.35">
      <c r="A170" t="s">
        <v>156</v>
      </c>
      <c r="B170" t="s">
        <v>413</v>
      </c>
      <c r="D170">
        <v>220000</v>
      </c>
      <c r="F170" t="s">
        <v>7478</v>
      </c>
      <c r="H170" t="s">
        <v>8020</v>
      </c>
      <c r="I170" t="s">
        <v>1467</v>
      </c>
      <c r="K170" t="s">
        <v>8664</v>
      </c>
      <c r="L170" t="s">
        <v>8665</v>
      </c>
    </row>
    <row r="171" spans="1:12" x14ac:dyDescent="0.35">
      <c r="A171" t="s">
        <v>156</v>
      </c>
      <c r="B171" t="s">
        <v>7403</v>
      </c>
      <c r="D171">
        <v>48170</v>
      </c>
      <c r="F171" t="s">
        <v>7511</v>
      </c>
      <c r="H171" t="s">
        <v>8021</v>
      </c>
      <c r="I171" t="s">
        <v>2327</v>
      </c>
      <c r="K171" t="s">
        <v>8664</v>
      </c>
      <c r="L171" t="s">
        <v>8665</v>
      </c>
    </row>
    <row r="172" spans="1:12" x14ac:dyDescent="0.35">
      <c r="A172" t="s">
        <v>156</v>
      </c>
      <c r="B172" t="s">
        <v>313</v>
      </c>
      <c r="D172">
        <v>42000</v>
      </c>
      <c r="F172" t="s">
        <v>7521</v>
      </c>
      <c r="H172" t="s">
        <v>8022</v>
      </c>
      <c r="I172" t="s">
        <v>1878</v>
      </c>
      <c r="K172" t="s">
        <v>8664</v>
      </c>
      <c r="L172" t="s">
        <v>8665</v>
      </c>
    </row>
    <row r="173" spans="1:12" x14ac:dyDescent="0.35">
      <c r="A173" t="s">
        <v>156</v>
      </c>
      <c r="B173" t="s">
        <v>414</v>
      </c>
      <c r="D173">
        <v>46420</v>
      </c>
      <c r="F173" t="s">
        <v>7582</v>
      </c>
      <c r="H173" t="s">
        <v>8023</v>
      </c>
      <c r="I173" t="s">
        <v>4859</v>
      </c>
      <c r="K173" t="s">
        <v>8664</v>
      </c>
      <c r="L173" t="s">
        <v>8665</v>
      </c>
    </row>
    <row r="174" spans="1:12" x14ac:dyDescent="0.35">
      <c r="A174" t="s">
        <v>156</v>
      </c>
      <c r="B174" t="s">
        <v>416</v>
      </c>
      <c r="D174">
        <v>98600</v>
      </c>
      <c r="F174" t="s">
        <v>7583</v>
      </c>
      <c r="H174" t="s">
        <v>8024</v>
      </c>
      <c r="I174" t="s">
        <v>4861</v>
      </c>
      <c r="K174" t="s">
        <v>8664</v>
      </c>
      <c r="L174" t="s">
        <v>8665</v>
      </c>
    </row>
    <row r="175" spans="1:12" x14ac:dyDescent="0.35">
      <c r="A175" t="s">
        <v>156</v>
      </c>
      <c r="B175" t="s">
        <v>179</v>
      </c>
      <c r="D175">
        <v>150000</v>
      </c>
      <c r="F175" t="s">
        <v>7449</v>
      </c>
      <c r="H175" t="s">
        <v>8025</v>
      </c>
      <c r="I175" t="s">
        <v>1489</v>
      </c>
      <c r="K175" t="s">
        <v>8664</v>
      </c>
      <c r="L175" t="s">
        <v>8665</v>
      </c>
    </row>
    <row r="176" spans="1:12" x14ac:dyDescent="0.35">
      <c r="A176" t="s">
        <v>156</v>
      </c>
      <c r="B176" t="s">
        <v>179</v>
      </c>
      <c r="D176">
        <v>160000</v>
      </c>
      <c r="F176" t="s">
        <v>7584</v>
      </c>
      <c r="H176" t="s">
        <v>8026</v>
      </c>
      <c r="I176" t="s">
        <v>1489</v>
      </c>
      <c r="K176" t="s">
        <v>8664</v>
      </c>
      <c r="L176" t="s">
        <v>8665</v>
      </c>
    </row>
    <row r="177" spans="1:12" x14ac:dyDescent="0.35">
      <c r="A177" t="s">
        <v>156</v>
      </c>
      <c r="B177" t="s">
        <v>179</v>
      </c>
      <c r="D177">
        <v>90000</v>
      </c>
      <c r="F177" t="s">
        <v>7500</v>
      </c>
      <c r="H177" t="s">
        <v>8027</v>
      </c>
      <c r="I177" t="s">
        <v>1367</v>
      </c>
      <c r="K177" t="s">
        <v>8664</v>
      </c>
      <c r="L177" t="s">
        <v>8665</v>
      </c>
    </row>
    <row r="178" spans="1:12" x14ac:dyDescent="0.35">
      <c r="A178" t="s">
        <v>156</v>
      </c>
      <c r="B178" t="s">
        <v>179</v>
      </c>
      <c r="D178">
        <v>114000</v>
      </c>
      <c r="F178" t="s">
        <v>7585</v>
      </c>
      <c r="H178" t="s">
        <v>8028</v>
      </c>
      <c r="I178" t="s">
        <v>1372</v>
      </c>
      <c r="K178" t="s">
        <v>8664</v>
      </c>
      <c r="L178" t="s">
        <v>8665</v>
      </c>
    </row>
    <row r="179" spans="1:12" x14ac:dyDescent="0.35">
      <c r="A179" t="s">
        <v>156</v>
      </c>
      <c r="B179" t="s">
        <v>179</v>
      </c>
      <c r="D179">
        <v>105000</v>
      </c>
      <c r="F179" t="s">
        <v>7472</v>
      </c>
      <c r="H179" t="s">
        <v>8029</v>
      </c>
      <c r="I179" t="s">
        <v>1379</v>
      </c>
      <c r="K179" t="s">
        <v>8664</v>
      </c>
      <c r="L179" t="s">
        <v>8665</v>
      </c>
    </row>
    <row r="180" spans="1:12" x14ac:dyDescent="0.35">
      <c r="A180" t="s">
        <v>156</v>
      </c>
      <c r="B180" t="s">
        <v>179</v>
      </c>
      <c r="D180">
        <v>52000</v>
      </c>
      <c r="F180" t="s">
        <v>7536</v>
      </c>
      <c r="H180" t="s">
        <v>8030</v>
      </c>
      <c r="I180" t="s">
        <v>1373</v>
      </c>
      <c r="K180" t="s">
        <v>8664</v>
      </c>
      <c r="L180" t="s">
        <v>8665</v>
      </c>
    </row>
    <row r="181" spans="1:12" x14ac:dyDescent="0.35">
      <c r="A181" t="s">
        <v>156</v>
      </c>
      <c r="B181" t="s">
        <v>179</v>
      </c>
      <c r="D181">
        <v>44000</v>
      </c>
      <c r="F181" t="s">
        <v>7514</v>
      </c>
      <c r="H181" t="s">
        <v>8031</v>
      </c>
      <c r="I181" t="s">
        <v>1367</v>
      </c>
      <c r="K181" t="s">
        <v>8664</v>
      </c>
      <c r="L181" t="s">
        <v>8665</v>
      </c>
    </row>
    <row r="182" spans="1:12" x14ac:dyDescent="0.35">
      <c r="A182" t="s">
        <v>156</v>
      </c>
      <c r="B182" t="s">
        <v>179</v>
      </c>
      <c r="D182">
        <v>53000</v>
      </c>
      <c r="F182" t="s">
        <v>7527</v>
      </c>
      <c r="H182" t="s">
        <v>8032</v>
      </c>
      <c r="I182" t="s">
        <v>1477</v>
      </c>
      <c r="K182" t="s">
        <v>8664</v>
      </c>
      <c r="L182" t="s">
        <v>8665</v>
      </c>
    </row>
    <row r="183" spans="1:12" x14ac:dyDescent="0.35">
      <c r="A183" t="s">
        <v>156</v>
      </c>
      <c r="B183" t="s">
        <v>179</v>
      </c>
      <c r="D183">
        <v>107000</v>
      </c>
      <c r="F183" t="s">
        <v>7586</v>
      </c>
      <c r="H183" t="s">
        <v>8033</v>
      </c>
      <c r="I183" t="s">
        <v>1335</v>
      </c>
      <c r="K183" t="s">
        <v>8664</v>
      </c>
      <c r="L183" t="s">
        <v>8665</v>
      </c>
    </row>
    <row r="184" spans="1:12" x14ac:dyDescent="0.35">
      <c r="A184" t="s">
        <v>156</v>
      </c>
      <c r="B184" t="s">
        <v>179</v>
      </c>
      <c r="D184">
        <v>110500</v>
      </c>
      <c r="F184" t="s">
        <v>7587</v>
      </c>
      <c r="H184" t="s">
        <v>8034</v>
      </c>
      <c r="I184" t="s">
        <v>1477</v>
      </c>
      <c r="K184" t="s">
        <v>8664</v>
      </c>
      <c r="L184" t="s">
        <v>8665</v>
      </c>
    </row>
    <row r="185" spans="1:12" x14ac:dyDescent="0.35">
      <c r="A185" t="s">
        <v>156</v>
      </c>
      <c r="B185" t="s">
        <v>179</v>
      </c>
      <c r="D185">
        <v>104500</v>
      </c>
      <c r="F185" t="s">
        <v>7588</v>
      </c>
      <c r="H185" t="s">
        <v>8035</v>
      </c>
      <c r="I185" t="s">
        <v>1373</v>
      </c>
      <c r="K185" t="s">
        <v>8664</v>
      </c>
      <c r="L185" t="s">
        <v>8665</v>
      </c>
    </row>
    <row r="186" spans="1:12" x14ac:dyDescent="0.35">
      <c r="A186" t="s">
        <v>156</v>
      </c>
      <c r="B186" t="s">
        <v>179</v>
      </c>
      <c r="D186">
        <v>110000</v>
      </c>
      <c r="F186" t="s">
        <v>7469</v>
      </c>
      <c r="H186" t="s">
        <v>8036</v>
      </c>
      <c r="I186" t="s">
        <v>1454</v>
      </c>
      <c r="K186" t="s">
        <v>8664</v>
      </c>
      <c r="L186" t="s">
        <v>8665</v>
      </c>
    </row>
    <row r="187" spans="1:12" x14ac:dyDescent="0.35">
      <c r="A187" t="s">
        <v>156</v>
      </c>
      <c r="B187" t="s">
        <v>179</v>
      </c>
      <c r="D187">
        <v>100000</v>
      </c>
      <c r="F187" t="s">
        <v>7468</v>
      </c>
      <c r="H187" t="s">
        <v>8037</v>
      </c>
      <c r="I187" t="s">
        <v>1379</v>
      </c>
      <c r="K187" t="s">
        <v>8664</v>
      </c>
      <c r="L187" t="s">
        <v>8665</v>
      </c>
    </row>
    <row r="188" spans="1:12" x14ac:dyDescent="0.35">
      <c r="A188" t="s">
        <v>156</v>
      </c>
      <c r="B188" t="s">
        <v>179</v>
      </c>
      <c r="D188">
        <v>50000</v>
      </c>
      <c r="F188" t="s">
        <v>7508</v>
      </c>
      <c r="H188" t="s">
        <v>8038</v>
      </c>
      <c r="I188" t="s">
        <v>2327</v>
      </c>
      <c r="K188" t="s">
        <v>8664</v>
      </c>
      <c r="L188" t="s">
        <v>8665</v>
      </c>
    </row>
    <row r="189" spans="1:12" x14ac:dyDescent="0.35">
      <c r="A189" t="s">
        <v>156</v>
      </c>
      <c r="B189" t="s">
        <v>7409</v>
      </c>
      <c r="D189">
        <v>48000</v>
      </c>
      <c r="F189" t="s">
        <v>7589</v>
      </c>
      <c r="H189" t="s">
        <v>8039</v>
      </c>
      <c r="I189" t="s">
        <v>1383</v>
      </c>
      <c r="K189" t="s">
        <v>8664</v>
      </c>
      <c r="L189" t="s">
        <v>8665</v>
      </c>
    </row>
    <row r="190" spans="1:12" x14ac:dyDescent="0.35">
      <c r="A190" t="s">
        <v>156</v>
      </c>
      <c r="B190" t="s">
        <v>313</v>
      </c>
      <c r="D190">
        <v>45000</v>
      </c>
      <c r="F190" t="s">
        <v>7499</v>
      </c>
      <c r="H190" t="s">
        <v>8040</v>
      </c>
      <c r="I190" t="s">
        <v>2051</v>
      </c>
      <c r="K190" t="s">
        <v>8664</v>
      </c>
      <c r="L190" t="s">
        <v>8665</v>
      </c>
    </row>
    <row r="191" spans="1:12" x14ac:dyDescent="0.35">
      <c r="A191" t="s">
        <v>156</v>
      </c>
      <c r="B191" t="s">
        <v>313</v>
      </c>
      <c r="D191">
        <v>91000</v>
      </c>
      <c r="F191" t="s">
        <v>7504</v>
      </c>
      <c r="H191" t="s">
        <v>8041</v>
      </c>
      <c r="I191" t="s">
        <v>2051</v>
      </c>
      <c r="K191" t="s">
        <v>8664</v>
      </c>
      <c r="L191" t="s">
        <v>8665</v>
      </c>
    </row>
    <row r="192" spans="1:12" x14ac:dyDescent="0.35">
      <c r="A192" t="s">
        <v>235</v>
      </c>
      <c r="B192" t="s">
        <v>419</v>
      </c>
      <c r="D192">
        <v>35000</v>
      </c>
      <c r="F192" t="s">
        <v>7580</v>
      </c>
      <c r="H192" t="s">
        <v>8042</v>
      </c>
      <c r="I192" t="s">
        <v>1367</v>
      </c>
      <c r="K192" t="s">
        <v>8664</v>
      </c>
      <c r="L192" t="s">
        <v>8665</v>
      </c>
    </row>
    <row r="193" spans="1:12" x14ac:dyDescent="0.35">
      <c r="A193" t="s">
        <v>235</v>
      </c>
      <c r="B193" t="s">
        <v>419</v>
      </c>
      <c r="D193">
        <v>71000</v>
      </c>
      <c r="F193" t="s">
        <v>7590</v>
      </c>
      <c r="H193" t="s">
        <v>8043</v>
      </c>
      <c r="I193" t="s">
        <v>1367</v>
      </c>
      <c r="K193" t="s">
        <v>8664</v>
      </c>
      <c r="L193" t="s">
        <v>8665</v>
      </c>
    </row>
    <row r="194" spans="1:12" x14ac:dyDescent="0.35">
      <c r="A194" t="s">
        <v>235</v>
      </c>
      <c r="B194" t="s">
        <v>7410</v>
      </c>
      <c r="D194">
        <v>68000</v>
      </c>
      <c r="F194" t="s">
        <v>7448</v>
      </c>
      <c r="H194" t="s">
        <v>8044</v>
      </c>
      <c r="I194" t="s">
        <v>2327</v>
      </c>
      <c r="K194" t="s">
        <v>8664</v>
      </c>
      <c r="L194" t="s">
        <v>8665</v>
      </c>
    </row>
    <row r="195" spans="1:12" x14ac:dyDescent="0.35">
      <c r="A195" t="s">
        <v>235</v>
      </c>
      <c r="B195" t="s">
        <v>7410</v>
      </c>
      <c r="D195">
        <v>86000</v>
      </c>
      <c r="F195" t="s">
        <v>7548</v>
      </c>
      <c r="H195" t="s">
        <v>8044</v>
      </c>
      <c r="I195" t="s">
        <v>2327</v>
      </c>
      <c r="K195" t="s">
        <v>8664</v>
      </c>
      <c r="L195" t="s">
        <v>8665</v>
      </c>
    </row>
    <row r="196" spans="1:12" x14ac:dyDescent="0.35">
      <c r="A196" t="s">
        <v>235</v>
      </c>
      <c r="B196" t="s">
        <v>420</v>
      </c>
      <c r="D196">
        <v>126000</v>
      </c>
      <c r="F196" t="s">
        <v>7591</v>
      </c>
      <c r="H196" t="s">
        <v>8045</v>
      </c>
      <c r="I196" t="s">
        <v>1373</v>
      </c>
      <c r="K196" t="s">
        <v>8664</v>
      </c>
      <c r="L196" t="s">
        <v>8665</v>
      </c>
    </row>
    <row r="197" spans="1:12" x14ac:dyDescent="0.35">
      <c r="A197" t="s">
        <v>235</v>
      </c>
      <c r="B197" t="s">
        <v>7411</v>
      </c>
      <c r="D197">
        <v>152000</v>
      </c>
      <c r="F197" t="s">
        <v>7592</v>
      </c>
      <c r="H197" t="s">
        <v>8046</v>
      </c>
      <c r="I197" t="s">
        <v>1450</v>
      </c>
      <c r="K197" t="s">
        <v>8664</v>
      </c>
      <c r="L197" t="s">
        <v>8665</v>
      </c>
    </row>
    <row r="198" spans="1:12" x14ac:dyDescent="0.35">
      <c r="A198" t="s">
        <v>235</v>
      </c>
      <c r="B198" t="s">
        <v>7411</v>
      </c>
      <c r="D198">
        <v>260000</v>
      </c>
      <c r="F198" t="s">
        <v>7593</v>
      </c>
      <c r="H198" t="s">
        <v>8047</v>
      </c>
      <c r="I198" t="s">
        <v>1450</v>
      </c>
      <c r="K198" t="s">
        <v>8664</v>
      </c>
      <c r="L198" t="s">
        <v>8665</v>
      </c>
    </row>
    <row r="199" spans="1:12" x14ac:dyDescent="0.35">
      <c r="A199" t="s">
        <v>235</v>
      </c>
      <c r="B199" t="s">
        <v>311</v>
      </c>
      <c r="D199">
        <v>160000</v>
      </c>
      <c r="F199" t="s">
        <v>7584</v>
      </c>
      <c r="H199" t="s">
        <v>8048</v>
      </c>
      <c r="I199" t="s">
        <v>1450</v>
      </c>
      <c r="K199" t="s">
        <v>8664</v>
      </c>
      <c r="L199" t="s">
        <v>8665</v>
      </c>
    </row>
    <row r="200" spans="1:12" x14ac:dyDescent="0.35">
      <c r="A200" t="s">
        <v>235</v>
      </c>
      <c r="B200" t="s">
        <v>421</v>
      </c>
      <c r="D200">
        <v>55000</v>
      </c>
      <c r="F200" t="s">
        <v>7473</v>
      </c>
      <c r="I200" t="s">
        <v>1839</v>
      </c>
      <c r="K200" t="s">
        <v>8664</v>
      </c>
      <c r="L200" t="s">
        <v>8665</v>
      </c>
    </row>
    <row r="201" spans="1:12" x14ac:dyDescent="0.35">
      <c r="A201" t="s">
        <v>235</v>
      </c>
      <c r="B201" t="s">
        <v>422</v>
      </c>
      <c r="D201">
        <v>97000</v>
      </c>
      <c r="F201" t="s">
        <v>7520</v>
      </c>
      <c r="H201" t="s">
        <v>8049</v>
      </c>
      <c r="I201" t="s">
        <v>4863</v>
      </c>
      <c r="K201" t="s">
        <v>8664</v>
      </c>
      <c r="L201" t="s">
        <v>8665</v>
      </c>
    </row>
    <row r="202" spans="1:12" x14ac:dyDescent="0.35">
      <c r="A202" t="s">
        <v>235</v>
      </c>
      <c r="B202" t="s">
        <v>422</v>
      </c>
      <c r="D202">
        <v>63000</v>
      </c>
      <c r="F202" t="s">
        <v>7485</v>
      </c>
      <c r="H202" t="s">
        <v>8050</v>
      </c>
      <c r="I202" t="s">
        <v>4863</v>
      </c>
      <c r="K202" t="s">
        <v>8664</v>
      </c>
      <c r="L202" t="s">
        <v>8665</v>
      </c>
    </row>
    <row r="203" spans="1:12" x14ac:dyDescent="0.35">
      <c r="A203" t="s">
        <v>235</v>
      </c>
      <c r="B203" t="s">
        <v>422</v>
      </c>
      <c r="D203">
        <v>55000</v>
      </c>
      <c r="F203" t="s">
        <v>7473</v>
      </c>
      <c r="H203" t="s">
        <v>8049</v>
      </c>
      <c r="I203" t="s">
        <v>4863</v>
      </c>
      <c r="K203" t="s">
        <v>8664</v>
      </c>
      <c r="L203" t="s">
        <v>8665</v>
      </c>
    </row>
    <row r="204" spans="1:12" x14ac:dyDescent="0.35">
      <c r="A204" t="s">
        <v>235</v>
      </c>
      <c r="B204" t="s">
        <v>356</v>
      </c>
      <c r="D204">
        <v>63500</v>
      </c>
      <c r="F204" t="s">
        <v>7594</v>
      </c>
      <c r="H204" t="s">
        <v>8051</v>
      </c>
      <c r="I204" t="s">
        <v>1389</v>
      </c>
      <c r="K204" t="s">
        <v>8664</v>
      </c>
      <c r="L204" t="s">
        <v>8665</v>
      </c>
    </row>
    <row r="205" spans="1:12" x14ac:dyDescent="0.35">
      <c r="A205" t="s">
        <v>235</v>
      </c>
      <c r="B205" t="s">
        <v>356</v>
      </c>
      <c r="D205">
        <v>73000</v>
      </c>
      <c r="F205" t="s">
        <v>7595</v>
      </c>
      <c r="H205" t="s">
        <v>8052</v>
      </c>
      <c r="I205" t="s">
        <v>1383</v>
      </c>
      <c r="K205" t="s">
        <v>8664</v>
      </c>
      <c r="L205" t="s">
        <v>8665</v>
      </c>
    </row>
    <row r="206" spans="1:12" x14ac:dyDescent="0.35">
      <c r="A206" t="s">
        <v>235</v>
      </c>
      <c r="B206" t="s">
        <v>356</v>
      </c>
      <c r="D206">
        <v>64000</v>
      </c>
      <c r="F206" t="s">
        <v>7474</v>
      </c>
      <c r="H206" t="s">
        <v>8053</v>
      </c>
      <c r="I206" t="s">
        <v>1383</v>
      </c>
      <c r="K206" t="s">
        <v>8664</v>
      </c>
      <c r="L206" t="s">
        <v>8665</v>
      </c>
    </row>
    <row r="207" spans="1:12" x14ac:dyDescent="0.35">
      <c r="A207" t="s">
        <v>235</v>
      </c>
      <c r="B207" t="s">
        <v>423</v>
      </c>
      <c r="D207">
        <v>66000</v>
      </c>
      <c r="F207" t="s">
        <v>7479</v>
      </c>
      <c r="H207" t="s">
        <v>8054</v>
      </c>
      <c r="I207" t="s">
        <v>1851</v>
      </c>
      <c r="K207" t="s">
        <v>8664</v>
      </c>
      <c r="L207" t="s">
        <v>8665</v>
      </c>
    </row>
    <row r="208" spans="1:12" x14ac:dyDescent="0.35">
      <c r="A208" t="s">
        <v>235</v>
      </c>
      <c r="B208" t="s">
        <v>423</v>
      </c>
      <c r="D208">
        <v>33000</v>
      </c>
      <c r="F208" t="s">
        <v>7596</v>
      </c>
      <c r="H208" t="s">
        <v>8055</v>
      </c>
      <c r="I208" t="s">
        <v>1851</v>
      </c>
      <c r="K208" t="s">
        <v>8664</v>
      </c>
      <c r="L208" t="s">
        <v>8665</v>
      </c>
    </row>
    <row r="209" spans="1:12" x14ac:dyDescent="0.35">
      <c r="A209" t="s">
        <v>235</v>
      </c>
      <c r="B209" t="s">
        <v>7412</v>
      </c>
      <c r="D209">
        <v>53000</v>
      </c>
      <c r="F209" t="s">
        <v>7527</v>
      </c>
      <c r="H209" t="s">
        <v>8056</v>
      </c>
      <c r="I209" t="s">
        <v>1368</v>
      </c>
      <c r="K209" t="s">
        <v>8664</v>
      </c>
      <c r="L209" t="s">
        <v>8665</v>
      </c>
    </row>
    <row r="210" spans="1:12" x14ac:dyDescent="0.35">
      <c r="A210" t="s">
        <v>235</v>
      </c>
      <c r="B210" t="s">
        <v>424</v>
      </c>
      <c r="D210">
        <v>120000</v>
      </c>
      <c r="F210" t="s">
        <v>7492</v>
      </c>
      <c r="H210" t="s">
        <v>8057</v>
      </c>
      <c r="I210" t="s">
        <v>1467</v>
      </c>
      <c r="K210" t="s">
        <v>8664</v>
      </c>
      <c r="L210" t="s">
        <v>8665</v>
      </c>
    </row>
    <row r="211" spans="1:12" x14ac:dyDescent="0.35">
      <c r="A211" t="s">
        <v>235</v>
      </c>
      <c r="B211" t="s">
        <v>425</v>
      </c>
      <c r="D211">
        <v>85000</v>
      </c>
      <c r="F211" t="s">
        <v>7535</v>
      </c>
      <c r="H211" t="s">
        <v>8058</v>
      </c>
      <c r="I211" t="s">
        <v>1526</v>
      </c>
      <c r="K211" t="s">
        <v>8664</v>
      </c>
      <c r="L211" t="s">
        <v>8665</v>
      </c>
    </row>
    <row r="212" spans="1:12" x14ac:dyDescent="0.35">
      <c r="A212" t="s">
        <v>235</v>
      </c>
      <c r="B212" t="s">
        <v>425</v>
      </c>
      <c r="D212">
        <v>105000</v>
      </c>
      <c r="F212" t="s">
        <v>7472</v>
      </c>
      <c r="H212" t="s">
        <v>8059</v>
      </c>
      <c r="I212" t="s">
        <v>1526</v>
      </c>
      <c r="K212" t="s">
        <v>8664</v>
      </c>
      <c r="L212" t="s">
        <v>8665</v>
      </c>
    </row>
    <row r="213" spans="1:12" x14ac:dyDescent="0.35">
      <c r="A213" t="s">
        <v>235</v>
      </c>
      <c r="B213" t="s">
        <v>426</v>
      </c>
      <c r="D213">
        <v>107000</v>
      </c>
      <c r="F213" t="s">
        <v>7586</v>
      </c>
      <c r="H213" t="s">
        <v>8060</v>
      </c>
      <c r="I213" t="s">
        <v>4894</v>
      </c>
      <c r="K213" t="s">
        <v>8664</v>
      </c>
      <c r="L213" t="s">
        <v>8665</v>
      </c>
    </row>
    <row r="214" spans="1:12" x14ac:dyDescent="0.35">
      <c r="A214" t="s">
        <v>235</v>
      </c>
      <c r="B214" t="s">
        <v>344</v>
      </c>
      <c r="D214">
        <v>150000</v>
      </c>
      <c r="F214" t="s">
        <v>7449</v>
      </c>
      <c r="H214" t="s">
        <v>8061</v>
      </c>
      <c r="I214" t="s">
        <v>1968</v>
      </c>
      <c r="K214" t="s">
        <v>8664</v>
      </c>
      <c r="L214" t="s">
        <v>8665</v>
      </c>
    </row>
    <row r="215" spans="1:12" x14ac:dyDescent="0.35">
      <c r="A215" t="s">
        <v>235</v>
      </c>
      <c r="B215" t="s">
        <v>7413</v>
      </c>
      <c r="D215">
        <v>56000</v>
      </c>
      <c r="F215" t="s">
        <v>7476</v>
      </c>
      <c r="H215" t="s">
        <v>8062</v>
      </c>
      <c r="I215" t="s">
        <v>1390</v>
      </c>
      <c r="K215" t="s">
        <v>8664</v>
      </c>
      <c r="L215" t="s">
        <v>8665</v>
      </c>
    </row>
    <row r="216" spans="1:12" x14ac:dyDescent="0.35">
      <c r="A216" t="s">
        <v>235</v>
      </c>
      <c r="B216" t="s">
        <v>427</v>
      </c>
      <c r="D216">
        <v>110000</v>
      </c>
      <c r="F216" t="s">
        <v>7469</v>
      </c>
      <c r="H216" t="s">
        <v>8063</v>
      </c>
      <c r="I216" t="s">
        <v>1335</v>
      </c>
      <c r="K216" t="s">
        <v>8664</v>
      </c>
      <c r="L216" t="s">
        <v>8665</v>
      </c>
    </row>
    <row r="217" spans="1:12" x14ac:dyDescent="0.35">
      <c r="A217" t="s">
        <v>235</v>
      </c>
      <c r="B217" t="s">
        <v>427</v>
      </c>
      <c r="D217">
        <v>47000</v>
      </c>
      <c r="F217" t="s">
        <v>7550</v>
      </c>
      <c r="H217" t="s">
        <v>8064</v>
      </c>
      <c r="I217" t="s">
        <v>1335</v>
      </c>
      <c r="K217" t="s">
        <v>8664</v>
      </c>
      <c r="L217" t="s">
        <v>8665</v>
      </c>
    </row>
    <row r="218" spans="1:12" x14ac:dyDescent="0.35">
      <c r="A218" t="s">
        <v>235</v>
      </c>
      <c r="B218" t="s">
        <v>427</v>
      </c>
      <c r="D218">
        <v>45000</v>
      </c>
      <c r="F218" t="s">
        <v>7499</v>
      </c>
      <c r="H218" t="s">
        <v>8065</v>
      </c>
      <c r="I218" t="s">
        <v>1335</v>
      </c>
      <c r="K218" t="s">
        <v>8664</v>
      </c>
      <c r="L218" t="s">
        <v>8665</v>
      </c>
    </row>
    <row r="219" spans="1:12" x14ac:dyDescent="0.35">
      <c r="A219" t="s">
        <v>235</v>
      </c>
      <c r="B219" t="s">
        <v>428</v>
      </c>
      <c r="D219">
        <v>42731</v>
      </c>
      <c r="F219" t="s">
        <v>7597</v>
      </c>
      <c r="H219" t="s">
        <v>8066</v>
      </c>
      <c r="I219" t="s">
        <v>1387</v>
      </c>
      <c r="K219" t="s">
        <v>8664</v>
      </c>
      <c r="L219" t="s">
        <v>8665</v>
      </c>
    </row>
    <row r="220" spans="1:12" x14ac:dyDescent="0.35">
      <c r="A220" t="s">
        <v>235</v>
      </c>
      <c r="B220" t="s">
        <v>428</v>
      </c>
      <c r="D220">
        <v>42653</v>
      </c>
      <c r="F220" t="s">
        <v>7598</v>
      </c>
      <c r="H220" t="s">
        <v>8067</v>
      </c>
      <c r="I220" t="s">
        <v>1387</v>
      </c>
      <c r="K220" t="s">
        <v>8664</v>
      </c>
      <c r="L220" t="s">
        <v>8665</v>
      </c>
    </row>
    <row r="221" spans="1:12" x14ac:dyDescent="0.35">
      <c r="A221" t="s">
        <v>235</v>
      </c>
      <c r="B221" t="s">
        <v>7414</v>
      </c>
      <c r="D221">
        <v>46300</v>
      </c>
      <c r="F221" t="s">
        <v>7505</v>
      </c>
      <c r="H221" t="s">
        <v>8068</v>
      </c>
      <c r="I221" t="s">
        <v>1626</v>
      </c>
      <c r="K221" t="s">
        <v>8664</v>
      </c>
      <c r="L221" t="s">
        <v>8665</v>
      </c>
    </row>
    <row r="222" spans="1:12" x14ac:dyDescent="0.35">
      <c r="A222" t="s">
        <v>235</v>
      </c>
      <c r="B222" t="s">
        <v>353</v>
      </c>
      <c r="D222">
        <v>88000</v>
      </c>
      <c r="F222" t="s">
        <v>7519</v>
      </c>
      <c r="H222" t="s">
        <v>8069</v>
      </c>
      <c r="I222" t="s">
        <v>1379</v>
      </c>
      <c r="K222" t="s">
        <v>8664</v>
      </c>
      <c r="L222" t="s">
        <v>8665</v>
      </c>
    </row>
    <row r="223" spans="1:12" x14ac:dyDescent="0.35">
      <c r="A223" t="s">
        <v>235</v>
      </c>
      <c r="B223" t="s">
        <v>353</v>
      </c>
      <c r="D223">
        <v>43000</v>
      </c>
      <c r="F223" t="s">
        <v>7538</v>
      </c>
      <c r="H223" t="s">
        <v>8070</v>
      </c>
      <c r="I223" t="s">
        <v>1533</v>
      </c>
      <c r="K223" t="s">
        <v>8664</v>
      </c>
      <c r="L223" t="s">
        <v>8665</v>
      </c>
    </row>
    <row r="224" spans="1:12" x14ac:dyDescent="0.35">
      <c r="A224" t="s">
        <v>235</v>
      </c>
      <c r="B224" t="s">
        <v>353</v>
      </c>
      <c r="D224">
        <v>43537</v>
      </c>
      <c r="F224" t="s">
        <v>7599</v>
      </c>
      <c r="H224" t="s">
        <v>8071</v>
      </c>
      <c r="I224" t="s">
        <v>8626</v>
      </c>
      <c r="K224" t="s">
        <v>8664</v>
      </c>
      <c r="L224" t="s">
        <v>8665</v>
      </c>
    </row>
    <row r="225" spans="1:12" x14ac:dyDescent="0.35">
      <c r="A225" t="s">
        <v>235</v>
      </c>
      <c r="B225" t="s">
        <v>353</v>
      </c>
      <c r="D225">
        <v>46000</v>
      </c>
      <c r="F225" t="s">
        <v>7526</v>
      </c>
      <c r="H225" t="s">
        <v>8072</v>
      </c>
      <c r="I225" t="s">
        <v>1766</v>
      </c>
      <c r="K225" t="s">
        <v>8664</v>
      </c>
      <c r="L225" t="s">
        <v>8665</v>
      </c>
    </row>
    <row r="226" spans="1:12" x14ac:dyDescent="0.35">
      <c r="A226" t="s">
        <v>235</v>
      </c>
      <c r="B226" t="s">
        <v>353</v>
      </c>
      <c r="D226">
        <v>83000</v>
      </c>
      <c r="F226" t="s">
        <v>7446</v>
      </c>
      <c r="H226" t="s">
        <v>8073</v>
      </c>
      <c r="I226" t="s">
        <v>8627</v>
      </c>
      <c r="K226" t="s">
        <v>8664</v>
      </c>
      <c r="L226" t="s">
        <v>8665</v>
      </c>
    </row>
    <row r="227" spans="1:12" x14ac:dyDescent="0.35">
      <c r="A227" t="s">
        <v>235</v>
      </c>
      <c r="B227" t="s">
        <v>353</v>
      </c>
      <c r="D227">
        <v>90000</v>
      </c>
      <c r="F227" t="s">
        <v>7500</v>
      </c>
      <c r="H227" t="s">
        <v>8074</v>
      </c>
      <c r="I227" t="s">
        <v>8628</v>
      </c>
      <c r="K227" t="s">
        <v>8664</v>
      </c>
      <c r="L227" t="s">
        <v>8665</v>
      </c>
    </row>
    <row r="228" spans="1:12" x14ac:dyDescent="0.35">
      <c r="A228" t="s">
        <v>235</v>
      </c>
      <c r="B228" t="s">
        <v>422</v>
      </c>
      <c r="D228">
        <v>73500</v>
      </c>
      <c r="F228" t="s">
        <v>7600</v>
      </c>
      <c r="H228" t="s">
        <v>8075</v>
      </c>
      <c r="I228" t="s">
        <v>4863</v>
      </c>
      <c r="K228" t="s">
        <v>8664</v>
      </c>
      <c r="L228" t="s">
        <v>8665</v>
      </c>
    </row>
    <row r="229" spans="1:12" x14ac:dyDescent="0.35">
      <c r="A229" t="s">
        <v>235</v>
      </c>
      <c r="B229" t="s">
        <v>422</v>
      </c>
      <c r="D229">
        <v>69500</v>
      </c>
      <c r="F229" t="s">
        <v>7601</v>
      </c>
      <c r="H229" t="s">
        <v>8076</v>
      </c>
      <c r="I229" t="s">
        <v>4863</v>
      </c>
      <c r="K229" t="s">
        <v>8664</v>
      </c>
      <c r="L229" t="s">
        <v>8665</v>
      </c>
    </row>
    <row r="230" spans="1:12" x14ac:dyDescent="0.35">
      <c r="A230" t="s">
        <v>235</v>
      </c>
      <c r="B230" t="s">
        <v>422</v>
      </c>
      <c r="D230">
        <v>56400</v>
      </c>
      <c r="F230" t="s">
        <v>7602</v>
      </c>
      <c r="I230" t="s">
        <v>4863</v>
      </c>
      <c r="K230" t="s">
        <v>8664</v>
      </c>
      <c r="L230" t="s">
        <v>8665</v>
      </c>
    </row>
    <row r="231" spans="1:12" x14ac:dyDescent="0.35">
      <c r="A231" t="s">
        <v>235</v>
      </c>
      <c r="B231" t="s">
        <v>586</v>
      </c>
      <c r="D231">
        <v>43800</v>
      </c>
      <c r="F231" t="s">
        <v>7603</v>
      </c>
      <c r="I231" t="s">
        <v>4868</v>
      </c>
      <c r="K231" t="s">
        <v>8664</v>
      </c>
      <c r="L231" t="s">
        <v>8665</v>
      </c>
    </row>
    <row r="232" spans="1:12" x14ac:dyDescent="0.35">
      <c r="A232" t="s">
        <v>235</v>
      </c>
      <c r="B232" t="s">
        <v>586</v>
      </c>
      <c r="D232">
        <v>44200</v>
      </c>
      <c r="F232" t="s">
        <v>7604</v>
      </c>
      <c r="I232" t="s">
        <v>4868</v>
      </c>
      <c r="K232" t="s">
        <v>8664</v>
      </c>
      <c r="L232" t="s">
        <v>8665</v>
      </c>
    </row>
    <row r="233" spans="1:12" x14ac:dyDescent="0.35">
      <c r="A233" t="s">
        <v>235</v>
      </c>
      <c r="B233" t="s">
        <v>179</v>
      </c>
      <c r="D233">
        <v>100000</v>
      </c>
      <c r="F233" t="s">
        <v>7468</v>
      </c>
      <c r="H233" t="s">
        <v>8077</v>
      </c>
      <c r="I233" t="s">
        <v>1477</v>
      </c>
      <c r="K233" t="s">
        <v>8664</v>
      </c>
      <c r="L233" t="s">
        <v>8665</v>
      </c>
    </row>
    <row r="234" spans="1:12" x14ac:dyDescent="0.35">
      <c r="A234" t="s">
        <v>235</v>
      </c>
      <c r="B234" t="s">
        <v>179</v>
      </c>
      <c r="D234">
        <v>52000</v>
      </c>
      <c r="F234" t="s">
        <v>7536</v>
      </c>
      <c r="H234" t="s">
        <v>8078</v>
      </c>
      <c r="I234" t="s">
        <v>1477</v>
      </c>
      <c r="K234" t="s">
        <v>8664</v>
      </c>
      <c r="L234" t="s">
        <v>8665</v>
      </c>
    </row>
    <row r="235" spans="1:12" x14ac:dyDescent="0.35">
      <c r="A235" t="s">
        <v>235</v>
      </c>
      <c r="B235" t="s">
        <v>429</v>
      </c>
      <c r="D235">
        <v>44000</v>
      </c>
      <c r="F235" t="s">
        <v>7514</v>
      </c>
      <c r="H235" t="s">
        <v>8079</v>
      </c>
      <c r="I235" t="s">
        <v>4895</v>
      </c>
      <c r="K235" t="s">
        <v>8664</v>
      </c>
      <c r="L235" t="s">
        <v>8665</v>
      </c>
    </row>
    <row r="236" spans="1:12" x14ac:dyDescent="0.35">
      <c r="A236" t="s">
        <v>235</v>
      </c>
      <c r="B236" t="s">
        <v>429</v>
      </c>
      <c r="D236">
        <v>92000</v>
      </c>
      <c r="F236" t="s">
        <v>7549</v>
      </c>
      <c r="H236" t="s">
        <v>8080</v>
      </c>
      <c r="I236" t="s">
        <v>4895</v>
      </c>
      <c r="K236" t="s">
        <v>8664</v>
      </c>
      <c r="L236" t="s">
        <v>8665</v>
      </c>
    </row>
    <row r="237" spans="1:12" x14ac:dyDescent="0.35">
      <c r="A237" t="s">
        <v>235</v>
      </c>
      <c r="B237" t="s">
        <v>430</v>
      </c>
      <c r="D237">
        <v>42000</v>
      </c>
      <c r="F237" t="s">
        <v>7521</v>
      </c>
      <c r="H237" t="s">
        <v>8081</v>
      </c>
      <c r="I237" t="s">
        <v>1454</v>
      </c>
      <c r="K237" t="s">
        <v>8664</v>
      </c>
      <c r="L237" t="s">
        <v>8665</v>
      </c>
    </row>
    <row r="238" spans="1:12" x14ac:dyDescent="0.35">
      <c r="A238" t="s">
        <v>235</v>
      </c>
      <c r="B238" t="s">
        <v>375</v>
      </c>
      <c r="D238">
        <v>170000</v>
      </c>
      <c r="F238" t="s">
        <v>7605</v>
      </c>
      <c r="H238" t="s">
        <v>8082</v>
      </c>
      <c r="I238" t="s">
        <v>1518</v>
      </c>
      <c r="K238" t="s">
        <v>8664</v>
      </c>
      <c r="L238" t="s">
        <v>8665</v>
      </c>
    </row>
    <row r="239" spans="1:12" x14ac:dyDescent="0.35">
      <c r="A239" t="s">
        <v>235</v>
      </c>
      <c r="B239" t="s">
        <v>375</v>
      </c>
      <c r="D239">
        <v>84000</v>
      </c>
      <c r="F239" t="s">
        <v>7537</v>
      </c>
      <c r="H239" t="s">
        <v>8083</v>
      </c>
      <c r="I239" t="s">
        <v>1518</v>
      </c>
      <c r="K239" t="s">
        <v>8664</v>
      </c>
      <c r="L239" t="s">
        <v>8665</v>
      </c>
    </row>
    <row r="240" spans="1:12" x14ac:dyDescent="0.35">
      <c r="A240" t="s">
        <v>104</v>
      </c>
      <c r="B240" t="s">
        <v>358</v>
      </c>
      <c r="D240">
        <v>72000</v>
      </c>
      <c r="F240" t="s">
        <v>7475</v>
      </c>
      <c r="H240" t="s">
        <v>8084</v>
      </c>
      <c r="I240" t="s">
        <v>2254</v>
      </c>
      <c r="K240" t="s">
        <v>8664</v>
      </c>
      <c r="L240" t="s">
        <v>8665</v>
      </c>
    </row>
    <row r="241" spans="1:12" x14ac:dyDescent="0.35">
      <c r="A241" t="s">
        <v>104</v>
      </c>
      <c r="B241" t="s">
        <v>432</v>
      </c>
      <c r="D241">
        <v>260000</v>
      </c>
      <c r="F241" t="s">
        <v>7593</v>
      </c>
      <c r="H241" t="s">
        <v>8085</v>
      </c>
      <c r="I241" t="s">
        <v>2393</v>
      </c>
      <c r="K241" t="s">
        <v>8664</v>
      </c>
      <c r="L241" t="s">
        <v>8665</v>
      </c>
    </row>
    <row r="242" spans="1:12" x14ac:dyDescent="0.35">
      <c r="A242" t="s">
        <v>104</v>
      </c>
      <c r="B242" t="s">
        <v>324</v>
      </c>
      <c r="D242">
        <v>71600</v>
      </c>
      <c r="F242" t="s">
        <v>7606</v>
      </c>
      <c r="H242" t="s">
        <v>8086</v>
      </c>
      <c r="I242" t="s">
        <v>2346</v>
      </c>
      <c r="K242" t="s">
        <v>8664</v>
      </c>
      <c r="L242" t="s">
        <v>8665</v>
      </c>
    </row>
    <row r="243" spans="1:12" x14ac:dyDescent="0.35">
      <c r="A243" t="s">
        <v>104</v>
      </c>
      <c r="B243" t="s">
        <v>332</v>
      </c>
      <c r="D243">
        <v>180000</v>
      </c>
      <c r="F243" t="s">
        <v>7507</v>
      </c>
      <c r="H243" t="s">
        <v>8087</v>
      </c>
      <c r="I243" t="s">
        <v>1368</v>
      </c>
      <c r="K243" t="s">
        <v>8664</v>
      </c>
      <c r="L243" t="s">
        <v>8665</v>
      </c>
    </row>
    <row r="244" spans="1:12" x14ac:dyDescent="0.35">
      <c r="A244" t="s">
        <v>104</v>
      </c>
      <c r="B244" t="s">
        <v>178</v>
      </c>
      <c r="D244">
        <v>243000</v>
      </c>
      <c r="F244" t="s">
        <v>7607</v>
      </c>
      <c r="H244" t="s">
        <v>8088</v>
      </c>
      <c r="I244" t="s">
        <v>1752</v>
      </c>
      <c r="K244" t="s">
        <v>8664</v>
      </c>
      <c r="L244" t="s">
        <v>8665</v>
      </c>
    </row>
    <row r="245" spans="1:12" x14ac:dyDescent="0.35">
      <c r="A245" t="s">
        <v>104</v>
      </c>
      <c r="B245" t="s">
        <v>178</v>
      </c>
      <c r="D245">
        <v>249000</v>
      </c>
      <c r="F245" t="s">
        <v>7608</v>
      </c>
      <c r="H245" t="s">
        <v>8089</v>
      </c>
      <c r="I245" t="s">
        <v>1752</v>
      </c>
      <c r="K245" t="s">
        <v>8664</v>
      </c>
      <c r="L245" t="s">
        <v>8665</v>
      </c>
    </row>
    <row r="246" spans="1:12" x14ac:dyDescent="0.35">
      <c r="A246" t="s">
        <v>104</v>
      </c>
      <c r="B246" t="s">
        <v>324</v>
      </c>
      <c r="D246">
        <v>110000</v>
      </c>
      <c r="F246" t="s">
        <v>7469</v>
      </c>
      <c r="H246" t="s">
        <v>8090</v>
      </c>
      <c r="I246" t="s">
        <v>1584</v>
      </c>
      <c r="K246" t="s">
        <v>8664</v>
      </c>
      <c r="L246" t="s">
        <v>8665</v>
      </c>
    </row>
    <row r="247" spans="1:12" x14ac:dyDescent="0.35">
      <c r="A247" t="s">
        <v>104</v>
      </c>
      <c r="B247" t="s">
        <v>324</v>
      </c>
      <c r="D247">
        <v>226000</v>
      </c>
      <c r="F247" t="s">
        <v>7609</v>
      </c>
      <c r="H247" t="s">
        <v>8091</v>
      </c>
      <c r="I247" t="s">
        <v>1584</v>
      </c>
      <c r="K247" t="s">
        <v>8664</v>
      </c>
      <c r="L247" t="s">
        <v>8665</v>
      </c>
    </row>
    <row r="248" spans="1:12" x14ac:dyDescent="0.35">
      <c r="A248" t="s">
        <v>104</v>
      </c>
      <c r="B248" t="s">
        <v>353</v>
      </c>
      <c r="D248">
        <v>83000</v>
      </c>
      <c r="F248" t="s">
        <v>7446</v>
      </c>
      <c r="H248" t="s">
        <v>8092</v>
      </c>
      <c r="I248" t="s">
        <v>4892</v>
      </c>
      <c r="K248" t="s">
        <v>8664</v>
      </c>
      <c r="L248" t="s">
        <v>8665</v>
      </c>
    </row>
    <row r="249" spans="1:12" x14ac:dyDescent="0.35">
      <c r="A249" t="s">
        <v>104</v>
      </c>
      <c r="B249" t="s">
        <v>324</v>
      </c>
      <c r="D249">
        <v>240000</v>
      </c>
      <c r="F249" t="s">
        <v>7610</v>
      </c>
      <c r="H249" t="s">
        <v>8093</v>
      </c>
      <c r="I249" t="s">
        <v>1608</v>
      </c>
      <c r="K249" t="s">
        <v>8664</v>
      </c>
      <c r="L249" t="s">
        <v>8665</v>
      </c>
    </row>
    <row r="250" spans="1:12" x14ac:dyDescent="0.35">
      <c r="A250" t="s">
        <v>104</v>
      </c>
      <c r="B250" t="s">
        <v>324</v>
      </c>
      <c r="D250">
        <v>230000</v>
      </c>
      <c r="F250" t="s">
        <v>7611</v>
      </c>
      <c r="H250" t="s">
        <v>8094</v>
      </c>
      <c r="I250" t="s">
        <v>1450</v>
      </c>
      <c r="K250" t="s">
        <v>8664</v>
      </c>
      <c r="L250" t="s">
        <v>8665</v>
      </c>
    </row>
    <row r="251" spans="1:12" x14ac:dyDescent="0.35">
      <c r="A251" t="s">
        <v>104</v>
      </c>
      <c r="B251" t="s">
        <v>324</v>
      </c>
      <c r="D251">
        <v>460000</v>
      </c>
      <c r="F251" t="s">
        <v>7612</v>
      </c>
      <c r="H251" t="s">
        <v>8095</v>
      </c>
      <c r="I251" t="s">
        <v>1450</v>
      </c>
      <c r="K251" t="s">
        <v>8664</v>
      </c>
      <c r="L251" t="s">
        <v>8665</v>
      </c>
    </row>
    <row r="252" spans="1:12" x14ac:dyDescent="0.35">
      <c r="A252" t="s">
        <v>104</v>
      </c>
      <c r="B252" t="s">
        <v>324</v>
      </c>
      <c r="D252">
        <v>61300</v>
      </c>
      <c r="F252" t="s">
        <v>7613</v>
      </c>
      <c r="H252" t="s">
        <v>8096</v>
      </c>
      <c r="I252" t="s">
        <v>2254</v>
      </c>
      <c r="K252" t="s">
        <v>8664</v>
      </c>
      <c r="L252" t="s">
        <v>8665</v>
      </c>
    </row>
    <row r="253" spans="1:12" x14ac:dyDescent="0.35">
      <c r="A253" t="s">
        <v>104</v>
      </c>
      <c r="B253" t="s">
        <v>324</v>
      </c>
      <c r="D253">
        <v>62000</v>
      </c>
      <c r="F253" t="s">
        <v>7493</v>
      </c>
      <c r="H253" t="s">
        <v>8097</v>
      </c>
      <c r="I253" t="s">
        <v>1526</v>
      </c>
      <c r="K253" t="s">
        <v>8664</v>
      </c>
      <c r="L253" t="s">
        <v>8665</v>
      </c>
    </row>
    <row r="254" spans="1:12" x14ac:dyDescent="0.35">
      <c r="A254" t="s">
        <v>104</v>
      </c>
      <c r="B254" t="s">
        <v>308</v>
      </c>
      <c r="D254">
        <v>90000</v>
      </c>
      <c r="F254" t="s">
        <v>7500</v>
      </c>
      <c r="H254" t="s">
        <v>8098</v>
      </c>
      <c r="I254" t="s">
        <v>1379</v>
      </c>
      <c r="K254" t="s">
        <v>8664</v>
      </c>
      <c r="L254" t="s">
        <v>8665</v>
      </c>
    </row>
    <row r="255" spans="1:12" x14ac:dyDescent="0.35">
      <c r="A255" t="s">
        <v>104</v>
      </c>
      <c r="B255" t="s">
        <v>308</v>
      </c>
      <c r="D255">
        <v>68000</v>
      </c>
      <c r="F255" t="s">
        <v>7448</v>
      </c>
      <c r="H255" t="s">
        <v>8099</v>
      </c>
      <c r="I255" t="s">
        <v>1379</v>
      </c>
      <c r="K255" t="s">
        <v>8664</v>
      </c>
      <c r="L255" t="s">
        <v>8665</v>
      </c>
    </row>
    <row r="256" spans="1:12" x14ac:dyDescent="0.35">
      <c r="A256" t="s">
        <v>104</v>
      </c>
      <c r="B256" t="s">
        <v>311</v>
      </c>
      <c r="D256">
        <v>42000</v>
      </c>
      <c r="F256" t="s">
        <v>7521</v>
      </c>
      <c r="H256" t="s">
        <v>8100</v>
      </c>
      <c r="I256" t="s">
        <v>1851</v>
      </c>
      <c r="K256" t="s">
        <v>8664</v>
      </c>
      <c r="L256" t="s">
        <v>8665</v>
      </c>
    </row>
    <row r="257" spans="1:12" x14ac:dyDescent="0.35">
      <c r="A257" t="s">
        <v>104</v>
      </c>
      <c r="B257" t="s">
        <v>311</v>
      </c>
      <c r="D257">
        <v>105000</v>
      </c>
      <c r="F257" t="s">
        <v>7472</v>
      </c>
      <c r="H257" t="s">
        <v>8101</v>
      </c>
      <c r="I257" t="s">
        <v>4859</v>
      </c>
      <c r="K257" t="s">
        <v>8664</v>
      </c>
      <c r="L257" t="s">
        <v>8665</v>
      </c>
    </row>
    <row r="258" spans="1:12" x14ac:dyDescent="0.35">
      <c r="A258" t="s">
        <v>104</v>
      </c>
      <c r="B258" t="s">
        <v>437</v>
      </c>
      <c r="D258">
        <v>285000</v>
      </c>
      <c r="F258" t="s">
        <v>7614</v>
      </c>
      <c r="H258" t="s">
        <v>8102</v>
      </c>
      <c r="I258" t="s">
        <v>1518</v>
      </c>
      <c r="K258" t="s">
        <v>8664</v>
      </c>
      <c r="L258" t="s">
        <v>8665</v>
      </c>
    </row>
    <row r="259" spans="1:12" x14ac:dyDescent="0.35">
      <c r="A259" t="s">
        <v>104</v>
      </c>
      <c r="B259" t="s">
        <v>437</v>
      </c>
      <c r="D259">
        <v>254000</v>
      </c>
      <c r="F259" t="s">
        <v>7615</v>
      </c>
      <c r="H259" t="s">
        <v>8103</v>
      </c>
      <c r="I259" t="s">
        <v>1509</v>
      </c>
      <c r="K259" t="s">
        <v>8664</v>
      </c>
      <c r="L259" t="s">
        <v>8665</v>
      </c>
    </row>
    <row r="260" spans="1:12" x14ac:dyDescent="0.35">
      <c r="A260" t="s">
        <v>104</v>
      </c>
      <c r="B260" t="s">
        <v>322</v>
      </c>
      <c r="D260">
        <v>260000</v>
      </c>
      <c r="F260" t="s">
        <v>7593</v>
      </c>
      <c r="H260" t="s">
        <v>8104</v>
      </c>
      <c r="I260" t="s">
        <v>2051</v>
      </c>
      <c r="K260" t="s">
        <v>8664</v>
      </c>
      <c r="L260" t="s">
        <v>8665</v>
      </c>
    </row>
    <row r="261" spans="1:12" x14ac:dyDescent="0.35">
      <c r="A261" t="s">
        <v>104</v>
      </c>
      <c r="B261" t="s">
        <v>439</v>
      </c>
      <c r="D261">
        <v>710000</v>
      </c>
      <c r="F261" t="s">
        <v>7616</v>
      </c>
      <c r="H261" t="s">
        <v>8105</v>
      </c>
      <c r="I261" t="s">
        <v>2329</v>
      </c>
      <c r="K261" t="s">
        <v>8664</v>
      </c>
      <c r="L261" t="s">
        <v>8665</v>
      </c>
    </row>
    <row r="262" spans="1:12" x14ac:dyDescent="0.35">
      <c r="A262" t="s">
        <v>104</v>
      </c>
      <c r="B262" t="s">
        <v>341</v>
      </c>
      <c r="D262">
        <v>49000</v>
      </c>
      <c r="F262" t="s">
        <v>7617</v>
      </c>
      <c r="H262" t="s">
        <v>8106</v>
      </c>
      <c r="I262" t="s">
        <v>4859</v>
      </c>
      <c r="K262" t="s">
        <v>8664</v>
      </c>
      <c r="L262" t="s">
        <v>8665</v>
      </c>
    </row>
    <row r="263" spans="1:12" x14ac:dyDescent="0.35">
      <c r="A263" t="s">
        <v>104</v>
      </c>
      <c r="B263" t="s">
        <v>357</v>
      </c>
      <c r="D263">
        <v>82000</v>
      </c>
      <c r="F263" t="s">
        <v>7454</v>
      </c>
      <c r="H263" t="s">
        <v>8107</v>
      </c>
      <c r="I263" t="s">
        <v>1317</v>
      </c>
      <c r="K263" t="s">
        <v>8664</v>
      </c>
      <c r="L263" t="s">
        <v>8665</v>
      </c>
    </row>
    <row r="264" spans="1:12" x14ac:dyDescent="0.35">
      <c r="A264" t="s">
        <v>104</v>
      </c>
      <c r="B264" t="s">
        <v>447</v>
      </c>
      <c r="D264">
        <v>480000</v>
      </c>
      <c r="F264" t="s">
        <v>7618</v>
      </c>
      <c r="H264" t="s">
        <v>8108</v>
      </c>
      <c r="I264" t="s">
        <v>4897</v>
      </c>
      <c r="K264" t="s">
        <v>8664</v>
      </c>
      <c r="L264" t="s">
        <v>8665</v>
      </c>
    </row>
    <row r="265" spans="1:12" x14ac:dyDescent="0.35">
      <c r="A265" t="s">
        <v>104</v>
      </c>
      <c r="B265" t="s">
        <v>515</v>
      </c>
      <c r="D265">
        <v>60400</v>
      </c>
      <c r="F265" t="s">
        <v>7619</v>
      </c>
      <c r="H265" t="s">
        <v>8109</v>
      </c>
      <c r="I265" t="s">
        <v>4925</v>
      </c>
      <c r="K265" t="s">
        <v>8664</v>
      </c>
      <c r="L265" t="s">
        <v>8665</v>
      </c>
    </row>
    <row r="266" spans="1:12" x14ac:dyDescent="0.35">
      <c r="A266" t="s">
        <v>104</v>
      </c>
      <c r="B266" t="s">
        <v>450</v>
      </c>
      <c r="D266">
        <v>258000</v>
      </c>
      <c r="F266" t="s">
        <v>7620</v>
      </c>
      <c r="H266" t="s">
        <v>8110</v>
      </c>
      <c r="I266" t="s">
        <v>1383</v>
      </c>
      <c r="K266" t="s">
        <v>8664</v>
      </c>
      <c r="L266" t="s">
        <v>8665</v>
      </c>
    </row>
    <row r="267" spans="1:12" x14ac:dyDescent="0.35">
      <c r="A267" t="s">
        <v>104</v>
      </c>
      <c r="B267" t="s">
        <v>450</v>
      </c>
      <c r="D267">
        <v>64900</v>
      </c>
      <c r="F267" t="s">
        <v>7621</v>
      </c>
      <c r="H267" t="s">
        <v>8111</v>
      </c>
      <c r="I267" t="s">
        <v>1383</v>
      </c>
      <c r="K267" t="s">
        <v>8664</v>
      </c>
      <c r="L267" t="s">
        <v>8665</v>
      </c>
    </row>
    <row r="268" spans="1:12" x14ac:dyDescent="0.35">
      <c r="A268" t="s">
        <v>104</v>
      </c>
      <c r="B268" t="s">
        <v>452</v>
      </c>
      <c r="D268">
        <v>67000</v>
      </c>
      <c r="F268" t="s">
        <v>7622</v>
      </c>
      <c r="H268" t="s">
        <v>8112</v>
      </c>
      <c r="I268" t="s">
        <v>1526</v>
      </c>
      <c r="K268" t="s">
        <v>8664</v>
      </c>
      <c r="L268" t="s">
        <v>8665</v>
      </c>
    </row>
    <row r="269" spans="1:12" x14ac:dyDescent="0.35">
      <c r="A269" t="s">
        <v>104</v>
      </c>
      <c r="B269" t="s">
        <v>455</v>
      </c>
      <c r="D269">
        <v>264000</v>
      </c>
      <c r="F269" t="s">
        <v>7623</v>
      </c>
      <c r="H269" t="s">
        <v>8113</v>
      </c>
      <c r="I269" t="s">
        <v>2050</v>
      </c>
      <c r="K269" t="s">
        <v>8664</v>
      </c>
      <c r="L269" t="s">
        <v>8665</v>
      </c>
    </row>
    <row r="270" spans="1:12" x14ac:dyDescent="0.35">
      <c r="A270" t="s">
        <v>104</v>
      </c>
      <c r="B270" t="s">
        <v>175</v>
      </c>
      <c r="D270">
        <v>257000</v>
      </c>
      <c r="F270" t="s">
        <v>7624</v>
      </c>
      <c r="H270" t="s">
        <v>8114</v>
      </c>
      <c r="I270" t="s">
        <v>1968</v>
      </c>
      <c r="K270" t="s">
        <v>8664</v>
      </c>
      <c r="L270" t="s">
        <v>8665</v>
      </c>
    </row>
    <row r="271" spans="1:12" x14ac:dyDescent="0.35">
      <c r="A271" t="s">
        <v>104</v>
      </c>
      <c r="B271" t="s">
        <v>175</v>
      </c>
      <c r="D271">
        <v>65000</v>
      </c>
      <c r="F271" t="s">
        <v>7522</v>
      </c>
      <c r="H271" t="s">
        <v>8115</v>
      </c>
      <c r="I271" t="s">
        <v>1752</v>
      </c>
      <c r="K271" t="s">
        <v>8664</v>
      </c>
      <c r="L271" t="s">
        <v>8665</v>
      </c>
    </row>
    <row r="272" spans="1:12" x14ac:dyDescent="0.35">
      <c r="A272" t="s">
        <v>104</v>
      </c>
      <c r="B272" t="s">
        <v>175</v>
      </c>
      <c r="D272">
        <v>63000</v>
      </c>
      <c r="F272" t="s">
        <v>7485</v>
      </c>
      <c r="H272" t="s">
        <v>8116</v>
      </c>
      <c r="I272" t="s">
        <v>1449</v>
      </c>
      <c r="K272" t="s">
        <v>8664</v>
      </c>
      <c r="L272" t="s">
        <v>8665</v>
      </c>
    </row>
    <row r="273" spans="1:12" x14ac:dyDescent="0.35">
      <c r="A273" t="s">
        <v>104</v>
      </c>
      <c r="B273" t="s">
        <v>175</v>
      </c>
      <c r="D273">
        <v>64000</v>
      </c>
      <c r="F273" t="s">
        <v>7474</v>
      </c>
      <c r="H273" t="s">
        <v>8117</v>
      </c>
      <c r="I273" t="s">
        <v>2346</v>
      </c>
      <c r="K273" t="s">
        <v>8664</v>
      </c>
      <c r="L273" t="s">
        <v>8665</v>
      </c>
    </row>
    <row r="274" spans="1:12" x14ac:dyDescent="0.35">
      <c r="A274" t="s">
        <v>104</v>
      </c>
      <c r="B274" t="s">
        <v>334</v>
      </c>
      <c r="D274">
        <v>80000</v>
      </c>
      <c r="F274" t="s">
        <v>7513</v>
      </c>
      <c r="H274" t="s">
        <v>8118</v>
      </c>
      <c r="I274" t="s">
        <v>1461</v>
      </c>
      <c r="K274" t="s">
        <v>8664</v>
      </c>
      <c r="L274" t="s">
        <v>8665</v>
      </c>
    </row>
    <row r="275" spans="1:12" x14ac:dyDescent="0.35">
      <c r="A275" t="s">
        <v>104</v>
      </c>
      <c r="B275" t="s">
        <v>334</v>
      </c>
      <c r="D275">
        <v>42500</v>
      </c>
      <c r="F275" t="s">
        <v>7458</v>
      </c>
      <c r="H275" t="s">
        <v>8119</v>
      </c>
      <c r="I275" t="s">
        <v>1461</v>
      </c>
      <c r="K275" t="s">
        <v>8664</v>
      </c>
      <c r="L275" t="s">
        <v>8665</v>
      </c>
    </row>
    <row r="276" spans="1:12" x14ac:dyDescent="0.35">
      <c r="A276" t="s">
        <v>104</v>
      </c>
      <c r="B276" t="s">
        <v>380</v>
      </c>
      <c r="D276">
        <v>227000</v>
      </c>
      <c r="F276" t="s">
        <v>7625</v>
      </c>
      <c r="H276" t="s">
        <v>8120</v>
      </c>
      <c r="I276" t="s">
        <v>1367</v>
      </c>
      <c r="K276" t="s">
        <v>8664</v>
      </c>
      <c r="L276" t="s">
        <v>8665</v>
      </c>
    </row>
    <row r="277" spans="1:12" x14ac:dyDescent="0.35">
      <c r="A277" t="s">
        <v>104</v>
      </c>
      <c r="B277" t="s">
        <v>380</v>
      </c>
      <c r="D277">
        <v>216000</v>
      </c>
      <c r="F277" t="s">
        <v>7626</v>
      </c>
      <c r="H277" t="s">
        <v>8121</v>
      </c>
      <c r="I277" t="s">
        <v>1367</v>
      </c>
      <c r="K277" t="s">
        <v>8664</v>
      </c>
      <c r="L277" t="s">
        <v>8665</v>
      </c>
    </row>
    <row r="278" spans="1:12" x14ac:dyDescent="0.35">
      <c r="A278" t="s">
        <v>104</v>
      </c>
      <c r="B278" t="s">
        <v>7415</v>
      </c>
      <c r="D278">
        <v>70000</v>
      </c>
      <c r="F278" t="s">
        <v>7482</v>
      </c>
      <c r="H278" t="s">
        <v>8122</v>
      </c>
      <c r="I278" t="s">
        <v>1393</v>
      </c>
      <c r="K278" t="s">
        <v>8664</v>
      </c>
      <c r="L278" t="s">
        <v>8665</v>
      </c>
    </row>
    <row r="279" spans="1:12" x14ac:dyDescent="0.35">
      <c r="A279" t="s">
        <v>104</v>
      </c>
      <c r="B279" t="s">
        <v>7415</v>
      </c>
      <c r="D279">
        <v>140000</v>
      </c>
      <c r="F279" t="s">
        <v>7480</v>
      </c>
      <c r="H279" t="s">
        <v>8123</v>
      </c>
      <c r="I279" t="s">
        <v>1393</v>
      </c>
      <c r="K279" t="s">
        <v>8664</v>
      </c>
      <c r="L279" t="s">
        <v>8665</v>
      </c>
    </row>
    <row r="280" spans="1:12" x14ac:dyDescent="0.35">
      <c r="A280" t="s">
        <v>104</v>
      </c>
      <c r="B280" t="s">
        <v>7415</v>
      </c>
      <c r="D280">
        <v>280000</v>
      </c>
      <c r="F280" t="s">
        <v>7571</v>
      </c>
      <c r="H280" t="s">
        <v>8124</v>
      </c>
      <c r="I280" t="s">
        <v>1393</v>
      </c>
      <c r="K280" t="s">
        <v>8664</v>
      </c>
      <c r="L280" t="s">
        <v>8665</v>
      </c>
    </row>
    <row r="281" spans="1:12" x14ac:dyDescent="0.35">
      <c r="A281" t="s">
        <v>104</v>
      </c>
      <c r="B281" t="s">
        <v>7415</v>
      </c>
      <c r="D281">
        <v>248000</v>
      </c>
      <c r="F281" t="s">
        <v>7627</v>
      </c>
      <c r="H281" t="s">
        <v>8125</v>
      </c>
      <c r="I281" t="s">
        <v>1393</v>
      </c>
      <c r="K281" t="s">
        <v>8664</v>
      </c>
      <c r="L281" t="s">
        <v>8665</v>
      </c>
    </row>
    <row r="282" spans="1:12" x14ac:dyDescent="0.35">
      <c r="A282" t="s">
        <v>105</v>
      </c>
      <c r="B282" t="s">
        <v>456</v>
      </c>
      <c r="D282">
        <v>90000</v>
      </c>
      <c r="F282" t="s">
        <v>7500</v>
      </c>
      <c r="H282" t="s">
        <v>8126</v>
      </c>
      <c r="I282" t="s">
        <v>1477</v>
      </c>
      <c r="K282" t="s">
        <v>8664</v>
      </c>
      <c r="L282" t="s">
        <v>8665</v>
      </c>
    </row>
    <row r="283" spans="1:12" x14ac:dyDescent="0.35">
      <c r="A283" t="s">
        <v>105</v>
      </c>
      <c r="B283" t="s">
        <v>456</v>
      </c>
      <c r="D283">
        <v>45000</v>
      </c>
      <c r="F283" t="s">
        <v>7499</v>
      </c>
      <c r="H283" t="s">
        <v>8127</v>
      </c>
      <c r="I283" t="s">
        <v>1477</v>
      </c>
      <c r="K283" t="s">
        <v>8664</v>
      </c>
      <c r="L283" t="s">
        <v>8665</v>
      </c>
    </row>
    <row r="284" spans="1:12" x14ac:dyDescent="0.35">
      <c r="A284" t="s">
        <v>105</v>
      </c>
      <c r="B284" t="s">
        <v>353</v>
      </c>
      <c r="D284">
        <v>45647</v>
      </c>
      <c r="F284" t="s">
        <v>7628</v>
      </c>
      <c r="H284" t="s">
        <v>8128</v>
      </c>
      <c r="I284" t="s">
        <v>1379</v>
      </c>
      <c r="K284" t="s">
        <v>8664</v>
      </c>
      <c r="L284" t="s">
        <v>8665</v>
      </c>
    </row>
    <row r="285" spans="1:12" x14ac:dyDescent="0.35">
      <c r="A285" t="s">
        <v>106</v>
      </c>
      <c r="B285" t="s">
        <v>179</v>
      </c>
      <c r="D285">
        <v>74000</v>
      </c>
      <c r="F285" t="s">
        <v>7483</v>
      </c>
      <c r="H285" t="s">
        <v>8129</v>
      </c>
      <c r="I285" t="s">
        <v>1372</v>
      </c>
      <c r="K285" t="s">
        <v>8664</v>
      </c>
      <c r="L285" t="s">
        <v>8665</v>
      </c>
    </row>
    <row r="286" spans="1:12" x14ac:dyDescent="0.35">
      <c r="A286" t="s">
        <v>106</v>
      </c>
      <c r="B286" t="s">
        <v>179</v>
      </c>
      <c r="D286">
        <v>84000</v>
      </c>
      <c r="F286" t="s">
        <v>7537</v>
      </c>
      <c r="H286" t="s">
        <v>8130</v>
      </c>
      <c r="I286" t="s">
        <v>1317</v>
      </c>
      <c r="K286" t="s">
        <v>8664</v>
      </c>
      <c r="L286" t="s">
        <v>8665</v>
      </c>
    </row>
    <row r="287" spans="1:12" x14ac:dyDescent="0.35">
      <c r="A287" t="s">
        <v>106</v>
      </c>
      <c r="B287" t="s">
        <v>179</v>
      </c>
      <c r="D287">
        <v>83500</v>
      </c>
      <c r="F287" t="s">
        <v>7629</v>
      </c>
      <c r="H287" t="s">
        <v>8131</v>
      </c>
      <c r="I287" t="s">
        <v>1317</v>
      </c>
      <c r="K287" t="s">
        <v>8664</v>
      </c>
      <c r="L287" t="s">
        <v>8665</v>
      </c>
    </row>
    <row r="288" spans="1:12" x14ac:dyDescent="0.35">
      <c r="A288" t="s">
        <v>107</v>
      </c>
      <c r="B288" t="s">
        <v>314</v>
      </c>
      <c r="D288">
        <v>140000</v>
      </c>
      <c r="F288" t="s">
        <v>7480</v>
      </c>
      <c r="H288" t="s">
        <v>8132</v>
      </c>
      <c r="I288" t="s">
        <v>1369</v>
      </c>
      <c r="K288" t="s">
        <v>8664</v>
      </c>
      <c r="L288" t="s">
        <v>8665</v>
      </c>
    </row>
    <row r="289" spans="1:12" x14ac:dyDescent="0.35">
      <c r="A289" t="s">
        <v>107</v>
      </c>
      <c r="B289" t="s">
        <v>314</v>
      </c>
      <c r="D289">
        <v>35000</v>
      </c>
      <c r="F289" t="s">
        <v>7580</v>
      </c>
      <c r="H289" t="s">
        <v>8133</v>
      </c>
      <c r="I289" t="s">
        <v>1369</v>
      </c>
      <c r="K289" t="s">
        <v>8664</v>
      </c>
      <c r="L289" t="s">
        <v>8665</v>
      </c>
    </row>
    <row r="290" spans="1:12" x14ac:dyDescent="0.35">
      <c r="A290" t="s">
        <v>107</v>
      </c>
      <c r="B290" t="s">
        <v>314</v>
      </c>
      <c r="D290">
        <v>28000</v>
      </c>
      <c r="F290" t="s">
        <v>7456</v>
      </c>
      <c r="H290" t="s">
        <v>8134</v>
      </c>
      <c r="I290" t="s">
        <v>1369</v>
      </c>
      <c r="K290" t="s">
        <v>8664</v>
      </c>
      <c r="L290" t="s">
        <v>8665</v>
      </c>
    </row>
    <row r="291" spans="1:12" x14ac:dyDescent="0.35">
      <c r="A291" t="s">
        <v>107</v>
      </c>
      <c r="B291" t="s">
        <v>314</v>
      </c>
      <c r="D291">
        <v>80000</v>
      </c>
      <c r="F291" t="s">
        <v>7513</v>
      </c>
      <c r="H291" t="s">
        <v>8135</v>
      </c>
      <c r="I291" t="s">
        <v>4915</v>
      </c>
      <c r="K291" t="s">
        <v>8664</v>
      </c>
      <c r="L291" t="s">
        <v>8665</v>
      </c>
    </row>
    <row r="292" spans="1:12" x14ac:dyDescent="0.35">
      <c r="A292" t="s">
        <v>107</v>
      </c>
      <c r="B292" t="s">
        <v>333</v>
      </c>
      <c r="D292">
        <v>78000</v>
      </c>
      <c r="F292" t="s">
        <v>7466</v>
      </c>
      <c r="H292" t="s">
        <v>8136</v>
      </c>
      <c r="I292" t="s">
        <v>1841</v>
      </c>
      <c r="K292" t="s">
        <v>8664</v>
      </c>
      <c r="L292" t="s">
        <v>8665</v>
      </c>
    </row>
    <row r="293" spans="1:12" x14ac:dyDescent="0.35">
      <c r="A293" t="s">
        <v>107</v>
      </c>
      <c r="B293" t="s">
        <v>432</v>
      </c>
      <c r="D293">
        <v>34000</v>
      </c>
      <c r="F293" t="s">
        <v>7452</v>
      </c>
      <c r="H293" t="s">
        <v>8137</v>
      </c>
      <c r="I293" t="s">
        <v>1461</v>
      </c>
      <c r="K293" t="s">
        <v>8664</v>
      </c>
      <c r="L293" t="s">
        <v>8665</v>
      </c>
    </row>
    <row r="294" spans="1:12" x14ac:dyDescent="0.35">
      <c r="A294" t="s">
        <v>107</v>
      </c>
      <c r="B294" t="s">
        <v>432</v>
      </c>
      <c r="D294">
        <v>60000</v>
      </c>
      <c r="F294" t="s">
        <v>7481</v>
      </c>
      <c r="H294" t="s">
        <v>8138</v>
      </c>
      <c r="I294" t="s">
        <v>1461</v>
      </c>
      <c r="K294" t="s">
        <v>8664</v>
      </c>
      <c r="L294" t="s">
        <v>8665</v>
      </c>
    </row>
    <row r="295" spans="1:12" x14ac:dyDescent="0.35">
      <c r="A295" t="s">
        <v>107</v>
      </c>
      <c r="B295" t="s">
        <v>457</v>
      </c>
      <c r="D295">
        <v>62000</v>
      </c>
      <c r="F295" t="s">
        <v>7493</v>
      </c>
      <c r="H295" t="s">
        <v>8139</v>
      </c>
      <c r="I295" t="s">
        <v>1367</v>
      </c>
      <c r="K295" t="s">
        <v>8664</v>
      </c>
      <c r="L295" t="s">
        <v>8665</v>
      </c>
    </row>
    <row r="296" spans="1:12" x14ac:dyDescent="0.35">
      <c r="A296" t="s">
        <v>107</v>
      </c>
      <c r="B296" t="s">
        <v>320</v>
      </c>
      <c r="D296">
        <v>73000</v>
      </c>
      <c r="F296" t="s">
        <v>7595</v>
      </c>
      <c r="H296" t="s">
        <v>8140</v>
      </c>
      <c r="I296" t="s">
        <v>2052</v>
      </c>
      <c r="K296" t="s">
        <v>8664</v>
      </c>
      <c r="L296" t="s">
        <v>8665</v>
      </c>
    </row>
    <row r="297" spans="1:12" x14ac:dyDescent="0.35">
      <c r="A297" t="s">
        <v>107</v>
      </c>
      <c r="B297" t="s">
        <v>320</v>
      </c>
      <c r="D297">
        <v>31000</v>
      </c>
      <c r="F297" t="s">
        <v>7498</v>
      </c>
      <c r="H297" t="s">
        <v>8141</v>
      </c>
      <c r="I297" t="s">
        <v>4859</v>
      </c>
      <c r="K297" t="s">
        <v>8664</v>
      </c>
      <c r="L297" t="s">
        <v>8665</v>
      </c>
    </row>
    <row r="298" spans="1:12" x14ac:dyDescent="0.35">
      <c r="A298" t="s">
        <v>107</v>
      </c>
      <c r="B298" t="s">
        <v>458</v>
      </c>
      <c r="D298">
        <v>70000</v>
      </c>
      <c r="F298" t="s">
        <v>7482</v>
      </c>
      <c r="H298" t="s">
        <v>8142</v>
      </c>
      <c r="I298" t="s">
        <v>1851</v>
      </c>
      <c r="K298" t="s">
        <v>8664</v>
      </c>
      <c r="L298" t="s">
        <v>8665</v>
      </c>
    </row>
    <row r="299" spans="1:12" x14ac:dyDescent="0.35">
      <c r="A299" t="s">
        <v>107</v>
      </c>
      <c r="B299" t="s">
        <v>458</v>
      </c>
      <c r="D299">
        <v>100000</v>
      </c>
      <c r="F299" t="s">
        <v>7468</v>
      </c>
      <c r="H299" t="s">
        <v>8143</v>
      </c>
      <c r="I299" t="s">
        <v>1851</v>
      </c>
      <c r="K299" t="s">
        <v>8664</v>
      </c>
      <c r="L299" t="s">
        <v>8665</v>
      </c>
    </row>
    <row r="300" spans="1:12" x14ac:dyDescent="0.35">
      <c r="A300" t="s">
        <v>107</v>
      </c>
      <c r="B300" t="s">
        <v>352</v>
      </c>
      <c r="D300">
        <v>55000</v>
      </c>
      <c r="F300" t="s">
        <v>7473</v>
      </c>
      <c r="H300" t="s">
        <v>7906</v>
      </c>
      <c r="I300" t="s">
        <v>1368</v>
      </c>
      <c r="K300" t="s">
        <v>8664</v>
      </c>
      <c r="L300" t="s">
        <v>8665</v>
      </c>
    </row>
    <row r="301" spans="1:12" x14ac:dyDescent="0.35">
      <c r="A301" t="s">
        <v>107</v>
      </c>
      <c r="B301" t="s">
        <v>352</v>
      </c>
      <c r="D301">
        <v>56000</v>
      </c>
      <c r="F301" t="s">
        <v>7476</v>
      </c>
      <c r="H301" t="s">
        <v>8144</v>
      </c>
      <c r="I301" t="s">
        <v>1317</v>
      </c>
      <c r="K301" t="s">
        <v>8664</v>
      </c>
      <c r="L301" t="s">
        <v>8665</v>
      </c>
    </row>
    <row r="302" spans="1:12" x14ac:dyDescent="0.35">
      <c r="A302" t="s">
        <v>107</v>
      </c>
      <c r="B302" t="s">
        <v>171</v>
      </c>
      <c r="D302">
        <v>41000</v>
      </c>
      <c r="F302" t="s">
        <v>7445</v>
      </c>
      <c r="H302" t="s">
        <v>8145</v>
      </c>
      <c r="I302" t="s">
        <v>4903</v>
      </c>
      <c r="K302" t="s">
        <v>8664</v>
      </c>
      <c r="L302" t="s">
        <v>8665</v>
      </c>
    </row>
    <row r="303" spans="1:12" x14ac:dyDescent="0.35">
      <c r="A303" t="s">
        <v>107</v>
      </c>
      <c r="B303" t="s">
        <v>394</v>
      </c>
      <c r="D303">
        <v>120000</v>
      </c>
      <c r="F303" t="s">
        <v>7492</v>
      </c>
      <c r="H303" t="s">
        <v>8146</v>
      </c>
      <c r="I303" t="s">
        <v>4906</v>
      </c>
      <c r="K303" t="s">
        <v>8664</v>
      </c>
      <c r="L303" t="s">
        <v>8665</v>
      </c>
    </row>
    <row r="304" spans="1:12" x14ac:dyDescent="0.35">
      <c r="A304" t="s">
        <v>107</v>
      </c>
      <c r="B304" t="s">
        <v>394</v>
      </c>
      <c r="D304">
        <v>66000</v>
      </c>
      <c r="F304" t="s">
        <v>7479</v>
      </c>
      <c r="H304" t="s">
        <v>8147</v>
      </c>
      <c r="I304" t="s">
        <v>4906</v>
      </c>
      <c r="K304" t="s">
        <v>8664</v>
      </c>
      <c r="L304" t="s">
        <v>8665</v>
      </c>
    </row>
    <row r="305" spans="1:12" x14ac:dyDescent="0.35">
      <c r="A305" t="s">
        <v>107</v>
      </c>
      <c r="B305" t="s">
        <v>394</v>
      </c>
      <c r="D305">
        <v>57000</v>
      </c>
      <c r="F305" t="s">
        <v>7455</v>
      </c>
      <c r="H305" t="s">
        <v>8147</v>
      </c>
      <c r="I305" t="s">
        <v>4906</v>
      </c>
      <c r="K305" t="s">
        <v>8664</v>
      </c>
      <c r="L305" t="s">
        <v>8665</v>
      </c>
    </row>
    <row r="306" spans="1:12" x14ac:dyDescent="0.35">
      <c r="A306" t="s">
        <v>107</v>
      </c>
      <c r="B306" t="s">
        <v>175</v>
      </c>
      <c r="D306">
        <v>114000</v>
      </c>
      <c r="F306" t="s">
        <v>7585</v>
      </c>
      <c r="H306" t="s">
        <v>8148</v>
      </c>
      <c r="I306" t="s">
        <v>1510</v>
      </c>
      <c r="K306" t="s">
        <v>8664</v>
      </c>
      <c r="L306" t="s">
        <v>8665</v>
      </c>
    </row>
    <row r="307" spans="1:12" x14ac:dyDescent="0.35">
      <c r="A307" t="s">
        <v>107</v>
      </c>
      <c r="B307" t="s">
        <v>175</v>
      </c>
      <c r="D307">
        <v>72000</v>
      </c>
      <c r="F307" t="s">
        <v>7475</v>
      </c>
      <c r="H307" t="s">
        <v>8149</v>
      </c>
      <c r="I307" t="s">
        <v>1518</v>
      </c>
      <c r="K307" t="s">
        <v>8664</v>
      </c>
      <c r="L307" t="s">
        <v>8665</v>
      </c>
    </row>
    <row r="308" spans="1:12" x14ac:dyDescent="0.35">
      <c r="A308" t="s">
        <v>107</v>
      </c>
      <c r="B308" t="s">
        <v>175</v>
      </c>
      <c r="D308">
        <v>32000</v>
      </c>
      <c r="F308" t="s">
        <v>7630</v>
      </c>
      <c r="H308" t="s">
        <v>8149</v>
      </c>
      <c r="I308" t="s">
        <v>1518</v>
      </c>
      <c r="K308" t="s">
        <v>8664</v>
      </c>
      <c r="L308" t="s">
        <v>8665</v>
      </c>
    </row>
    <row r="309" spans="1:12" x14ac:dyDescent="0.35">
      <c r="A309" t="s">
        <v>107</v>
      </c>
      <c r="B309" t="s">
        <v>175</v>
      </c>
      <c r="D309">
        <v>75000</v>
      </c>
      <c r="F309" t="s">
        <v>7467</v>
      </c>
      <c r="H309" t="s">
        <v>8150</v>
      </c>
      <c r="I309" t="s">
        <v>1335</v>
      </c>
      <c r="K309" t="s">
        <v>8664</v>
      </c>
      <c r="L309" t="s">
        <v>8665</v>
      </c>
    </row>
    <row r="310" spans="1:12" x14ac:dyDescent="0.35">
      <c r="A310" t="s">
        <v>107</v>
      </c>
      <c r="B310" t="s">
        <v>464</v>
      </c>
      <c r="D310">
        <v>45000</v>
      </c>
      <c r="F310" t="s">
        <v>7499</v>
      </c>
      <c r="H310" t="s">
        <v>8151</v>
      </c>
      <c r="I310" t="s">
        <v>4889</v>
      </c>
      <c r="K310" t="s">
        <v>8664</v>
      </c>
      <c r="L310" t="s">
        <v>8665</v>
      </c>
    </row>
    <row r="311" spans="1:12" x14ac:dyDescent="0.35">
      <c r="A311" t="s">
        <v>107</v>
      </c>
      <c r="B311" t="s">
        <v>465</v>
      </c>
      <c r="D311">
        <v>85000</v>
      </c>
      <c r="F311" t="s">
        <v>7535</v>
      </c>
      <c r="H311" t="s">
        <v>8152</v>
      </c>
      <c r="I311" t="s">
        <v>2323</v>
      </c>
      <c r="K311" t="s">
        <v>8664</v>
      </c>
      <c r="L311" t="s">
        <v>8665</v>
      </c>
    </row>
    <row r="312" spans="1:12" x14ac:dyDescent="0.35">
      <c r="A312" t="s">
        <v>107</v>
      </c>
      <c r="B312" t="s">
        <v>465</v>
      </c>
      <c r="D312">
        <v>220000</v>
      </c>
      <c r="F312" t="s">
        <v>7478</v>
      </c>
      <c r="H312" t="s">
        <v>8153</v>
      </c>
      <c r="I312" t="s">
        <v>2323</v>
      </c>
      <c r="K312" t="s">
        <v>8664</v>
      </c>
      <c r="L312" t="s">
        <v>8665</v>
      </c>
    </row>
    <row r="313" spans="1:12" x14ac:dyDescent="0.35">
      <c r="A313" t="s">
        <v>107</v>
      </c>
      <c r="B313" t="s">
        <v>465</v>
      </c>
      <c r="D313">
        <v>191000</v>
      </c>
      <c r="F313" t="s">
        <v>7631</v>
      </c>
      <c r="H313" t="s">
        <v>8154</v>
      </c>
      <c r="I313" t="s">
        <v>2323</v>
      </c>
      <c r="K313" t="s">
        <v>8664</v>
      </c>
      <c r="L313" t="s">
        <v>8665</v>
      </c>
    </row>
    <row r="314" spans="1:12" x14ac:dyDescent="0.35">
      <c r="A314" t="s">
        <v>107</v>
      </c>
      <c r="B314" t="s">
        <v>317</v>
      </c>
      <c r="D314">
        <v>78300</v>
      </c>
      <c r="F314" t="s">
        <v>7632</v>
      </c>
      <c r="H314" t="s">
        <v>8155</v>
      </c>
      <c r="I314" t="s">
        <v>2327</v>
      </c>
      <c r="K314" t="s">
        <v>8664</v>
      </c>
      <c r="L314" t="s">
        <v>8665</v>
      </c>
    </row>
    <row r="315" spans="1:12" x14ac:dyDescent="0.35">
      <c r="A315" t="s">
        <v>107</v>
      </c>
      <c r="B315" t="s">
        <v>353</v>
      </c>
      <c r="D315">
        <v>58200</v>
      </c>
      <c r="F315" t="s">
        <v>7633</v>
      </c>
      <c r="H315" t="s">
        <v>8156</v>
      </c>
      <c r="I315" t="s">
        <v>2327</v>
      </c>
      <c r="K315" t="s">
        <v>8664</v>
      </c>
      <c r="L315" t="s">
        <v>8665</v>
      </c>
    </row>
    <row r="316" spans="1:12" x14ac:dyDescent="0.35">
      <c r="A316" t="s">
        <v>107</v>
      </c>
      <c r="B316" t="s">
        <v>179</v>
      </c>
      <c r="D316">
        <v>72600</v>
      </c>
      <c r="F316" t="s">
        <v>7634</v>
      </c>
      <c r="H316" t="s">
        <v>8157</v>
      </c>
      <c r="I316" t="s">
        <v>2327</v>
      </c>
      <c r="K316" t="s">
        <v>8664</v>
      </c>
      <c r="L316" t="s">
        <v>8665</v>
      </c>
    </row>
    <row r="317" spans="1:12" x14ac:dyDescent="0.35">
      <c r="A317" t="s">
        <v>107</v>
      </c>
      <c r="B317" t="s">
        <v>179</v>
      </c>
      <c r="D317">
        <v>30600</v>
      </c>
      <c r="F317" t="s">
        <v>7635</v>
      </c>
      <c r="H317" t="s">
        <v>8157</v>
      </c>
      <c r="I317" t="s">
        <v>2327</v>
      </c>
      <c r="K317" t="s">
        <v>8664</v>
      </c>
      <c r="L317" t="s">
        <v>8665</v>
      </c>
    </row>
    <row r="318" spans="1:12" x14ac:dyDescent="0.35">
      <c r="A318" t="s">
        <v>107</v>
      </c>
      <c r="B318" t="s">
        <v>328</v>
      </c>
      <c r="D318">
        <v>74000</v>
      </c>
      <c r="F318" t="s">
        <v>7483</v>
      </c>
      <c r="H318" t="s">
        <v>8158</v>
      </c>
      <c r="I318" t="s">
        <v>1489</v>
      </c>
      <c r="K318" t="s">
        <v>8664</v>
      </c>
      <c r="L318" t="s">
        <v>8665</v>
      </c>
    </row>
    <row r="319" spans="1:12" x14ac:dyDescent="0.35">
      <c r="A319" t="s">
        <v>107</v>
      </c>
      <c r="B319" t="s">
        <v>328</v>
      </c>
      <c r="D319">
        <v>104000</v>
      </c>
      <c r="F319" t="s">
        <v>7636</v>
      </c>
      <c r="I319" t="s">
        <v>1477</v>
      </c>
      <c r="K319" t="s">
        <v>8664</v>
      </c>
      <c r="L319" t="s">
        <v>8665</v>
      </c>
    </row>
    <row r="320" spans="1:12" x14ac:dyDescent="0.35">
      <c r="A320" t="s">
        <v>107</v>
      </c>
      <c r="B320" t="s">
        <v>328</v>
      </c>
      <c r="D320">
        <v>25000</v>
      </c>
      <c r="F320" t="s">
        <v>7637</v>
      </c>
      <c r="H320" t="s">
        <v>8159</v>
      </c>
      <c r="I320" t="s">
        <v>1335</v>
      </c>
      <c r="K320" t="s">
        <v>8664</v>
      </c>
      <c r="L320" t="s">
        <v>8665</v>
      </c>
    </row>
    <row r="321" spans="1:12" x14ac:dyDescent="0.35">
      <c r="A321" t="s">
        <v>107</v>
      </c>
      <c r="B321" t="s">
        <v>328</v>
      </c>
      <c r="D321">
        <v>27700</v>
      </c>
      <c r="F321" t="s">
        <v>7638</v>
      </c>
      <c r="H321" t="s">
        <v>8160</v>
      </c>
      <c r="I321" t="s">
        <v>8629</v>
      </c>
      <c r="K321" t="s">
        <v>8664</v>
      </c>
      <c r="L321" t="s">
        <v>8665</v>
      </c>
    </row>
    <row r="322" spans="1:12" x14ac:dyDescent="0.35">
      <c r="A322" t="s">
        <v>107</v>
      </c>
      <c r="B322" t="s">
        <v>328</v>
      </c>
      <c r="D322">
        <v>24000</v>
      </c>
      <c r="F322" t="s">
        <v>7639</v>
      </c>
      <c r="H322" t="s">
        <v>8158</v>
      </c>
      <c r="I322" t="s">
        <v>1489</v>
      </c>
      <c r="K322" t="s">
        <v>8664</v>
      </c>
      <c r="L322" t="s">
        <v>8665</v>
      </c>
    </row>
    <row r="323" spans="1:12" x14ac:dyDescent="0.35">
      <c r="A323" t="s">
        <v>107</v>
      </c>
      <c r="B323" t="s">
        <v>328</v>
      </c>
      <c r="D323">
        <v>30548</v>
      </c>
      <c r="F323" t="s">
        <v>7640</v>
      </c>
      <c r="H323" t="s">
        <v>8161</v>
      </c>
      <c r="I323" t="s">
        <v>1354</v>
      </c>
      <c r="K323" t="s">
        <v>8664</v>
      </c>
      <c r="L323" t="s">
        <v>8665</v>
      </c>
    </row>
    <row r="324" spans="1:12" x14ac:dyDescent="0.35">
      <c r="A324" t="s">
        <v>107</v>
      </c>
      <c r="B324" t="s">
        <v>354</v>
      </c>
      <c r="D324">
        <v>77500</v>
      </c>
      <c r="F324" t="s">
        <v>7641</v>
      </c>
      <c r="H324" t="s">
        <v>8162</v>
      </c>
      <c r="I324" t="s">
        <v>2327</v>
      </c>
      <c r="K324" t="s">
        <v>8664</v>
      </c>
      <c r="L324" t="s">
        <v>8665</v>
      </c>
    </row>
    <row r="325" spans="1:12" x14ac:dyDescent="0.35">
      <c r="A325" t="s">
        <v>107</v>
      </c>
      <c r="B325" t="s">
        <v>178</v>
      </c>
      <c r="D325">
        <v>106000</v>
      </c>
      <c r="F325" t="s">
        <v>7642</v>
      </c>
      <c r="H325" t="s">
        <v>8163</v>
      </c>
      <c r="I325" t="s">
        <v>4914</v>
      </c>
      <c r="K325" t="s">
        <v>8664</v>
      </c>
      <c r="L325" t="s">
        <v>8665</v>
      </c>
    </row>
    <row r="326" spans="1:12" x14ac:dyDescent="0.35">
      <c r="A326" t="s">
        <v>107</v>
      </c>
      <c r="B326" t="s">
        <v>178</v>
      </c>
      <c r="D326">
        <v>60000</v>
      </c>
      <c r="F326" t="s">
        <v>7481</v>
      </c>
      <c r="H326" t="s">
        <v>8164</v>
      </c>
      <c r="I326" t="s">
        <v>4899</v>
      </c>
      <c r="K326" t="s">
        <v>8664</v>
      </c>
      <c r="L326" t="s">
        <v>8665</v>
      </c>
    </row>
    <row r="327" spans="1:12" x14ac:dyDescent="0.35">
      <c r="A327" t="s">
        <v>107</v>
      </c>
      <c r="B327" t="s">
        <v>178</v>
      </c>
      <c r="D327">
        <v>59900</v>
      </c>
      <c r="F327" t="s">
        <v>7643</v>
      </c>
      <c r="H327" t="s">
        <v>8165</v>
      </c>
      <c r="I327" t="s">
        <v>2327</v>
      </c>
      <c r="K327" t="s">
        <v>8664</v>
      </c>
      <c r="L327" t="s">
        <v>8665</v>
      </c>
    </row>
    <row r="328" spans="1:12" x14ac:dyDescent="0.35">
      <c r="A328" t="s">
        <v>107</v>
      </c>
      <c r="B328" t="s">
        <v>507</v>
      </c>
      <c r="D328">
        <v>49300</v>
      </c>
      <c r="F328" t="s">
        <v>7644</v>
      </c>
      <c r="H328" t="s">
        <v>8166</v>
      </c>
      <c r="I328" t="s">
        <v>2327</v>
      </c>
      <c r="K328" t="s">
        <v>8664</v>
      </c>
      <c r="L328" t="s">
        <v>8665</v>
      </c>
    </row>
    <row r="329" spans="1:12" x14ac:dyDescent="0.35">
      <c r="A329" t="s">
        <v>107</v>
      </c>
      <c r="B329" t="s">
        <v>7416</v>
      </c>
      <c r="D329">
        <v>78100</v>
      </c>
      <c r="F329" t="s">
        <v>7461</v>
      </c>
      <c r="H329" t="s">
        <v>8167</v>
      </c>
      <c r="I329" t="s">
        <v>2327</v>
      </c>
      <c r="K329" t="s">
        <v>8664</v>
      </c>
      <c r="L329" t="s">
        <v>8665</v>
      </c>
    </row>
    <row r="330" spans="1:12" x14ac:dyDescent="0.35">
      <c r="A330" t="s">
        <v>107</v>
      </c>
      <c r="B330" t="s">
        <v>320</v>
      </c>
      <c r="D330">
        <v>30500</v>
      </c>
      <c r="F330" t="s">
        <v>7645</v>
      </c>
      <c r="H330" t="s">
        <v>8168</v>
      </c>
      <c r="I330" t="s">
        <v>2327</v>
      </c>
      <c r="K330" t="s">
        <v>8664</v>
      </c>
      <c r="L330" t="s">
        <v>8665</v>
      </c>
    </row>
    <row r="331" spans="1:12" x14ac:dyDescent="0.35">
      <c r="A331" t="s">
        <v>107</v>
      </c>
      <c r="B331" t="s">
        <v>320</v>
      </c>
      <c r="D331">
        <v>72700</v>
      </c>
      <c r="F331" t="s">
        <v>7646</v>
      </c>
      <c r="H331" t="s">
        <v>8168</v>
      </c>
      <c r="I331" t="s">
        <v>2327</v>
      </c>
      <c r="K331" t="s">
        <v>8664</v>
      </c>
      <c r="L331" t="s">
        <v>8665</v>
      </c>
    </row>
    <row r="332" spans="1:12" x14ac:dyDescent="0.35">
      <c r="A332" t="s">
        <v>107</v>
      </c>
      <c r="B332" t="s">
        <v>588</v>
      </c>
      <c r="D332">
        <v>71400</v>
      </c>
      <c r="F332" t="s">
        <v>7647</v>
      </c>
      <c r="H332" t="s">
        <v>8169</v>
      </c>
      <c r="I332" t="s">
        <v>2327</v>
      </c>
      <c r="K332" t="s">
        <v>8664</v>
      </c>
      <c r="L332" t="s">
        <v>8665</v>
      </c>
    </row>
    <row r="333" spans="1:12" x14ac:dyDescent="0.35">
      <c r="A333" t="s">
        <v>107</v>
      </c>
      <c r="B333" t="s">
        <v>466</v>
      </c>
      <c r="D333">
        <v>74200</v>
      </c>
      <c r="F333" t="s">
        <v>7648</v>
      </c>
      <c r="H333" t="s">
        <v>8170</v>
      </c>
      <c r="I333" t="s">
        <v>4861</v>
      </c>
      <c r="K333" t="s">
        <v>8664</v>
      </c>
      <c r="L333" t="s">
        <v>8665</v>
      </c>
    </row>
    <row r="334" spans="1:12" x14ac:dyDescent="0.35">
      <c r="A334" t="s">
        <v>107</v>
      </c>
      <c r="B334" t="s">
        <v>175</v>
      </c>
      <c r="D334">
        <v>30700</v>
      </c>
      <c r="F334" t="s">
        <v>7649</v>
      </c>
      <c r="H334" t="s">
        <v>8171</v>
      </c>
      <c r="I334" t="s">
        <v>2327</v>
      </c>
      <c r="K334" t="s">
        <v>8664</v>
      </c>
      <c r="L334" t="s">
        <v>8665</v>
      </c>
    </row>
    <row r="335" spans="1:12" x14ac:dyDescent="0.35">
      <c r="A335" t="s">
        <v>107</v>
      </c>
      <c r="B335" t="s">
        <v>175</v>
      </c>
      <c r="D335">
        <v>72800</v>
      </c>
      <c r="F335" t="s">
        <v>7650</v>
      </c>
      <c r="H335" t="s">
        <v>8171</v>
      </c>
      <c r="I335" t="s">
        <v>2327</v>
      </c>
      <c r="K335" t="s">
        <v>8664</v>
      </c>
      <c r="L335" t="s">
        <v>8665</v>
      </c>
    </row>
    <row r="336" spans="1:12" x14ac:dyDescent="0.35">
      <c r="A336" t="s">
        <v>107</v>
      </c>
      <c r="B336" t="s">
        <v>317</v>
      </c>
      <c r="D336">
        <v>78200</v>
      </c>
      <c r="F336" t="s">
        <v>7651</v>
      </c>
      <c r="I336" t="s">
        <v>4859</v>
      </c>
      <c r="K336" t="s">
        <v>8664</v>
      </c>
      <c r="L336" t="s">
        <v>8665</v>
      </c>
    </row>
    <row r="337" spans="1:12" x14ac:dyDescent="0.35">
      <c r="A337" t="s">
        <v>107</v>
      </c>
      <c r="B337" t="s">
        <v>469</v>
      </c>
      <c r="D337">
        <v>46000</v>
      </c>
      <c r="F337" t="s">
        <v>7526</v>
      </c>
      <c r="H337" t="s">
        <v>8172</v>
      </c>
      <c r="I337" t="s">
        <v>4889</v>
      </c>
      <c r="K337" t="s">
        <v>8664</v>
      </c>
      <c r="L337" t="s">
        <v>8665</v>
      </c>
    </row>
    <row r="338" spans="1:12" x14ac:dyDescent="0.35">
      <c r="A338" t="s">
        <v>107</v>
      </c>
      <c r="B338" t="s">
        <v>472</v>
      </c>
      <c r="D338">
        <v>54500</v>
      </c>
      <c r="F338" t="s">
        <v>7652</v>
      </c>
      <c r="H338" t="s">
        <v>8173</v>
      </c>
      <c r="I338" t="s">
        <v>4917</v>
      </c>
      <c r="K338" t="s">
        <v>8664</v>
      </c>
      <c r="L338" t="s">
        <v>8665</v>
      </c>
    </row>
    <row r="339" spans="1:12" x14ac:dyDescent="0.35">
      <c r="A339" t="s">
        <v>108</v>
      </c>
      <c r="B339" t="s">
        <v>475</v>
      </c>
      <c r="D339">
        <v>85000</v>
      </c>
      <c r="F339" t="s">
        <v>7535</v>
      </c>
      <c r="H339" t="s">
        <v>8174</v>
      </c>
      <c r="I339" t="s">
        <v>1317</v>
      </c>
      <c r="K339" t="s">
        <v>8664</v>
      </c>
      <c r="L339" t="s">
        <v>8665</v>
      </c>
    </row>
    <row r="340" spans="1:12" x14ac:dyDescent="0.35">
      <c r="A340" t="s">
        <v>108</v>
      </c>
      <c r="B340" t="s">
        <v>476</v>
      </c>
      <c r="D340">
        <v>26000</v>
      </c>
      <c r="F340" t="s">
        <v>7497</v>
      </c>
      <c r="H340" t="s">
        <v>8175</v>
      </c>
      <c r="I340" t="s">
        <v>8630</v>
      </c>
      <c r="K340" t="s">
        <v>8664</v>
      </c>
      <c r="L340" t="s">
        <v>8665</v>
      </c>
    </row>
    <row r="341" spans="1:12" x14ac:dyDescent="0.35">
      <c r="A341" t="s">
        <v>108</v>
      </c>
      <c r="B341" t="s">
        <v>476</v>
      </c>
      <c r="D341">
        <v>33000</v>
      </c>
      <c r="F341" t="s">
        <v>7596</v>
      </c>
      <c r="H341" t="s">
        <v>8175</v>
      </c>
      <c r="I341" t="s">
        <v>8630</v>
      </c>
      <c r="K341" t="s">
        <v>8664</v>
      </c>
      <c r="L341" t="s">
        <v>8665</v>
      </c>
    </row>
    <row r="342" spans="1:12" x14ac:dyDescent="0.35">
      <c r="A342" t="s">
        <v>108</v>
      </c>
      <c r="B342" t="s">
        <v>476</v>
      </c>
      <c r="D342">
        <v>120000</v>
      </c>
      <c r="F342" t="s">
        <v>7492</v>
      </c>
      <c r="H342" t="s">
        <v>8176</v>
      </c>
      <c r="I342" t="s">
        <v>8631</v>
      </c>
      <c r="K342" t="s">
        <v>8664</v>
      </c>
      <c r="L342" t="s">
        <v>8665</v>
      </c>
    </row>
    <row r="343" spans="1:12" x14ac:dyDescent="0.35">
      <c r="A343" t="s">
        <v>108</v>
      </c>
      <c r="B343" t="s">
        <v>476</v>
      </c>
      <c r="D343">
        <v>56000</v>
      </c>
      <c r="F343" t="s">
        <v>7476</v>
      </c>
      <c r="H343" t="s">
        <v>8177</v>
      </c>
      <c r="I343" t="s">
        <v>2253</v>
      </c>
      <c r="K343" t="s">
        <v>8664</v>
      </c>
      <c r="L343" t="s">
        <v>8665</v>
      </c>
    </row>
    <row r="344" spans="1:12" x14ac:dyDescent="0.35">
      <c r="A344" t="s">
        <v>108</v>
      </c>
      <c r="B344" t="s">
        <v>171</v>
      </c>
      <c r="D344">
        <v>78000</v>
      </c>
      <c r="F344" t="s">
        <v>7466</v>
      </c>
      <c r="H344" t="s">
        <v>8178</v>
      </c>
      <c r="I344" t="s">
        <v>4918</v>
      </c>
      <c r="K344" t="s">
        <v>8664</v>
      </c>
      <c r="L344" t="s">
        <v>8665</v>
      </c>
    </row>
    <row r="345" spans="1:12" x14ac:dyDescent="0.35">
      <c r="A345" t="s">
        <v>108</v>
      </c>
      <c r="B345" t="s">
        <v>394</v>
      </c>
      <c r="D345">
        <v>70000</v>
      </c>
      <c r="F345" t="s">
        <v>7482</v>
      </c>
      <c r="H345" t="s">
        <v>8179</v>
      </c>
      <c r="I345" t="s">
        <v>2326</v>
      </c>
      <c r="K345" t="s">
        <v>8664</v>
      </c>
      <c r="L345" t="s">
        <v>8665</v>
      </c>
    </row>
    <row r="346" spans="1:12" x14ac:dyDescent="0.35">
      <c r="A346" t="s">
        <v>108</v>
      </c>
      <c r="B346" t="s">
        <v>463</v>
      </c>
      <c r="D346">
        <v>88000</v>
      </c>
      <c r="F346" t="s">
        <v>7519</v>
      </c>
      <c r="H346" t="s">
        <v>8180</v>
      </c>
      <c r="I346" t="s">
        <v>2393</v>
      </c>
      <c r="K346" t="s">
        <v>8664</v>
      </c>
      <c r="L346" t="s">
        <v>8665</v>
      </c>
    </row>
    <row r="347" spans="1:12" x14ac:dyDescent="0.35">
      <c r="A347" t="s">
        <v>108</v>
      </c>
      <c r="B347" t="s">
        <v>465</v>
      </c>
      <c r="D347">
        <v>220000</v>
      </c>
      <c r="F347" t="s">
        <v>7478</v>
      </c>
      <c r="H347" t="s">
        <v>8181</v>
      </c>
      <c r="I347" t="s">
        <v>1569</v>
      </c>
      <c r="K347" t="s">
        <v>8664</v>
      </c>
      <c r="L347" t="s">
        <v>8665</v>
      </c>
    </row>
    <row r="348" spans="1:12" x14ac:dyDescent="0.35">
      <c r="A348" t="s">
        <v>108</v>
      </c>
      <c r="B348" t="s">
        <v>465</v>
      </c>
      <c r="D348">
        <v>191000</v>
      </c>
      <c r="F348" t="s">
        <v>7631</v>
      </c>
      <c r="H348" t="s">
        <v>8182</v>
      </c>
      <c r="I348" t="s">
        <v>1569</v>
      </c>
      <c r="K348" t="s">
        <v>8664</v>
      </c>
      <c r="L348" t="s">
        <v>8665</v>
      </c>
    </row>
    <row r="349" spans="1:12" x14ac:dyDescent="0.35">
      <c r="A349" t="s">
        <v>108</v>
      </c>
      <c r="B349" t="s">
        <v>465</v>
      </c>
      <c r="D349">
        <v>85860</v>
      </c>
      <c r="F349" t="s">
        <v>7653</v>
      </c>
      <c r="H349" t="s">
        <v>8183</v>
      </c>
      <c r="I349" t="s">
        <v>1569</v>
      </c>
      <c r="K349" t="s">
        <v>8664</v>
      </c>
      <c r="L349" t="s">
        <v>8665</v>
      </c>
    </row>
    <row r="350" spans="1:12" x14ac:dyDescent="0.35">
      <c r="A350" t="s">
        <v>108</v>
      </c>
      <c r="B350" t="s">
        <v>472</v>
      </c>
      <c r="D350">
        <v>36000</v>
      </c>
      <c r="F350" t="s">
        <v>7491</v>
      </c>
      <c r="H350" t="s">
        <v>8184</v>
      </c>
      <c r="I350" t="s">
        <v>4854</v>
      </c>
      <c r="K350" t="s">
        <v>8664</v>
      </c>
      <c r="L350" t="s">
        <v>8665</v>
      </c>
    </row>
    <row r="351" spans="1:12" x14ac:dyDescent="0.35">
      <c r="A351" t="s">
        <v>108</v>
      </c>
      <c r="B351" t="s">
        <v>467</v>
      </c>
      <c r="D351">
        <v>80000</v>
      </c>
      <c r="F351" t="s">
        <v>7513</v>
      </c>
      <c r="H351" t="s">
        <v>8185</v>
      </c>
      <c r="I351" t="s">
        <v>1966</v>
      </c>
      <c r="K351" t="s">
        <v>8664</v>
      </c>
      <c r="L351" t="s">
        <v>8665</v>
      </c>
    </row>
    <row r="352" spans="1:12" x14ac:dyDescent="0.35">
      <c r="A352" t="s">
        <v>108</v>
      </c>
      <c r="B352" t="s">
        <v>352</v>
      </c>
      <c r="D352">
        <v>152000</v>
      </c>
      <c r="F352" t="s">
        <v>7592</v>
      </c>
      <c r="H352" t="s">
        <v>8186</v>
      </c>
      <c r="I352" t="s">
        <v>1373</v>
      </c>
      <c r="K352" t="s">
        <v>8664</v>
      </c>
      <c r="L352" t="s">
        <v>8665</v>
      </c>
    </row>
    <row r="353" spans="1:12" x14ac:dyDescent="0.35">
      <c r="A353" t="s">
        <v>108</v>
      </c>
      <c r="B353" t="s">
        <v>352</v>
      </c>
      <c r="D353">
        <v>38000</v>
      </c>
      <c r="F353" t="s">
        <v>7463</v>
      </c>
      <c r="H353" t="s">
        <v>8187</v>
      </c>
      <c r="I353" t="s">
        <v>8632</v>
      </c>
      <c r="K353" t="s">
        <v>8664</v>
      </c>
      <c r="L353" t="s">
        <v>8665</v>
      </c>
    </row>
    <row r="354" spans="1:12" x14ac:dyDescent="0.35">
      <c r="A354" t="s">
        <v>108</v>
      </c>
      <c r="B354" t="s">
        <v>469</v>
      </c>
      <c r="D354">
        <v>150000</v>
      </c>
      <c r="F354" t="s">
        <v>7449</v>
      </c>
      <c r="H354" t="s">
        <v>8188</v>
      </c>
      <c r="I354" t="s">
        <v>4891</v>
      </c>
      <c r="K354" t="s">
        <v>8664</v>
      </c>
      <c r="L354" t="s">
        <v>8665</v>
      </c>
    </row>
    <row r="355" spans="1:12" x14ac:dyDescent="0.35">
      <c r="A355" t="s">
        <v>108</v>
      </c>
      <c r="B355" t="s">
        <v>472</v>
      </c>
      <c r="D355">
        <v>74000</v>
      </c>
      <c r="F355" t="s">
        <v>7483</v>
      </c>
      <c r="H355" t="s">
        <v>8189</v>
      </c>
      <c r="I355" t="s">
        <v>2330</v>
      </c>
      <c r="K355" t="s">
        <v>8664</v>
      </c>
      <c r="L355" t="s">
        <v>8665</v>
      </c>
    </row>
    <row r="356" spans="1:12" x14ac:dyDescent="0.35">
      <c r="A356" t="s">
        <v>108</v>
      </c>
      <c r="B356" t="s">
        <v>472</v>
      </c>
      <c r="D356">
        <v>35888</v>
      </c>
      <c r="F356" t="s">
        <v>7654</v>
      </c>
      <c r="H356" t="s">
        <v>8190</v>
      </c>
      <c r="I356" t="s">
        <v>2330</v>
      </c>
      <c r="K356" t="s">
        <v>8664</v>
      </c>
      <c r="L356" t="s">
        <v>8665</v>
      </c>
    </row>
    <row r="357" spans="1:12" x14ac:dyDescent="0.35">
      <c r="A357" t="s">
        <v>108</v>
      </c>
      <c r="B357" t="s">
        <v>327</v>
      </c>
      <c r="D357">
        <v>52352</v>
      </c>
      <c r="F357" t="s">
        <v>7655</v>
      </c>
      <c r="H357" t="s">
        <v>8191</v>
      </c>
      <c r="I357" t="s">
        <v>2345</v>
      </c>
      <c r="K357" t="s">
        <v>8664</v>
      </c>
      <c r="L357" t="s">
        <v>8665</v>
      </c>
    </row>
    <row r="358" spans="1:12" x14ac:dyDescent="0.35">
      <c r="A358" t="s">
        <v>108</v>
      </c>
      <c r="B358" t="s">
        <v>328</v>
      </c>
      <c r="D358">
        <v>118000</v>
      </c>
      <c r="F358" t="s">
        <v>7656</v>
      </c>
      <c r="H358" t="s">
        <v>8192</v>
      </c>
      <c r="I358" t="s">
        <v>1533</v>
      </c>
      <c r="K358" t="s">
        <v>8664</v>
      </c>
      <c r="L358" t="s">
        <v>8665</v>
      </c>
    </row>
    <row r="359" spans="1:12" x14ac:dyDescent="0.35">
      <c r="A359" t="s">
        <v>108</v>
      </c>
      <c r="B359" t="s">
        <v>328</v>
      </c>
      <c r="D359">
        <v>52344</v>
      </c>
      <c r="F359" t="s">
        <v>7657</v>
      </c>
      <c r="H359" t="s">
        <v>8193</v>
      </c>
      <c r="I359" t="s">
        <v>1509</v>
      </c>
      <c r="K359" t="s">
        <v>8664</v>
      </c>
      <c r="L359" t="s">
        <v>8665</v>
      </c>
    </row>
    <row r="360" spans="1:12" x14ac:dyDescent="0.35">
      <c r="A360" t="s">
        <v>108</v>
      </c>
      <c r="B360" t="s">
        <v>328</v>
      </c>
      <c r="D360">
        <v>59000</v>
      </c>
      <c r="F360" t="s">
        <v>7489</v>
      </c>
      <c r="H360" t="s">
        <v>8194</v>
      </c>
      <c r="I360" t="s">
        <v>8633</v>
      </c>
      <c r="K360" t="s">
        <v>8664</v>
      </c>
      <c r="L360" t="s">
        <v>8665</v>
      </c>
    </row>
    <row r="361" spans="1:12" x14ac:dyDescent="0.35">
      <c r="A361" t="s">
        <v>108</v>
      </c>
      <c r="B361" t="s">
        <v>317</v>
      </c>
      <c r="D361">
        <v>60000</v>
      </c>
      <c r="F361" t="s">
        <v>7481</v>
      </c>
      <c r="H361" t="s">
        <v>8195</v>
      </c>
      <c r="I361" t="s">
        <v>1454</v>
      </c>
      <c r="K361" t="s">
        <v>8664</v>
      </c>
      <c r="L361" t="s">
        <v>8665</v>
      </c>
    </row>
    <row r="362" spans="1:12" x14ac:dyDescent="0.35">
      <c r="A362" t="s">
        <v>108</v>
      </c>
      <c r="B362" t="s">
        <v>317</v>
      </c>
      <c r="D362">
        <v>122000</v>
      </c>
      <c r="F362" t="s">
        <v>7658</v>
      </c>
      <c r="H362" t="s">
        <v>8196</v>
      </c>
      <c r="I362" t="s">
        <v>1454</v>
      </c>
      <c r="K362" t="s">
        <v>8664</v>
      </c>
      <c r="L362" t="s">
        <v>8665</v>
      </c>
    </row>
    <row r="363" spans="1:12" x14ac:dyDescent="0.35">
      <c r="A363" t="s">
        <v>108</v>
      </c>
      <c r="B363" t="s">
        <v>473</v>
      </c>
      <c r="D363">
        <v>122000</v>
      </c>
      <c r="F363" t="s">
        <v>7658</v>
      </c>
      <c r="H363" t="s">
        <v>8197</v>
      </c>
      <c r="I363" t="s">
        <v>1467</v>
      </c>
      <c r="K363" t="s">
        <v>8664</v>
      </c>
      <c r="L363" t="s">
        <v>8665</v>
      </c>
    </row>
    <row r="364" spans="1:12" x14ac:dyDescent="0.35">
      <c r="A364" t="s">
        <v>108</v>
      </c>
      <c r="B364" t="s">
        <v>473</v>
      </c>
      <c r="D364">
        <v>61000</v>
      </c>
      <c r="F364" t="s">
        <v>7471</v>
      </c>
      <c r="H364" t="s">
        <v>8198</v>
      </c>
      <c r="I364" t="s">
        <v>1467</v>
      </c>
      <c r="K364" t="s">
        <v>8664</v>
      </c>
      <c r="L364" t="s">
        <v>8665</v>
      </c>
    </row>
    <row r="365" spans="1:12" x14ac:dyDescent="0.35">
      <c r="A365" t="s">
        <v>109</v>
      </c>
      <c r="B365" t="s">
        <v>329</v>
      </c>
      <c r="D365">
        <v>19500</v>
      </c>
      <c r="F365" t="s">
        <v>7659</v>
      </c>
      <c r="H365" t="s">
        <v>8199</v>
      </c>
      <c r="I365" t="s">
        <v>1878</v>
      </c>
      <c r="K365" t="s">
        <v>8664</v>
      </c>
      <c r="L365" t="s">
        <v>8665</v>
      </c>
    </row>
    <row r="366" spans="1:12" x14ac:dyDescent="0.35">
      <c r="A366" t="s">
        <v>109</v>
      </c>
      <c r="B366" t="s">
        <v>473</v>
      </c>
      <c r="D366">
        <v>21900</v>
      </c>
      <c r="F366" t="s">
        <v>7660</v>
      </c>
      <c r="H366" t="s">
        <v>8200</v>
      </c>
      <c r="I366" t="s">
        <v>4928</v>
      </c>
      <c r="K366" t="s">
        <v>8664</v>
      </c>
      <c r="L366" t="s">
        <v>8665</v>
      </c>
    </row>
    <row r="367" spans="1:12" x14ac:dyDescent="0.35">
      <c r="A367" t="s">
        <v>109</v>
      </c>
      <c r="B367" t="s">
        <v>332</v>
      </c>
      <c r="D367">
        <v>23100</v>
      </c>
      <c r="F367" t="s">
        <v>7661</v>
      </c>
      <c r="H367" t="s">
        <v>8201</v>
      </c>
      <c r="I367" t="s">
        <v>2327</v>
      </c>
      <c r="K367" t="s">
        <v>8664</v>
      </c>
      <c r="L367" t="s">
        <v>8665</v>
      </c>
    </row>
    <row r="368" spans="1:12" x14ac:dyDescent="0.35">
      <c r="A368" t="s">
        <v>109</v>
      </c>
      <c r="B368" t="s">
        <v>6054</v>
      </c>
      <c r="D368">
        <v>23000</v>
      </c>
      <c r="F368" t="s">
        <v>7662</v>
      </c>
      <c r="H368" t="s">
        <v>8202</v>
      </c>
      <c r="I368" t="s">
        <v>1766</v>
      </c>
      <c r="K368" t="s">
        <v>8664</v>
      </c>
      <c r="L368" t="s">
        <v>8665</v>
      </c>
    </row>
    <row r="369" spans="1:12" x14ac:dyDescent="0.35">
      <c r="A369" t="s">
        <v>109</v>
      </c>
      <c r="B369" t="s">
        <v>412</v>
      </c>
      <c r="D369">
        <v>100000</v>
      </c>
      <c r="F369" t="s">
        <v>7468</v>
      </c>
      <c r="H369" t="s">
        <v>8203</v>
      </c>
      <c r="I369" t="s">
        <v>1335</v>
      </c>
      <c r="K369" t="s">
        <v>8664</v>
      </c>
      <c r="L369" t="s">
        <v>8665</v>
      </c>
    </row>
    <row r="370" spans="1:12" x14ac:dyDescent="0.35">
      <c r="A370" t="s">
        <v>109</v>
      </c>
      <c r="B370" t="s">
        <v>412</v>
      </c>
      <c r="D370">
        <v>44000</v>
      </c>
      <c r="F370" t="s">
        <v>7514</v>
      </c>
      <c r="H370" t="s">
        <v>8204</v>
      </c>
      <c r="I370" t="s">
        <v>1335</v>
      </c>
      <c r="K370" t="s">
        <v>8664</v>
      </c>
      <c r="L370" t="s">
        <v>8665</v>
      </c>
    </row>
    <row r="371" spans="1:12" x14ac:dyDescent="0.35">
      <c r="A371" t="s">
        <v>109</v>
      </c>
      <c r="B371" t="s">
        <v>513</v>
      </c>
      <c r="D371">
        <v>69000</v>
      </c>
      <c r="F371" t="s">
        <v>7663</v>
      </c>
      <c r="H371" t="s">
        <v>8205</v>
      </c>
      <c r="I371" t="s">
        <v>5465</v>
      </c>
      <c r="K371" t="s">
        <v>8664</v>
      </c>
      <c r="L371" t="s">
        <v>8665</v>
      </c>
    </row>
    <row r="372" spans="1:12" x14ac:dyDescent="0.35">
      <c r="A372" t="s">
        <v>109</v>
      </c>
      <c r="B372" t="s">
        <v>479</v>
      </c>
      <c r="D372">
        <v>62000</v>
      </c>
      <c r="F372" t="s">
        <v>7493</v>
      </c>
      <c r="H372" t="s">
        <v>8206</v>
      </c>
      <c r="I372" t="s">
        <v>1707</v>
      </c>
      <c r="K372" t="s">
        <v>8664</v>
      </c>
      <c r="L372" t="s">
        <v>8665</v>
      </c>
    </row>
    <row r="373" spans="1:12" x14ac:dyDescent="0.35">
      <c r="A373" t="s">
        <v>109</v>
      </c>
      <c r="B373" t="s">
        <v>479</v>
      </c>
      <c r="D373">
        <v>16000</v>
      </c>
      <c r="F373" t="s">
        <v>7664</v>
      </c>
      <c r="H373" t="s">
        <v>8207</v>
      </c>
      <c r="I373" t="s">
        <v>1707</v>
      </c>
      <c r="K373" t="s">
        <v>8664</v>
      </c>
      <c r="L373" t="s">
        <v>8665</v>
      </c>
    </row>
    <row r="374" spans="1:12" x14ac:dyDescent="0.35">
      <c r="A374" t="s">
        <v>109</v>
      </c>
      <c r="B374" t="s">
        <v>481</v>
      </c>
      <c r="D374">
        <v>29000</v>
      </c>
      <c r="F374" t="s">
        <v>7451</v>
      </c>
      <c r="H374" t="s">
        <v>8208</v>
      </c>
      <c r="I374" t="s">
        <v>1518</v>
      </c>
      <c r="K374" t="s">
        <v>8664</v>
      </c>
      <c r="L374" t="s">
        <v>8665</v>
      </c>
    </row>
    <row r="375" spans="1:12" x14ac:dyDescent="0.35">
      <c r="A375" t="s">
        <v>109</v>
      </c>
      <c r="B375" t="s">
        <v>351</v>
      </c>
      <c r="D375">
        <v>59000</v>
      </c>
      <c r="F375" t="s">
        <v>7489</v>
      </c>
      <c r="H375" t="s">
        <v>8209</v>
      </c>
      <c r="I375" t="s">
        <v>4890</v>
      </c>
      <c r="K375" t="s">
        <v>8664</v>
      </c>
      <c r="L375" t="s">
        <v>8665</v>
      </c>
    </row>
    <row r="376" spans="1:12" x14ac:dyDescent="0.35">
      <c r="A376" t="s">
        <v>109</v>
      </c>
      <c r="B376" t="s">
        <v>351</v>
      </c>
      <c r="D376">
        <v>72000</v>
      </c>
      <c r="F376" t="s">
        <v>7475</v>
      </c>
      <c r="H376" t="s">
        <v>8210</v>
      </c>
      <c r="I376" t="s">
        <v>4890</v>
      </c>
      <c r="K376" t="s">
        <v>8664</v>
      </c>
      <c r="L376" t="s">
        <v>8665</v>
      </c>
    </row>
    <row r="377" spans="1:12" x14ac:dyDescent="0.35">
      <c r="A377" t="s">
        <v>109</v>
      </c>
      <c r="B377" t="s">
        <v>482</v>
      </c>
      <c r="D377">
        <v>70000</v>
      </c>
      <c r="F377" t="s">
        <v>7482</v>
      </c>
      <c r="H377" t="s">
        <v>8211</v>
      </c>
      <c r="I377" t="s">
        <v>2345</v>
      </c>
      <c r="K377" t="s">
        <v>8664</v>
      </c>
      <c r="L377" t="s">
        <v>8665</v>
      </c>
    </row>
    <row r="378" spans="1:12" x14ac:dyDescent="0.35">
      <c r="A378" t="s">
        <v>109</v>
      </c>
      <c r="B378" t="s">
        <v>482</v>
      </c>
      <c r="D378">
        <v>35000</v>
      </c>
      <c r="F378" t="s">
        <v>7580</v>
      </c>
      <c r="H378" t="s">
        <v>8212</v>
      </c>
      <c r="I378" t="s">
        <v>2345</v>
      </c>
      <c r="K378" t="s">
        <v>8664</v>
      </c>
      <c r="L378" t="s">
        <v>8665</v>
      </c>
    </row>
    <row r="379" spans="1:12" x14ac:dyDescent="0.35">
      <c r="A379" t="s">
        <v>109</v>
      </c>
      <c r="B379" t="s">
        <v>7417</v>
      </c>
      <c r="D379">
        <v>20900</v>
      </c>
      <c r="F379" t="s">
        <v>7665</v>
      </c>
      <c r="H379" t="s">
        <v>8213</v>
      </c>
      <c r="I379" t="s">
        <v>1893</v>
      </c>
      <c r="K379" t="s">
        <v>8664</v>
      </c>
      <c r="L379" t="s">
        <v>8665</v>
      </c>
    </row>
    <row r="380" spans="1:12" x14ac:dyDescent="0.35">
      <c r="A380" t="s">
        <v>109</v>
      </c>
      <c r="B380" t="s">
        <v>484</v>
      </c>
      <c r="D380">
        <v>85000</v>
      </c>
      <c r="F380" t="s">
        <v>7535</v>
      </c>
      <c r="H380" t="s">
        <v>8214</v>
      </c>
      <c r="I380" t="s">
        <v>1608</v>
      </c>
      <c r="K380" t="s">
        <v>8664</v>
      </c>
      <c r="L380" t="s">
        <v>8665</v>
      </c>
    </row>
    <row r="381" spans="1:12" x14ac:dyDescent="0.35">
      <c r="A381" t="s">
        <v>109</v>
      </c>
      <c r="B381" t="s">
        <v>7418</v>
      </c>
      <c r="D381">
        <v>26400</v>
      </c>
      <c r="F381" t="s">
        <v>7666</v>
      </c>
      <c r="H381" t="s">
        <v>8215</v>
      </c>
      <c r="I381" t="s">
        <v>4860</v>
      </c>
      <c r="K381" t="s">
        <v>8664</v>
      </c>
      <c r="L381" t="s">
        <v>8665</v>
      </c>
    </row>
    <row r="382" spans="1:12" x14ac:dyDescent="0.35">
      <c r="A382" t="s">
        <v>109</v>
      </c>
      <c r="B382" t="s">
        <v>7419</v>
      </c>
      <c r="D382">
        <v>92000</v>
      </c>
      <c r="F382" t="s">
        <v>7549</v>
      </c>
      <c r="H382" t="s">
        <v>8216</v>
      </c>
      <c r="I382" t="s">
        <v>4892</v>
      </c>
      <c r="K382" t="s">
        <v>8664</v>
      </c>
      <c r="L382" t="s">
        <v>8665</v>
      </c>
    </row>
    <row r="383" spans="1:12" x14ac:dyDescent="0.35">
      <c r="A383" t="s">
        <v>109</v>
      </c>
      <c r="B383" t="s">
        <v>320</v>
      </c>
      <c r="D383">
        <v>19000</v>
      </c>
      <c r="F383" t="s">
        <v>7667</v>
      </c>
      <c r="H383" t="s">
        <v>8217</v>
      </c>
      <c r="I383" t="s">
        <v>4883</v>
      </c>
      <c r="K383" t="s">
        <v>8664</v>
      </c>
      <c r="L383" t="s">
        <v>8665</v>
      </c>
    </row>
    <row r="384" spans="1:12" x14ac:dyDescent="0.35">
      <c r="A384" t="s">
        <v>109</v>
      </c>
      <c r="B384" t="s">
        <v>473</v>
      </c>
      <c r="D384">
        <v>22000</v>
      </c>
      <c r="F384" t="s">
        <v>7668</v>
      </c>
      <c r="H384" t="s">
        <v>8185</v>
      </c>
      <c r="I384" t="s">
        <v>1966</v>
      </c>
      <c r="K384" t="s">
        <v>8664</v>
      </c>
      <c r="L384" t="s">
        <v>8665</v>
      </c>
    </row>
    <row r="385" spans="1:12" x14ac:dyDescent="0.35">
      <c r="A385" t="s">
        <v>109</v>
      </c>
      <c r="B385" t="s">
        <v>473</v>
      </c>
      <c r="D385">
        <v>21800</v>
      </c>
      <c r="F385" t="s">
        <v>7669</v>
      </c>
      <c r="H385" t="s">
        <v>8218</v>
      </c>
      <c r="I385" t="s">
        <v>1966</v>
      </c>
      <c r="K385" t="s">
        <v>8664</v>
      </c>
      <c r="L385" t="s">
        <v>8665</v>
      </c>
    </row>
    <row r="386" spans="1:12" x14ac:dyDescent="0.35">
      <c r="A386" t="s">
        <v>109</v>
      </c>
      <c r="B386" t="s">
        <v>473</v>
      </c>
      <c r="D386">
        <v>21510</v>
      </c>
      <c r="F386" t="s">
        <v>7670</v>
      </c>
      <c r="H386" t="s">
        <v>8219</v>
      </c>
      <c r="I386" t="s">
        <v>1966</v>
      </c>
      <c r="K386" t="s">
        <v>8664</v>
      </c>
      <c r="L386" t="s">
        <v>8665</v>
      </c>
    </row>
    <row r="387" spans="1:12" x14ac:dyDescent="0.35">
      <c r="A387" t="s">
        <v>109</v>
      </c>
      <c r="B387" t="s">
        <v>508</v>
      </c>
      <c r="D387">
        <v>19400</v>
      </c>
      <c r="F387" t="s">
        <v>7671</v>
      </c>
      <c r="H387" t="s">
        <v>8220</v>
      </c>
      <c r="I387" t="s">
        <v>4897</v>
      </c>
      <c r="K387" t="s">
        <v>8664</v>
      </c>
      <c r="L387" t="s">
        <v>8665</v>
      </c>
    </row>
    <row r="388" spans="1:12" x14ac:dyDescent="0.35">
      <c r="A388" t="s">
        <v>109</v>
      </c>
      <c r="B388" t="s">
        <v>175</v>
      </c>
      <c r="D388">
        <v>90000</v>
      </c>
      <c r="F388" t="s">
        <v>7500</v>
      </c>
      <c r="H388" t="s">
        <v>8221</v>
      </c>
      <c r="I388" t="s">
        <v>2258</v>
      </c>
      <c r="K388" t="s">
        <v>8664</v>
      </c>
      <c r="L388" t="s">
        <v>8665</v>
      </c>
    </row>
    <row r="389" spans="1:12" x14ac:dyDescent="0.35">
      <c r="A389" t="s">
        <v>109</v>
      </c>
      <c r="B389" t="s">
        <v>175</v>
      </c>
      <c r="D389">
        <v>75000</v>
      </c>
      <c r="F389" t="s">
        <v>7467</v>
      </c>
      <c r="H389" t="s">
        <v>8222</v>
      </c>
      <c r="I389" t="s">
        <v>8634</v>
      </c>
      <c r="K389" t="s">
        <v>8664</v>
      </c>
      <c r="L389" t="s">
        <v>8665</v>
      </c>
    </row>
    <row r="390" spans="1:12" x14ac:dyDescent="0.35">
      <c r="A390" t="s">
        <v>109</v>
      </c>
      <c r="B390" t="s">
        <v>175</v>
      </c>
      <c r="D390">
        <v>24000</v>
      </c>
      <c r="F390" t="s">
        <v>7639</v>
      </c>
      <c r="H390" t="s">
        <v>8223</v>
      </c>
      <c r="I390" t="s">
        <v>2326</v>
      </c>
      <c r="K390" t="s">
        <v>8664</v>
      </c>
      <c r="L390" t="s">
        <v>8665</v>
      </c>
    </row>
    <row r="391" spans="1:12" x14ac:dyDescent="0.35">
      <c r="A391" t="s">
        <v>109</v>
      </c>
      <c r="B391" t="s">
        <v>175</v>
      </c>
      <c r="D391">
        <v>34000</v>
      </c>
      <c r="F391" t="s">
        <v>7452</v>
      </c>
      <c r="H391" t="s">
        <v>8224</v>
      </c>
      <c r="I391" t="s">
        <v>2326</v>
      </c>
      <c r="K391" t="s">
        <v>8664</v>
      </c>
      <c r="L391" t="s">
        <v>8665</v>
      </c>
    </row>
    <row r="392" spans="1:12" x14ac:dyDescent="0.35">
      <c r="A392" t="s">
        <v>109</v>
      </c>
      <c r="B392" t="s">
        <v>175</v>
      </c>
      <c r="D392">
        <v>20000</v>
      </c>
      <c r="F392" t="s">
        <v>7672</v>
      </c>
      <c r="H392" t="s">
        <v>8225</v>
      </c>
      <c r="I392" t="s">
        <v>8635</v>
      </c>
      <c r="K392" t="s">
        <v>8664</v>
      </c>
      <c r="L392" t="s">
        <v>8665</v>
      </c>
    </row>
    <row r="393" spans="1:12" x14ac:dyDescent="0.35">
      <c r="A393" t="s">
        <v>109</v>
      </c>
      <c r="B393" t="s">
        <v>7420</v>
      </c>
      <c r="D393">
        <v>21350</v>
      </c>
      <c r="F393" t="s">
        <v>7673</v>
      </c>
      <c r="H393" t="s">
        <v>8226</v>
      </c>
      <c r="I393" t="s">
        <v>5253</v>
      </c>
      <c r="K393" t="s">
        <v>8664</v>
      </c>
      <c r="L393" t="s">
        <v>8665</v>
      </c>
    </row>
    <row r="394" spans="1:12" x14ac:dyDescent="0.35">
      <c r="A394" t="s">
        <v>109</v>
      </c>
      <c r="B394" t="s">
        <v>328</v>
      </c>
      <c r="D394">
        <v>88000</v>
      </c>
      <c r="F394" t="s">
        <v>7519</v>
      </c>
      <c r="H394" t="s">
        <v>8227</v>
      </c>
      <c r="I394" t="s">
        <v>4884</v>
      </c>
      <c r="K394" t="s">
        <v>8664</v>
      </c>
      <c r="L394" t="s">
        <v>8665</v>
      </c>
    </row>
    <row r="395" spans="1:12" x14ac:dyDescent="0.35">
      <c r="A395" t="s">
        <v>109</v>
      </c>
      <c r="B395" t="s">
        <v>363</v>
      </c>
      <c r="D395">
        <v>25000</v>
      </c>
      <c r="F395" t="s">
        <v>7637</v>
      </c>
      <c r="H395" t="s">
        <v>8228</v>
      </c>
      <c r="I395" t="s">
        <v>4939</v>
      </c>
      <c r="K395" t="s">
        <v>8664</v>
      </c>
      <c r="L395" t="s">
        <v>8665</v>
      </c>
    </row>
    <row r="396" spans="1:12" x14ac:dyDescent="0.35">
      <c r="A396" t="s">
        <v>109</v>
      </c>
      <c r="B396" t="s">
        <v>317</v>
      </c>
      <c r="D396">
        <v>21000</v>
      </c>
      <c r="F396" t="s">
        <v>7457</v>
      </c>
      <c r="H396" t="s">
        <v>8229</v>
      </c>
      <c r="I396" t="s">
        <v>4861</v>
      </c>
      <c r="K396" t="s">
        <v>8664</v>
      </c>
      <c r="L396" t="s">
        <v>8665</v>
      </c>
    </row>
    <row r="397" spans="1:12" x14ac:dyDescent="0.35">
      <c r="A397" t="s">
        <v>109</v>
      </c>
      <c r="B397" t="s">
        <v>317</v>
      </c>
      <c r="D397">
        <v>80000</v>
      </c>
      <c r="F397" t="s">
        <v>7513</v>
      </c>
      <c r="H397" t="s">
        <v>8230</v>
      </c>
      <c r="I397" t="s">
        <v>2327</v>
      </c>
      <c r="K397" t="s">
        <v>8664</v>
      </c>
      <c r="L397" t="s">
        <v>8665</v>
      </c>
    </row>
    <row r="398" spans="1:12" x14ac:dyDescent="0.35">
      <c r="A398" t="s">
        <v>111</v>
      </c>
      <c r="B398" t="s">
        <v>329</v>
      </c>
      <c r="D398">
        <v>48000</v>
      </c>
      <c r="F398" t="s">
        <v>7589</v>
      </c>
      <c r="H398" t="s">
        <v>8231</v>
      </c>
      <c r="I398" t="s">
        <v>1489</v>
      </c>
      <c r="K398" t="s">
        <v>8664</v>
      </c>
      <c r="L398" t="s">
        <v>8665</v>
      </c>
    </row>
    <row r="399" spans="1:12" x14ac:dyDescent="0.35">
      <c r="A399" t="s">
        <v>111</v>
      </c>
      <c r="B399" t="s">
        <v>329</v>
      </c>
      <c r="D399">
        <v>32000</v>
      </c>
      <c r="F399" t="s">
        <v>7630</v>
      </c>
      <c r="H399" t="s">
        <v>8232</v>
      </c>
      <c r="I399" t="s">
        <v>1489</v>
      </c>
      <c r="K399" t="s">
        <v>8664</v>
      </c>
      <c r="L399" t="s">
        <v>8665</v>
      </c>
    </row>
    <row r="400" spans="1:12" x14ac:dyDescent="0.35">
      <c r="A400" t="s">
        <v>111</v>
      </c>
      <c r="B400" t="s">
        <v>329</v>
      </c>
      <c r="D400">
        <v>24000</v>
      </c>
      <c r="F400" t="s">
        <v>7639</v>
      </c>
      <c r="H400" t="s">
        <v>8233</v>
      </c>
      <c r="I400" t="s">
        <v>1373</v>
      </c>
      <c r="K400" t="s">
        <v>8664</v>
      </c>
      <c r="L400" t="s">
        <v>8665</v>
      </c>
    </row>
    <row r="401" spans="1:12" x14ac:dyDescent="0.35">
      <c r="A401" t="s">
        <v>111</v>
      </c>
      <c r="B401" t="s">
        <v>332</v>
      </c>
      <c r="D401">
        <v>110000</v>
      </c>
      <c r="F401" t="s">
        <v>7469</v>
      </c>
      <c r="H401" t="s">
        <v>8234</v>
      </c>
      <c r="I401" t="s">
        <v>1968</v>
      </c>
      <c r="K401" t="s">
        <v>8664</v>
      </c>
      <c r="L401" t="s">
        <v>8665</v>
      </c>
    </row>
    <row r="402" spans="1:12" x14ac:dyDescent="0.35">
      <c r="A402" t="s">
        <v>111</v>
      </c>
      <c r="B402" t="s">
        <v>487</v>
      </c>
      <c r="D402">
        <v>46000</v>
      </c>
      <c r="F402" t="s">
        <v>7526</v>
      </c>
      <c r="H402" t="s">
        <v>8235</v>
      </c>
      <c r="I402" t="s">
        <v>1551</v>
      </c>
      <c r="K402" t="s">
        <v>8664</v>
      </c>
      <c r="L402" t="s">
        <v>8665</v>
      </c>
    </row>
    <row r="403" spans="1:12" x14ac:dyDescent="0.35">
      <c r="A403" t="s">
        <v>111</v>
      </c>
      <c r="B403" t="s">
        <v>487</v>
      </c>
      <c r="D403">
        <v>45500</v>
      </c>
      <c r="F403" t="s">
        <v>7674</v>
      </c>
      <c r="H403" t="s">
        <v>8236</v>
      </c>
      <c r="I403" t="s">
        <v>1551</v>
      </c>
      <c r="K403" t="s">
        <v>8664</v>
      </c>
      <c r="L403" t="s">
        <v>8665</v>
      </c>
    </row>
    <row r="404" spans="1:12" x14ac:dyDescent="0.35">
      <c r="A404" t="s">
        <v>111</v>
      </c>
      <c r="B404" t="s">
        <v>6056</v>
      </c>
      <c r="D404">
        <v>40000</v>
      </c>
      <c r="F404" t="s">
        <v>7515</v>
      </c>
      <c r="H404" t="s">
        <v>8237</v>
      </c>
      <c r="I404" t="s">
        <v>1848</v>
      </c>
      <c r="K404" t="s">
        <v>8664</v>
      </c>
      <c r="L404" t="s">
        <v>8665</v>
      </c>
    </row>
    <row r="405" spans="1:12" x14ac:dyDescent="0.35">
      <c r="A405" t="s">
        <v>111</v>
      </c>
      <c r="B405" t="s">
        <v>489</v>
      </c>
      <c r="D405">
        <v>34000</v>
      </c>
      <c r="F405" t="s">
        <v>7452</v>
      </c>
      <c r="H405" t="s">
        <v>8238</v>
      </c>
      <c r="I405" t="s">
        <v>1961</v>
      </c>
      <c r="K405" t="s">
        <v>8664</v>
      </c>
      <c r="L405" t="s">
        <v>8665</v>
      </c>
    </row>
    <row r="406" spans="1:12" x14ac:dyDescent="0.35">
      <c r="A406" t="s">
        <v>111</v>
      </c>
      <c r="B406" t="s">
        <v>489</v>
      </c>
      <c r="D406">
        <v>31000</v>
      </c>
      <c r="F406" t="s">
        <v>7498</v>
      </c>
      <c r="H406" t="s">
        <v>8239</v>
      </c>
      <c r="I406" t="s">
        <v>4932</v>
      </c>
      <c r="K406" t="s">
        <v>8664</v>
      </c>
      <c r="L406" t="s">
        <v>8665</v>
      </c>
    </row>
    <row r="407" spans="1:12" x14ac:dyDescent="0.35">
      <c r="A407" t="s">
        <v>111</v>
      </c>
      <c r="B407" t="s">
        <v>494</v>
      </c>
      <c r="D407">
        <v>135000</v>
      </c>
      <c r="F407" t="s">
        <v>7564</v>
      </c>
      <c r="H407" t="s">
        <v>8240</v>
      </c>
      <c r="I407" t="s">
        <v>1449</v>
      </c>
      <c r="K407" t="s">
        <v>8664</v>
      </c>
      <c r="L407" t="s">
        <v>8665</v>
      </c>
    </row>
    <row r="408" spans="1:12" x14ac:dyDescent="0.35">
      <c r="A408" t="s">
        <v>111</v>
      </c>
      <c r="B408" t="s">
        <v>494</v>
      </c>
      <c r="D408">
        <v>67000</v>
      </c>
      <c r="F408" t="s">
        <v>7622</v>
      </c>
      <c r="H408" t="s">
        <v>8241</v>
      </c>
      <c r="I408" t="s">
        <v>1449</v>
      </c>
      <c r="K408" t="s">
        <v>8664</v>
      </c>
      <c r="L408" t="s">
        <v>8665</v>
      </c>
    </row>
    <row r="409" spans="1:12" x14ac:dyDescent="0.35">
      <c r="A409" t="s">
        <v>111</v>
      </c>
      <c r="B409" t="s">
        <v>6057</v>
      </c>
      <c r="D409">
        <v>190000</v>
      </c>
      <c r="F409" t="s">
        <v>7477</v>
      </c>
      <c r="H409" t="s">
        <v>8242</v>
      </c>
      <c r="I409" t="s">
        <v>1584</v>
      </c>
      <c r="K409" t="s">
        <v>8664</v>
      </c>
      <c r="L409" t="s">
        <v>8665</v>
      </c>
    </row>
    <row r="410" spans="1:12" x14ac:dyDescent="0.35">
      <c r="A410" t="s">
        <v>111</v>
      </c>
      <c r="B410" t="s">
        <v>491</v>
      </c>
      <c r="D410">
        <v>175000</v>
      </c>
      <c r="F410" t="s">
        <v>7675</v>
      </c>
      <c r="H410" t="s">
        <v>8243</v>
      </c>
      <c r="I410" t="s">
        <v>4885</v>
      </c>
      <c r="K410" t="s">
        <v>8664</v>
      </c>
      <c r="L410" t="s">
        <v>8665</v>
      </c>
    </row>
    <row r="411" spans="1:12" x14ac:dyDescent="0.35">
      <c r="A411" t="s">
        <v>111</v>
      </c>
      <c r="B411" t="s">
        <v>491</v>
      </c>
      <c r="D411">
        <v>44000</v>
      </c>
      <c r="F411" t="s">
        <v>7514</v>
      </c>
      <c r="H411" t="s">
        <v>8244</v>
      </c>
      <c r="I411" t="s">
        <v>4885</v>
      </c>
      <c r="K411" t="s">
        <v>8664</v>
      </c>
      <c r="L411" t="s">
        <v>8665</v>
      </c>
    </row>
    <row r="412" spans="1:12" x14ac:dyDescent="0.35">
      <c r="A412" t="s">
        <v>111</v>
      </c>
      <c r="B412" t="s">
        <v>492</v>
      </c>
      <c r="D412">
        <v>115000</v>
      </c>
      <c r="F412" t="s">
        <v>7676</v>
      </c>
      <c r="H412" t="s">
        <v>8245</v>
      </c>
      <c r="I412" t="s">
        <v>1841</v>
      </c>
      <c r="K412" t="s">
        <v>8664</v>
      </c>
      <c r="L412" t="s">
        <v>8665</v>
      </c>
    </row>
    <row r="413" spans="1:12" x14ac:dyDescent="0.35">
      <c r="A413" t="s">
        <v>111</v>
      </c>
      <c r="B413" t="s">
        <v>492</v>
      </c>
      <c r="D413">
        <v>37500</v>
      </c>
      <c r="F413" t="s">
        <v>7677</v>
      </c>
      <c r="H413" t="s">
        <v>8246</v>
      </c>
      <c r="I413" t="s">
        <v>1841</v>
      </c>
      <c r="K413" t="s">
        <v>8664</v>
      </c>
      <c r="L413" t="s">
        <v>8665</v>
      </c>
    </row>
    <row r="414" spans="1:12" x14ac:dyDescent="0.35">
      <c r="A414" t="s">
        <v>111</v>
      </c>
      <c r="B414" t="s">
        <v>492</v>
      </c>
      <c r="D414">
        <v>86000</v>
      </c>
      <c r="F414" t="s">
        <v>7548</v>
      </c>
      <c r="H414" t="s">
        <v>7906</v>
      </c>
      <c r="I414" t="s">
        <v>1368</v>
      </c>
      <c r="K414" t="s">
        <v>8664</v>
      </c>
      <c r="L414" t="s">
        <v>8665</v>
      </c>
    </row>
    <row r="415" spans="1:12" x14ac:dyDescent="0.35">
      <c r="A415" t="s">
        <v>111</v>
      </c>
      <c r="B415" t="s">
        <v>492</v>
      </c>
      <c r="D415">
        <v>23000</v>
      </c>
      <c r="F415" t="s">
        <v>7662</v>
      </c>
      <c r="H415" t="s">
        <v>8247</v>
      </c>
      <c r="I415" t="s">
        <v>1368</v>
      </c>
      <c r="K415" t="s">
        <v>8664</v>
      </c>
      <c r="L415" t="s">
        <v>8665</v>
      </c>
    </row>
    <row r="416" spans="1:12" x14ac:dyDescent="0.35">
      <c r="A416" t="s">
        <v>111</v>
      </c>
      <c r="B416" t="s">
        <v>7421</v>
      </c>
      <c r="D416">
        <v>42000</v>
      </c>
      <c r="F416" t="s">
        <v>7521</v>
      </c>
      <c r="H416" t="s">
        <v>8248</v>
      </c>
      <c r="I416" t="s">
        <v>1383</v>
      </c>
      <c r="K416" t="s">
        <v>8664</v>
      </c>
      <c r="L416" t="s">
        <v>8665</v>
      </c>
    </row>
    <row r="417" spans="1:12" x14ac:dyDescent="0.35">
      <c r="A417" t="s">
        <v>111</v>
      </c>
      <c r="B417" t="s">
        <v>493</v>
      </c>
      <c r="D417">
        <v>76000</v>
      </c>
      <c r="F417" t="s">
        <v>7678</v>
      </c>
      <c r="H417" t="s">
        <v>8249</v>
      </c>
      <c r="I417" t="s">
        <v>1387</v>
      </c>
      <c r="K417" t="s">
        <v>8664</v>
      </c>
      <c r="L417" t="s">
        <v>8665</v>
      </c>
    </row>
    <row r="418" spans="1:12" x14ac:dyDescent="0.35">
      <c r="A418" t="s">
        <v>111</v>
      </c>
      <c r="B418" t="s">
        <v>6059</v>
      </c>
      <c r="D418">
        <v>68000</v>
      </c>
      <c r="F418" t="s">
        <v>7448</v>
      </c>
      <c r="H418" t="s">
        <v>8250</v>
      </c>
      <c r="I418" t="s">
        <v>2327</v>
      </c>
      <c r="K418" t="s">
        <v>8664</v>
      </c>
      <c r="L418" t="s">
        <v>8665</v>
      </c>
    </row>
    <row r="419" spans="1:12" x14ac:dyDescent="0.35">
      <c r="A419" t="s">
        <v>111</v>
      </c>
      <c r="B419" t="s">
        <v>6059</v>
      </c>
      <c r="D419">
        <v>24800</v>
      </c>
      <c r="F419" t="s">
        <v>7679</v>
      </c>
      <c r="H419" t="s">
        <v>8251</v>
      </c>
      <c r="I419" t="s">
        <v>2327</v>
      </c>
      <c r="K419" t="s">
        <v>8664</v>
      </c>
      <c r="L419" t="s">
        <v>8665</v>
      </c>
    </row>
    <row r="420" spans="1:12" x14ac:dyDescent="0.35">
      <c r="A420" t="s">
        <v>111</v>
      </c>
      <c r="B420" t="s">
        <v>494</v>
      </c>
      <c r="D420">
        <v>58000</v>
      </c>
      <c r="F420" t="s">
        <v>7495</v>
      </c>
      <c r="H420" t="s">
        <v>8252</v>
      </c>
      <c r="I420" t="s">
        <v>1705</v>
      </c>
      <c r="K420" t="s">
        <v>8664</v>
      </c>
      <c r="L420" t="s">
        <v>8665</v>
      </c>
    </row>
    <row r="421" spans="1:12" x14ac:dyDescent="0.35">
      <c r="A421" t="s">
        <v>111</v>
      </c>
      <c r="B421" t="s">
        <v>494</v>
      </c>
      <c r="D421">
        <v>112000</v>
      </c>
      <c r="F421" t="s">
        <v>7462</v>
      </c>
      <c r="H421" t="s">
        <v>8253</v>
      </c>
      <c r="I421" t="s">
        <v>1705</v>
      </c>
      <c r="K421" t="s">
        <v>8664</v>
      </c>
      <c r="L421" t="s">
        <v>8665</v>
      </c>
    </row>
    <row r="422" spans="1:12" x14ac:dyDescent="0.35">
      <c r="A422" t="s">
        <v>111</v>
      </c>
      <c r="B422" t="s">
        <v>489</v>
      </c>
      <c r="D422">
        <v>34040</v>
      </c>
      <c r="F422" t="s">
        <v>7680</v>
      </c>
      <c r="H422" t="s">
        <v>8254</v>
      </c>
      <c r="I422" t="s">
        <v>2323</v>
      </c>
      <c r="K422" t="s">
        <v>8664</v>
      </c>
      <c r="L422" t="s">
        <v>8665</v>
      </c>
    </row>
    <row r="423" spans="1:12" x14ac:dyDescent="0.35">
      <c r="A423" t="s">
        <v>111</v>
      </c>
      <c r="B423" t="s">
        <v>489</v>
      </c>
      <c r="D423">
        <v>34080</v>
      </c>
      <c r="F423" t="s">
        <v>7681</v>
      </c>
      <c r="H423" t="s">
        <v>8255</v>
      </c>
      <c r="I423" t="s">
        <v>2323</v>
      </c>
      <c r="K423" t="s">
        <v>8664</v>
      </c>
      <c r="L423" t="s">
        <v>8665</v>
      </c>
    </row>
    <row r="424" spans="1:12" x14ac:dyDescent="0.35">
      <c r="A424" t="s">
        <v>111</v>
      </c>
      <c r="B424" t="s">
        <v>489</v>
      </c>
      <c r="D424">
        <v>33950</v>
      </c>
      <c r="F424" t="s">
        <v>7682</v>
      </c>
      <c r="H424" t="s">
        <v>8256</v>
      </c>
      <c r="I424" t="s">
        <v>2323</v>
      </c>
      <c r="K424" t="s">
        <v>8664</v>
      </c>
      <c r="L424" t="s">
        <v>8665</v>
      </c>
    </row>
    <row r="425" spans="1:12" x14ac:dyDescent="0.35">
      <c r="A425" t="s">
        <v>111</v>
      </c>
      <c r="B425" t="s">
        <v>489</v>
      </c>
      <c r="D425">
        <v>35000</v>
      </c>
      <c r="F425" t="s">
        <v>7580</v>
      </c>
      <c r="H425" t="s">
        <v>8257</v>
      </c>
      <c r="I425" t="s">
        <v>4896</v>
      </c>
      <c r="K425" t="s">
        <v>8664</v>
      </c>
      <c r="L425" t="s">
        <v>8665</v>
      </c>
    </row>
    <row r="426" spans="1:12" x14ac:dyDescent="0.35">
      <c r="A426" t="s">
        <v>111</v>
      </c>
      <c r="B426" t="s">
        <v>489</v>
      </c>
      <c r="D426">
        <v>38000</v>
      </c>
      <c r="F426" t="s">
        <v>7463</v>
      </c>
      <c r="H426" t="s">
        <v>8258</v>
      </c>
      <c r="I426" t="s">
        <v>2323</v>
      </c>
      <c r="K426" t="s">
        <v>8664</v>
      </c>
      <c r="L426" t="s">
        <v>8665</v>
      </c>
    </row>
    <row r="427" spans="1:12" x14ac:dyDescent="0.35">
      <c r="A427" t="s">
        <v>111</v>
      </c>
      <c r="B427" t="s">
        <v>489</v>
      </c>
      <c r="D427">
        <v>34300</v>
      </c>
      <c r="F427" t="s">
        <v>7683</v>
      </c>
      <c r="H427" t="s">
        <v>8259</v>
      </c>
      <c r="I427" t="s">
        <v>2323</v>
      </c>
      <c r="K427" t="s">
        <v>8664</v>
      </c>
      <c r="L427" t="s">
        <v>8665</v>
      </c>
    </row>
    <row r="428" spans="1:12" x14ac:dyDescent="0.35">
      <c r="A428" t="s">
        <v>111</v>
      </c>
      <c r="B428" t="s">
        <v>489</v>
      </c>
      <c r="D428">
        <v>34430</v>
      </c>
      <c r="F428" t="s">
        <v>7684</v>
      </c>
      <c r="H428" t="s">
        <v>8260</v>
      </c>
      <c r="I428" t="s">
        <v>2323</v>
      </c>
      <c r="K428" t="s">
        <v>8664</v>
      </c>
      <c r="L428" t="s">
        <v>8665</v>
      </c>
    </row>
    <row r="429" spans="1:12" x14ac:dyDescent="0.35">
      <c r="A429" t="s">
        <v>111</v>
      </c>
      <c r="B429" t="s">
        <v>380</v>
      </c>
      <c r="D429">
        <v>31590</v>
      </c>
      <c r="F429" t="s">
        <v>7685</v>
      </c>
      <c r="H429" t="s">
        <v>8261</v>
      </c>
      <c r="I429" t="s">
        <v>4928</v>
      </c>
      <c r="K429" t="s">
        <v>8664</v>
      </c>
      <c r="L429" t="s">
        <v>8665</v>
      </c>
    </row>
    <row r="430" spans="1:12" x14ac:dyDescent="0.35">
      <c r="A430" t="s">
        <v>111</v>
      </c>
      <c r="B430" t="s">
        <v>6060</v>
      </c>
      <c r="D430">
        <v>30100</v>
      </c>
      <c r="F430" t="s">
        <v>7686</v>
      </c>
      <c r="H430" t="s">
        <v>8262</v>
      </c>
      <c r="I430" t="s">
        <v>4872</v>
      </c>
      <c r="K430" t="s">
        <v>8664</v>
      </c>
      <c r="L430" t="s">
        <v>8665</v>
      </c>
    </row>
    <row r="431" spans="1:12" x14ac:dyDescent="0.35">
      <c r="A431" t="s">
        <v>111</v>
      </c>
      <c r="B431" t="s">
        <v>490</v>
      </c>
      <c r="D431">
        <v>66100</v>
      </c>
      <c r="F431" t="s">
        <v>7687</v>
      </c>
      <c r="H431" t="s">
        <v>8263</v>
      </c>
      <c r="I431" t="s">
        <v>4892</v>
      </c>
      <c r="K431" t="s">
        <v>8664</v>
      </c>
      <c r="L431" t="s">
        <v>8665</v>
      </c>
    </row>
    <row r="432" spans="1:12" x14ac:dyDescent="0.35">
      <c r="A432" t="s">
        <v>111</v>
      </c>
      <c r="B432" t="s">
        <v>490</v>
      </c>
      <c r="D432">
        <v>31600</v>
      </c>
      <c r="F432" t="s">
        <v>7688</v>
      </c>
      <c r="H432" t="s">
        <v>8264</v>
      </c>
      <c r="I432" t="s">
        <v>4892</v>
      </c>
      <c r="K432" t="s">
        <v>8664</v>
      </c>
      <c r="L432" t="s">
        <v>8665</v>
      </c>
    </row>
    <row r="433" spans="1:12" x14ac:dyDescent="0.35">
      <c r="A433" t="s">
        <v>111</v>
      </c>
      <c r="B433" t="s">
        <v>319</v>
      </c>
      <c r="D433">
        <v>35032</v>
      </c>
      <c r="F433" t="s">
        <v>7689</v>
      </c>
      <c r="H433" t="s">
        <v>8265</v>
      </c>
      <c r="I433" t="s">
        <v>4869</v>
      </c>
      <c r="K433" t="s">
        <v>8664</v>
      </c>
      <c r="L433" t="s">
        <v>8665</v>
      </c>
    </row>
    <row r="434" spans="1:12" x14ac:dyDescent="0.35">
      <c r="A434" t="s">
        <v>111</v>
      </c>
      <c r="B434" t="s">
        <v>6061</v>
      </c>
      <c r="D434">
        <v>33700</v>
      </c>
      <c r="F434" t="s">
        <v>7577</v>
      </c>
      <c r="H434" t="s">
        <v>8266</v>
      </c>
      <c r="I434" t="s">
        <v>2326</v>
      </c>
      <c r="K434" t="s">
        <v>8664</v>
      </c>
      <c r="L434" t="s">
        <v>8665</v>
      </c>
    </row>
    <row r="435" spans="1:12" x14ac:dyDescent="0.35">
      <c r="A435" t="s">
        <v>111</v>
      </c>
      <c r="B435" t="s">
        <v>6061</v>
      </c>
      <c r="D435">
        <v>37533</v>
      </c>
      <c r="F435" t="s">
        <v>7690</v>
      </c>
      <c r="H435" t="s">
        <v>8267</v>
      </c>
      <c r="I435" t="s">
        <v>2326</v>
      </c>
      <c r="K435" t="s">
        <v>8664</v>
      </c>
      <c r="L435" t="s">
        <v>8665</v>
      </c>
    </row>
    <row r="436" spans="1:12" x14ac:dyDescent="0.35">
      <c r="A436" t="s">
        <v>111</v>
      </c>
      <c r="B436" t="s">
        <v>495</v>
      </c>
      <c r="D436">
        <v>35800</v>
      </c>
      <c r="F436" t="s">
        <v>7691</v>
      </c>
      <c r="H436" t="s">
        <v>8268</v>
      </c>
      <c r="I436" t="s">
        <v>4929</v>
      </c>
      <c r="K436" t="s">
        <v>8664</v>
      </c>
      <c r="L436" t="s">
        <v>8665</v>
      </c>
    </row>
    <row r="437" spans="1:12" x14ac:dyDescent="0.35">
      <c r="A437" t="s">
        <v>111</v>
      </c>
      <c r="B437" t="s">
        <v>495</v>
      </c>
      <c r="D437">
        <v>37000</v>
      </c>
      <c r="F437" t="s">
        <v>7567</v>
      </c>
      <c r="H437" t="s">
        <v>8269</v>
      </c>
      <c r="I437" t="s">
        <v>4929</v>
      </c>
      <c r="K437" t="s">
        <v>8664</v>
      </c>
      <c r="L437" t="s">
        <v>8665</v>
      </c>
    </row>
    <row r="438" spans="1:12" x14ac:dyDescent="0.35">
      <c r="A438" t="s">
        <v>111</v>
      </c>
      <c r="B438" t="s">
        <v>495</v>
      </c>
      <c r="D438">
        <v>36900</v>
      </c>
      <c r="F438" t="s">
        <v>7692</v>
      </c>
      <c r="H438" t="s">
        <v>8270</v>
      </c>
      <c r="I438" t="s">
        <v>4929</v>
      </c>
      <c r="K438" t="s">
        <v>8664</v>
      </c>
      <c r="L438" t="s">
        <v>8665</v>
      </c>
    </row>
    <row r="439" spans="1:12" x14ac:dyDescent="0.35">
      <c r="A439" t="s">
        <v>111</v>
      </c>
      <c r="B439" t="s">
        <v>335</v>
      </c>
      <c r="D439">
        <v>32800</v>
      </c>
      <c r="F439" t="s">
        <v>7693</v>
      </c>
      <c r="I439" t="s">
        <v>4855</v>
      </c>
      <c r="K439" t="s">
        <v>8664</v>
      </c>
      <c r="L439" t="s">
        <v>8665</v>
      </c>
    </row>
    <row r="440" spans="1:12" x14ac:dyDescent="0.35">
      <c r="A440" t="s">
        <v>111</v>
      </c>
      <c r="B440" t="s">
        <v>320</v>
      </c>
      <c r="D440">
        <v>90000</v>
      </c>
      <c r="F440" t="s">
        <v>7500</v>
      </c>
      <c r="H440" t="s">
        <v>8271</v>
      </c>
      <c r="I440" t="s">
        <v>1450</v>
      </c>
      <c r="K440" t="s">
        <v>8664</v>
      </c>
      <c r="L440" t="s">
        <v>8665</v>
      </c>
    </row>
    <row r="441" spans="1:12" x14ac:dyDescent="0.35">
      <c r="A441" t="s">
        <v>111</v>
      </c>
      <c r="B441" t="s">
        <v>494</v>
      </c>
      <c r="D441">
        <v>80000</v>
      </c>
      <c r="F441" t="s">
        <v>7513</v>
      </c>
      <c r="H441" t="s">
        <v>8272</v>
      </c>
      <c r="I441" t="s">
        <v>4876</v>
      </c>
      <c r="K441" t="s">
        <v>8664</v>
      </c>
      <c r="L441" t="s">
        <v>8665</v>
      </c>
    </row>
    <row r="442" spans="1:12" x14ac:dyDescent="0.35">
      <c r="A442" t="s">
        <v>111</v>
      </c>
      <c r="B442" t="s">
        <v>175</v>
      </c>
      <c r="D442">
        <v>67400</v>
      </c>
      <c r="F442" t="s">
        <v>7694</v>
      </c>
      <c r="H442" t="s">
        <v>8273</v>
      </c>
      <c r="I442" t="s">
        <v>4894</v>
      </c>
      <c r="K442" t="s">
        <v>8664</v>
      </c>
      <c r="L442" t="s">
        <v>8665</v>
      </c>
    </row>
    <row r="443" spans="1:12" x14ac:dyDescent="0.35">
      <c r="A443" t="s">
        <v>111</v>
      </c>
      <c r="B443" t="s">
        <v>175</v>
      </c>
      <c r="D443">
        <v>30000</v>
      </c>
      <c r="F443" t="s">
        <v>7494</v>
      </c>
      <c r="H443" t="s">
        <v>8274</v>
      </c>
      <c r="I443" t="s">
        <v>1372</v>
      </c>
      <c r="K443" t="s">
        <v>8664</v>
      </c>
      <c r="L443" t="s">
        <v>8665</v>
      </c>
    </row>
    <row r="444" spans="1:12" x14ac:dyDescent="0.35">
      <c r="A444" t="s">
        <v>111</v>
      </c>
      <c r="B444" t="s">
        <v>179</v>
      </c>
      <c r="D444">
        <v>33000</v>
      </c>
      <c r="F444" t="s">
        <v>7596</v>
      </c>
      <c r="H444" t="s">
        <v>8275</v>
      </c>
      <c r="I444" t="s">
        <v>1477</v>
      </c>
      <c r="K444" t="s">
        <v>8664</v>
      </c>
      <c r="L444" t="s">
        <v>8665</v>
      </c>
    </row>
    <row r="445" spans="1:12" x14ac:dyDescent="0.35">
      <c r="A445" t="s">
        <v>111</v>
      </c>
      <c r="B445" t="s">
        <v>380</v>
      </c>
      <c r="D445">
        <v>103000</v>
      </c>
      <c r="F445" t="s">
        <v>7501</v>
      </c>
      <c r="H445" t="s">
        <v>8276</v>
      </c>
      <c r="I445" t="s">
        <v>1373</v>
      </c>
      <c r="K445" t="s">
        <v>8664</v>
      </c>
      <c r="L445" t="s">
        <v>8665</v>
      </c>
    </row>
    <row r="446" spans="1:12" x14ac:dyDescent="0.35">
      <c r="A446" t="s">
        <v>111</v>
      </c>
      <c r="B446" t="s">
        <v>380</v>
      </c>
      <c r="D446">
        <v>28000</v>
      </c>
      <c r="F446" t="s">
        <v>7456</v>
      </c>
      <c r="H446" t="s">
        <v>8277</v>
      </c>
      <c r="I446" t="s">
        <v>1961</v>
      </c>
      <c r="K446" t="s">
        <v>8664</v>
      </c>
      <c r="L446" t="s">
        <v>8665</v>
      </c>
    </row>
    <row r="447" spans="1:12" x14ac:dyDescent="0.35">
      <c r="A447" t="s">
        <v>111</v>
      </c>
      <c r="B447" t="s">
        <v>380</v>
      </c>
      <c r="D447">
        <v>27000</v>
      </c>
      <c r="F447" t="s">
        <v>7496</v>
      </c>
      <c r="H447" t="s">
        <v>8278</v>
      </c>
      <c r="I447" t="s">
        <v>1394</v>
      </c>
      <c r="K447" t="s">
        <v>8664</v>
      </c>
      <c r="L447" t="s">
        <v>8665</v>
      </c>
    </row>
    <row r="448" spans="1:12" x14ac:dyDescent="0.35">
      <c r="A448" t="s">
        <v>111</v>
      </c>
      <c r="B448" t="s">
        <v>380</v>
      </c>
      <c r="D448">
        <v>100000</v>
      </c>
      <c r="F448" t="s">
        <v>7468</v>
      </c>
      <c r="H448" t="s">
        <v>8279</v>
      </c>
      <c r="I448" t="s">
        <v>4861</v>
      </c>
      <c r="K448" t="s">
        <v>8664</v>
      </c>
      <c r="L448" t="s">
        <v>8665</v>
      </c>
    </row>
    <row r="449" spans="1:12" x14ac:dyDescent="0.35">
      <c r="A449" t="s">
        <v>236</v>
      </c>
      <c r="B449" t="s">
        <v>497</v>
      </c>
      <c r="D449">
        <v>120000</v>
      </c>
      <c r="F449" t="s">
        <v>7492</v>
      </c>
      <c r="H449" t="s">
        <v>8280</v>
      </c>
      <c r="I449" t="s">
        <v>1394</v>
      </c>
      <c r="K449" t="s">
        <v>8664</v>
      </c>
      <c r="L449" t="s">
        <v>8665</v>
      </c>
    </row>
    <row r="450" spans="1:12" x14ac:dyDescent="0.35">
      <c r="A450" t="s">
        <v>236</v>
      </c>
      <c r="B450" t="s">
        <v>7422</v>
      </c>
      <c r="D450">
        <v>87190</v>
      </c>
      <c r="F450" t="s">
        <v>7695</v>
      </c>
      <c r="H450" t="s">
        <v>8281</v>
      </c>
      <c r="I450" t="s">
        <v>1626</v>
      </c>
      <c r="K450" t="s">
        <v>8664</v>
      </c>
      <c r="L450" t="s">
        <v>8665</v>
      </c>
    </row>
    <row r="451" spans="1:12" x14ac:dyDescent="0.35">
      <c r="A451" t="s">
        <v>236</v>
      </c>
      <c r="B451" t="s">
        <v>7423</v>
      </c>
      <c r="D451">
        <v>58200</v>
      </c>
      <c r="F451" t="s">
        <v>7633</v>
      </c>
      <c r="H451" t="s">
        <v>8282</v>
      </c>
      <c r="I451" t="s">
        <v>1839</v>
      </c>
      <c r="K451" t="s">
        <v>8664</v>
      </c>
      <c r="L451" t="s">
        <v>8665</v>
      </c>
    </row>
    <row r="452" spans="1:12" x14ac:dyDescent="0.35">
      <c r="A452" t="s">
        <v>236</v>
      </c>
      <c r="B452" t="s">
        <v>7424</v>
      </c>
      <c r="D452">
        <v>110000</v>
      </c>
      <c r="F452" t="s">
        <v>7469</v>
      </c>
      <c r="H452" t="s">
        <v>8283</v>
      </c>
      <c r="I452" t="s">
        <v>2051</v>
      </c>
      <c r="K452" t="s">
        <v>8664</v>
      </c>
      <c r="L452" t="s">
        <v>8665</v>
      </c>
    </row>
    <row r="453" spans="1:12" x14ac:dyDescent="0.35">
      <c r="A453" t="s">
        <v>236</v>
      </c>
      <c r="B453" t="s">
        <v>7425</v>
      </c>
      <c r="D453">
        <v>48000</v>
      </c>
      <c r="F453" t="s">
        <v>7589</v>
      </c>
      <c r="H453" t="s">
        <v>8284</v>
      </c>
      <c r="I453" t="s">
        <v>4899</v>
      </c>
      <c r="K453" t="s">
        <v>8664</v>
      </c>
      <c r="L453" t="s">
        <v>8665</v>
      </c>
    </row>
    <row r="454" spans="1:12" x14ac:dyDescent="0.35">
      <c r="A454" t="s">
        <v>236</v>
      </c>
      <c r="B454" t="s">
        <v>175</v>
      </c>
      <c r="D454">
        <v>52000</v>
      </c>
      <c r="F454" t="s">
        <v>7536</v>
      </c>
      <c r="H454" t="s">
        <v>8285</v>
      </c>
      <c r="I454" t="s">
        <v>1533</v>
      </c>
      <c r="K454" t="s">
        <v>8664</v>
      </c>
      <c r="L454" t="s">
        <v>8665</v>
      </c>
    </row>
    <row r="455" spans="1:12" x14ac:dyDescent="0.35">
      <c r="A455" t="s">
        <v>236</v>
      </c>
      <c r="B455" t="s">
        <v>499</v>
      </c>
      <c r="D455">
        <v>89000</v>
      </c>
      <c r="F455" t="s">
        <v>7696</v>
      </c>
      <c r="H455" t="s">
        <v>8286</v>
      </c>
      <c r="I455" t="s">
        <v>1383</v>
      </c>
      <c r="K455" t="s">
        <v>8664</v>
      </c>
      <c r="L455" t="s">
        <v>8665</v>
      </c>
    </row>
    <row r="456" spans="1:12" x14ac:dyDescent="0.35">
      <c r="A456" t="s">
        <v>236</v>
      </c>
      <c r="B456" t="s">
        <v>7426</v>
      </c>
      <c r="D456">
        <v>58500</v>
      </c>
      <c r="F456" t="s">
        <v>7697</v>
      </c>
      <c r="H456" t="s">
        <v>8287</v>
      </c>
      <c r="I456" t="s">
        <v>4861</v>
      </c>
      <c r="K456" t="s">
        <v>8664</v>
      </c>
      <c r="L456" t="s">
        <v>8665</v>
      </c>
    </row>
    <row r="457" spans="1:12" x14ac:dyDescent="0.35">
      <c r="A457" t="s">
        <v>236</v>
      </c>
      <c r="B457" t="s">
        <v>7426</v>
      </c>
      <c r="D457">
        <v>57900</v>
      </c>
      <c r="F457" t="s">
        <v>7698</v>
      </c>
      <c r="H457" t="s">
        <v>8288</v>
      </c>
      <c r="I457" t="s">
        <v>4861</v>
      </c>
      <c r="K457" t="s">
        <v>8664</v>
      </c>
      <c r="L457" t="s">
        <v>8665</v>
      </c>
    </row>
    <row r="458" spans="1:12" x14ac:dyDescent="0.35">
      <c r="A458" t="s">
        <v>113</v>
      </c>
      <c r="B458" t="s">
        <v>329</v>
      </c>
      <c r="D458">
        <v>43000</v>
      </c>
      <c r="F458" t="s">
        <v>7538</v>
      </c>
      <c r="H458" t="s">
        <v>8289</v>
      </c>
      <c r="I458" t="s">
        <v>2346</v>
      </c>
      <c r="K458" t="s">
        <v>8664</v>
      </c>
      <c r="L458" t="s">
        <v>8665</v>
      </c>
    </row>
    <row r="459" spans="1:12" x14ac:dyDescent="0.35">
      <c r="A459" t="s">
        <v>113</v>
      </c>
      <c r="B459" t="s">
        <v>329</v>
      </c>
      <c r="D459">
        <v>100000</v>
      </c>
      <c r="F459" t="s">
        <v>7468</v>
      </c>
      <c r="H459" t="s">
        <v>8290</v>
      </c>
      <c r="I459" t="s">
        <v>8636</v>
      </c>
      <c r="K459" t="s">
        <v>8664</v>
      </c>
      <c r="L459" t="s">
        <v>8665</v>
      </c>
    </row>
    <row r="460" spans="1:12" x14ac:dyDescent="0.35">
      <c r="A460" t="s">
        <v>113</v>
      </c>
      <c r="B460" t="s">
        <v>380</v>
      </c>
      <c r="D460">
        <v>103000</v>
      </c>
      <c r="F460" t="s">
        <v>7501</v>
      </c>
      <c r="H460" t="s">
        <v>8291</v>
      </c>
      <c r="I460" t="s">
        <v>4991</v>
      </c>
      <c r="K460" t="s">
        <v>8664</v>
      </c>
      <c r="L460" t="s">
        <v>8665</v>
      </c>
    </row>
    <row r="461" spans="1:12" x14ac:dyDescent="0.35">
      <c r="A461" t="s">
        <v>113</v>
      </c>
      <c r="B461" t="s">
        <v>380</v>
      </c>
      <c r="D461">
        <v>59000</v>
      </c>
      <c r="F461" t="s">
        <v>7489</v>
      </c>
      <c r="H461" t="s">
        <v>8292</v>
      </c>
      <c r="I461" t="s">
        <v>4991</v>
      </c>
      <c r="K461" t="s">
        <v>8664</v>
      </c>
      <c r="L461" t="s">
        <v>8665</v>
      </c>
    </row>
    <row r="462" spans="1:12" x14ac:dyDescent="0.35">
      <c r="A462" t="s">
        <v>113</v>
      </c>
      <c r="B462" t="s">
        <v>501</v>
      </c>
      <c r="D462">
        <v>53500</v>
      </c>
      <c r="F462" t="s">
        <v>7699</v>
      </c>
      <c r="H462" t="s">
        <v>8293</v>
      </c>
      <c r="I462" t="s">
        <v>4936</v>
      </c>
      <c r="K462" t="s">
        <v>8664</v>
      </c>
      <c r="L462" t="s">
        <v>8665</v>
      </c>
    </row>
    <row r="463" spans="1:12" x14ac:dyDescent="0.35">
      <c r="A463" t="s">
        <v>113</v>
      </c>
      <c r="B463" t="s">
        <v>7427</v>
      </c>
      <c r="D463">
        <v>55430</v>
      </c>
      <c r="F463" t="s">
        <v>7700</v>
      </c>
      <c r="H463" t="s">
        <v>8294</v>
      </c>
      <c r="I463" t="s">
        <v>4955</v>
      </c>
      <c r="K463" t="s">
        <v>8664</v>
      </c>
      <c r="L463" t="s">
        <v>8665</v>
      </c>
    </row>
    <row r="464" spans="1:12" x14ac:dyDescent="0.35">
      <c r="A464" t="s">
        <v>113</v>
      </c>
      <c r="B464" t="s">
        <v>502</v>
      </c>
      <c r="D464">
        <v>118000</v>
      </c>
      <c r="F464" t="s">
        <v>7656</v>
      </c>
      <c r="H464" t="s">
        <v>8295</v>
      </c>
      <c r="I464" t="s">
        <v>4854</v>
      </c>
      <c r="K464" t="s">
        <v>8664</v>
      </c>
      <c r="L464" t="s">
        <v>8665</v>
      </c>
    </row>
    <row r="465" spans="1:12" x14ac:dyDescent="0.35">
      <c r="A465" t="s">
        <v>113</v>
      </c>
      <c r="B465" t="s">
        <v>321</v>
      </c>
      <c r="D465">
        <v>58000</v>
      </c>
      <c r="F465" t="s">
        <v>7495</v>
      </c>
      <c r="H465" t="s">
        <v>8296</v>
      </c>
      <c r="I465" t="s">
        <v>4890</v>
      </c>
      <c r="K465" t="s">
        <v>8664</v>
      </c>
      <c r="L465" t="s">
        <v>8665</v>
      </c>
    </row>
    <row r="466" spans="1:12" x14ac:dyDescent="0.35">
      <c r="A466" t="s">
        <v>113</v>
      </c>
      <c r="B466" t="s">
        <v>358</v>
      </c>
      <c r="D466">
        <v>150000</v>
      </c>
      <c r="F466" t="s">
        <v>7449</v>
      </c>
      <c r="H466" t="s">
        <v>8297</v>
      </c>
      <c r="I466" t="s">
        <v>4860</v>
      </c>
      <c r="K466" t="s">
        <v>8664</v>
      </c>
      <c r="L466" t="s">
        <v>8665</v>
      </c>
    </row>
    <row r="467" spans="1:12" x14ac:dyDescent="0.35">
      <c r="A467" t="s">
        <v>113</v>
      </c>
      <c r="B467" t="s">
        <v>358</v>
      </c>
      <c r="D467">
        <v>32000</v>
      </c>
      <c r="F467" t="s">
        <v>7630</v>
      </c>
      <c r="H467" t="s">
        <v>8298</v>
      </c>
      <c r="I467" t="s">
        <v>4860</v>
      </c>
      <c r="K467" t="s">
        <v>8664</v>
      </c>
      <c r="L467" t="s">
        <v>8665</v>
      </c>
    </row>
    <row r="468" spans="1:12" x14ac:dyDescent="0.35">
      <c r="A468" t="s">
        <v>113</v>
      </c>
      <c r="B468" t="s">
        <v>358</v>
      </c>
      <c r="D468">
        <v>56000</v>
      </c>
      <c r="F468" t="s">
        <v>7476</v>
      </c>
      <c r="H468" t="s">
        <v>8299</v>
      </c>
      <c r="I468" t="s">
        <v>1509</v>
      </c>
      <c r="K468" t="s">
        <v>8664</v>
      </c>
      <c r="L468" t="s">
        <v>8665</v>
      </c>
    </row>
    <row r="469" spans="1:12" x14ac:dyDescent="0.35">
      <c r="A469" t="s">
        <v>113</v>
      </c>
      <c r="B469" t="s">
        <v>332</v>
      </c>
      <c r="D469">
        <v>108000</v>
      </c>
      <c r="F469" t="s">
        <v>7529</v>
      </c>
      <c r="H469" t="s">
        <v>8300</v>
      </c>
      <c r="I469" t="s">
        <v>1509</v>
      </c>
      <c r="K469" t="s">
        <v>8664</v>
      </c>
      <c r="L469" t="s">
        <v>8665</v>
      </c>
    </row>
    <row r="470" spans="1:12" x14ac:dyDescent="0.35">
      <c r="A470" t="s">
        <v>113</v>
      </c>
      <c r="B470" t="s">
        <v>332</v>
      </c>
      <c r="D470">
        <v>67000</v>
      </c>
      <c r="F470" t="s">
        <v>7622</v>
      </c>
      <c r="H470" t="s">
        <v>8301</v>
      </c>
      <c r="I470" t="s">
        <v>4892</v>
      </c>
      <c r="K470" t="s">
        <v>8664</v>
      </c>
      <c r="L470" t="s">
        <v>8665</v>
      </c>
    </row>
    <row r="471" spans="1:12" x14ac:dyDescent="0.35">
      <c r="A471" t="s">
        <v>113</v>
      </c>
      <c r="B471" t="s">
        <v>5042</v>
      </c>
      <c r="D471">
        <v>40000</v>
      </c>
      <c r="F471" t="s">
        <v>7515</v>
      </c>
      <c r="H471" t="s">
        <v>8302</v>
      </c>
      <c r="I471" t="s">
        <v>4890</v>
      </c>
      <c r="K471" t="s">
        <v>8664</v>
      </c>
      <c r="L471" t="s">
        <v>8665</v>
      </c>
    </row>
    <row r="472" spans="1:12" x14ac:dyDescent="0.35">
      <c r="A472" t="s">
        <v>113</v>
      </c>
      <c r="B472" t="s">
        <v>5042</v>
      </c>
      <c r="D472">
        <v>79000</v>
      </c>
      <c r="F472" t="s">
        <v>7484</v>
      </c>
      <c r="H472" t="s">
        <v>8303</v>
      </c>
      <c r="I472" t="s">
        <v>1489</v>
      </c>
      <c r="K472" t="s">
        <v>8664</v>
      </c>
      <c r="L472" t="s">
        <v>8665</v>
      </c>
    </row>
    <row r="473" spans="1:12" x14ac:dyDescent="0.35">
      <c r="A473" t="s">
        <v>113</v>
      </c>
      <c r="B473" t="s">
        <v>333</v>
      </c>
      <c r="D473">
        <v>116000</v>
      </c>
      <c r="F473" t="s">
        <v>7488</v>
      </c>
      <c r="H473" t="s">
        <v>8304</v>
      </c>
      <c r="I473" t="s">
        <v>1450</v>
      </c>
      <c r="K473" t="s">
        <v>8664</v>
      </c>
      <c r="L473" t="s">
        <v>8665</v>
      </c>
    </row>
    <row r="474" spans="1:12" x14ac:dyDescent="0.35">
      <c r="A474" t="s">
        <v>113</v>
      </c>
      <c r="B474" t="s">
        <v>333</v>
      </c>
      <c r="D474">
        <v>64000</v>
      </c>
      <c r="F474" t="s">
        <v>7474</v>
      </c>
      <c r="H474" t="s">
        <v>8305</v>
      </c>
      <c r="I474" t="s">
        <v>4892</v>
      </c>
      <c r="K474" t="s">
        <v>8664</v>
      </c>
      <c r="L474" t="s">
        <v>8665</v>
      </c>
    </row>
    <row r="475" spans="1:12" x14ac:dyDescent="0.35">
      <c r="A475" t="s">
        <v>113</v>
      </c>
      <c r="B475" t="s">
        <v>503</v>
      </c>
      <c r="D475">
        <v>50200</v>
      </c>
      <c r="F475" t="s">
        <v>7701</v>
      </c>
      <c r="H475" t="s">
        <v>8306</v>
      </c>
      <c r="I475" t="s">
        <v>1467</v>
      </c>
      <c r="K475" t="s">
        <v>8664</v>
      </c>
      <c r="L475" t="s">
        <v>8665</v>
      </c>
    </row>
    <row r="476" spans="1:12" x14ac:dyDescent="0.35">
      <c r="A476" t="s">
        <v>113</v>
      </c>
      <c r="B476" t="s">
        <v>504</v>
      </c>
      <c r="D476">
        <v>145000</v>
      </c>
      <c r="F476" t="s">
        <v>7702</v>
      </c>
      <c r="H476" t="s">
        <v>8307</v>
      </c>
      <c r="I476" t="s">
        <v>2345</v>
      </c>
      <c r="K476" t="s">
        <v>8664</v>
      </c>
      <c r="L476" t="s">
        <v>8665</v>
      </c>
    </row>
    <row r="477" spans="1:12" x14ac:dyDescent="0.35">
      <c r="A477" t="s">
        <v>113</v>
      </c>
      <c r="B477" t="s">
        <v>504</v>
      </c>
      <c r="D477">
        <v>72000</v>
      </c>
      <c r="F477" t="s">
        <v>7475</v>
      </c>
      <c r="H477" t="s">
        <v>8308</v>
      </c>
      <c r="I477" t="s">
        <v>2345</v>
      </c>
      <c r="K477" t="s">
        <v>8664</v>
      </c>
      <c r="L477" t="s">
        <v>8665</v>
      </c>
    </row>
    <row r="478" spans="1:12" x14ac:dyDescent="0.35">
      <c r="A478" t="s">
        <v>113</v>
      </c>
      <c r="B478" t="s">
        <v>505</v>
      </c>
      <c r="D478">
        <v>156000</v>
      </c>
      <c r="F478" t="s">
        <v>7703</v>
      </c>
      <c r="H478" t="s">
        <v>8309</v>
      </c>
      <c r="I478" t="s">
        <v>2364</v>
      </c>
      <c r="K478" t="s">
        <v>8664</v>
      </c>
      <c r="L478" t="s">
        <v>8665</v>
      </c>
    </row>
    <row r="479" spans="1:12" x14ac:dyDescent="0.35">
      <c r="A479" t="s">
        <v>113</v>
      </c>
      <c r="B479" t="s">
        <v>178</v>
      </c>
      <c r="D479">
        <v>57100</v>
      </c>
      <c r="F479" t="s">
        <v>7704</v>
      </c>
      <c r="H479" t="s">
        <v>8310</v>
      </c>
      <c r="I479" t="s">
        <v>4943</v>
      </c>
      <c r="K479" t="s">
        <v>8664</v>
      </c>
      <c r="L479" t="s">
        <v>8665</v>
      </c>
    </row>
    <row r="480" spans="1:12" x14ac:dyDescent="0.35">
      <c r="A480" t="s">
        <v>113</v>
      </c>
      <c r="B480" t="s">
        <v>178</v>
      </c>
      <c r="D480">
        <v>120000</v>
      </c>
      <c r="F480" t="s">
        <v>7492</v>
      </c>
      <c r="H480" t="s">
        <v>8311</v>
      </c>
      <c r="I480" t="s">
        <v>2327</v>
      </c>
      <c r="K480" t="s">
        <v>8664</v>
      </c>
      <c r="L480" t="s">
        <v>8665</v>
      </c>
    </row>
    <row r="481" spans="1:12" x14ac:dyDescent="0.35">
      <c r="A481" t="s">
        <v>113</v>
      </c>
      <c r="B481" t="s">
        <v>6066</v>
      </c>
      <c r="D481">
        <v>140000</v>
      </c>
      <c r="F481" t="s">
        <v>7480</v>
      </c>
      <c r="H481" t="s">
        <v>8312</v>
      </c>
      <c r="I481" t="s">
        <v>1841</v>
      </c>
      <c r="K481" t="s">
        <v>8664</v>
      </c>
      <c r="L481" t="s">
        <v>8665</v>
      </c>
    </row>
    <row r="482" spans="1:12" x14ac:dyDescent="0.35">
      <c r="A482" t="s">
        <v>113</v>
      </c>
      <c r="B482" t="s">
        <v>6066</v>
      </c>
      <c r="D482">
        <v>36000</v>
      </c>
      <c r="F482" t="s">
        <v>7491</v>
      </c>
      <c r="H482" t="s">
        <v>8313</v>
      </c>
      <c r="I482" t="s">
        <v>1841</v>
      </c>
      <c r="K482" t="s">
        <v>8664</v>
      </c>
      <c r="L482" t="s">
        <v>8665</v>
      </c>
    </row>
    <row r="483" spans="1:12" x14ac:dyDescent="0.35">
      <c r="A483" t="s">
        <v>113</v>
      </c>
      <c r="B483" t="s">
        <v>6066</v>
      </c>
      <c r="D483">
        <v>57000</v>
      </c>
      <c r="F483" t="s">
        <v>7455</v>
      </c>
      <c r="H483" t="s">
        <v>8314</v>
      </c>
      <c r="I483" t="s">
        <v>1841</v>
      </c>
      <c r="K483" t="s">
        <v>8664</v>
      </c>
      <c r="L483" t="s">
        <v>8665</v>
      </c>
    </row>
    <row r="484" spans="1:12" x14ac:dyDescent="0.35">
      <c r="A484" t="s">
        <v>113</v>
      </c>
      <c r="B484" t="s">
        <v>506</v>
      </c>
      <c r="D484">
        <v>102000</v>
      </c>
      <c r="F484" t="s">
        <v>7486</v>
      </c>
      <c r="H484" t="s">
        <v>8315</v>
      </c>
      <c r="I484" t="s">
        <v>4868</v>
      </c>
      <c r="K484" t="s">
        <v>8664</v>
      </c>
      <c r="L484" t="s">
        <v>8665</v>
      </c>
    </row>
    <row r="485" spans="1:12" x14ac:dyDescent="0.35">
      <c r="A485" t="s">
        <v>113</v>
      </c>
      <c r="B485" t="s">
        <v>507</v>
      </c>
      <c r="D485">
        <v>52000</v>
      </c>
      <c r="F485" t="s">
        <v>7536</v>
      </c>
      <c r="H485" t="s">
        <v>8316</v>
      </c>
      <c r="I485" t="s">
        <v>4892</v>
      </c>
      <c r="K485" t="s">
        <v>8664</v>
      </c>
      <c r="L485" t="s">
        <v>8665</v>
      </c>
    </row>
    <row r="486" spans="1:12" x14ac:dyDescent="0.35">
      <c r="A486" t="s">
        <v>113</v>
      </c>
      <c r="B486" t="s">
        <v>7428</v>
      </c>
      <c r="D486">
        <v>53400</v>
      </c>
      <c r="F486" t="s">
        <v>7705</v>
      </c>
      <c r="H486" t="s">
        <v>8317</v>
      </c>
      <c r="I486" t="s">
        <v>2327</v>
      </c>
      <c r="K486" t="s">
        <v>8664</v>
      </c>
      <c r="L486" t="s">
        <v>8665</v>
      </c>
    </row>
    <row r="487" spans="1:12" x14ac:dyDescent="0.35">
      <c r="A487" t="s">
        <v>113</v>
      </c>
      <c r="B487" t="s">
        <v>377</v>
      </c>
      <c r="D487">
        <v>110000</v>
      </c>
      <c r="F487" t="s">
        <v>7469</v>
      </c>
      <c r="H487" t="s">
        <v>8318</v>
      </c>
      <c r="I487" t="s">
        <v>8637</v>
      </c>
      <c r="K487" t="s">
        <v>8664</v>
      </c>
      <c r="L487" t="s">
        <v>8665</v>
      </c>
    </row>
    <row r="488" spans="1:12" x14ac:dyDescent="0.35">
      <c r="A488" t="s">
        <v>113</v>
      </c>
      <c r="B488" t="s">
        <v>508</v>
      </c>
      <c r="D488">
        <v>90000</v>
      </c>
      <c r="F488" t="s">
        <v>7500</v>
      </c>
      <c r="H488" t="s">
        <v>8319</v>
      </c>
      <c r="I488" t="s">
        <v>2325</v>
      </c>
      <c r="K488" t="s">
        <v>8664</v>
      </c>
      <c r="L488" t="s">
        <v>8665</v>
      </c>
    </row>
    <row r="489" spans="1:12" x14ac:dyDescent="0.35">
      <c r="A489" t="s">
        <v>113</v>
      </c>
      <c r="B489" t="s">
        <v>509</v>
      </c>
      <c r="D489">
        <v>107000</v>
      </c>
      <c r="F489" t="s">
        <v>7586</v>
      </c>
      <c r="H489" t="s">
        <v>8320</v>
      </c>
      <c r="I489" t="s">
        <v>1393</v>
      </c>
      <c r="K489" t="s">
        <v>8664</v>
      </c>
      <c r="L489" t="s">
        <v>8665</v>
      </c>
    </row>
    <row r="490" spans="1:12" x14ac:dyDescent="0.35">
      <c r="A490" t="s">
        <v>113</v>
      </c>
      <c r="B490" t="s">
        <v>6067</v>
      </c>
      <c r="D490">
        <v>63000</v>
      </c>
      <c r="F490" t="s">
        <v>7485</v>
      </c>
      <c r="H490" t="s">
        <v>8321</v>
      </c>
      <c r="I490" t="s">
        <v>1359</v>
      </c>
      <c r="K490" t="s">
        <v>8664</v>
      </c>
      <c r="L490" t="s">
        <v>8665</v>
      </c>
    </row>
    <row r="491" spans="1:12" x14ac:dyDescent="0.35">
      <c r="A491" t="s">
        <v>113</v>
      </c>
      <c r="B491" t="s">
        <v>510</v>
      </c>
      <c r="D491">
        <v>106000</v>
      </c>
      <c r="F491" t="s">
        <v>7642</v>
      </c>
      <c r="H491" t="s">
        <v>8322</v>
      </c>
      <c r="I491" t="s">
        <v>2253</v>
      </c>
      <c r="K491" t="s">
        <v>8664</v>
      </c>
      <c r="L491" t="s">
        <v>8665</v>
      </c>
    </row>
    <row r="492" spans="1:12" x14ac:dyDescent="0.35">
      <c r="A492" t="s">
        <v>113</v>
      </c>
      <c r="B492" t="s">
        <v>510</v>
      </c>
      <c r="D492">
        <v>104000</v>
      </c>
      <c r="F492" t="s">
        <v>7636</v>
      </c>
      <c r="H492" t="s">
        <v>8323</v>
      </c>
      <c r="I492" t="s">
        <v>8638</v>
      </c>
      <c r="K492" t="s">
        <v>8664</v>
      </c>
      <c r="L492" t="s">
        <v>8665</v>
      </c>
    </row>
    <row r="493" spans="1:12" x14ac:dyDescent="0.35">
      <c r="A493" t="s">
        <v>113</v>
      </c>
      <c r="B493" t="s">
        <v>6052</v>
      </c>
      <c r="D493">
        <v>53600</v>
      </c>
      <c r="F493" t="s">
        <v>7706</v>
      </c>
      <c r="H493" t="s">
        <v>8324</v>
      </c>
      <c r="I493" t="s">
        <v>4885</v>
      </c>
      <c r="K493" t="s">
        <v>8664</v>
      </c>
      <c r="L493" t="s">
        <v>8665</v>
      </c>
    </row>
    <row r="494" spans="1:12" x14ac:dyDescent="0.35">
      <c r="A494" t="s">
        <v>113</v>
      </c>
      <c r="B494" t="s">
        <v>512</v>
      </c>
      <c r="D494">
        <v>54000</v>
      </c>
      <c r="F494" t="s">
        <v>7707</v>
      </c>
      <c r="H494" t="s">
        <v>8325</v>
      </c>
      <c r="I494" t="s">
        <v>1848</v>
      </c>
      <c r="K494" t="s">
        <v>8664</v>
      </c>
      <c r="L494" t="s">
        <v>8665</v>
      </c>
    </row>
    <row r="495" spans="1:12" x14ac:dyDescent="0.35">
      <c r="A495" t="s">
        <v>113</v>
      </c>
      <c r="B495" t="s">
        <v>400</v>
      </c>
      <c r="D495">
        <v>54600</v>
      </c>
      <c r="F495" t="s">
        <v>7708</v>
      </c>
      <c r="H495" t="s">
        <v>8326</v>
      </c>
      <c r="I495" t="s">
        <v>4886</v>
      </c>
      <c r="K495" t="s">
        <v>8664</v>
      </c>
      <c r="L495" t="s">
        <v>8665</v>
      </c>
    </row>
    <row r="496" spans="1:12" x14ac:dyDescent="0.35">
      <c r="A496" t="s">
        <v>113</v>
      </c>
      <c r="B496" t="s">
        <v>400</v>
      </c>
      <c r="D496">
        <v>54800</v>
      </c>
      <c r="F496" t="s">
        <v>7518</v>
      </c>
      <c r="H496" t="s">
        <v>8327</v>
      </c>
      <c r="I496" t="s">
        <v>4886</v>
      </c>
      <c r="K496" t="s">
        <v>8664</v>
      </c>
      <c r="L496" t="s">
        <v>8665</v>
      </c>
    </row>
    <row r="497" spans="1:12" x14ac:dyDescent="0.35">
      <c r="A497" t="s">
        <v>113</v>
      </c>
      <c r="B497" t="s">
        <v>514</v>
      </c>
      <c r="D497">
        <v>123000</v>
      </c>
      <c r="F497" t="s">
        <v>7709</v>
      </c>
      <c r="H497" t="s">
        <v>8328</v>
      </c>
      <c r="I497" t="s">
        <v>2393</v>
      </c>
      <c r="K497" t="s">
        <v>8664</v>
      </c>
      <c r="L497" t="s">
        <v>8665</v>
      </c>
    </row>
    <row r="498" spans="1:12" x14ac:dyDescent="0.35">
      <c r="A498" t="s">
        <v>113</v>
      </c>
      <c r="B498" t="s">
        <v>515</v>
      </c>
      <c r="D498">
        <v>53470</v>
      </c>
      <c r="F498" t="s">
        <v>7710</v>
      </c>
      <c r="H498" t="s">
        <v>8329</v>
      </c>
      <c r="I498" t="s">
        <v>4890</v>
      </c>
      <c r="K498" t="s">
        <v>8664</v>
      </c>
      <c r="L498" t="s">
        <v>8665</v>
      </c>
    </row>
    <row r="499" spans="1:12" x14ac:dyDescent="0.35">
      <c r="A499" t="s">
        <v>113</v>
      </c>
      <c r="B499" t="s">
        <v>516</v>
      </c>
      <c r="D499">
        <v>66000</v>
      </c>
      <c r="F499" t="s">
        <v>7479</v>
      </c>
      <c r="H499" t="s">
        <v>8330</v>
      </c>
      <c r="I499" t="s">
        <v>4894</v>
      </c>
      <c r="K499" t="s">
        <v>8664</v>
      </c>
      <c r="L499" t="s">
        <v>8665</v>
      </c>
    </row>
    <row r="500" spans="1:12" x14ac:dyDescent="0.35">
      <c r="A500" t="s">
        <v>113</v>
      </c>
      <c r="B500" t="s">
        <v>516</v>
      </c>
      <c r="D500">
        <v>127000</v>
      </c>
      <c r="F500" t="s">
        <v>7711</v>
      </c>
      <c r="H500" t="s">
        <v>8331</v>
      </c>
      <c r="I500" t="s">
        <v>4894</v>
      </c>
      <c r="K500" t="s">
        <v>8664</v>
      </c>
      <c r="L500" t="s">
        <v>8665</v>
      </c>
    </row>
    <row r="501" spans="1:12" x14ac:dyDescent="0.35">
      <c r="A501" t="s">
        <v>113</v>
      </c>
      <c r="B501" t="s">
        <v>516</v>
      </c>
      <c r="D501">
        <v>54000</v>
      </c>
      <c r="F501" t="s">
        <v>7707</v>
      </c>
      <c r="H501" t="s">
        <v>8332</v>
      </c>
      <c r="I501" t="s">
        <v>4880</v>
      </c>
      <c r="K501" t="s">
        <v>8664</v>
      </c>
      <c r="L501" t="s">
        <v>8665</v>
      </c>
    </row>
    <row r="502" spans="1:12" x14ac:dyDescent="0.35">
      <c r="A502" t="s">
        <v>113</v>
      </c>
      <c r="B502" t="s">
        <v>518</v>
      </c>
      <c r="D502">
        <v>177000</v>
      </c>
      <c r="F502" t="s">
        <v>7712</v>
      </c>
      <c r="H502" t="s">
        <v>8333</v>
      </c>
      <c r="I502" t="s">
        <v>1961</v>
      </c>
      <c r="K502" t="s">
        <v>8664</v>
      </c>
      <c r="L502" t="s">
        <v>8665</v>
      </c>
    </row>
    <row r="503" spans="1:12" x14ac:dyDescent="0.35">
      <c r="A503" t="s">
        <v>113</v>
      </c>
      <c r="B503" t="s">
        <v>518</v>
      </c>
      <c r="D503">
        <v>99800</v>
      </c>
      <c r="F503" t="s">
        <v>7713</v>
      </c>
      <c r="H503" t="s">
        <v>8334</v>
      </c>
      <c r="I503" t="s">
        <v>1961</v>
      </c>
      <c r="K503" t="s">
        <v>8664</v>
      </c>
      <c r="L503" t="s">
        <v>8665</v>
      </c>
    </row>
    <row r="504" spans="1:12" x14ac:dyDescent="0.35">
      <c r="A504" t="s">
        <v>113</v>
      </c>
      <c r="B504" t="s">
        <v>518</v>
      </c>
      <c r="D504">
        <v>47000</v>
      </c>
      <c r="F504" t="s">
        <v>7550</v>
      </c>
      <c r="H504" t="s">
        <v>8335</v>
      </c>
      <c r="I504" t="s">
        <v>4923</v>
      </c>
      <c r="K504" t="s">
        <v>8664</v>
      </c>
      <c r="L504" t="s">
        <v>8665</v>
      </c>
    </row>
    <row r="505" spans="1:12" x14ac:dyDescent="0.35">
      <c r="A505" t="s">
        <v>113</v>
      </c>
      <c r="B505" t="s">
        <v>520</v>
      </c>
      <c r="D505">
        <v>114000</v>
      </c>
      <c r="F505" t="s">
        <v>7585</v>
      </c>
      <c r="I505" t="s">
        <v>2009</v>
      </c>
      <c r="K505" t="s">
        <v>8664</v>
      </c>
      <c r="L505" t="s">
        <v>8665</v>
      </c>
    </row>
    <row r="506" spans="1:12" x14ac:dyDescent="0.35">
      <c r="A506" t="s">
        <v>113</v>
      </c>
      <c r="B506" t="s">
        <v>6069</v>
      </c>
      <c r="D506">
        <v>37000</v>
      </c>
      <c r="F506" t="s">
        <v>7567</v>
      </c>
      <c r="H506" t="s">
        <v>8336</v>
      </c>
      <c r="I506" t="s">
        <v>1841</v>
      </c>
      <c r="K506" t="s">
        <v>8664</v>
      </c>
      <c r="L506" t="s">
        <v>8665</v>
      </c>
    </row>
    <row r="507" spans="1:12" x14ac:dyDescent="0.35">
      <c r="A507" t="s">
        <v>113</v>
      </c>
      <c r="B507" t="s">
        <v>6069</v>
      </c>
      <c r="D507">
        <v>149000</v>
      </c>
      <c r="F507" t="s">
        <v>7714</v>
      </c>
      <c r="H507" t="s">
        <v>8337</v>
      </c>
      <c r="I507" t="s">
        <v>1841</v>
      </c>
      <c r="K507" t="s">
        <v>8664</v>
      </c>
      <c r="L507" t="s">
        <v>8665</v>
      </c>
    </row>
    <row r="508" spans="1:12" x14ac:dyDescent="0.35">
      <c r="A508" t="s">
        <v>113</v>
      </c>
      <c r="B508" t="s">
        <v>320</v>
      </c>
      <c r="D508">
        <v>55000</v>
      </c>
      <c r="F508" t="s">
        <v>7473</v>
      </c>
      <c r="H508" t="s">
        <v>8338</v>
      </c>
      <c r="I508" t="s">
        <v>4857</v>
      </c>
      <c r="K508" t="s">
        <v>8664</v>
      </c>
      <c r="L508" t="s">
        <v>8665</v>
      </c>
    </row>
    <row r="509" spans="1:12" x14ac:dyDescent="0.35">
      <c r="A509" t="s">
        <v>113</v>
      </c>
      <c r="B509" t="s">
        <v>320</v>
      </c>
      <c r="D509">
        <v>105000</v>
      </c>
      <c r="F509" t="s">
        <v>7472</v>
      </c>
      <c r="H509" t="s">
        <v>8339</v>
      </c>
      <c r="I509" t="s">
        <v>8639</v>
      </c>
      <c r="K509" t="s">
        <v>8664</v>
      </c>
      <c r="L509" t="s">
        <v>8665</v>
      </c>
    </row>
    <row r="510" spans="1:12" x14ac:dyDescent="0.35">
      <c r="A510" t="s">
        <v>113</v>
      </c>
      <c r="B510" t="s">
        <v>523</v>
      </c>
      <c r="D510">
        <v>99200</v>
      </c>
      <c r="F510" t="s">
        <v>7715</v>
      </c>
      <c r="H510" t="s">
        <v>8340</v>
      </c>
      <c r="I510" t="s">
        <v>4907</v>
      </c>
      <c r="K510" t="s">
        <v>8664</v>
      </c>
      <c r="L510" t="s">
        <v>8665</v>
      </c>
    </row>
    <row r="511" spans="1:12" x14ac:dyDescent="0.35">
      <c r="A511" t="s">
        <v>113</v>
      </c>
      <c r="B511" t="s">
        <v>523</v>
      </c>
      <c r="D511">
        <v>49300</v>
      </c>
      <c r="F511" t="s">
        <v>7644</v>
      </c>
      <c r="H511" t="s">
        <v>8341</v>
      </c>
      <c r="I511" t="s">
        <v>4907</v>
      </c>
      <c r="K511" t="s">
        <v>8664</v>
      </c>
      <c r="L511" t="s">
        <v>8665</v>
      </c>
    </row>
    <row r="512" spans="1:12" x14ac:dyDescent="0.35">
      <c r="A512" t="s">
        <v>113</v>
      </c>
      <c r="B512" t="s">
        <v>524</v>
      </c>
      <c r="D512">
        <v>136000</v>
      </c>
      <c r="F512" t="s">
        <v>7516</v>
      </c>
      <c r="H512" t="s">
        <v>8342</v>
      </c>
      <c r="I512" t="s">
        <v>4883</v>
      </c>
      <c r="K512" t="s">
        <v>8664</v>
      </c>
      <c r="L512" t="s">
        <v>8665</v>
      </c>
    </row>
    <row r="513" spans="1:12" x14ac:dyDescent="0.35">
      <c r="A513" t="s">
        <v>113</v>
      </c>
      <c r="B513" t="s">
        <v>524</v>
      </c>
      <c r="D513">
        <v>65000</v>
      </c>
      <c r="F513" t="s">
        <v>7522</v>
      </c>
      <c r="H513" t="s">
        <v>8343</v>
      </c>
      <c r="I513" t="s">
        <v>4883</v>
      </c>
      <c r="K513" t="s">
        <v>8664</v>
      </c>
      <c r="L513" t="s">
        <v>8665</v>
      </c>
    </row>
    <row r="514" spans="1:12" x14ac:dyDescent="0.35">
      <c r="A514" t="s">
        <v>113</v>
      </c>
      <c r="B514" t="s">
        <v>353</v>
      </c>
      <c r="D514">
        <v>94000</v>
      </c>
      <c r="F514" t="s">
        <v>7506</v>
      </c>
      <c r="H514" t="s">
        <v>8192</v>
      </c>
      <c r="I514" t="s">
        <v>1533</v>
      </c>
      <c r="K514" t="s">
        <v>8664</v>
      </c>
      <c r="L514" t="s">
        <v>8665</v>
      </c>
    </row>
    <row r="515" spans="1:12" x14ac:dyDescent="0.35">
      <c r="A515" t="s">
        <v>113</v>
      </c>
      <c r="B515" t="s">
        <v>353</v>
      </c>
      <c r="D515">
        <v>109000</v>
      </c>
      <c r="F515" t="s">
        <v>7716</v>
      </c>
      <c r="I515" t="s">
        <v>1461</v>
      </c>
      <c r="K515" t="s">
        <v>8664</v>
      </c>
      <c r="L515" t="s">
        <v>8665</v>
      </c>
    </row>
    <row r="516" spans="1:12" x14ac:dyDescent="0.35">
      <c r="A516" t="s">
        <v>113</v>
      </c>
      <c r="B516" t="s">
        <v>353</v>
      </c>
      <c r="D516">
        <v>49000</v>
      </c>
      <c r="F516" t="s">
        <v>7617</v>
      </c>
      <c r="H516" t="s">
        <v>8344</v>
      </c>
      <c r="I516" t="s">
        <v>1533</v>
      </c>
      <c r="K516" t="s">
        <v>8664</v>
      </c>
      <c r="L516" t="s">
        <v>8665</v>
      </c>
    </row>
    <row r="517" spans="1:12" x14ac:dyDescent="0.35">
      <c r="A517" t="s">
        <v>113</v>
      </c>
      <c r="B517" t="s">
        <v>525</v>
      </c>
      <c r="D517">
        <v>95240</v>
      </c>
      <c r="F517" t="s">
        <v>7717</v>
      </c>
      <c r="H517" t="s">
        <v>8345</v>
      </c>
      <c r="I517" t="s">
        <v>4949</v>
      </c>
      <c r="K517" t="s">
        <v>8664</v>
      </c>
      <c r="L517" t="s">
        <v>8665</v>
      </c>
    </row>
    <row r="518" spans="1:12" x14ac:dyDescent="0.35">
      <c r="A518" t="s">
        <v>113</v>
      </c>
      <c r="B518" t="s">
        <v>175</v>
      </c>
      <c r="D518">
        <v>96000</v>
      </c>
      <c r="F518" t="s">
        <v>7532</v>
      </c>
      <c r="H518" t="s">
        <v>8346</v>
      </c>
      <c r="I518" t="s">
        <v>2051</v>
      </c>
      <c r="K518" t="s">
        <v>8664</v>
      </c>
      <c r="L518" t="s">
        <v>8665</v>
      </c>
    </row>
    <row r="519" spans="1:12" x14ac:dyDescent="0.35">
      <c r="A519" t="s">
        <v>113</v>
      </c>
      <c r="B519" t="s">
        <v>175</v>
      </c>
      <c r="D519">
        <v>52500</v>
      </c>
      <c r="F519" t="s">
        <v>7718</v>
      </c>
      <c r="H519" t="s">
        <v>8347</v>
      </c>
      <c r="I519" t="s">
        <v>8640</v>
      </c>
      <c r="K519" t="s">
        <v>8664</v>
      </c>
      <c r="L519" t="s">
        <v>8665</v>
      </c>
    </row>
    <row r="520" spans="1:12" x14ac:dyDescent="0.35">
      <c r="A520" t="s">
        <v>113</v>
      </c>
      <c r="B520" t="s">
        <v>175</v>
      </c>
      <c r="D520">
        <v>51698</v>
      </c>
      <c r="F520" t="s">
        <v>7719</v>
      </c>
      <c r="H520" t="s">
        <v>8348</v>
      </c>
      <c r="I520" t="s">
        <v>4892</v>
      </c>
      <c r="K520" t="s">
        <v>8664</v>
      </c>
      <c r="L520" t="s">
        <v>8665</v>
      </c>
    </row>
    <row r="521" spans="1:12" x14ac:dyDescent="0.35">
      <c r="A521" t="s">
        <v>113</v>
      </c>
      <c r="B521" t="s">
        <v>175</v>
      </c>
      <c r="D521">
        <v>50000</v>
      </c>
      <c r="F521" t="s">
        <v>7508</v>
      </c>
      <c r="H521" t="s">
        <v>8349</v>
      </c>
      <c r="I521" t="s">
        <v>1551</v>
      </c>
      <c r="K521" t="s">
        <v>8664</v>
      </c>
      <c r="L521" t="s">
        <v>8665</v>
      </c>
    </row>
    <row r="522" spans="1:12" x14ac:dyDescent="0.35">
      <c r="A522" t="s">
        <v>113</v>
      </c>
      <c r="B522" t="s">
        <v>7429</v>
      </c>
      <c r="D522">
        <v>61000</v>
      </c>
      <c r="F522" t="s">
        <v>7471</v>
      </c>
      <c r="H522" t="s">
        <v>8350</v>
      </c>
      <c r="I522" t="s">
        <v>5141</v>
      </c>
      <c r="K522" t="s">
        <v>8664</v>
      </c>
      <c r="L522" t="s">
        <v>8665</v>
      </c>
    </row>
    <row r="523" spans="1:12" x14ac:dyDescent="0.35">
      <c r="A523" t="s">
        <v>113</v>
      </c>
      <c r="B523" t="s">
        <v>7430</v>
      </c>
      <c r="D523">
        <v>62000</v>
      </c>
      <c r="F523" t="s">
        <v>7493</v>
      </c>
      <c r="H523" t="s">
        <v>8351</v>
      </c>
      <c r="I523" t="s">
        <v>5141</v>
      </c>
      <c r="K523" t="s">
        <v>8664</v>
      </c>
      <c r="L523" t="s">
        <v>8665</v>
      </c>
    </row>
    <row r="524" spans="1:12" x14ac:dyDescent="0.35">
      <c r="A524" t="s">
        <v>113</v>
      </c>
      <c r="B524" t="s">
        <v>7430</v>
      </c>
      <c r="D524">
        <v>71000</v>
      </c>
      <c r="F524" t="s">
        <v>7590</v>
      </c>
      <c r="H524" t="s">
        <v>8351</v>
      </c>
      <c r="I524" t="s">
        <v>5141</v>
      </c>
      <c r="K524" t="s">
        <v>8664</v>
      </c>
      <c r="L524" t="s">
        <v>8665</v>
      </c>
    </row>
    <row r="525" spans="1:12" x14ac:dyDescent="0.35">
      <c r="A525" t="s">
        <v>113</v>
      </c>
      <c r="B525" t="s">
        <v>328</v>
      </c>
      <c r="D525">
        <v>121000</v>
      </c>
      <c r="F525" t="s">
        <v>7720</v>
      </c>
      <c r="H525" t="s">
        <v>8352</v>
      </c>
      <c r="I525" t="s">
        <v>4905</v>
      </c>
      <c r="K525" t="s">
        <v>8664</v>
      </c>
      <c r="L525" t="s">
        <v>8665</v>
      </c>
    </row>
    <row r="526" spans="1:12" x14ac:dyDescent="0.35">
      <c r="A526" t="s">
        <v>113</v>
      </c>
      <c r="B526" t="s">
        <v>328</v>
      </c>
      <c r="D526">
        <v>125000</v>
      </c>
      <c r="F526" t="s">
        <v>7574</v>
      </c>
      <c r="H526" t="s">
        <v>8353</v>
      </c>
      <c r="I526" t="s">
        <v>8641</v>
      </c>
      <c r="K526" t="s">
        <v>8664</v>
      </c>
      <c r="L526" t="s">
        <v>8665</v>
      </c>
    </row>
    <row r="527" spans="1:12" x14ac:dyDescent="0.35">
      <c r="A527" t="s">
        <v>113</v>
      </c>
      <c r="B527" t="s">
        <v>328</v>
      </c>
      <c r="D527">
        <v>60000</v>
      </c>
      <c r="F527" t="s">
        <v>7481</v>
      </c>
      <c r="H527" t="s">
        <v>8354</v>
      </c>
      <c r="I527" t="s">
        <v>4892</v>
      </c>
      <c r="K527" t="s">
        <v>8664</v>
      </c>
      <c r="L527" t="s">
        <v>8665</v>
      </c>
    </row>
    <row r="528" spans="1:12" x14ac:dyDescent="0.35">
      <c r="A528" t="s">
        <v>113</v>
      </c>
      <c r="B528" t="s">
        <v>328</v>
      </c>
      <c r="D528">
        <v>53000</v>
      </c>
      <c r="F528" t="s">
        <v>7527</v>
      </c>
      <c r="H528" t="s">
        <v>8355</v>
      </c>
      <c r="I528" t="s">
        <v>4952</v>
      </c>
      <c r="K528" t="s">
        <v>8664</v>
      </c>
      <c r="L528" t="s">
        <v>8665</v>
      </c>
    </row>
    <row r="529" spans="1:12" x14ac:dyDescent="0.35">
      <c r="A529" t="s">
        <v>113</v>
      </c>
      <c r="B529" t="s">
        <v>529</v>
      </c>
      <c r="D529">
        <v>134000</v>
      </c>
      <c r="F529" t="s">
        <v>7579</v>
      </c>
      <c r="H529" t="s">
        <v>8356</v>
      </c>
      <c r="I529" t="s">
        <v>4953</v>
      </c>
      <c r="K529" t="s">
        <v>8664</v>
      </c>
      <c r="L529" t="s">
        <v>8665</v>
      </c>
    </row>
    <row r="530" spans="1:12" x14ac:dyDescent="0.35">
      <c r="A530" t="s">
        <v>113</v>
      </c>
      <c r="B530" t="s">
        <v>179</v>
      </c>
      <c r="D530">
        <v>126000</v>
      </c>
      <c r="F530" t="s">
        <v>7591</v>
      </c>
      <c r="H530" t="s">
        <v>8357</v>
      </c>
      <c r="I530" t="s">
        <v>4961</v>
      </c>
      <c r="K530" t="s">
        <v>8664</v>
      </c>
      <c r="L530" t="s">
        <v>8665</v>
      </c>
    </row>
    <row r="531" spans="1:12" x14ac:dyDescent="0.35">
      <c r="A531" t="s">
        <v>113</v>
      </c>
      <c r="B531" t="s">
        <v>467</v>
      </c>
      <c r="D531">
        <v>48712</v>
      </c>
      <c r="F531" t="s">
        <v>7721</v>
      </c>
      <c r="H531" t="s">
        <v>8358</v>
      </c>
      <c r="I531" t="s">
        <v>5001</v>
      </c>
      <c r="K531" t="s">
        <v>8664</v>
      </c>
      <c r="L531" t="s">
        <v>8665</v>
      </c>
    </row>
    <row r="532" spans="1:12" x14ac:dyDescent="0.35">
      <c r="A532" t="s">
        <v>114</v>
      </c>
      <c r="B532" t="s">
        <v>317</v>
      </c>
      <c r="D532">
        <v>150000</v>
      </c>
      <c r="F532" t="s">
        <v>7449</v>
      </c>
      <c r="H532" t="s">
        <v>8359</v>
      </c>
      <c r="I532" t="s">
        <v>1317</v>
      </c>
      <c r="K532" t="s">
        <v>8664</v>
      </c>
      <c r="L532" t="s">
        <v>8665</v>
      </c>
    </row>
    <row r="533" spans="1:12" x14ac:dyDescent="0.35">
      <c r="A533" t="s">
        <v>115</v>
      </c>
      <c r="B533" t="s">
        <v>428</v>
      </c>
      <c r="D533">
        <v>21000</v>
      </c>
      <c r="F533" t="s">
        <v>7457</v>
      </c>
      <c r="H533" t="s">
        <v>8360</v>
      </c>
      <c r="I533" t="s">
        <v>1317</v>
      </c>
      <c r="K533" t="s">
        <v>8664</v>
      </c>
      <c r="L533" t="s">
        <v>8665</v>
      </c>
    </row>
    <row r="534" spans="1:12" x14ac:dyDescent="0.35">
      <c r="A534" t="s">
        <v>116</v>
      </c>
      <c r="B534" t="s">
        <v>329</v>
      </c>
      <c r="D534">
        <v>40000</v>
      </c>
      <c r="F534" t="s">
        <v>7515</v>
      </c>
      <c r="H534" t="s">
        <v>8361</v>
      </c>
      <c r="I534" t="s">
        <v>2332</v>
      </c>
      <c r="K534" t="s">
        <v>8664</v>
      </c>
      <c r="L534" t="s">
        <v>8665</v>
      </c>
    </row>
    <row r="535" spans="1:12" x14ac:dyDescent="0.35">
      <c r="A535" t="s">
        <v>116</v>
      </c>
      <c r="B535" t="s">
        <v>328</v>
      </c>
      <c r="D535">
        <v>80000</v>
      </c>
      <c r="F535" t="s">
        <v>7513</v>
      </c>
      <c r="H535" t="s">
        <v>8362</v>
      </c>
      <c r="I535" t="s">
        <v>8642</v>
      </c>
      <c r="K535" t="s">
        <v>8664</v>
      </c>
      <c r="L535" t="s">
        <v>8665</v>
      </c>
    </row>
    <row r="536" spans="1:12" x14ac:dyDescent="0.35">
      <c r="A536" t="s">
        <v>116</v>
      </c>
      <c r="B536" t="s">
        <v>586</v>
      </c>
      <c r="D536">
        <v>57000</v>
      </c>
      <c r="F536" t="s">
        <v>7455</v>
      </c>
      <c r="H536" t="s">
        <v>8363</v>
      </c>
      <c r="I536" t="s">
        <v>4874</v>
      </c>
      <c r="K536" t="s">
        <v>8664</v>
      </c>
      <c r="L536" t="s">
        <v>8665</v>
      </c>
    </row>
    <row r="537" spans="1:12" x14ac:dyDescent="0.35">
      <c r="A537" t="s">
        <v>116</v>
      </c>
      <c r="B537" t="s">
        <v>586</v>
      </c>
      <c r="D537">
        <v>56700</v>
      </c>
      <c r="F537" t="s">
        <v>7722</v>
      </c>
      <c r="H537" t="s">
        <v>8364</v>
      </c>
      <c r="I537" t="s">
        <v>4874</v>
      </c>
      <c r="K537" t="s">
        <v>8664</v>
      </c>
      <c r="L537" t="s">
        <v>8665</v>
      </c>
    </row>
    <row r="538" spans="1:12" x14ac:dyDescent="0.35">
      <c r="A538" t="s">
        <v>116</v>
      </c>
      <c r="B538" t="s">
        <v>6061</v>
      </c>
      <c r="D538">
        <v>37443</v>
      </c>
      <c r="F538" t="s">
        <v>7723</v>
      </c>
      <c r="H538" t="s">
        <v>8365</v>
      </c>
      <c r="I538" t="s">
        <v>4953</v>
      </c>
      <c r="K538" t="s">
        <v>8664</v>
      </c>
      <c r="L538" t="s">
        <v>8665</v>
      </c>
    </row>
    <row r="539" spans="1:12" x14ac:dyDescent="0.35">
      <c r="A539" t="s">
        <v>116</v>
      </c>
      <c r="B539" t="s">
        <v>531</v>
      </c>
      <c r="D539">
        <v>81500</v>
      </c>
      <c r="F539" t="s">
        <v>7724</v>
      </c>
      <c r="H539" t="s">
        <v>8366</v>
      </c>
      <c r="I539" t="s">
        <v>4954</v>
      </c>
      <c r="K539" t="s">
        <v>8664</v>
      </c>
      <c r="L539" t="s">
        <v>8665</v>
      </c>
    </row>
    <row r="540" spans="1:12" x14ac:dyDescent="0.35">
      <c r="A540" t="s">
        <v>116</v>
      </c>
      <c r="B540" t="s">
        <v>531</v>
      </c>
      <c r="D540">
        <v>36900</v>
      </c>
      <c r="F540" t="s">
        <v>7692</v>
      </c>
      <c r="H540" t="s">
        <v>8367</v>
      </c>
      <c r="I540" t="s">
        <v>4954</v>
      </c>
      <c r="K540" t="s">
        <v>8664</v>
      </c>
      <c r="L540" t="s">
        <v>8665</v>
      </c>
    </row>
    <row r="541" spans="1:12" x14ac:dyDescent="0.35">
      <c r="A541" t="s">
        <v>116</v>
      </c>
      <c r="B541" t="s">
        <v>495</v>
      </c>
      <c r="D541">
        <v>37066</v>
      </c>
      <c r="F541" t="s">
        <v>7725</v>
      </c>
      <c r="H541" t="s">
        <v>8368</v>
      </c>
      <c r="I541" t="s">
        <v>2407</v>
      </c>
      <c r="K541" t="s">
        <v>8664</v>
      </c>
      <c r="L541" t="s">
        <v>8665</v>
      </c>
    </row>
    <row r="542" spans="1:12" x14ac:dyDescent="0.35">
      <c r="A542" t="s">
        <v>116</v>
      </c>
      <c r="B542" t="s">
        <v>495</v>
      </c>
      <c r="D542">
        <v>37311</v>
      </c>
      <c r="F542" t="s">
        <v>7726</v>
      </c>
      <c r="H542" t="s">
        <v>8369</v>
      </c>
      <c r="I542" t="s">
        <v>2407</v>
      </c>
      <c r="K542" t="s">
        <v>8664</v>
      </c>
      <c r="L542" t="s">
        <v>8665</v>
      </c>
    </row>
    <row r="543" spans="1:12" x14ac:dyDescent="0.35">
      <c r="A543" t="s">
        <v>116</v>
      </c>
      <c r="B543" t="s">
        <v>175</v>
      </c>
      <c r="D543">
        <v>39500</v>
      </c>
      <c r="F543" t="s">
        <v>7727</v>
      </c>
      <c r="H543" t="s">
        <v>8370</v>
      </c>
      <c r="I543" t="s">
        <v>4956</v>
      </c>
      <c r="K543" t="s">
        <v>8664</v>
      </c>
      <c r="L543" t="s">
        <v>8665</v>
      </c>
    </row>
    <row r="544" spans="1:12" x14ac:dyDescent="0.35">
      <c r="A544" t="s">
        <v>116</v>
      </c>
      <c r="B544" t="s">
        <v>175</v>
      </c>
      <c r="D544">
        <v>39870</v>
      </c>
      <c r="F544" t="s">
        <v>7728</v>
      </c>
      <c r="H544" t="s">
        <v>8371</v>
      </c>
      <c r="I544" t="s">
        <v>4956</v>
      </c>
      <c r="K544" t="s">
        <v>8664</v>
      </c>
      <c r="L544" t="s">
        <v>8665</v>
      </c>
    </row>
    <row r="545" spans="1:12" x14ac:dyDescent="0.35">
      <c r="A545" t="s">
        <v>116</v>
      </c>
      <c r="B545" t="s">
        <v>175</v>
      </c>
      <c r="D545">
        <v>39720</v>
      </c>
      <c r="F545" t="s">
        <v>7729</v>
      </c>
      <c r="H545" t="s">
        <v>8372</v>
      </c>
      <c r="I545" t="s">
        <v>4956</v>
      </c>
      <c r="K545" t="s">
        <v>8664</v>
      </c>
      <c r="L545" t="s">
        <v>8665</v>
      </c>
    </row>
    <row r="546" spans="1:12" x14ac:dyDescent="0.35">
      <c r="A546" t="s">
        <v>116</v>
      </c>
      <c r="B546" t="s">
        <v>175</v>
      </c>
      <c r="D546">
        <v>40220</v>
      </c>
      <c r="F546" t="s">
        <v>7730</v>
      </c>
      <c r="H546" t="s">
        <v>8373</v>
      </c>
      <c r="I546" t="s">
        <v>4956</v>
      </c>
      <c r="K546" t="s">
        <v>8664</v>
      </c>
      <c r="L546" t="s">
        <v>8665</v>
      </c>
    </row>
    <row r="547" spans="1:12" x14ac:dyDescent="0.35">
      <c r="A547" t="s">
        <v>116</v>
      </c>
      <c r="B547" t="s">
        <v>175</v>
      </c>
      <c r="D547">
        <v>40500</v>
      </c>
      <c r="F547" t="s">
        <v>7731</v>
      </c>
      <c r="H547" t="s">
        <v>8374</v>
      </c>
      <c r="I547" t="s">
        <v>4956</v>
      </c>
      <c r="K547" t="s">
        <v>8664</v>
      </c>
      <c r="L547" t="s">
        <v>8665</v>
      </c>
    </row>
    <row r="548" spans="1:12" x14ac:dyDescent="0.35">
      <c r="A548" t="s">
        <v>116</v>
      </c>
      <c r="B548" t="s">
        <v>372</v>
      </c>
      <c r="D548">
        <v>100000</v>
      </c>
      <c r="F548" t="s">
        <v>7468</v>
      </c>
      <c r="H548" t="s">
        <v>8375</v>
      </c>
      <c r="I548" t="s">
        <v>5095</v>
      </c>
      <c r="K548" t="s">
        <v>8664</v>
      </c>
      <c r="L548" t="s">
        <v>8665</v>
      </c>
    </row>
    <row r="549" spans="1:12" x14ac:dyDescent="0.35">
      <c r="A549" t="s">
        <v>116</v>
      </c>
      <c r="B549" t="s">
        <v>6071</v>
      </c>
      <c r="D549">
        <v>36010</v>
      </c>
      <c r="F549" t="s">
        <v>7732</v>
      </c>
      <c r="H549" t="s">
        <v>8376</v>
      </c>
      <c r="I549" t="s">
        <v>6140</v>
      </c>
      <c r="K549" t="s">
        <v>8664</v>
      </c>
      <c r="L549" t="s">
        <v>8665</v>
      </c>
    </row>
    <row r="550" spans="1:12" x14ac:dyDescent="0.35">
      <c r="A550" t="s">
        <v>116</v>
      </c>
      <c r="B550" t="s">
        <v>533</v>
      </c>
      <c r="D550">
        <v>37200</v>
      </c>
      <c r="F550" t="s">
        <v>7733</v>
      </c>
      <c r="H550" t="s">
        <v>8377</v>
      </c>
      <c r="I550" t="s">
        <v>2332</v>
      </c>
      <c r="K550" t="s">
        <v>8664</v>
      </c>
      <c r="L550" t="s">
        <v>8665</v>
      </c>
    </row>
    <row r="551" spans="1:12" x14ac:dyDescent="0.35">
      <c r="A551" t="s">
        <v>116</v>
      </c>
      <c r="B551" t="s">
        <v>535</v>
      </c>
      <c r="D551">
        <v>380000</v>
      </c>
      <c r="F551" t="s">
        <v>7734</v>
      </c>
      <c r="H551" t="s">
        <v>8378</v>
      </c>
      <c r="I551" t="s">
        <v>4958</v>
      </c>
      <c r="K551" t="s">
        <v>8664</v>
      </c>
      <c r="L551" t="s">
        <v>8665</v>
      </c>
    </row>
    <row r="552" spans="1:12" x14ac:dyDescent="0.35">
      <c r="A552" t="s">
        <v>116</v>
      </c>
      <c r="B552" t="s">
        <v>502</v>
      </c>
      <c r="D552">
        <v>60000</v>
      </c>
      <c r="F552" t="s">
        <v>7481</v>
      </c>
      <c r="H552" t="s">
        <v>8379</v>
      </c>
      <c r="I552" t="s">
        <v>4883</v>
      </c>
      <c r="K552" t="s">
        <v>8664</v>
      </c>
      <c r="L552" t="s">
        <v>8665</v>
      </c>
    </row>
    <row r="553" spans="1:12" x14ac:dyDescent="0.35">
      <c r="A553" t="s">
        <v>116</v>
      </c>
      <c r="B553" t="s">
        <v>368</v>
      </c>
      <c r="D553">
        <v>158000</v>
      </c>
      <c r="F553" t="s">
        <v>7735</v>
      </c>
      <c r="H553" t="s">
        <v>8380</v>
      </c>
      <c r="I553" t="s">
        <v>5107</v>
      </c>
      <c r="K553" t="s">
        <v>8664</v>
      </c>
      <c r="L553" t="s">
        <v>8665</v>
      </c>
    </row>
    <row r="554" spans="1:12" x14ac:dyDescent="0.35">
      <c r="A554" t="s">
        <v>116</v>
      </c>
      <c r="B554" t="s">
        <v>7431</v>
      </c>
      <c r="D554">
        <v>133000</v>
      </c>
      <c r="F554" t="s">
        <v>7736</v>
      </c>
      <c r="H554" t="s">
        <v>8381</v>
      </c>
      <c r="I554" t="s">
        <v>2210</v>
      </c>
      <c r="K554" t="s">
        <v>8664</v>
      </c>
      <c r="L554" t="s">
        <v>8665</v>
      </c>
    </row>
    <row r="555" spans="1:12" x14ac:dyDescent="0.35">
      <c r="A555" t="s">
        <v>116</v>
      </c>
      <c r="B555" t="s">
        <v>7431</v>
      </c>
      <c r="D555">
        <v>37477</v>
      </c>
      <c r="F555" t="s">
        <v>7737</v>
      </c>
      <c r="H555" t="s">
        <v>8382</v>
      </c>
      <c r="I555" t="s">
        <v>2210</v>
      </c>
      <c r="K555" t="s">
        <v>8664</v>
      </c>
      <c r="L555" t="s">
        <v>8665</v>
      </c>
    </row>
    <row r="556" spans="1:12" x14ac:dyDescent="0.35">
      <c r="A556" t="s">
        <v>116</v>
      </c>
      <c r="B556" t="s">
        <v>537</v>
      </c>
      <c r="D556">
        <v>28978</v>
      </c>
      <c r="F556" t="s">
        <v>7738</v>
      </c>
      <c r="H556" t="s">
        <v>8383</v>
      </c>
      <c r="I556" t="s">
        <v>4969</v>
      </c>
      <c r="K556" t="s">
        <v>8664</v>
      </c>
      <c r="L556" t="s">
        <v>8665</v>
      </c>
    </row>
    <row r="557" spans="1:12" x14ac:dyDescent="0.35">
      <c r="A557" t="s">
        <v>116</v>
      </c>
      <c r="B557" t="s">
        <v>537</v>
      </c>
      <c r="D557">
        <v>109000</v>
      </c>
      <c r="F557" t="s">
        <v>7716</v>
      </c>
      <c r="H557" t="s">
        <v>8384</v>
      </c>
      <c r="I557" t="s">
        <v>4970</v>
      </c>
      <c r="K557" t="s">
        <v>8664</v>
      </c>
      <c r="L557" t="s">
        <v>8665</v>
      </c>
    </row>
    <row r="558" spans="1:12" x14ac:dyDescent="0.35">
      <c r="A558" t="s">
        <v>116</v>
      </c>
      <c r="B558" t="s">
        <v>537</v>
      </c>
      <c r="D558">
        <v>27024</v>
      </c>
      <c r="F558" t="s">
        <v>7739</v>
      </c>
      <c r="H558" t="s">
        <v>8385</v>
      </c>
      <c r="I558" t="s">
        <v>4970</v>
      </c>
      <c r="K558" t="s">
        <v>8664</v>
      </c>
      <c r="L558" t="s">
        <v>8665</v>
      </c>
    </row>
    <row r="559" spans="1:12" x14ac:dyDescent="0.35">
      <c r="A559" t="s">
        <v>116</v>
      </c>
      <c r="B559" t="s">
        <v>6072</v>
      </c>
      <c r="D559">
        <v>28900</v>
      </c>
      <c r="F559" t="s">
        <v>7740</v>
      </c>
      <c r="H559" t="s">
        <v>8386</v>
      </c>
      <c r="I559" t="s">
        <v>5018</v>
      </c>
      <c r="K559" t="s">
        <v>8664</v>
      </c>
      <c r="L559" t="s">
        <v>8665</v>
      </c>
    </row>
    <row r="560" spans="1:12" x14ac:dyDescent="0.35">
      <c r="A560" t="s">
        <v>116</v>
      </c>
      <c r="B560" t="s">
        <v>6072</v>
      </c>
      <c r="D560">
        <v>59900</v>
      </c>
      <c r="F560" t="s">
        <v>7643</v>
      </c>
      <c r="H560" t="s">
        <v>8387</v>
      </c>
      <c r="I560" t="s">
        <v>5018</v>
      </c>
      <c r="K560" t="s">
        <v>8664</v>
      </c>
      <c r="L560" t="s">
        <v>8665</v>
      </c>
    </row>
    <row r="561" spans="1:12" x14ac:dyDescent="0.35">
      <c r="A561" t="s">
        <v>116</v>
      </c>
      <c r="B561" t="s">
        <v>496</v>
      </c>
      <c r="D561">
        <v>39570</v>
      </c>
      <c r="F561" t="s">
        <v>7741</v>
      </c>
      <c r="H561" t="s">
        <v>8388</v>
      </c>
      <c r="I561" t="s">
        <v>4972</v>
      </c>
      <c r="K561" t="s">
        <v>8664</v>
      </c>
      <c r="L561" t="s">
        <v>8665</v>
      </c>
    </row>
    <row r="562" spans="1:12" x14ac:dyDescent="0.35">
      <c r="A562" t="s">
        <v>116</v>
      </c>
      <c r="B562" t="s">
        <v>540</v>
      </c>
      <c r="D562">
        <v>138000</v>
      </c>
      <c r="F562" t="s">
        <v>7523</v>
      </c>
      <c r="H562" t="s">
        <v>8389</v>
      </c>
      <c r="I562" t="s">
        <v>2333</v>
      </c>
      <c r="K562" t="s">
        <v>8664</v>
      </c>
      <c r="L562" t="s">
        <v>8665</v>
      </c>
    </row>
    <row r="563" spans="1:12" x14ac:dyDescent="0.35">
      <c r="A563" t="s">
        <v>116</v>
      </c>
      <c r="B563" t="s">
        <v>540</v>
      </c>
      <c r="D563">
        <v>37600</v>
      </c>
      <c r="F563" t="s">
        <v>7742</v>
      </c>
      <c r="H563" t="s">
        <v>8390</v>
      </c>
      <c r="I563" t="s">
        <v>2333</v>
      </c>
      <c r="K563" t="s">
        <v>8664</v>
      </c>
      <c r="L563" t="s">
        <v>8665</v>
      </c>
    </row>
    <row r="564" spans="1:12" x14ac:dyDescent="0.35">
      <c r="A564" t="s">
        <v>116</v>
      </c>
      <c r="B564" t="s">
        <v>495</v>
      </c>
      <c r="D564">
        <v>190000</v>
      </c>
      <c r="F564" t="s">
        <v>7477</v>
      </c>
      <c r="H564" t="s">
        <v>8391</v>
      </c>
      <c r="I564" t="s">
        <v>2376</v>
      </c>
      <c r="K564" t="s">
        <v>8664</v>
      </c>
      <c r="L564" t="s">
        <v>8665</v>
      </c>
    </row>
    <row r="565" spans="1:12" x14ac:dyDescent="0.35">
      <c r="A565" t="s">
        <v>116</v>
      </c>
      <c r="B565" t="s">
        <v>495</v>
      </c>
      <c r="D565">
        <v>48000</v>
      </c>
      <c r="F565" t="s">
        <v>7589</v>
      </c>
      <c r="H565" t="s">
        <v>8392</v>
      </c>
      <c r="I565" t="s">
        <v>2376</v>
      </c>
      <c r="K565" t="s">
        <v>8664</v>
      </c>
      <c r="L565" t="s">
        <v>8665</v>
      </c>
    </row>
    <row r="566" spans="1:12" x14ac:dyDescent="0.35">
      <c r="A566" t="s">
        <v>116</v>
      </c>
      <c r="B566" t="s">
        <v>332</v>
      </c>
      <c r="D566">
        <v>74500</v>
      </c>
      <c r="F566" t="s">
        <v>7743</v>
      </c>
      <c r="H566" t="s">
        <v>8393</v>
      </c>
      <c r="I566" t="s">
        <v>4863</v>
      </c>
      <c r="K566" t="s">
        <v>8664</v>
      </c>
      <c r="L566" t="s">
        <v>8665</v>
      </c>
    </row>
    <row r="567" spans="1:12" x14ac:dyDescent="0.35">
      <c r="A567" t="s">
        <v>116</v>
      </c>
      <c r="B567" t="s">
        <v>332</v>
      </c>
      <c r="D567">
        <v>41700</v>
      </c>
      <c r="F567" t="s">
        <v>7744</v>
      </c>
      <c r="H567" t="s">
        <v>8394</v>
      </c>
      <c r="I567" t="s">
        <v>4863</v>
      </c>
      <c r="K567" t="s">
        <v>8664</v>
      </c>
      <c r="L567" t="s">
        <v>8665</v>
      </c>
    </row>
    <row r="568" spans="1:12" x14ac:dyDescent="0.35">
      <c r="A568" t="s">
        <v>116</v>
      </c>
      <c r="B568" t="s">
        <v>332</v>
      </c>
      <c r="D568">
        <v>72000</v>
      </c>
      <c r="F568" t="s">
        <v>7475</v>
      </c>
      <c r="H568" t="s">
        <v>8395</v>
      </c>
      <c r="I568" t="s">
        <v>1889</v>
      </c>
      <c r="K568" t="s">
        <v>8664</v>
      </c>
      <c r="L568" t="s">
        <v>8665</v>
      </c>
    </row>
    <row r="569" spans="1:12" x14ac:dyDescent="0.35">
      <c r="A569" t="s">
        <v>116</v>
      </c>
      <c r="B569" t="s">
        <v>332</v>
      </c>
      <c r="D569">
        <v>36000</v>
      </c>
      <c r="F569" t="s">
        <v>7491</v>
      </c>
      <c r="H569" t="s">
        <v>8396</v>
      </c>
      <c r="I569" t="s">
        <v>4993</v>
      </c>
      <c r="K569" t="s">
        <v>8664</v>
      </c>
      <c r="L569" t="s">
        <v>8665</v>
      </c>
    </row>
    <row r="570" spans="1:12" x14ac:dyDescent="0.35">
      <c r="A570" t="s">
        <v>116</v>
      </c>
      <c r="B570" t="s">
        <v>495</v>
      </c>
      <c r="D570">
        <v>200000</v>
      </c>
      <c r="F570" t="s">
        <v>7745</v>
      </c>
      <c r="H570" t="s">
        <v>8397</v>
      </c>
      <c r="I570" t="s">
        <v>2376</v>
      </c>
      <c r="K570" t="s">
        <v>8664</v>
      </c>
      <c r="L570" t="s">
        <v>8665</v>
      </c>
    </row>
    <row r="571" spans="1:12" x14ac:dyDescent="0.35">
      <c r="A571" t="s">
        <v>116</v>
      </c>
      <c r="B571" t="s">
        <v>495</v>
      </c>
      <c r="D571">
        <v>49000</v>
      </c>
      <c r="F571" t="s">
        <v>7617</v>
      </c>
      <c r="H571" t="s">
        <v>8398</v>
      </c>
      <c r="I571" t="s">
        <v>2376</v>
      </c>
      <c r="K571" t="s">
        <v>8664</v>
      </c>
      <c r="L571" t="s">
        <v>8665</v>
      </c>
    </row>
    <row r="572" spans="1:12" x14ac:dyDescent="0.35">
      <c r="A572" t="s">
        <v>116</v>
      </c>
      <c r="B572" t="s">
        <v>429</v>
      </c>
      <c r="D572">
        <v>32000</v>
      </c>
      <c r="F572" t="s">
        <v>7630</v>
      </c>
      <c r="H572" t="s">
        <v>8399</v>
      </c>
      <c r="I572" t="s">
        <v>4973</v>
      </c>
      <c r="K572" t="s">
        <v>8664</v>
      </c>
      <c r="L572" t="s">
        <v>8665</v>
      </c>
    </row>
    <row r="573" spans="1:12" x14ac:dyDescent="0.35">
      <c r="A573" t="s">
        <v>116</v>
      </c>
      <c r="B573" t="s">
        <v>434</v>
      </c>
      <c r="D573">
        <v>27000</v>
      </c>
      <c r="F573" t="s">
        <v>7496</v>
      </c>
      <c r="H573" t="s">
        <v>8400</v>
      </c>
      <c r="I573" t="s">
        <v>4975</v>
      </c>
      <c r="K573" t="s">
        <v>8664</v>
      </c>
      <c r="L573" t="s">
        <v>8665</v>
      </c>
    </row>
    <row r="574" spans="1:12" x14ac:dyDescent="0.35">
      <c r="A574" t="s">
        <v>116</v>
      </c>
      <c r="B574" t="s">
        <v>434</v>
      </c>
      <c r="D574">
        <v>31464</v>
      </c>
      <c r="F574" t="s">
        <v>7746</v>
      </c>
      <c r="H574" t="s">
        <v>8401</v>
      </c>
      <c r="I574" t="s">
        <v>4975</v>
      </c>
      <c r="K574" t="s">
        <v>8664</v>
      </c>
      <c r="L574" t="s">
        <v>8665</v>
      </c>
    </row>
    <row r="575" spans="1:12" x14ac:dyDescent="0.35">
      <c r="A575" t="s">
        <v>116</v>
      </c>
      <c r="B575" t="s">
        <v>542</v>
      </c>
      <c r="D575">
        <v>36411</v>
      </c>
      <c r="F575" t="s">
        <v>7747</v>
      </c>
      <c r="H575" t="s">
        <v>8402</v>
      </c>
      <c r="I575" t="s">
        <v>4976</v>
      </c>
      <c r="K575" t="s">
        <v>8664</v>
      </c>
      <c r="L575" t="s">
        <v>8665</v>
      </c>
    </row>
    <row r="576" spans="1:12" x14ac:dyDescent="0.35">
      <c r="A576" t="s">
        <v>116</v>
      </c>
      <c r="B576" t="s">
        <v>6074</v>
      </c>
      <c r="D576">
        <v>39900</v>
      </c>
      <c r="F576" t="s">
        <v>7561</v>
      </c>
      <c r="I576" t="s">
        <v>7393</v>
      </c>
      <c r="K576" t="s">
        <v>8664</v>
      </c>
      <c r="L576" t="s">
        <v>8665</v>
      </c>
    </row>
    <row r="577" spans="1:12" x14ac:dyDescent="0.35">
      <c r="A577" t="s">
        <v>116</v>
      </c>
      <c r="B577" t="s">
        <v>544</v>
      </c>
      <c r="D577">
        <v>290000</v>
      </c>
      <c r="F577" t="s">
        <v>7748</v>
      </c>
      <c r="H577" t="s">
        <v>8403</v>
      </c>
      <c r="I577" t="s">
        <v>1966</v>
      </c>
      <c r="K577" t="s">
        <v>8664</v>
      </c>
      <c r="L577" t="s">
        <v>8665</v>
      </c>
    </row>
    <row r="578" spans="1:12" x14ac:dyDescent="0.35">
      <c r="A578" t="s">
        <v>116</v>
      </c>
      <c r="B578" t="s">
        <v>544</v>
      </c>
      <c r="D578">
        <v>37500</v>
      </c>
      <c r="F578" t="s">
        <v>7677</v>
      </c>
      <c r="H578" t="s">
        <v>8404</v>
      </c>
      <c r="I578" t="s">
        <v>1966</v>
      </c>
      <c r="K578" t="s">
        <v>8664</v>
      </c>
      <c r="L578" t="s">
        <v>8665</v>
      </c>
    </row>
    <row r="579" spans="1:12" x14ac:dyDescent="0.35">
      <c r="A579" t="s">
        <v>116</v>
      </c>
      <c r="B579" t="s">
        <v>7432</v>
      </c>
      <c r="D579">
        <v>91480</v>
      </c>
      <c r="F579" t="s">
        <v>7749</v>
      </c>
      <c r="H579" t="s">
        <v>8405</v>
      </c>
      <c r="I579" t="s">
        <v>8643</v>
      </c>
      <c r="K579" t="s">
        <v>8664</v>
      </c>
      <c r="L579" t="s">
        <v>8665</v>
      </c>
    </row>
    <row r="580" spans="1:12" x14ac:dyDescent="0.35">
      <c r="A580" t="s">
        <v>116</v>
      </c>
      <c r="B580" t="s">
        <v>545</v>
      </c>
      <c r="D580">
        <v>76000</v>
      </c>
      <c r="F580" t="s">
        <v>7678</v>
      </c>
      <c r="H580" t="s">
        <v>8406</v>
      </c>
      <c r="I580" t="s">
        <v>4967</v>
      </c>
      <c r="K580" t="s">
        <v>8664</v>
      </c>
      <c r="L580" t="s">
        <v>8665</v>
      </c>
    </row>
    <row r="581" spans="1:12" x14ac:dyDescent="0.35">
      <c r="A581" t="s">
        <v>116</v>
      </c>
      <c r="B581" t="s">
        <v>6061</v>
      </c>
      <c r="D581">
        <v>37983</v>
      </c>
      <c r="F581" t="s">
        <v>7750</v>
      </c>
      <c r="H581" t="s">
        <v>8407</v>
      </c>
      <c r="I581" t="s">
        <v>4953</v>
      </c>
      <c r="K581" t="s">
        <v>8664</v>
      </c>
      <c r="L581" t="s">
        <v>8665</v>
      </c>
    </row>
    <row r="582" spans="1:12" x14ac:dyDescent="0.35">
      <c r="A582" t="s">
        <v>116</v>
      </c>
      <c r="B582" t="s">
        <v>339</v>
      </c>
      <c r="D582">
        <v>180000</v>
      </c>
      <c r="F582" t="s">
        <v>7507</v>
      </c>
      <c r="H582" t="s">
        <v>8408</v>
      </c>
      <c r="I582" t="s">
        <v>8644</v>
      </c>
      <c r="K582" t="s">
        <v>8664</v>
      </c>
      <c r="L582" t="s">
        <v>8665</v>
      </c>
    </row>
    <row r="583" spans="1:12" x14ac:dyDescent="0.35">
      <c r="A583" t="s">
        <v>116</v>
      </c>
      <c r="B583" t="s">
        <v>548</v>
      </c>
      <c r="D583">
        <v>89000</v>
      </c>
      <c r="F583" t="s">
        <v>7696</v>
      </c>
      <c r="H583" t="s">
        <v>8409</v>
      </c>
      <c r="I583" t="s">
        <v>4873</v>
      </c>
      <c r="K583" t="s">
        <v>8664</v>
      </c>
      <c r="L583" t="s">
        <v>8665</v>
      </c>
    </row>
    <row r="584" spans="1:12" x14ac:dyDescent="0.35">
      <c r="A584" t="s">
        <v>116</v>
      </c>
      <c r="B584" t="s">
        <v>548</v>
      </c>
      <c r="D584">
        <v>45000</v>
      </c>
      <c r="F584" t="s">
        <v>7499</v>
      </c>
      <c r="H584" t="s">
        <v>8410</v>
      </c>
      <c r="I584" t="s">
        <v>1892</v>
      </c>
      <c r="K584" t="s">
        <v>8664</v>
      </c>
      <c r="L584" t="s">
        <v>8665</v>
      </c>
    </row>
    <row r="585" spans="1:12" x14ac:dyDescent="0.35">
      <c r="A585" t="s">
        <v>116</v>
      </c>
      <c r="B585" t="s">
        <v>549</v>
      </c>
      <c r="D585">
        <v>70000</v>
      </c>
      <c r="F585" t="s">
        <v>7482</v>
      </c>
      <c r="H585" t="s">
        <v>8411</v>
      </c>
      <c r="I585" t="s">
        <v>2346</v>
      </c>
      <c r="K585" t="s">
        <v>8664</v>
      </c>
      <c r="L585" t="s">
        <v>8665</v>
      </c>
    </row>
    <row r="586" spans="1:12" x14ac:dyDescent="0.35">
      <c r="A586" t="s">
        <v>116</v>
      </c>
      <c r="B586" t="s">
        <v>549</v>
      </c>
      <c r="D586">
        <v>35000</v>
      </c>
      <c r="F586" t="s">
        <v>7580</v>
      </c>
      <c r="H586" t="s">
        <v>8412</v>
      </c>
      <c r="I586" t="s">
        <v>2346</v>
      </c>
      <c r="K586" t="s">
        <v>8664</v>
      </c>
      <c r="L586" t="s">
        <v>8665</v>
      </c>
    </row>
    <row r="587" spans="1:12" x14ac:dyDescent="0.35">
      <c r="A587" t="s">
        <v>116</v>
      </c>
      <c r="B587" t="s">
        <v>550</v>
      </c>
      <c r="D587">
        <v>74000</v>
      </c>
      <c r="F587" t="s">
        <v>7483</v>
      </c>
      <c r="H587" t="s">
        <v>8413</v>
      </c>
      <c r="I587" t="s">
        <v>1752</v>
      </c>
      <c r="K587" t="s">
        <v>8664</v>
      </c>
      <c r="L587" t="s">
        <v>8665</v>
      </c>
    </row>
    <row r="588" spans="1:12" x14ac:dyDescent="0.35">
      <c r="A588" t="s">
        <v>116</v>
      </c>
      <c r="B588" t="s">
        <v>178</v>
      </c>
      <c r="D588">
        <v>70000</v>
      </c>
      <c r="F588" t="s">
        <v>7482</v>
      </c>
      <c r="H588" t="s">
        <v>8414</v>
      </c>
      <c r="I588" t="s">
        <v>4980</v>
      </c>
      <c r="K588" t="s">
        <v>8664</v>
      </c>
      <c r="L588" t="s">
        <v>8665</v>
      </c>
    </row>
    <row r="589" spans="1:12" x14ac:dyDescent="0.35">
      <c r="A589" t="s">
        <v>116</v>
      </c>
      <c r="B589" t="s">
        <v>178</v>
      </c>
      <c r="D589">
        <v>40700</v>
      </c>
      <c r="F589" t="s">
        <v>7751</v>
      </c>
      <c r="I589" t="s">
        <v>4980</v>
      </c>
      <c r="K589" t="s">
        <v>8664</v>
      </c>
      <c r="L589" t="s">
        <v>8665</v>
      </c>
    </row>
    <row r="590" spans="1:12" x14ac:dyDescent="0.35">
      <c r="A590" t="s">
        <v>116</v>
      </c>
      <c r="B590" t="s">
        <v>551</v>
      </c>
      <c r="D590">
        <v>68000</v>
      </c>
      <c r="F590" t="s">
        <v>7448</v>
      </c>
      <c r="H590" t="s">
        <v>8415</v>
      </c>
      <c r="I590" t="s">
        <v>4872</v>
      </c>
      <c r="K590" t="s">
        <v>8664</v>
      </c>
      <c r="L590" t="s">
        <v>8665</v>
      </c>
    </row>
    <row r="591" spans="1:12" x14ac:dyDescent="0.35">
      <c r="A591" t="s">
        <v>116</v>
      </c>
      <c r="B591" t="s">
        <v>551</v>
      </c>
      <c r="D591">
        <v>37000</v>
      </c>
      <c r="F591" t="s">
        <v>7567</v>
      </c>
      <c r="H591" t="s">
        <v>8416</v>
      </c>
      <c r="I591" t="s">
        <v>4968</v>
      </c>
      <c r="K591" t="s">
        <v>8664</v>
      </c>
      <c r="L591" t="s">
        <v>8665</v>
      </c>
    </row>
    <row r="592" spans="1:12" x14ac:dyDescent="0.35">
      <c r="A592" t="s">
        <v>116</v>
      </c>
      <c r="B592" t="s">
        <v>6080</v>
      </c>
      <c r="D592">
        <v>96000</v>
      </c>
      <c r="F592" t="s">
        <v>7532</v>
      </c>
      <c r="H592" t="s">
        <v>8417</v>
      </c>
      <c r="I592" t="s">
        <v>5253</v>
      </c>
      <c r="K592" t="s">
        <v>8664</v>
      </c>
      <c r="L592" t="s">
        <v>8665</v>
      </c>
    </row>
    <row r="593" spans="1:12" x14ac:dyDescent="0.35">
      <c r="A593" t="s">
        <v>116</v>
      </c>
      <c r="B593" t="s">
        <v>7433</v>
      </c>
      <c r="D593">
        <v>31997</v>
      </c>
      <c r="F593" t="s">
        <v>7752</v>
      </c>
      <c r="H593" t="s">
        <v>8418</v>
      </c>
      <c r="I593" t="s">
        <v>1621</v>
      </c>
      <c r="K593" t="s">
        <v>8664</v>
      </c>
      <c r="L593" t="s">
        <v>8665</v>
      </c>
    </row>
    <row r="594" spans="1:12" x14ac:dyDescent="0.35">
      <c r="A594" t="s">
        <v>116</v>
      </c>
      <c r="B594" t="s">
        <v>552</v>
      </c>
      <c r="D594">
        <v>58000</v>
      </c>
      <c r="F594" t="s">
        <v>7495</v>
      </c>
      <c r="H594" t="s">
        <v>8419</v>
      </c>
      <c r="I594" t="s">
        <v>4936</v>
      </c>
      <c r="K594" t="s">
        <v>8664</v>
      </c>
      <c r="L594" t="s">
        <v>8665</v>
      </c>
    </row>
    <row r="595" spans="1:12" x14ac:dyDescent="0.35">
      <c r="A595" t="s">
        <v>116</v>
      </c>
      <c r="B595" t="s">
        <v>552</v>
      </c>
      <c r="D595">
        <v>28000</v>
      </c>
      <c r="F595" t="s">
        <v>7456</v>
      </c>
      <c r="H595" t="s">
        <v>8420</v>
      </c>
      <c r="I595" t="s">
        <v>8645</v>
      </c>
      <c r="K595" t="s">
        <v>8664</v>
      </c>
      <c r="L595" t="s">
        <v>8665</v>
      </c>
    </row>
    <row r="596" spans="1:12" x14ac:dyDescent="0.35">
      <c r="A596" t="s">
        <v>116</v>
      </c>
      <c r="B596" t="s">
        <v>7434</v>
      </c>
      <c r="D596">
        <v>30000</v>
      </c>
      <c r="F596" t="s">
        <v>7494</v>
      </c>
      <c r="H596" t="s">
        <v>8421</v>
      </c>
      <c r="I596" t="s">
        <v>8646</v>
      </c>
      <c r="K596" t="s">
        <v>8664</v>
      </c>
      <c r="L596" t="s">
        <v>8665</v>
      </c>
    </row>
    <row r="597" spans="1:12" x14ac:dyDescent="0.35">
      <c r="A597" t="s">
        <v>116</v>
      </c>
      <c r="B597" t="s">
        <v>554</v>
      </c>
      <c r="D597">
        <v>41300</v>
      </c>
      <c r="F597" t="s">
        <v>7753</v>
      </c>
      <c r="H597" t="s">
        <v>8422</v>
      </c>
      <c r="I597" t="s">
        <v>2372</v>
      </c>
      <c r="K597" t="s">
        <v>8664</v>
      </c>
      <c r="L597" t="s">
        <v>8665</v>
      </c>
    </row>
    <row r="598" spans="1:12" x14ac:dyDescent="0.35">
      <c r="A598" t="s">
        <v>116</v>
      </c>
      <c r="B598" t="s">
        <v>7435</v>
      </c>
      <c r="D598">
        <v>150000</v>
      </c>
      <c r="F598" t="s">
        <v>7449</v>
      </c>
      <c r="H598" t="s">
        <v>8423</v>
      </c>
      <c r="I598" t="s">
        <v>8647</v>
      </c>
      <c r="K598" t="s">
        <v>8664</v>
      </c>
      <c r="L598" t="s">
        <v>8665</v>
      </c>
    </row>
    <row r="599" spans="1:12" x14ac:dyDescent="0.35">
      <c r="A599" t="s">
        <v>116</v>
      </c>
      <c r="B599" t="s">
        <v>556</v>
      </c>
      <c r="D599">
        <v>55600</v>
      </c>
      <c r="F599" t="s">
        <v>7754</v>
      </c>
      <c r="H599" t="s">
        <v>8424</v>
      </c>
      <c r="I599" t="s">
        <v>2393</v>
      </c>
      <c r="K599" t="s">
        <v>8664</v>
      </c>
      <c r="L599" t="s">
        <v>8665</v>
      </c>
    </row>
    <row r="600" spans="1:12" x14ac:dyDescent="0.35">
      <c r="A600" t="s">
        <v>116</v>
      </c>
      <c r="B600" t="s">
        <v>556</v>
      </c>
      <c r="D600">
        <v>27800</v>
      </c>
      <c r="F600" t="s">
        <v>7755</v>
      </c>
      <c r="H600" t="s">
        <v>8425</v>
      </c>
      <c r="I600" t="s">
        <v>2393</v>
      </c>
      <c r="K600" t="s">
        <v>8664</v>
      </c>
      <c r="L600" t="s">
        <v>8665</v>
      </c>
    </row>
    <row r="601" spans="1:12" x14ac:dyDescent="0.35">
      <c r="A601" t="s">
        <v>116</v>
      </c>
      <c r="B601" t="s">
        <v>557</v>
      </c>
      <c r="D601">
        <v>152000</v>
      </c>
      <c r="F601" t="s">
        <v>7592</v>
      </c>
      <c r="H601" t="s">
        <v>8426</v>
      </c>
      <c r="I601" t="s">
        <v>2326</v>
      </c>
      <c r="K601" t="s">
        <v>8664</v>
      </c>
      <c r="L601" t="s">
        <v>8665</v>
      </c>
    </row>
    <row r="602" spans="1:12" x14ac:dyDescent="0.35">
      <c r="A602" t="s">
        <v>116</v>
      </c>
      <c r="B602" t="s">
        <v>557</v>
      </c>
      <c r="D602">
        <v>38000</v>
      </c>
      <c r="F602" t="s">
        <v>7463</v>
      </c>
      <c r="H602" t="s">
        <v>8427</v>
      </c>
      <c r="I602" t="s">
        <v>4931</v>
      </c>
      <c r="K602" t="s">
        <v>8664</v>
      </c>
      <c r="L602" t="s">
        <v>8665</v>
      </c>
    </row>
    <row r="603" spans="1:12" x14ac:dyDescent="0.35">
      <c r="A603" t="s">
        <v>116</v>
      </c>
      <c r="B603" t="s">
        <v>559</v>
      </c>
      <c r="D603">
        <v>95000</v>
      </c>
      <c r="F603" t="s">
        <v>7525</v>
      </c>
      <c r="H603" t="s">
        <v>8428</v>
      </c>
      <c r="I603" t="s">
        <v>4860</v>
      </c>
      <c r="K603" t="s">
        <v>8664</v>
      </c>
      <c r="L603" t="s">
        <v>8665</v>
      </c>
    </row>
    <row r="604" spans="1:12" x14ac:dyDescent="0.35">
      <c r="A604" t="s">
        <v>116</v>
      </c>
      <c r="B604" t="s">
        <v>559</v>
      </c>
      <c r="D604">
        <v>145000</v>
      </c>
      <c r="F604" t="s">
        <v>7702</v>
      </c>
      <c r="H604" t="s">
        <v>8429</v>
      </c>
      <c r="I604" t="s">
        <v>1608</v>
      </c>
      <c r="K604" t="s">
        <v>8664</v>
      </c>
      <c r="L604" t="s">
        <v>8665</v>
      </c>
    </row>
    <row r="605" spans="1:12" x14ac:dyDescent="0.35">
      <c r="A605" t="s">
        <v>116</v>
      </c>
      <c r="B605" t="s">
        <v>559</v>
      </c>
      <c r="D605">
        <v>67000</v>
      </c>
      <c r="F605" t="s">
        <v>7622</v>
      </c>
      <c r="H605" t="s">
        <v>8430</v>
      </c>
      <c r="I605" t="s">
        <v>1608</v>
      </c>
      <c r="K605" t="s">
        <v>8664</v>
      </c>
      <c r="L605" t="s">
        <v>8665</v>
      </c>
    </row>
    <row r="606" spans="1:12" x14ac:dyDescent="0.35">
      <c r="A606" t="s">
        <v>116</v>
      </c>
      <c r="B606" t="s">
        <v>559</v>
      </c>
      <c r="D606">
        <v>34700</v>
      </c>
      <c r="F606" t="s">
        <v>7756</v>
      </c>
      <c r="H606" t="s">
        <v>8431</v>
      </c>
      <c r="I606" t="s">
        <v>1608</v>
      </c>
      <c r="K606" t="s">
        <v>8664</v>
      </c>
      <c r="L606" t="s">
        <v>8665</v>
      </c>
    </row>
    <row r="607" spans="1:12" x14ac:dyDescent="0.35">
      <c r="A607" t="s">
        <v>116</v>
      </c>
      <c r="B607" t="s">
        <v>559</v>
      </c>
      <c r="D607">
        <v>31100</v>
      </c>
      <c r="F607" t="s">
        <v>7757</v>
      </c>
      <c r="H607" t="s">
        <v>8432</v>
      </c>
      <c r="I607" t="s">
        <v>1608</v>
      </c>
      <c r="K607" t="s">
        <v>8664</v>
      </c>
      <c r="L607" t="s">
        <v>8665</v>
      </c>
    </row>
    <row r="608" spans="1:12" x14ac:dyDescent="0.35">
      <c r="A608" t="s">
        <v>116</v>
      </c>
      <c r="B608" t="s">
        <v>643</v>
      </c>
      <c r="D608">
        <v>76000</v>
      </c>
      <c r="F608" t="s">
        <v>7678</v>
      </c>
      <c r="H608" t="s">
        <v>8433</v>
      </c>
      <c r="I608" t="s">
        <v>1387</v>
      </c>
      <c r="K608" t="s">
        <v>8664</v>
      </c>
      <c r="L608" t="s">
        <v>8665</v>
      </c>
    </row>
    <row r="609" spans="1:12" x14ac:dyDescent="0.35">
      <c r="A609" t="s">
        <v>116</v>
      </c>
      <c r="B609" t="s">
        <v>499</v>
      </c>
      <c r="D609">
        <v>66000</v>
      </c>
      <c r="F609" t="s">
        <v>7479</v>
      </c>
      <c r="H609" t="s">
        <v>8434</v>
      </c>
      <c r="I609" t="s">
        <v>4987</v>
      </c>
      <c r="K609" t="s">
        <v>8664</v>
      </c>
      <c r="L609" t="s">
        <v>8665</v>
      </c>
    </row>
    <row r="610" spans="1:12" x14ac:dyDescent="0.35">
      <c r="A610" t="s">
        <v>116</v>
      </c>
      <c r="B610" t="s">
        <v>340</v>
      </c>
      <c r="D610">
        <v>46000</v>
      </c>
      <c r="F610" t="s">
        <v>7526</v>
      </c>
      <c r="H610" t="s">
        <v>8435</v>
      </c>
      <c r="I610" t="s">
        <v>1766</v>
      </c>
      <c r="K610" t="s">
        <v>8664</v>
      </c>
      <c r="L610" t="s">
        <v>8665</v>
      </c>
    </row>
    <row r="611" spans="1:12" x14ac:dyDescent="0.35">
      <c r="A611" t="s">
        <v>116</v>
      </c>
      <c r="B611" t="s">
        <v>340</v>
      </c>
      <c r="D611">
        <v>86000</v>
      </c>
      <c r="F611" t="s">
        <v>7548</v>
      </c>
      <c r="H611" t="s">
        <v>8436</v>
      </c>
      <c r="I611" t="s">
        <v>2312</v>
      </c>
      <c r="K611" t="s">
        <v>8664</v>
      </c>
      <c r="L611" t="s">
        <v>8665</v>
      </c>
    </row>
    <row r="612" spans="1:12" x14ac:dyDescent="0.35">
      <c r="A612" t="s">
        <v>116</v>
      </c>
      <c r="B612" t="s">
        <v>341</v>
      </c>
      <c r="D612">
        <v>135000</v>
      </c>
      <c r="F612" t="s">
        <v>7564</v>
      </c>
      <c r="H612" t="s">
        <v>8437</v>
      </c>
      <c r="I612" t="s">
        <v>4988</v>
      </c>
      <c r="K612" t="s">
        <v>8664</v>
      </c>
      <c r="L612" t="s">
        <v>8665</v>
      </c>
    </row>
    <row r="613" spans="1:12" x14ac:dyDescent="0.35">
      <c r="A613" t="s">
        <v>116</v>
      </c>
      <c r="B613" t="s">
        <v>341</v>
      </c>
      <c r="D613">
        <v>150300</v>
      </c>
      <c r="F613" t="s">
        <v>7758</v>
      </c>
      <c r="H613" t="s">
        <v>8438</v>
      </c>
      <c r="I613" t="s">
        <v>4917</v>
      </c>
      <c r="K613" t="s">
        <v>8664</v>
      </c>
      <c r="L613" t="s">
        <v>8665</v>
      </c>
    </row>
    <row r="614" spans="1:12" x14ac:dyDescent="0.35">
      <c r="A614" t="s">
        <v>116</v>
      </c>
      <c r="B614" t="s">
        <v>341</v>
      </c>
      <c r="D614">
        <v>37585</v>
      </c>
      <c r="F614" t="s">
        <v>7759</v>
      </c>
      <c r="H614" t="s">
        <v>8439</v>
      </c>
      <c r="I614" t="s">
        <v>4917</v>
      </c>
      <c r="K614" t="s">
        <v>8664</v>
      </c>
      <c r="L614" t="s">
        <v>8665</v>
      </c>
    </row>
    <row r="615" spans="1:12" x14ac:dyDescent="0.35">
      <c r="A615" t="s">
        <v>116</v>
      </c>
      <c r="B615" t="s">
        <v>341</v>
      </c>
      <c r="D615">
        <v>37588</v>
      </c>
      <c r="F615" t="s">
        <v>7760</v>
      </c>
      <c r="H615" t="s">
        <v>8440</v>
      </c>
      <c r="I615" t="s">
        <v>4988</v>
      </c>
      <c r="K615" t="s">
        <v>8664</v>
      </c>
      <c r="L615" t="s">
        <v>8665</v>
      </c>
    </row>
    <row r="616" spans="1:12" x14ac:dyDescent="0.35">
      <c r="A616" t="s">
        <v>116</v>
      </c>
      <c r="B616" t="s">
        <v>341</v>
      </c>
      <c r="D616">
        <v>37591</v>
      </c>
      <c r="F616" t="s">
        <v>7761</v>
      </c>
      <c r="H616" t="s">
        <v>8441</v>
      </c>
      <c r="I616" t="s">
        <v>4988</v>
      </c>
      <c r="K616" t="s">
        <v>8664</v>
      </c>
      <c r="L616" t="s">
        <v>8665</v>
      </c>
    </row>
    <row r="617" spans="1:12" x14ac:dyDescent="0.35">
      <c r="A617" t="s">
        <v>116</v>
      </c>
      <c r="B617" t="s">
        <v>341</v>
      </c>
      <c r="D617">
        <v>140000</v>
      </c>
      <c r="F617" t="s">
        <v>7480</v>
      </c>
      <c r="H617" t="s">
        <v>8442</v>
      </c>
      <c r="I617" t="s">
        <v>4947</v>
      </c>
      <c r="K617" t="s">
        <v>8664</v>
      </c>
      <c r="L617" t="s">
        <v>8665</v>
      </c>
    </row>
    <row r="618" spans="1:12" x14ac:dyDescent="0.35">
      <c r="A618" t="s">
        <v>116</v>
      </c>
      <c r="B618" t="s">
        <v>356</v>
      </c>
      <c r="D618">
        <v>164000</v>
      </c>
      <c r="F618" t="s">
        <v>7762</v>
      </c>
      <c r="H618" t="s">
        <v>8443</v>
      </c>
      <c r="I618" t="s">
        <v>4989</v>
      </c>
      <c r="K618" t="s">
        <v>8664</v>
      </c>
      <c r="L618" t="s">
        <v>8665</v>
      </c>
    </row>
    <row r="619" spans="1:12" x14ac:dyDescent="0.35">
      <c r="A619" t="s">
        <v>116</v>
      </c>
      <c r="B619" t="s">
        <v>560</v>
      </c>
      <c r="D619">
        <v>29000</v>
      </c>
      <c r="F619" t="s">
        <v>7451</v>
      </c>
      <c r="H619" t="s">
        <v>8444</v>
      </c>
      <c r="I619" t="s">
        <v>4889</v>
      </c>
      <c r="K619" t="s">
        <v>8664</v>
      </c>
      <c r="L619" t="s">
        <v>8665</v>
      </c>
    </row>
    <row r="620" spans="1:12" x14ac:dyDescent="0.35">
      <c r="A620" t="s">
        <v>116</v>
      </c>
      <c r="B620" t="s">
        <v>563</v>
      </c>
      <c r="D620">
        <v>180000</v>
      </c>
      <c r="F620" t="s">
        <v>7507</v>
      </c>
      <c r="H620" t="s">
        <v>8445</v>
      </c>
      <c r="I620" t="s">
        <v>4896</v>
      </c>
      <c r="K620" t="s">
        <v>8664</v>
      </c>
      <c r="L620" t="s">
        <v>8665</v>
      </c>
    </row>
    <row r="621" spans="1:12" x14ac:dyDescent="0.35">
      <c r="A621" t="s">
        <v>116</v>
      </c>
      <c r="B621" t="s">
        <v>564</v>
      </c>
      <c r="D621">
        <v>320000</v>
      </c>
      <c r="F621" t="s">
        <v>7763</v>
      </c>
      <c r="H621" t="s">
        <v>8446</v>
      </c>
      <c r="I621" t="s">
        <v>4930</v>
      </c>
      <c r="K621" t="s">
        <v>8664</v>
      </c>
      <c r="L621" t="s">
        <v>8665</v>
      </c>
    </row>
    <row r="622" spans="1:12" x14ac:dyDescent="0.35">
      <c r="A622" t="s">
        <v>116</v>
      </c>
      <c r="B622" t="s">
        <v>326</v>
      </c>
      <c r="D622">
        <v>47000</v>
      </c>
      <c r="F622" t="s">
        <v>7550</v>
      </c>
      <c r="H622" t="s">
        <v>8447</v>
      </c>
      <c r="I622" t="s">
        <v>4859</v>
      </c>
      <c r="K622" t="s">
        <v>8664</v>
      </c>
      <c r="L622" t="s">
        <v>8665</v>
      </c>
    </row>
    <row r="623" spans="1:12" x14ac:dyDescent="0.35">
      <c r="A623" t="s">
        <v>116</v>
      </c>
      <c r="B623" t="s">
        <v>326</v>
      </c>
      <c r="D623">
        <v>83000</v>
      </c>
      <c r="F623" t="s">
        <v>7446</v>
      </c>
      <c r="H623" t="s">
        <v>8448</v>
      </c>
      <c r="I623" t="s">
        <v>4859</v>
      </c>
      <c r="K623" t="s">
        <v>8664</v>
      </c>
      <c r="L623" t="s">
        <v>8665</v>
      </c>
    </row>
    <row r="624" spans="1:12" x14ac:dyDescent="0.35">
      <c r="A624" t="s">
        <v>116</v>
      </c>
      <c r="B624" t="s">
        <v>326</v>
      </c>
      <c r="D624">
        <v>79000</v>
      </c>
      <c r="F624" t="s">
        <v>7484</v>
      </c>
      <c r="H624" t="s">
        <v>8449</v>
      </c>
      <c r="I624" t="s">
        <v>4859</v>
      </c>
      <c r="K624" t="s">
        <v>8664</v>
      </c>
      <c r="L624" t="s">
        <v>8665</v>
      </c>
    </row>
    <row r="625" spans="1:12" x14ac:dyDescent="0.35">
      <c r="A625" t="s">
        <v>116</v>
      </c>
      <c r="B625" t="s">
        <v>326</v>
      </c>
      <c r="D625">
        <v>39000</v>
      </c>
      <c r="F625" t="s">
        <v>7566</v>
      </c>
      <c r="H625" t="s">
        <v>8450</v>
      </c>
      <c r="I625" t="s">
        <v>4889</v>
      </c>
      <c r="K625" t="s">
        <v>8664</v>
      </c>
      <c r="L625" t="s">
        <v>8665</v>
      </c>
    </row>
    <row r="626" spans="1:12" x14ac:dyDescent="0.35">
      <c r="A626" t="s">
        <v>116</v>
      </c>
      <c r="B626" t="s">
        <v>326</v>
      </c>
      <c r="D626">
        <v>43000</v>
      </c>
      <c r="F626" t="s">
        <v>7538</v>
      </c>
      <c r="H626" t="s">
        <v>8451</v>
      </c>
      <c r="I626" t="s">
        <v>2325</v>
      </c>
      <c r="K626" t="s">
        <v>8664</v>
      </c>
      <c r="L626" t="s">
        <v>8665</v>
      </c>
    </row>
    <row r="627" spans="1:12" x14ac:dyDescent="0.35">
      <c r="A627" t="s">
        <v>116</v>
      </c>
      <c r="B627" t="s">
        <v>326</v>
      </c>
      <c r="D627">
        <v>85000</v>
      </c>
      <c r="F627" t="s">
        <v>7535</v>
      </c>
      <c r="H627" t="s">
        <v>8452</v>
      </c>
      <c r="I627" t="s">
        <v>4859</v>
      </c>
      <c r="K627" t="s">
        <v>8664</v>
      </c>
      <c r="L627" t="s">
        <v>8665</v>
      </c>
    </row>
    <row r="628" spans="1:12" x14ac:dyDescent="0.35">
      <c r="A628" t="s">
        <v>116</v>
      </c>
      <c r="B628" t="s">
        <v>566</v>
      </c>
      <c r="D628">
        <v>25000</v>
      </c>
      <c r="F628" t="s">
        <v>7637</v>
      </c>
      <c r="H628" t="s">
        <v>8453</v>
      </c>
      <c r="I628" t="s">
        <v>1892</v>
      </c>
      <c r="K628" t="s">
        <v>8664</v>
      </c>
      <c r="L628" t="s">
        <v>8665</v>
      </c>
    </row>
    <row r="629" spans="1:12" x14ac:dyDescent="0.35">
      <c r="A629" t="s">
        <v>116</v>
      </c>
      <c r="B629" t="s">
        <v>566</v>
      </c>
      <c r="D629">
        <v>24600</v>
      </c>
      <c r="F629" t="s">
        <v>7764</v>
      </c>
      <c r="H629" t="s">
        <v>8454</v>
      </c>
      <c r="I629" t="s">
        <v>1892</v>
      </c>
      <c r="K629" t="s">
        <v>8664</v>
      </c>
      <c r="L629" t="s">
        <v>8665</v>
      </c>
    </row>
    <row r="630" spans="1:12" x14ac:dyDescent="0.35">
      <c r="A630" t="s">
        <v>116</v>
      </c>
      <c r="B630" t="s">
        <v>567</v>
      </c>
      <c r="D630">
        <v>130000</v>
      </c>
      <c r="F630" t="s">
        <v>7512</v>
      </c>
      <c r="H630" t="s">
        <v>8455</v>
      </c>
      <c r="I630" t="s">
        <v>1858</v>
      </c>
      <c r="K630" t="s">
        <v>8664</v>
      </c>
      <c r="L630" t="s">
        <v>8665</v>
      </c>
    </row>
    <row r="631" spans="1:12" x14ac:dyDescent="0.35">
      <c r="A631" t="s">
        <v>116</v>
      </c>
      <c r="B631" t="s">
        <v>567</v>
      </c>
      <c r="D631">
        <v>31000</v>
      </c>
      <c r="F631" t="s">
        <v>7498</v>
      </c>
      <c r="H631" t="s">
        <v>8456</v>
      </c>
      <c r="I631" t="s">
        <v>7398</v>
      </c>
      <c r="K631" t="s">
        <v>8664</v>
      </c>
      <c r="L631" t="s">
        <v>8665</v>
      </c>
    </row>
    <row r="632" spans="1:12" x14ac:dyDescent="0.35">
      <c r="A632" t="s">
        <v>116</v>
      </c>
      <c r="B632" t="s">
        <v>6081</v>
      </c>
      <c r="D632">
        <v>116000</v>
      </c>
      <c r="F632" t="s">
        <v>7488</v>
      </c>
      <c r="H632" t="s">
        <v>8457</v>
      </c>
      <c r="I632" t="s">
        <v>8648</v>
      </c>
      <c r="K632" t="s">
        <v>8664</v>
      </c>
      <c r="L632" t="s">
        <v>8665</v>
      </c>
    </row>
    <row r="633" spans="1:12" x14ac:dyDescent="0.35">
      <c r="A633" t="s">
        <v>116</v>
      </c>
      <c r="B633" t="s">
        <v>355</v>
      </c>
      <c r="D633">
        <v>105000</v>
      </c>
      <c r="F633" t="s">
        <v>7472</v>
      </c>
      <c r="H633" t="s">
        <v>8458</v>
      </c>
      <c r="I633" t="s">
        <v>4914</v>
      </c>
      <c r="K633" t="s">
        <v>8664</v>
      </c>
      <c r="L633" t="s">
        <v>8665</v>
      </c>
    </row>
    <row r="634" spans="1:12" x14ac:dyDescent="0.35">
      <c r="A634" t="s">
        <v>116</v>
      </c>
      <c r="B634" t="s">
        <v>355</v>
      </c>
      <c r="D634">
        <v>26961</v>
      </c>
      <c r="F634" t="s">
        <v>7765</v>
      </c>
      <c r="H634" t="s">
        <v>8459</v>
      </c>
      <c r="I634" t="s">
        <v>4914</v>
      </c>
      <c r="K634" t="s">
        <v>8664</v>
      </c>
      <c r="L634" t="s">
        <v>8665</v>
      </c>
    </row>
    <row r="635" spans="1:12" x14ac:dyDescent="0.35">
      <c r="A635" t="s">
        <v>116</v>
      </c>
      <c r="B635" t="s">
        <v>569</v>
      </c>
      <c r="D635">
        <v>94000</v>
      </c>
      <c r="F635" t="s">
        <v>7506</v>
      </c>
      <c r="H635" t="s">
        <v>8460</v>
      </c>
      <c r="I635" t="s">
        <v>4899</v>
      </c>
      <c r="K635" t="s">
        <v>8664</v>
      </c>
      <c r="L635" t="s">
        <v>8665</v>
      </c>
    </row>
    <row r="636" spans="1:12" x14ac:dyDescent="0.35">
      <c r="A636" t="s">
        <v>116</v>
      </c>
      <c r="B636" t="s">
        <v>570</v>
      </c>
      <c r="D636">
        <v>82750</v>
      </c>
      <c r="F636" t="s">
        <v>7766</v>
      </c>
      <c r="H636" t="s">
        <v>8461</v>
      </c>
      <c r="I636" t="s">
        <v>1569</v>
      </c>
      <c r="K636" t="s">
        <v>8664</v>
      </c>
      <c r="L636" t="s">
        <v>8665</v>
      </c>
    </row>
    <row r="637" spans="1:12" x14ac:dyDescent="0.35">
      <c r="A637" t="s">
        <v>116</v>
      </c>
      <c r="B637" t="s">
        <v>571</v>
      </c>
      <c r="D637">
        <v>176000</v>
      </c>
      <c r="F637" t="s">
        <v>7767</v>
      </c>
      <c r="H637" t="s">
        <v>8462</v>
      </c>
      <c r="I637" t="s">
        <v>4907</v>
      </c>
      <c r="K637" t="s">
        <v>8664</v>
      </c>
      <c r="L637" t="s">
        <v>8665</v>
      </c>
    </row>
    <row r="638" spans="1:12" x14ac:dyDescent="0.35">
      <c r="A638" t="s">
        <v>116</v>
      </c>
      <c r="B638" t="s">
        <v>572</v>
      </c>
      <c r="D638">
        <v>54600</v>
      </c>
      <c r="F638" t="s">
        <v>7708</v>
      </c>
      <c r="H638" t="s">
        <v>8463</v>
      </c>
      <c r="I638" t="s">
        <v>2393</v>
      </c>
      <c r="K638" t="s">
        <v>8664</v>
      </c>
      <c r="L638" t="s">
        <v>8665</v>
      </c>
    </row>
    <row r="639" spans="1:12" x14ac:dyDescent="0.35">
      <c r="A639" t="s">
        <v>116</v>
      </c>
      <c r="B639" t="s">
        <v>573</v>
      </c>
      <c r="D639">
        <v>99000</v>
      </c>
      <c r="F639" t="s">
        <v>7768</v>
      </c>
      <c r="H639" t="s">
        <v>8464</v>
      </c>
      <c r="I639" t="s">
        <v>2312</v>
      </c>
      <c r="K639" t="s">
        <v>8664</v>
      </c>
      <c r="L639" t="s">
        <v>8665</v>
      </c>
    </row>
    <row r="640" spans="1:12" x14ac:dyDescent="0.35">
      <c r="A640" t="s">
        <v>116</v>
      </c>
      <c r="B640" t="s">
        <v>573</v>
      </c>
      <c r="D640">
        <v>48600</v>
      </c>
      <c r="F640" t="s">
        <v>7769</v>
      </c>
      <c r="H640" t="s">
        <v>8465</v>
      </c>
      <c r="I640" t="s">
        <v>2312</v>
      </c>
      <c r="K640" t="s">
        <v>8664</v>
      </c>
      <c r="L640" t="s">
        <v>8665</v>
      </c>
    </row>
    <row r="641" spans="1:12" x14ac:dyDescent="0.35">
      <c r="A641" t="s">
        <v>116</v>
      </c>
      <c r="B641" t="s">
        <v>574</v>
      </c>
      <c r="D641">
        <v>57600</v>
      </c>
      <c r="F641" t="s">
        <v>7770</v>
      </c>
      <c r="H641" t="s">
        <v>8466</v>
      </c>
      <c r="I641" t="s">
        <v>2393</v>
      </c>
      <c r="K641" t="s">
        <v>8664</v>
      </c>
      <c r="L641" t="s">
        <v>8665</v>
      </c>
    </row>
    <row r="642" spans="1:12" x14ac:dyDescent="0.35">
      <c r="A642" t="s">
        <v>116</v>
      </c>
      <c r="B642" t="s">
        <v>575</v>
      </c>
      <c r="D642">
        <v>56000</v>
      </c>
      <c r="F642" t="s">
        <v>7476</v>
      </c>
      <c r="H642" t="s">
        <v>8467</v>
      </c>
      <c r="I642" t="s">
        <v>2052</v>
      </c>
      <c r="K642" t="s">
        <v>8664</v>
      </c>
      <c r="L642" t="s">
        <v>8665</v>
      </c>
    </row>
    <row r="643" spans="1:12" x14ac:dyDescent="0.35">
      <c r="A643" t="s">
        <v>116</v>
      </c>
      <c r="B643" t="s">
        <v>576</v>
      </c>
      <c r="D643">
        <v>77330</v>
      </c>
      <c r="F643" t="s">
        <v>7771</v>
      </c>
      <c r="H643" t="s">
        <v>8468</v>
      </c>
      <c r="I643" t="s">
        <v>1839</v>
      </c>
      <c r="K643" t="s">
        <v>8664</v>
      </c>
      <c r="L643" t="s">
        <v>8665</v>
      </c>
    </row>
    <row r="644" spans="1:12" x14ac:dyDescent="0.35">
      <c r="A644" t="s">
        <v>116</v>
      </c>
      <c r="B644" t="s">
        <v>327</v>
      </c>
      <c r="D644">
        <v>78000</v>
      </c>
      <c r="F644" t="s">
        <v>7466</v>
      </c>
      <c r="H644" t="s">
        <v>8469</v>
      </c>
      <c r="I644" t="s">
        <v>1851</v>
      </c>
      <c r="K644" t="s">
        <v>8664</v>
      </c>
      <c r="L644" t="s">
        <v>8665</v>
      </c>
    </row>
    <row r="645" spans="1:12" x14ac:dyDescent="0.35">
      <c r="A645" t="s">
        <v>116</v>
      </c>
      <c r="B645" t="s">
        <v>327</v>
      </c>
      <c r="D645">
        <v>78000</v>
      </c>
      <c r="F645" t="s">
        <v>7466</v>
      </c>
      <c r="H645" t="s">
        <v>8470</v>
      </c>
      <c r="I645" t="s">
        <v>1389</v>
      </c>
      <c r="K645" t="s">
        <v>8664</v>
      </c>
      <c r="L645" t="s">
        <v>8665</v>
      </c>
    </row>
    <row r="646" spans="1:12" x14ac:dyDescent="0.35">
      <c r="A646" t="s">
        <v>116</v>
      </c>
      <c r="B646" t="s">
        <v>327</v>
      </c>
      <c r="D646">
        <v>79000</v>
      </c>
      <c r="F646" t="s">
        <v>7484</v>
      </c>
      <c r="H646" t="s">
        <v>8471</v>
      </c>
      <c r="I646" t="s">
        <v>2051</v>
      </c>
      <c r="K646" t="s">
        <v>8664</v>
      </c>
      <c r="L646" t="s">
        <v>8665</v>
      </c>
    </row>
    <row r="647" spans="1:12" x14ac:dyDescent="0.35">
      <c r="A647" t="s">
        <v>116</v>
      </c>
      <c r="B647" t="s">
        <v>327</v>
      </c>
      <c r="D647">
        <v>82700</v>
      </c>
      <c r="F647" t="s">
        <v>7772</v>
      </c>
      <c r="H647" t="s">
        <v>8472</v>
      </c>
      <c r="I647" t="s">
        <v>1526</v>
      </c>
      <c r="K647" t="s">
        <v>8664</v>
      </c>
      <c r="L647" t="s">
        <v>8665</v>
      </c>
    </row>
    <row r="648" spans="1:12" x14ac:dyDescent="0.35">
      <c r="A648" t="s">
        <v>116</v>
      </c>
      <c r="B648" t="s">
        <v>327</v>
      </c>
      <c r="D648">
        <v>42000</v>
      </c>
      <c r="F648" t="s">
        <v>7521</v>
      </c>
      <c r="H648" t="s">
        <v>8473</v>
      </c>
      <c r="I648" t="s">
        <v>4907</v>
      </c>
      <c r="K648" t="s">
        <v>8664</v>
      </c>
      <c r="L648" t="s">
        <v>8665</v>
      </c>
    </row>
    <row r="649" spans="1:12" x14ac:dyDescent="0.35">
      <c r="A649" t="s">
        <v>116</v>
      </c>
      <c r="B649" t="s">
        <v>327</v>
      </c>
      <c r="D649">
        <v>41000</v>
      </c>
      <c r="F649" t="s">
        <v>7445</v>
      </c>
      <c r="H649" t="s">
        <v>8474</v>
      </c>
      <c r="I649" t="s">
        <v>4868</v>
      </c>
      <c r="K649" t="s">
        <v>8664</v>
      </c>
      <c r="L649" t="s">
        <v>8665</v>
      </c>
    </row>
    <row r="650" spans="1:12" x14ac:dyDescent="0.35">
      <c r="A650" t="s">
        <v>116</v>
      </c>
      <c r="B650" t="s">
        <v>579</v>
      </c>
      <c r="D650">
        <v>88000</v>
      </c>
      <c r="F650" t="s">
        <v>7519</v>
      </c>
      <c r="H650" t="s">
        <v>8475</v>
      </c>
      <c r="I650" t="s">
        <v>2325</v>
      </c>
      <c r="K650" t="s">
        <v>8664</v>
      </c>
      <c r="L650" t="s">
        <v>8665</v>
      </c>
    </row>
    <row r="651" spans="1:12" x14ac:dyDescent="0.35">
      <c r="A651" t="s">
        <v>116</v>
      </c>
      <c r="B651" t="s">
        <v>581</v>
      </c>
      <c r="D651">
        <v>160000</v>
      </c>
      <c r="F651" t="s">
        <v>7584</v>
      </c>
      <c r="H651" t="s">
        <v>8476</v>
      </c>
      <c r="I651" t="s">
        <v>8649</v>
      </c>
      <c r="K651" t="s">
        <v>8664</v>
      </c>
      <c r="L651" t="s">
        <v>8665</v>
      </c>
    </row>
    <row r="652" spans="1:12" x14ac:dyDescent="0.35">
      <c r="A652" t="s">
        <v>116</v>
      </c>
      <c r="B652" t="s">
        <v>582</v>
      </c>
      <c r="D652">
        <v>110000</v>
      </c>
      <c r="F652" t="s">
        <v>7469</v>
      </c>
      <c r="H652" t="s">
        <v>8477</v>
      </c>
      <c r="I652" t="s">
        <v>1515</v>
      </c>
      <c r="K652" t="s">
        <v>8664</v>
      </c>
      <c r="L652" t="s">
        <v>8665</v>
      </c>
    </row>
    <row r="653" spans="1:12" x14ac:dyDescent="0.35">
      <c r="A653" t="s">
        <v>116</v>
      </c>
      <c r="B653" t="s">
        <v>582</v>
      </c>
      <c r="D653">
        <v>26000</v>
      </c>
      <c r="F653" t="s">
        <v>7497</v>
      </c>
      <c r="H653" t="s">
        <v>8478</v>
      </c>
      <c r="I653" t="s">
        <v>1515</v>
      </c>
      <c r="K653" t="s">
        <v>8664</v>
      </c>
      <c r="L653" t="s">
        <v>8665</v>
      </c>
    </row>
    <row r="654" spans="1:12" x14ac:dyDescent="0.35">
      <c r="A654" t="s">
        <v>117</v>
      </c>
      <c r="B654" t="s">
        <v>380</v>
      </c>
      <c r="D654">
        <v>52000</v>
      </c>
      <c r="F654" t="s">
        <v>7536</v>
      </c>
      <c r="H654" t="s">
        <v>8479</v>
      </c>
      <c r="I654" t="s">
        <v>1968</v>
      </c>
      <c r="K654" t="s">
        <v>8664</v>
      </c>
      <c r="L654" t="s">
        <v>8665</v>
      </c>
    </row>
    <row r="655" spans="1:12" x14ac:dyDescent="0.35">
      <c r="A655" t="s">
        <v>117</v>
      </c>
      <c r="B655" t="s">
        <v>380</v>
      </c>
      <c r="D655">
        <v>48000</v>
      </c>
      <c r="F655" t="s">
        <v>7589</v>
      </c>
      <c r="H655" t="s">
        <v>8480</v>
      </c>
      <c r="I655" t="s">
        <v>8650</v>
      </c>
      <c r="K655" t="s">
        <v>8664</v>
      </c>
      <c r="L655" t="s">
        <v>8665</v>
      </c>
    </row>
    <row r="656" spans="1:12" x14ac:dyDescent="0.35">
      <c r="A656" t="s">
        <v>117</v>
      </c>
      <c r="B656" t="s">
        <v>502</v>
      </c>
      <c r="D656">
        <v>32000</v>
      </c>
      <c r="F656" t="s">
        <v>7630</v>
      </c>
      <c r="H656" t="s">
        <v>8481</v>
      </c>
      <c r="I656" t="s">
        <v>8651</v>
      </c>
      <c r="K656" t="s">
        <v>8664</v>
      </c>
      <c r="L656" t="s">
        <v>8665</v>
      </c>
    </row>
    <row r="657" spans="1:12" x14ac:dyDescent="0.35">
      <c r="A657" t="s">
        <v>117</v>
      </c>
      <c r="B657" t="s">
        <v>502</v>
      </c>
      <c r="D657">
        <v>33000</v>
      </c>
      <c r="F657" t="s">
        <v>7596</v>
      </c>
      <c r="H657" t="s">
        <v>8482</v>
      </c>
      <c r="I657" t="s">
        <v>4886</v>
      </c>
      <c r="K657" t="s">
        <v>8664</v>
      </c>
      <c r="L657" t="s">
        <v>8665</v>
      </c>
    </row>
    <row r="658" spans="1:12" x14ac:dyDescent="0.35">
      <c r="A658" t="s">
        <v>117</v>
      </c>
      <c r="B658" t="s">
        <v>473</v>
      </c>
      <c r="D658">
        <v>22000</v>
      </c>
      <c r="F658" t="s">
        <v>7668</v>
      </c>
      <c r="H658" t="s">
        <v>8483</v>
      </c>
      <c r="I658" t="s">
        <v>2393</v>
      </c>
      <c r="K658" t="s">
        <v>8664</v>
      </c>
      <c r="L658" t="s">
        <v>8665</v>
      </c>
    </row>
    <row r="659" spans="1:12" x14ac:dyDescent="0.35">
      <c r="A659" t="s">
        <v>117</v>
      </c>
      <c r="B659" t="s">
        <v>473</v>
      </c>
      <c r="D659">
        <v>44000</v>
      </c>
      <c r="F659" t="s">
        <v>7514</v>
      </c>
      <c r="H659" t="s">
        <v>8484</v>
      </c>
      <c r="I659" t="s">
        <v>8652</v>
      </c>
      <c r="K659" t="s">
        <v>8664</v>
      </c>
      <c r="L659" t="s">
        <v>8665</v>
      </c>
    </row>
    <row r="660" spans="1:12" x14ac:dyDescent="0.35">
      <c r="A660" t="s">
        <v>117</v>
      </c>
      <c r="B660" t="s">
        <v>7436</v>
      </c>
      <c r="D660">
        <v>32500</v>
      </c>
      <c r="F660" t="s">
        <v>7530</v>
      </c>
      <c r="H660" t="s">
        <v>8485</v>
      </c>
      <c r="I660" t="s">
        <v>4915</v>
      </c>
      <c r="K660" t="s">
        <v>8664</v>
      </c>
      <c r="L660" t="s">
        <v>8665</v>
      </c>
    </row>
    <row r="661" spans="1:12" x14ac:dyDescent="0.35">
      <c r="A661" t="s">
        <v>117</v>
      </c>
      <c r="B661" t="s">
        <v>7436</v>
      </c>
      <c r="D661">
        <v>37000</v>
      </c>
      <c r="F661" t="s">
        <v>7567</v>
      </c>
      <c r="H661" t="s">
        <v>8486</v>
      </c>
      <c r="I661" t="s">
        <v>4857</v>
      </c>
      <c r="K661" t="s">
        <v>8664</v>
      </c>
      <c r="L661" t="s">
        <v>8665</v>
      </c>
    </row>
    <row r="662" spans="1:12" x14ac:dyDescent="0.35">
      <c r="A662" t="s">
        <v>117</v>
      </c>
      <c r="B662" t="s">
        <v>333</v>
      </c>
      <c r="D662">
        <v>45900</v>
      </c>
      <c r="F662" t="s">
        <v>7773</v>
      </c>
      <c r="H662" t="s">
        <v>8487</v>
      </c>
      <c r="I662" t="s">
        <v>1389</v>
      </c>
      <c r="K662" t="s">
        <v>8664</v>
      </c>
      <c r="L662" t="s">
        <v>8665</v>
      </c>
    </row>
    <row r="663" spans="1:12" x14ac:dyDescent="0.35">
      <c r="A663" t="s">
        <v>117</v>
      </c>
      <c r="B663" t="s">
        <v>584</v>
      </c>
      <c r="D663">
        <v>36000</v>
      </c>
      <c r="F663" t="s">
        <v>7491</v>
      </c>
      <c r="H663" t="s">
        <v>8488</v>
      </c>
      <c r="I663" t="s">
        <v>1368</v>
      </c>
      <c r="K663" t="s">
        <v>8664</v>
      </c>
      <c r="L663" t="s">
        <v>8665</v>
      </c>
    </row>
    <row r="664" spans="1:12" x14ac:dyDescent="0.35">
      <c r="A664" t="s">
        <v>117</v>
      </c>
      <c r="B664" t="s">
        <v>550</v>
      </c>
      <c r="D664">
        <v>60000</v>
      </c>
      <c r="F664" t="s">
        <v>7481</v>
      </c>
      <c r="H664" t="s">
        <v>8489</v>
      </c>
      <c r="I664" t="s">
        <v>1626</v>
      </c>
      <c r="K664" t="s">
        <v>8664</v>
      </c>
      <c r="L664" t="s">
        <v>8665</v>
      </c>
    </row>
    <row r="665" spans="1:12" x14ac:dyDescent="0.35">
      <c r="A665" t="s">
        <v>117</v>
      </c>
      <c r="B665" t="s">
        <v>550</v>
      </c>
      <c r="D665">
        <v>29000</v>
      </c>
      <c r="F665" t="s">
        <v>7451</v>
      </c>
      <c r="H665" t="s">
        <v>8490</v>
      </c>
      <c r="I665" t="s">
        <v>1509</v>
      </c>
      <c r="K665" t="s">
        <v>8664</v>
      </c>
      <c r="L665" t="s">
        <v>8665</v>
      </c>
    </row>
    <row r="666" spans="1:12" x14ac:dyDescent="0.35">
      <c r="A666" t="s">
        <v>117</v>
      </c>
      <c r="B666" t="s">
        <v>585</v>
      </c>
      <c r="D666">
        <v>14250</v>
      </c>
      <c r="F666" t="s">
        <v>7774</v>
      </c>
      <c r="H666" t="s">
        <v>8491</v>
      </c>
      <c r="I666" t="s">
        <v>4872</v>
      </c>
      <c r="K666" t="s">
        <v>8664</v>
      </c>
      <c r="L666" t="s">
        <v>8665</v>
      </c>
    </row>
    <row r="667" spans="1:12" x14ac:dyDescent="0.35">
      <c r="A667" t="s">
        <v>117</v>
      </c>
      <c r="B667" t="s">
        <v>585</v>
      </c>
      <c r="D667">
        <v>14251</v>
      </c>
      <c r="F667" t="s">
        <v>7775</v>
      </c>
      <c r="H667" t="s">
        <v>8492</v>
      </c>
      <c r="I667" t="s">
        <v>4872</v>
      </c>
      <c r="K667" t="s">
        <v>8664</v>
      </c>
      <c r="L667" t="s">
        <v>8665</v>
      </c>
    </row>
    <row r="668" spans="1:12" x14ac:dyDescent="0.35">
      <c r="A668" t="s">
        <v>117</v>
      </c>
      <c r="B668" t="s">
        <v>586</v>
      </c>
      <c r="D668">
        <v>20000</v>
      </c>
      <c r="F668" t="s">
        <v>7672</v>
      </c>
      <c r="H668" t="s">
        <v>8493</v>
      </c>
      <c r="I668" t="s">
        <v>1477</v>
      </c>
      <c r="K668" t="s">
        <v>8664</v>
      </c>
      <c r="L668" t="s">
        <v>8665</v>
      </c>
    </row>
    <row r="669" spans="1:12" x14ac:dyDescent="0.35">
      <c r="A669" t="s">
        <v>117</v>
      </c>
      <c r="B669" t="s">
        <v>587</v>
      </c>
      <c r="D669">
        <v>15670</v>
      </c>
      <c r="F669" t="s">
        <v>7776</v>
      </c>
      <c r="H669" t="s">
        <v>8494</v>
      </c>
      <c r="I669" t="s">
        <v>4872</v>
      </c>
      <c r="K669" t="s">
        <v>8664</v>
      </c>
      <c r="L669" t="s">
        <v>8665</v>
      </c>
    </row>
    <row r="670" spans="1:12" x14ac:dyDescent="0.35">
      <c r="A670" t="s">
        <v>117</v>
      </c>
      <c r="B670" t="s">
        <v>587</v>
      </c>
      <c r="D670">
        <v>15669</v>
      </c>
      <c r="F670" t="s">
        <v>7777</v>
      </c>
      <c r="H670" t="s">
        <v>8495</v>
      </c>
      <c r="I670" t="s">
        <v>4872</v>
      </c>
      <c r="K670" t="s">
        <v>8664</v>
      </c>
      <c r="L670" t="s">
        <v>8665</v>
      </c>
    </row>
    <row r="671" spans="1:12" x14ac:dyDescent="0.35">
      <c r="A671" t="s">
        <v>117</v>
      </c>
      <c r="B671" t="s">
        <v>416</v>
      </c>
      <c r="D671">
        <v>16000</v>
      </c>
      <c r="F671" t="s">
        <v>7664</v>
      </c>
      <c r="H671" t="s">
        <v>8496</v>
      </c>
      <c r="I671" t="s">
        <v>1515</v>
      </c>
      <c r="K671" t="s">
        <v>8664</v>
      </c>
      <c r="L671" t="s">
        <v>8665</v>
      </c>
    </row>
    <row r="672" spans="1:12" x14ac:dyDescent="0.35">
      <c r="A672" t="s">
        <v>117</v>
      </c>
      <c r="B672" t="s">
        <v>313</v>
      </c>
      <c r="D672">
        <v>16650</v>
      </c>
      <c r="F672" t="s">
        <v>7778</v>
      </c>
      <c r="H672" t="s">
        <v>8497</v>
      </c>
      <c r="I672" t="s">
        <v>2334</v>
      </c>
      <c r="K672" t="s">
        <v>8664</v>
      </c>
      <c r="L672" t="s">
        <v>8665</v>
      </c>
    </row>
    <row r="673" spans="1:12" x14ac:dyDescent="0.35">
      <c r="A673" t="s">
        <v>117</v>
      </c>
      <c r="B673" t="s">
        <v>313</v>
      </c>
      <c r="D673">
        <v>17000</v>
      </c>
      <c r="F673" t="s">
        <v>7779</v>
      </c>
      <c r="H673" t="s">
        <v>8497</v>
      </c>
      <c r="I673" t="s">
        <v>2334</v>
      </c>
      <c r="K673" t="s">
        <v>8664</v>
      </c>
      <c r="L673" t="s">
        <v>8665</v>
      </c>
    </row>
    <row r="674" spans="1:12" x14ac:dyDescent="0.35">
      <c r="A674" t="s">
        <v>117</v>
      </c>
      <c r="B674" t="s">
        <v>313</v>
      </c>
      <c r="D674">
        <v>31300</v>
      </c>
      <c r="F674" t="s">
        <v>7780</v>
      </c>
      <c r="H674" t="s">
        <v>8498</v>
      </c>
      <c r="I674" t="s">
        <v>2334</v>
      </c>
      <c r="K674" t="s">
        <v>8664</v>
      </c>
      <c r="L674" t="s">
        <v>8665</v>
      </c>
    </row>
    <row r="675" spans="1:12" x14ac:dyDescent="0.35">
      <c r="A675" t="s">
        <v>117</v>
      </c>
      <c r="B675" t="s">
        <v>313</v>
      </c>
      <c r="D675">
        <v>16647</v>
      </c>
      <c r="F675" t="s">
        <v>7781</v>
      </c>
      <c r="H675" t="s">
        <v>8497</v>
      </c>
      <c r="I675" t="s">
        <v>2334</v>
      </c>
      <c r="K675" t="s">
        <v>8664</v>
      </c>
      <c r="L675" t="s">
        <v>8665</v>
      </c>
    </row>
    <row r="676" spans="1:12" x14ac:dyDescent="0.35">
      <c r="A676" t="s">
        <v>117</v>
      </c>
      <c r="B676" t="s">
        <v>377</v>
      </c>
      <c r="D676">
        <v>35840</v>
      </c>
      <c r="F676" t="s">
        <v>7782</v>
      </c>
      <c r="H676" t="s">
        <v>8499</v>
      </c>
      <c r="I676" t="s">
        <v>2323</v>
      </c>
      <c r="K676" t="s">
        <v>8664</v>
      </c>
      <c r="L676" t="s">
        <v>8665</v>
      </c>
    </row>
    <row r="677" spans="1:12" x14ac:dyDescent="0.35">
      <c r="A677" t="s">
        <v>117</v>
      </c>
      <c r="B677" t="s">
        <v>589</v>
      </c>
      <c r="D677">
        <v>29670</v>
      </c>
      <c r="F677" t="s">
        <v>7783</v>
      </c>
      <c r="H677" t="s">
        <v>8500</v>
      </c>
      <c r="I677" t="s">
        <v>4872</v>
      </c>
      <c r="K677" t="s">
        <v>8664</v>
      </c>
      <c r="L677" t="s">
        <v>8665</v>
      </c>
    </row>
    <row r="678" spans="1:12" x14ac:dyDescent="0.35">
      <c r="A678" t="s">
        <v>117</v>
      </c>
      <c r="B678" t="s">
        <v>589</v>
      </c>
      <c r="D678">
        <v>148333</v>
      </c>
      <c r="F678" t="s">
        <v>7784</v>
      </c>
      <c r="H678" t="s">
        <v>8501</v>
      </c>
      <c r="I678" t="s">
        <v>4872</v>
      </c>
      <c r="K678" t="s">
        <v>8664</v>
      </c>
      <c r="L678" t="s">
        <v>8665</v>
      </c>
    </row>
    <row r="679" spans="1:12" x14ac:dyDescent="0.35">
      <c r="A679" t="s">
        <v>117</v>
      </c>
      <c r="B679" t="s">
        <v>589</v>
      </c>
      <c r="D679">
        <v>14833</v>
      </c>
      <c r="F679" t="s">
        <v>7785</v>
      </c>
      <c r="H679" t="s">
        <v>8502</v>
      </c>
      <c r="I679" t="s">
        <v>4872</v>
      </c>
      <c r="K679" t="s">
        <v>8664</v>
      </c>
      <c r="L679" t="s">
        <v>8665</v>
      </c>
    </row>
    <row r="680" spans="1:12" x14ac:dyDescent="0.35">
      <c r="A680" t="s">
        <v>117</v>
      </c>
      <c r="B680" t="s">
        <v>589</v>
      </c>
      <c r="D680">
        <v>14834</v>
      </c>
      <c r="F680" t="s">
        <v>7786</v>
      </c>
      <c r="H680" t="s">
        <v>8502</v>
      </c>
      <c r="I680" t="s">
        <v>4872</v>
      </c>
      <c r="K680" t="s">
        <v>8664</v>
      </c>
      <c r="L680" t="s">
        <v>8665</v>
      </c>
    </row>
    <row r="681" spans="1:12" x14ac:dyDescent="0.35">
      <c r="A681" t="s">
        <v>117</v>
      </c>
      <c r="B681" t="s">
        <v>6067</v>
      </c>
      <c r="D681">
        <v>31000</v>
      </c>
      <c r="F681" t="s">
        <v>7498</v>
      </c>
      <c r="I681" t="s">
        <v>1372</v>
      </c>
      <c r="K681" t="s">
        <v>8664</v>
      </c>
      <c r="L681" t="s">
        <v>8665</v>
      </c>
    </row>
    <row r="682" spans="1:12" x14ac:dyDescent="0.35">
      <c r="A682" t="s">
        <v>117</v>
      </c>
      <c r="B682" t="s">
        <v>7437</v>
      </c>
      <c r="D682">
        <v>58000</v>
      </c>
      <c r="F682" t="s">
        <v>7495</v>
      </c>
      <c r="H682" t="s">
        <v>8503</v>
      </c>
      <c r="I682" t="s">
        <v>4857</v>
      </c>
      <c r="K682" t="s">
        <v>8664</v>
      </c>
      <c r="L682" t="s">
        <v>8665</v>
      </c>
    </row>
    <row r="683" spans="1:12" x14ac:dyDescent="0.35">
      <c r="A683" t="s">
        <v>117</v>
      </c>
      <c r="B683" t="s">
        <v>461</v>
      </c>
      <c r="D683">
        <v>25000</v>
      </c>
      <c r="F683" t="s">
        <v>7637</v>
      </c>
      <c r="H683" t="s">
        <v>8504</v>
      </c>
      <c r="I683" t="s">
        <v>4897</v>
      </c>
      <c r="K683" t="s">
        <v>8664</v>
      </c>
      <c r="L683" t="s">
        <v>8665</v>
      </c>
    </row>
    <row r="684" spans="1:12" x14ac:dyDescent="0.35">
      <c r="A684" t="s">
        <v>117</v>
      </c>
      <c r="B684" t="s">
        <v>466</v>
      </c>
      <c r="D684">
        <v>45000</v>
      </c>
      <c r="F684" t="s">
        <v>7499</v>
      </c>
      <c r="H684" t="s">
        <v>8505</v>
      </c>
      <c r="I684" t="s">
        <v>1359</v>
      </c>
      <c r="K684" t="s">
        <v>8664</v>
      </c>
      <c r="L684" t="s">
        <v>8665</v>
      </c>
    </row>
    <row r="685" spans="1:12" x14ac:dyDescent="0.35">
      <c r="A685" t="s">
        <v>117</v>
      </c>
      <c r="B685" t="s">
        <v>516</v>
      </c>
      <c r="D685">
        <v>24000</v>
      </c>
      <c r="F685" t="s">
        <v>7639</v>
      </c>
      <c r="H685" t="s">
        <v>8506</v>
      </c>
      <c r="I685" t="s">
        <v>8653</v>
      </c>
      <c r="K685" t="s">
        <v>8664</v>
      </c>
      <c r="L685" t="s">
        <v>8665</v>
      </c>
    </row>
    <row r="686" spans="1:12" x14ac:dyDescent="0.35">
      <c r="A686" t="s">
        <v>117</v>
      </c>
      <c r="B686" t="s">
        <v>6083</v>
      </c>
      <c r="D686">
        <v>56000</v>
      </c>
      <c r="F686" t="s">
        <v>7476</v>
      </c>
      <c r="H686" t="s">
        <v>8507</v>
      </c>
      <c r="I686" t="s">
        <v>1509</v>
      </c>
      <c r="K686" t="s">
        <v>8664</v>
      </c>
      <c r="L686" t="s">
        <v>8665</v>
      </c>
    </row>
    <row r="687" spans="1:12" x14ac:dyDescent="0.35">
      <c r="A687" t="s">
        <v>117</v>
      </c>
      <c r="B687" t="s">
        <v>6083</v>
      </c>
      <c r="D687">
        <v>28000</v>
      </c>
      <c r="F687" t="s">
        <v>7456</v>
      </c>
      <c r="H687" t="s">
        <v>8508</v>
      </c>
      <c r="I687" t="s">
        <v>1621</v>
      </c>
      <c r="K687" t="s">
        <v>8664</v>
      </c>
      <c r="L687" t="s">
        <v>8665</v>
      </c>
    </row>
    <row r="688" spans="1:12" x14ac:dyDescent="0.35">
      <c r="A688" t="s">
        <v>117</v>
      </c>
      <c r="B688" t="s">
        <v>320</v>
      </c>
      <c r="D688">
        <v>43000</v>
      </c>
      <c r="F688" t="s">
        <v>7538</v>
      </c>
      <c r="H688" t="s">
        <v>8509</v>
      </c>
      <c r="I688" t="s">
        <v>1383</v>
      </c>
      <c r="K688" t="s">
        <v>8664</v>
      </c>
      <c r="L688" t="s">
        <v>8665</v>
      </c>
    </row>
    <row r="689" spans="1:12" x14ac:dyDescent="0.35">
      <c r="A689" t="s">
        <v>117</v>
      </c>
      <c r="B689" t="s">
        <v>320</v>
      </c>
      <c r="D689">
        <v>21500</v>
      </c>
      <c r="F689" t="s">
        <v>7787</v>
      </c>
      <c r="H689" t="s">
        <v>8510</v>
      </c>
      <c r="I689" t="s">
        <v>8654</v>
      </c>
      <c r="K689" t="s">
        <v>8664</v>
      </c>
      <c r="L689" t="s">
        <v>8665</v>
      </c>
    </row>
    <row r="690" spans="1:12" x14ac:dyDescent="0.35">
      <c r="A690" t="s">
        <v>117</v>
      </c>
      <c r="B690" t="s">
        <v>592</v>
      </c>
      <c r="D690">
        <v>38000</v>
      </c>
      <c r="F690" t="s">
        <v>7463</v>
      </c>
      <c r="H690" t="s">
        <v>8511</v>
      </c>
      <c r="I690" t="s">
        <v>8655</v>
      </c>
      <c r="K690" t="s">
        <v>8664</v>
      </c>
      <c r="L690" t="s">
        <v>8665</v>
      </c>
    </row>
    <row r="691" spans="1:12" x14ac:dyDescent="0.35">
      <c r="A691" t="s">
        <v>117</v>
      </c>
      <c r="B691" t="s">
        <v>377</v>
      </c>
      <c r="D691">
        <v>43600</v>
      </c>
      <c r="F691" t="s">
        <v>7788</v>
      </c>
      <c r="H691" t="s">
        <v>8512</v>
      </c>
      <c r="I691" t="s">
        <v>1516</v>
      </c>
      <c r="K691" t="s">
        <v>8664</v>
      </c>
      <c r="L691" t="s">
        <v>8665</v>
      </c>
    </row>
    <row r="692" spans="1:12" x14ac:dyDescent="0.35">
      <c r="A692" t="s">
        <v>117</v>
      </c>
      <c r="B692" t="s">
        <v>377</v>
      </c>
      <c r="D692">
        <v>42300</v>
      </c>
      <c r="F692" t="s">
        <v>7789</v>
      </c>
      <c r="H692" t="s">
        <v>8513</v>
      </c>
      <c r="I692" t="s">
        <v>1516</v>
      </c>
      <c r="K692" t="s">
        <v>8664</v>
      </c>
      <c r="L692" t="s">
        <v>8665</v>
      </c>
    </row>
    <row r="693" spans="1:12" x14ac:dyDescent="0.35">
      <c r="A693" t="s">
        <v>117</v>
      </c>
      <c r="B693" t="s">
        <v>353</v>
      </c>
      <c r="D693">
        <v>34000</v>
      </c>
      <c r="F693" t="s">
        <v>7452</v>
      </c>
      <c r="H693" t="s">
        <v>8514</v>
      </c>
      <c r="I693" t="s">
        <v>4899</v>
      </c>
      <c r="K693" t="s">
        <v>8664</v>
      </c>
      <c r="L693" t="s">
        <v>8665</v>
      </c>
    </row>
    <row r="694" spans="1:12" x14ac:dyDescent="0.35">
      <c r="A694" t="s">
        <v>117</v>
      </c>
      <c r="B694" t="s">
        <v>416</v>
      </c>
      <c r="D694">
        <v>23440</v>
      </c>
      <c r="F694" t="s">
        <v>7790</v>
      </c>
      <c r="H694" t="s">
        <v>8515</v>
      </c>
      <c r="I694" t="s">
        <v>4871</v>
      </c>
      <c r="K694" t="s">
        <v>8664</v>
      </c>
      <c r="L694" t="s">
        <v>8665</v>
      </c>
    </row>
    <row r="695" spans="1:12" x14ac:dyDescent="0.35">
      <c r="A695" t="s">
        <v>117</v>
      </c>
      <c r="B695" t="s">
        <v>446</v>
      </c>
      <c r="D695">
        <v>38700</v>
      </c>
      <c r="F695" t="s">
        <v>7791</v>
      </c>
      <c r="H695" t="s">
        <v>8516</v>
      </c>
      <c r="I695" t="s">
        <v>2346</v>
      </c>
      <c r="K695" t="s">
        <v>8664</v>
      </c>
      <c r="L695" t="s">
        <v>8665</v>
      </c>
    </row>
    <row r="696" spans="1:12" x14ac:dyDescent="0.35">
      <c r="A696" t="s">
        <v>117</v>
      </c>
      <c r="B696" t="s">
        <v>446</v>
      </c>
      <c r="D696">
        <v>16607</v>
      </c>
      <c r="F696" t="s">
        <v>7792</v>
      </c>
      <c r="H696" t="s">
        <v>8517</v>
      </c>
      <c r="I696" t="s">
        <v>2346</v>
      </c>
      <c r="K696" t="s">
        <v>8664</v>
      </c>
      <c r="L696" t="s">
        <v>8665</v>
      </c>
    </row>
    <row r="697" spans="1:12" x14ac:dyDescent="0.35">
      <c r="A697" t="s">
        <v>117</v>
      </c>
      <c r="B697" t="s">
        <v>353</v>
      </c>
      <c r="D697">
        <v>30000</v>
      </c>
      <c r="F697" t="s">
        <v>7494</v>
      </c>
      <c r="H697" t="s">
        <v>8518</v>
      </c>
      <c r="I697" t="s">
        <v>1943</v>
      </c>
      <c r="K697" t="s">
        <v>8664</v>
      </c>
      <c r="L697" t="s">
        <v>8665</v>
      </c>
    </row>
    <row r="698" spans="1:12" x14ac:dyDescent="0.35">
      <c r="A698" t="s">
        <v>117</v>
      </c>
      <c r="B698" t="s">
        <v>353</v>
      </c>
      <c r="D698">
        <v>14990</v>
      </c>
      <c r="F698" t="s">
        <v>7793</v>
      </c>
      <c r="H698" t="s">
        <v>8519</v>
      </c>
      <c r="I698" t="s">
        <v>1943</v>
      </c>
      <c r="K698" t="s">
        <v>8664</v>
      </c>
      <c r="L698" t="s">
        <v>8665</v>
      </c>
    </row>
    <row r="699" spans="1:12" x14ac:dyDescent="0.35">
      <c r="A699" t="s">
        <v>117</v>
      </c>
      <c r="B699" t="s">
        <v>353</v>
      </c>
      <c r="D699">
        <v>14919</v>
      </c>
      <c r="F699" t="s">
        <v>7794</v>
      </c>
      <c r="H699" t="s">
        <v>8520</v>
      </c>
      <c r="I699" t="s">
        <v>1943</v>
      </c>
      <c r="K699" t="s">
        <v>8664</v>
      </c>
      <c r="L699" t="s">
        <v>8665</v>
      </c>
    </row>
    <row r="700" spans="1:12" x14ac:dyDescent="0.35">
      <c r="A700" t="s">
        <v>117</v>
      </c>
      <c r="B700" t="s">
        <v>375</v>
      </c>
      <c r="D700">
        <v>43310</v>
      </c>
      <c r="F700" t="s">
        <v>7795</v>
      </c>
      <c r="H700" t="s">
        <v>8521</v>
      </c>
      <c r="I700" t="s">
        <v>4858</v>
      </c>
      <c r="K700" t="s">
        <v>8664</v>
      </c>
      <c r="L700" t="s">
        <v>8665</v>
      </c>
    </row>
    <row r="701" spans="1:12" x14ac:dyDescent="0.35">
      <c r="A701" t="s">
        <v>117</v>
      </c>
      <c r="B701" t="s">
        <v>320</v>
      </c>
      <c r="D701">
        <v>20810</v>
      </c>
      <c r="F701" t="s">
        <v>7796</v>
      </c>
      <c r="H701" t="s">
        <v>8522</v>
      </c>
      <c r="I701" t="s">
        <v>2620</v>
      </c>
      <c r="K701" t="s">
        <v>8664</v>
      </c>
      <c r="L701" t="s">
        <v>8665</v>
      </c>
    </row>
    <row r="702" spans="1:12" x14ac:dyDescent="0.35">
      <c r="A702" t="s">
        <v>117</v>
      </c>
      <c r="B702" t="s">
        <v>320</v>
      </c>
      <c r="D702">
        <v>41620</v>
      </c>
      <c r="F702" t="s">
        <v>7797</v>
      </c>
      <c r="H702" t="s">
        <v>8523</v>
      </c>
      <c r="I702" t="s">
        <v>2620</v>
      </c>
      <c r="K702" t="s">
        <v>8664</v>
      </c>
      <c r="L702" t="s">
        <v>8665</v>
      </c>
    </row>
    <row r="703" spans="1:12" x14ac:dyDescent="0.35">
      <c r="A703" t="s">
        <v>117</v>
      </c>
      <c r="B703" t="s">
        <v>327</v>
      </c>
      <c r="D703">
        <v>51000</v>
      </c>
      <c r="F703" t="s">
        <v>7798</v>
      </c>
      <c r="I703" t="s">
        <v>1450</v>
      </c>
      <c r="K703" t="s">
        <v>8664</v>
      </c>
      <c r="L703" t="s">
        <v>8665</v>
      </c>
    </row>
    <row r="704" spans="1:12" x14ac:dyDescent="0.35">
      <c r="A704" t="s">
        <v>117</v>
      </c>
      <c r="B704" t="s">
        <v>327</v>
      </c>
      <c r="D704">
        <v>23000</v>
      </c>
      <c r="F704" t="s">
        <v>7662</v>
      </c>
      <c r="H704" t="s">
        <v>8524</v>
      </c>
      <c r="I704" t="s">
        <v>4881</v>
      </c>
      <c r="K704" t="s">
        <v>8664</v>
      </c>
      <c r="L704" t="s">
        <v>8665</v>
      </c>
    </row>
    <row r="705" spans="1:12" x14ac:dyDescent="0.35">
      <c r="A705" t="s">
        <v>117</v>
      </c>
      <c r="B705" t="s">
        <v>327</v>
      </c>
      <c r="D705">
        <v>20774</v>
      </c>
      <c r="F705" t="s">
        <v>7799</v>
      </c>
      <c r="H705" t="s">
        <v>8525</v>
      </c>
      <c r="I705" t="s">
        <v>1848</v>
      </c>
      <c r="K705" t="s">
        <v>8664</v>
      </c>
      <c r="L705" t="s">
        <v>8665</v>
      </c>
    </row>
    <row r="706" spans="1:12" x14ac:dyDescent="0.35">
      <c r="A706" t="s">
        <v>117</v>
      </c>
      <c r="B706" t="s">
        <v>327</v>
      </c>
      <c r="D706">
        <v>20647</v>
      </c>
      <c r="F706" t="s">
        <v>7800</v>
      </c>
      <c r="H706" t="s">
        <v>8526</v>
      </c>
      <c r="I706" t="s">
        <v>4865</v>
      </c>
      <c r="K706" t="s">
        <v>8664</v>
      </c>
      <c r="L706" t="s">
        <v>8665</v>
      </c>
    </row>
    <row r="707" spans="1:12" x14ac:dyDescent="0.35">
      <c r="A707" t="s">
        <v>117</v>
      </c>
      <c r="B707" t="s">
        <v>327</v>
      </c>
      <c r="D707">
        <v>42000</v>
      </c>
      <c r="F707" t="s">
        <v>7521</v>
      </c>
      <c r="H707" t="s">
        <v>8527</v>
      </c>
      <c r="I707" t="s">
        <v>1454</v>
      </c>
      <c r="K707" t="s">
        <v>8664</v>
      </c>
      <c r="L707" t="s">
        <v>8665</v>
      </c>
    </row>
    <row r="708" spans="1:12" x14ac:dyDescent="0.35">
      <c r="A708" t="s">
        <v>117</v>
      </c>
      <c r="B708" t="s">
        <v>327</v>
      </c>
      <c r="D708">
        <v>21000</v>
      </c>
      <c r="F708" t="s">
        <v>7457</v>
      </c>
      <c r="H708" t="s">
        <v>8528</v>
      </c>
      <c r="I708" t="s">
        <v>1477</v>
      </c>
      <c r="K708" t="s">
        <v>8664</v>
      </c>
      <c r="L708" t="s">
        <v>8665</v>
      </c>
    </row>
    <row r="709" spans="1:12" x14ac:dyDescent="0.35">
      <c r="A709" t="s">
        <v>117</v>
      </c>
      <c r="B709" t="s">
        <v>327</v>
      </c>
      <c r="D709">
        <v>26000</v>
      </c>
      <c r="F709" t="s">
        <v>7497</v>
      </c>
      <c r="H709" t="s">
        <v>8529</v>
      </c>
      <c r="I709" t="s">
        <v>1450</v>
      </c>
      <c r="K709" t="s">
        <v>8664</v>
      </c>
      <c r="L709" t="s">
        <v>8665</v>
      </c>
    </row>
    <row r="710" spans="1:12" x14ac:dyDescent="0.35">
      <c r="A710" t="s">
        <v>117</v>
      </c>
      <c r="B710" t="s">
        <v>327</v>
      </c>
      <c r="D710">
        <v>46000</v>
      </c>
      <c r="F710" t="s">
        <v>7526</v>
      </c>
      <c r="H710" t="s">
        <v>8530</v>
      </c>
      <c r="I710" t="s">
        <v>4871</v>
      </c>
      <c r="K710" t="s">
        <v>8664</v>
      </c>
      <c r="L710" t="s">
        <v>8665</v>
      </c>
    </row>
    <row r="711" spans="1:12" x14ac:dyDescent="0.35">
      <c r="A711" t="s">
        <v>117</v>
      </c>
      <c r="B711" t="s">
        <v>7438</v>
      </c>
      <c r="D711">
        <v>18200</v>
      </c>
      <c r="F711" t="s">
        <v>7801</v>
      </c>
      <c r="H711" t="s">
        <v>8531</v>
      </c>
      <c r="I711" t="s">
        <v>4876</v>
      </c>
      <c r="K711" t="s">
        <v>8664</v>
      </c>
      <c r="L711" t="s">
        <v>8665</v>
      </c>
    </row>
    <row r="712" spans="1:12" x14ac:dyDescent="0.35">
      <c r="A712" t="s">
        <v>117</v>
      </c>
      <c r="B712" t="s">
        <v>493</v>
      </c>
      <c r="D712">
        <v>35500</v>
      </c>
      <c r="F712" t="s">
        <v>7802</v>
      </c>
      <c r="H712" t="s">
        <v>8532</v>
      </c>
      <c r="I712" t="s">
        <v>5023</v>
      </c>
      <c r="K712" t="s">
        <v>8664</v>
      </c>
      <c r="L712" t="s">
        <v>8665</v>
      </c>
    </row>
    <row r="713" spans="1:12" x14ac:dyDescent="0.35">
      <c r="A713" t="s">
        <v>117</v>
      </c>
      <c r="B713" t="s">
        <v>179</v>
      </c>
      <c r="D713">
        <v>50000</v>
      </c>
      <c r="F713" t="s">
        <v>7508</v>
      </c>
      <c r="H713" t="s">
        <v>8533</v>
      </c>
      <c r="I713" t="s">
        <v>1526</v>
      </c>
      <c r="K713" t="s">
        <v>8664</v>
      </c>
      <c r="L713" t="s">
        <v>8665</v>
      </c>
    </row>
    <row r="714" spans="1:12" x14ac:dyDescent="0.35">
      <c r="A714" t="s">
        <v>117</v>
      </c>
      <c r="B714" t="s">
        <v>179</v>
      </c>
      <c r="D714">
        <v>54000</v>
      </c>
      <c r="F714" t="s">
        <v>7707</v>
      </c>
      <c r="H714" t="s">
        <v>8534</v>
      </c>
      <c r="I714" t="s">
        <v>1841</v>
      </c>
      <c r="K714" t="s">
        <v>8664</v>
      </c>
      <c r="L714" t="s">
        <v>8665</v>
      </c>
    </row>
    <row r="715" spans="1:12" x14ac:dyDescent="0.35">
      <c r="A715" t="s">
        <v>117</v>
      </c>
      <c r="B715" t="s">
        <v>179</v>
      </c>
      <c r="D715">
        <v>27000</v>
      </c>
      <c r="F715" t="s">
        <v>7496</v>
      </c>
      <c r="H715" t="s">
        <v>8535</v>
      </c>
      <c r="I715" t="s">
        <v>1841</v>
      </c>
      <c r="K715" t="s">
        <v>8664</v>
      </c>
      <c r="L715" t="s">
        <v>8665</v>
      </c>
    </row>
    <row r="716" spans="1:12" x14ac:dyDescent="0.35">
      <c r="A716" t="s">
        <v>117</v>
      </c>
      <c r="B716" t="s">
        <v>7439</v>
      </c>
      <c r="D716">
        <v>15818</v>
      </c>
      <c r="F716" t="s">
        <v>7803</v>
      </c>
      <c r="H716" t="s">
        <v>8536</v>
      </c>
      <c r="I716" t="s">
        <v>4917</v>
      </c>
      <c r="K716" t="s">
        <v>8664</v>
      </c>
      <c r="L716" t="s">
        <v>8665</v>
      </c>
    </row>
    <row r="717" spans="1:12" x14ac:dyDescent="0.35">
      <c r="A717" t="s">
        <v>117</v>
      </c>
      <c r="B717" t="s">
        <v>593</v>
      </c>
      <c r="D717">
        <v>34900</v>
      </c>
      <c r="F717" t="s">
        <v>7804</v>
      </c>
      <c r="H717" t="s">
        <v>8537</v>
      </c>
      <c r="I717" t="s">
        <v>1625</v>
      </c>
      <c r="K717" t="s">
        <v>8664</v>
      </c>
      <c r="L717" t="s">
        <v>8665</v>
      </c>
    </row>
    <row r="718" spans="1:12" x14ac:dyDescent="0.35">
      <c r="A718" t="s">
        <v>118</v>
      </c>
      <c r="B718" t="s">
        <v>329</v>
      </c>
      <c r="D718">
        <v>47500</v>
      </c>
      <c r="F718" t="s">
        <v>7805</v>
      </c>
      <c r="H718" t="s">
        <v>8538</v>
      </c>
      <c r="I718" t="s">
        <v>4996</v>
      </c>
      <c r="K718" t="s">
        <v>8664</v>
      </c>
      <c r="L718" t="s">
        <v>8665</v>
      </c>
    </row>
    <row r="719" spans="1:12" x14ac:dyDescent="0.35">
      <c r="A719" t="s">
        <v>118</v>
      </c>
      <c r="B719" t="s">
        <v>329</v>
      </c>
      <c r="D719">
        <v>24000</v>
      </c>
      <c r="F719" t="s">
        <v>7639</v>
      </c>
      <c r="H719" t="s">
        <v>8539</v>
      </c>
      <c r="I719" t="s">
        <v>4949</v>
      </c>
      <c r="K719" t="s">
        <v>8664</v>
      </c>
      <c r="L719" t="s">
        <v>8665</v>
      </c>
    </row>
    <row r="720" spans="1:12" x14ac:dyDescent="0.35">
      <c r="A720" t="s">
        <v>118</v>
      </c>
      <c r="B720" t="s">
        <v>329</v>
      </c>
      <c r="D720">
        <v>45000</v>
      </c>
      <c r="F720" t="s">
        <v>7499</v>
      </c>
      <c r="H720" t="s">
        <v>8540</v>
      </c>
      <c r="I720" t="s">
        <v>8656</v>
      </c>
      <c r="K720" t="s">
        <v>8664</v>
      </c>
      <c r="L720" t="s">
        <v>8665</v>
      </c>
    </row>
    <row r="721" spans="1:12" x14ac:dyDescent="0.35">
      <c r="A721" t="s">
        <v>118</v>
      </c>
      <c r="B721" t="s">
        <v>329</v>
      </c>
      <c r="D721">
        <v>23000</v>
      </c>
      <c r="F721" t="s">
        <v>7662</v>
      </c>
      <c r="H721" t="s">
        <v>8541</v>
      </c>
      <c r="I721" t="s">
        <v>7394</v>
      </c>
      <c r="K721" t="s">
        <v>8664</v>
      </c>
      <c r="L721" t="s">
        <v>8665</v>
      </c>
    </row>
    <row r="722" spans="1:12" x14ac:dyDescent="0.35">
      <c r="A722" t="s">
        <v>118</v>
      </c>
      <c r="B722" t="s">
        <v>353</v>
      </c>
      <c r="D722">
        <v>22500</v>
      </c>
      <c r="F722" t="s">
        <v>7806</v>
      </c>
      <c r="H722" t="s">
        <v>8542</v>
      </c>
      <c r="I722" t="s">
        <v>4855</v>
      </c>
      <c r="K722" t="s">
        <v>8664</v>
      </c>
      <c r="L722" t="s">
        <v>8665</v>
      </c>
    </row>
    <row r="723" spans="1:12" x14ac:dyDescent="0.35">
      <c r="A723" t="s">
        <v>118</v>
      </c>
      <c r="B723" t="s">
        <v>524</v>
      </c>
      <c r="D723">
        <v>54000</v>
      </c>
      <c r="F723" t="s">
        <v>7707</v>
      </c>
      <c r="H723" t="s">
        <v>8543</v>
      </c>
      <c r="I723" t="s">
        <v>4998</v>
      </c>
      <c r="K723" t="s">
        <v>8664</v>
      </c>
      <c r="L723" t="s">
        <v>8665</v>
      </c>
    </row>
    <row r="724" spans="1:12" x14ac:dyDescent="0.35">
      <c r="A724" t="s">
        <v>118</v>
      </c>
      <c r="B724" t="s">
        <v>6085</v>
      </c>
      <c r="D724">
        <v>27200</v>
      </c>
      <c r="F724" t="s">
        <v>7807</v>
      </c>
      <c r="H724" t="s">
        <v>8544</v>
      </c>
      <c r="I724" t="s">
        <v>2372</v>
      </c>
      <c r="K724" t="s">
        <v>8664</v>
      </c>
      <c r="L724" t="s">
        <v>8665</v>
      </c>
    </row>
    <row r="725" spans="1:12" x14ac:dyDescent="0.35">
      <c r="A725" t="s">
        <v>118</v>
      </c>
      <c r="B725" t="s">
        <v>597</v>
      </c>
      <c r="D725">
        <v>31800</v>
      </c>
      <c r="F725" t="s">
        <v>7808</v>
      </c>
      <c r="H725" t="s">
        <v>8545</v>
      </c>
      <c r="I725" t="s">
        <v>2326</v>
      </c>
      <c r="K725" t="s">
        <v>8664</v>
      </c>
      <c r="L725" t="s">
        <v>8665</v>
      </c>
    </row>
    <row r="726" spans="1:12" x14ac:dyDescent="0.35">
      <c r="A726" t="s">
        <v>118</v>
      </c>
      <c r="B726" t="s">
        <v>597</v>
      </c>
      <c r="D726">
        <v>60000</v>
      </c>
      <c r="F726" t="s">
        <v>7481</v>
      </c>
      <c r="H726" t="s">
        <v>8546</v>
      </c>
      <c r="I726" t="s">
        <v>8657</v>
      </c>
      <c r="K726" t="s">
        <v>8664</v>
      </c>
      <c r="L726" t="s">
        <v>8665</v>
      </c>
    </row>
    <row r="727" spans="1:12" x14ac:dyDescent="0.35">
      <c r="A727" t="s">
        <v>118</v>
      </c>
      <c r="B727" t="s">
        <v>598</v>
      </c>
      <c r="D727">
        <v>24100</v>
      </c>
      <c r="F727" t="s">
        <v>7809</v>
      </c>
      <c r="H727" t="s">
        <v>8547</v>
      </c>
      <c r="I727" t="s">
        <v>4929</v>
      </c>
      <c r="K727" t="s">
        <v>8664</v>
      </c>
      <c r="L727" t="s">
        <v>8665</v>
      </c>
    </row>
    <row r="728" spans="1:12" x14ac:dyDescent="0.35">
      <c r="A728" t="s">
        <v>118</v>
      </c>
      <c r="B728" t="s">
        <v>598</v>
      </c>
      <c r="D728">
        <v>46000</v>
      </c>
      <c r="F728" t="s">
        <v>7526</v>
      </c>
      <c r="H728" t="s">
        <v>8548</v>
      </c>
      <c r="I728" t="s">
        <v>4929</v>
      </c>
      <c r="K728" t="s">
        <v>8664</v>
      </c>
      <c r="L728" t="s">
        <v>8665</v>
      </c>
    </row>
    <row r="729" spans="1:12" x14ac:dyDescent="0.35">
      <c r="A729" t="s">
        <v>118</v>
      </c>
      <c r="B729" t="s">
        <v>327</v>
      </c>
      <c r="D729">
        <v>47000</v>
      </c>
      <c r="F729" t="s">
        <v>7550</v>
      </c>
      <c r="H729" t="s">
        <v>8549</v>
      </c>
      <c r="I729" t="s">
        <v>1354</v>
      </c>
      <c r="K729" t="s">
        <v>8664</v>
      </c>
      <c r="L729" t="s">
        <v>8665</v>
      </c>
    </row>
    <row r="730" spans="1:12" x14ac:dyDescent="0.35">
      <c r="A730" t="s">
        <v>118</v>
      </c>
      <c r="B730" t="s">
        <v>327</v>
      </c>
      <c r="D730">
        <v>25200</v>
      </c>
      <c r="F730" t="s">
        <v>7810</v>
      </c>
      <c r="H730" t="s">
        <v>8550</v>
      </c>
      <c r="I730" t="s">
        <v>1851</v>
      </c>
      <c r="K730" t="s">
        <v>8664</v>
      </c>
      <c r="L730" t="s">
        <v>8665</v>
      </c>
    </row>
    <row r="731" spans="1:12" x14ac:dyDescent="0.35">
      <c r="A731" t="s">
        <v>118</v>
      </c>
      <c r="B731" t="s">
        <v>327</v>
      </c>
      <c r="D731">
        <v>24300</v>
      </c>
      <c r="F731" t="s">
        <v>7811</v>
      </c>
      <c r="H731" t="s">
        <v>8551</v>
      </c>
      <c r="I731" t="s">
        <v>2048</v>
      </c>
      <c r="K731" t="s">
        <v>8664</v>
      </c>
      <c r="L731" t="s">
        <v>8665</v>
      </c>
    </row>
    <row r="732" spans="1:12" x14ac:dyDescent="0.35">
      <c r="A732" t="s">
        <v>118</v>
      </c>
      <c r="B732" t="s">
        <v>327</v>
      </c>
      <c r="D732">
        <v>45000</v>
      </c>
      <c r="F732" t="s">
        <v>7499</v>
      </c>
      <c r="I732" t="s">
        <v>1454</v>
      </c>
      <c r="K732" t="s">
        <v>8664</v>
      </c>
      <c r="L732" t="s">
        <v>8665</v>
      </c>
    </row>
    <row r="733" spans="1:12" x14ac:dyDescent="0.35">
      <c r="A733" t="s">
        <v>118</v>
      </c>
      <c r="B733" t="s">
        <v>327</v>
      </c>
      <c r="D733">
        <v>22000</v>
      </c>
      <c r="F733" t="s">
        <v>7668</v>
      </c>
      <c r="H733" t="s">
        <v>8552</v>
      </c>
      <c r="I733" t="s">
        <v>8658</v>
      </c>
      <c r="K733" t="s">
        <v>8664</v>
      </c>
      <c r="L733" t="s">
        <v>8665</v>
      </c>
    </row>
    <row r="734" spans="1:12" x14ac:dyDescent="0.35">
      <c r="A734" t="s">
        <v>118</v>
      </c>
      <c r="B734" t="s">
        <v>327</v>
      </c>
      <c r="D734">
        <v>25600</v>
      </c>
      <c r="F734" t="s">
        <v>7812</v>
      </c>
      <c r="H734" t="s">
        <v>8553</v>
      </c>
      <c r="I734" t="s">
        <v>1851</v>
      </c>
      <c r="K734" t="s">
        <v>8664</v>
      </c>
      <c r="L734" t="s">
        <v>8665</v>
      </c>
    </row>
    <row r="735" spans="1:12" x14ac:dyDescent="0.35">
      <c r="A735" t="s">
        <v>118</v>
      </c>
      <c r="B735" t="s">
        <v>327</v>
      </c>
      <c r="D735">
        <v>25500</v>
      </c>
      <c r="F735" t="s">
        <v>7813</v>
      </c>
      <c r="H735" t="s">
        <v>8554</v>
      </c>
      <c r="I735" t="s">
        <v>5001</v>
      </c>
      <c r="K735" t="s">
        <v>8664</v>
      </c>
      <c r="L735" t="s">
        <v>8665</v>
      </c>
    </row>
    <row r="736" spans="1:12" x14ac:dyDescent="0.35">
      <c r="A736" t="s">
        <v>118</v>
      </c>
      <c r="B736" t="s">
        <v>603</v>
      </c>
      <c r="D736">
        <v>34000</v>
      </c>
      <c r="F736" t="s">
        <v>7452</v>
      </c>
      <c r="H736" t="s">
        <v>8555</v>
      </c>
      <c r="I736" t="s">
        <v>2330</v>
      </c>
      <c r="K736" t="s">
        <v>8664</v>
      </c>
      <c r="L736" t="s">
        <v>8665</v>
      </c>
    </row>
    <row r="737" spans="1:12" x14ac:dyDescent="0.35">
      <c r="A737" t="s">
        <v>118</v>
      </c>
      <c r="B737" t="s">
        <v>603</v>
      </c>
      <c r="D737">
        <v>36800</v>
      </c>
      <c r="F737" t="s">
        <v>7814</v>
      </c>
      <c r="H737" t="s">
        <v>8556</v>
      </c>
      <c r="I737" t="s">
        <v>2330</v>
      </c>
      <c r="K737" t="s">
        <v>8664</v>
      </c>
      <c r="L737" t="s">
        <v>8665</v>
      </c>
    </row>
    <row r="738" spans="1:12" x14ac:dyDescent="0.35">
      <c r="A738" t="s">
        <v>118</v>
      </c>
      <c r="B738" t="s">
        <v>603</v>
      </c>
      <c r="D738">
        <v>32600</v>
      </c>
      <c r="F738" t="s">
        <v>7815</v>
      </c>
      <c r="H738" t="s">
        <v>8556</v>
      </c>
      <c r="I738" t="s">
        <v>2330</v>
      </c>
      <c r="K738" t="s">
        <v>8664</v>
      </c>
      <c r="L738" t="s">
        <v>8665</v>
      </c>
    </row>
    <row r="739" spans="1:12" x14ac:dyDescent="0.35">
      <c r="A739" t="s">
        <v>118</v>
      </c>
      <c r="B739" t="s">
        <v>605</v>
      </c>
      <c r="D739">
        <v>47900</v>
      </c>
      <c r="F739" t="s">
        <v>7816</v>
      </c>
      <c r="H739" t="s">
        <v>8557</v>
      </c>
      <c r="I739" t="s">
        <v>2212</v>
      </c>
      <c r="K739" t="s">
        <v>8664</v>
      </c>
      <c r="L739" t="s">
        <v>8665</v>
      </c>
    </row>
    <row r="740" spans="1:12" x14ac:dyDescent="0.35">
      <c r="A740" t="s">
        <v>118</v>
      </c>
      <c r="B740" t="s">
        <v>328</v>
      </c>
      <c r="D740">
        <v>88000</v>
      </c>
      <c r="F740" t="s">
        <v>7519</v>
      </c>
      <c r="H740" t="s">
        <v>8558</v>
      </c>
      <c r="I740" t="s">
        <v>4859</v>
      </c>
      <c r="K740" t="s">
        <v>8664</v>
      </c>
      <c r="L740" t="s">
        <v>8665</v>
      </c>
    </row>
    <row r="741" spans="1:12" x14ac:dyDescent="0.35">
      <c r="A741" t="s">
        <v>118</v>
      </c>
      <c r="B741" t="s">
        <v>328</v>
      </c>
      <c r="D741">
        <v>24400</v>
      </c>
      <c r="F741" t="s">
        <v>7817</v>
      </c>
      <c r="H741" t="s">
        <v>8559</v>
      </c>
      <c r="I741" t="s">
        <v>1961</v>
      </c>
      <c r="K741" t="s">
        <v>8664</v>
      </c>
      <c r="L741" t="s">
        <v>8665</v>
      </c>
    </row>
    <row r="742" spans="1:12" x14ac:dyDescent="0.35">
      <c r="A742" t="s">
        <v>118</v>
      </c>
      <c r="B742" t="s">
        <v>328</v>
      </c>
      <c r="D742">
        <v>14000</v>
      </c>
      <c r="F742" t="s">
        <v>7818</v>
      </c>
      <c r="H742" t="s">
        <v>8560</v>
      </c>
      <c r="I742" t="s">
        <v>1379</v>
      </c>
      <c r="K742" t="s">
        <v>8664</v>
      </c>
      <c r="L742" t="s">
        <v>8665</v>
      </c>
    </row>
    <row r="743" spans="1:12" x14ac:dyDescent="0.35">
      <c r="A743" t="s">
        <v>118</v>
      </c>
      <c r="B743" t="s">
        <v>328</v>
      </c>
      <c r="D743">
        <v>49000</v>
      </c>
      <c r="F743" t="s">
        <v>7617</v>
      </c>
      <c r="H743" t="s">
        <v>8561</v>
      </c>
      <c r="I743" t="s">
        <v>1626</v>
      </c>
      <c r="K743" t="s">
        <v>8664</v>
      </c>
      <c r="L743" t="s">
        <v>8665</v>
      </c>
    </row>
    <row r="744" spans="1:12" x14ac:dyDescent="0.35">
      <c r="A744" t="s">
        <v>118</v>
      </c>
      <c r="B744" t="s">
        <v>328</v>
      </c>
      <c r="D744">
        <v>23500</v>
      </c>
      <c r="F744" t="s">
        <v>7819</v>
      </c>
      <c r="H744" t="s">
        <v>8562</v>
      </c>
      <c r="I744" t="s">
        <v>4863</v>
      </c>
      <c r="K744" t="s">
        <v>8664</v>
      </c>
      <c r="L744" t="s">
        <v>8665</v>
      </c>
    </row>
    <row r="745" spans="1:12" x14ac:dyDescent="0.35">
      <c r="A745" t="s">
        <v>118</v>
      </c>
      <c r="B745" t="s">
        <v>328</v>
      </c>
      <c r="D745">
        <v>26000</v>
      </c>
      <c r="F745" t="s">
        <v>7497</v>
      </c>
      <c r="H745" t="s">
        <v>8563</v>
      </c>
      <c r="I745" t="s">
        <v>1625</v>
      </c>
      <c r="K745" t="s">
        <v>8664</v>
      </c>
      <c r="L745" t="s">
        <v>8665</v>
      </c>
    </row>
    <row r="746" spans="1:12" x14ac:dyDescent="0.35">
      <c r="A746" t="s">
        <v>118</v>
      </c>
      <c r="B746" t="s">
        <v>328</v>
      </c>
      <c r="D746">
        <v>50000</v>
      </c>
      <c r="F746" t="s">
        <v>7508</v>
      </c>
      <c r="H746" t="s">
        <v>8564</v>
      </c>
      <c r="I746" t="s">
        <v>8659</v>
      </c>
      <c r="K746" t="s">
        <v>8664</v>
      </c>
      <c r="L746" t="s">
        <v>8665</v>
      </c>
    </row>
    <row r="747" spans="1:12" x14ac:dyDescent="0.35">
      <c r="A747" t="s">
        <v>118</v>
      </c>
      <c r="B747" t="s">
        <v>477</v>
      </c>
      <c r="D747">
        <v>49200</v>
      </c>
      <c r="F747" t="s">
        <v>7820</v>
      </c>
      <c r="H747" t="s">
        <v>8565</v>
      </c>
      <c r="I747" t="s">
        <v>4997</v>
      </c>
      <c r="K747" t="s">
        <v>8664</v>
      </c>
      <c r="L747" t="s">
        <v>8665</v>
      </c>
    </row>
    <row r="748" spans="1:12" x14ac:dyDescent="0.35">
      <c r="A748" t="s">
        <v>118</v>
      </c>
      <c r="B748" t="s">
        <v>477</v>
      </c>
      <c r="D748">
        <v>25800</v>
      </c>
      <c r="F748" t="s">
        <v>7821</v>
      </c>
      <c r="H748" t="s">
        <v>8566</v>
      </c>
      <c r="I748" t="s">
        <v>1625</v>
      </c>
      <c r="K748" t="s">
        <v>8664</v>
      </c>
      <c r="L748" t="s">
        <v>8665</v>
      </c>
    </row>
    <row r="749" spans="1:12" x14ac:dyDescent="0.35">
      <c r="A749" t="s">
        <v>118</v>
      </c>
      <c r="B749" t="s">
        <v>380</v>
      </c>
      <c r="D749">
        <v>43000</v>
      </c>
      <c r="F749" t="s">
        <v>7538</v>
      </c>
      <c r="H749" t="s">
        <v>8567</v>
      </c>
      <c r="I749" t="s">
        <v>1878</v>
      </c>
      <c r="K749" t="s">
        <v>8664</v>
      </c>
      <c r="L749" t="s">
        <v>8665</v>
      </c>
    </row>
    <row r="750" spans="1:12" x14ac:dyDescent="0.35">
      <c r="A750" t="s">
        <v>118</v>
      </c>
      <c r="B750" t="s">
        <v>380</v>
      </c>
      <c r="D750">
        <v>26800</v>
      </c>
      <c r="F750" t="s">
        <v>7822</v>
      </c>
      <c r="H750" t="s">
        <v>8568</v>
      </c>
      <c r="I750" t="s">
        <v>1449</v>
      </c>
      <c r="K750" t="s">
        <v>8664</v>
      </c>
      <c r="L750" t="s">
        <v>8665</v>
      </c>
    </row>
    <row r="751" spans="1:12" x14ac:dyDescent="0.35">
      <c r="A751" t="s">
        <v>118</v>
      </c>
      <c r="B751" t="s">
        <v>380</v>
      </c>
      <c r="D751">
        <v>26400</v>
      </c>
      <c r="F751" t="s">
        <v>7666</v>
      </c>
      <c r="H751" t="s">
        <v>8569</v>
      </c>
      <c r="I751" t="s">
        <v>1449</v>
      </c>
      <c r="K751" t="s">
        <v>8664</v>
      </c>
      <c r="L751" t="s">
        <v>8665</v>
      </c>
    </row>
    <row r="752" spans="1:12" x14ac:dyDescent="0.35">
      <c r="A752" t="s">
        <v>118</v>
      </c>
      <c r="B752" t="s">
        <v>380</v>
      </c>
      <c r="D752">
        <v>27100</v>
      </c>
      <c r="F752" t="s">
        <v>7823</v>
      </c>
      <c r="H752" t="s">
        <v>8570</v>
      </c>
      <c r="I752" t="s">
        <v>1449</v>
      </c>
      <c r="K752" t="s">
        <v>8664</v>
      </c>
      <c r="L752" t="s">
        <v>8665</v>
      </c>
    </row>
    <row r="753" spans="1:12" x14ac:dyDescent="0.35">
      <c r="A753" t="s">
        <v>118</v>
      </c>
      <c r="B753" t="s">
        <v>380</v>
      </c>
      <c r="D753">
        <v>25280</v>
      </c>
      <c r="F753" t="s">
        <v>7824</v>
      </c>
      <c r="I753" t="s">
        <v>5006</v>
      </c>
      <c r="K753" t="s">
        <v>8664</v>
      </c>
      <c r="L753" t="s">
        <v>8665</v>
      </c>
    </row>
    <row r="754" spans="1:12" x14ac:dyDescent="0.35">
      <c r="A754" t="s">
        <v>118</v>
      </c>
      <c r="B754" t="s">
        <v>380</v>
      </c>
      <c r="D754">
        <v>28700</v>
      </c>
      <c r="F754" t="s">
        <v>7825</v>
      </c>
      <c r="H754" t="s">
        <v>8571</v>
      </c>
      <c r="I754" t="s">
        <v>1449</v>
      </c>
      <c r="K754" t="s">
        <v>8664</v>
      </c>
      <c r="L754" t="s">
        <v>8665</v>
      </c>
    </row>
    <row r="755" spans="1:12" x14ac:dyDescent="0.35">
      <c r="A755" t="s">
        <v>118</v>
      </c>
      <c r="B755" t="s">
        <v>610</v>
      </c>
      <c r="D755">
        <v>23204</v>
      </c>
      <c r="F755" t="s">
        <v>7826</v>
      </c>
      <c r="H755" t="s">
        <v>8572</v>
      </c>
      <c r="I755" t="s">
        <v>1858</v>
      </c>
      <c r="K755" t="s">
        <v>8664</v>
      </c>
      <c r="L755" t="s">
        <v>8665</v>
      </c>
    </row>
    <row r="756" spans="1:12" x14ac:dyDescent="0.35">
      <c r="A756" t="s">
        <v>118</v>
      </c>
      <c r="B756" t="s">
        <v>6088</v>
      </c>
      <c r="D756">
        <v>44000</v>
      </c>
      <c r="F756" t="s">
        <v>7514</v>
      </c>
      <c r="H756" t="s">
        <v>8573</v>
      </c>
      <c r="I756" t="s">
        <v>2325</v>
      </c>
      <c r="K756" t="s">
        <v>8664</v>
      </c>
      <c r="L756" t="s">
        <v>8665</v>
      </c>
    </row>
    <row r="757" spans="1:12" x14ac:dyDescent="0.35">
      <c r="A757" t="s">
        <v>118</v>
      </c>
      <c r="B757" t="s">
        <v>7440</v>
      </c>
      <c r="D757">
        <v>25452</v>
      </c>
      <c r="F757" t="s">
        <v>7827</v>
      </c>
      <c r="H757" t="s">
        <v>8574</v>
      </c>
      <c r="I757" t="s">
        <v>4878</v>
      </c>
      <c r="K757" t="s">
        <v>8664</v>
      </c>
      <c r="L757" t="s">
        <v>8665</v>
      </c>
    </row>
    <row r="758" spans="1:12" x14ac:dyDescent="0.35">
      <c r="A758" t="s">
        <v>118</v>
      </c>
      <c r="B758" t="s">
        <v>611</v>
      </c>
      <c r="D758">
        <v>26700</v>
      </c>
      <c r="F758" t="s">
        <v>7828</v>
      </c>
      <c r="H758" t="s">
        <v>8575</v>
      </c>
      <c r="I758" t="s">
        <v>4973</v>
      </c>
      <c r="K758" t="s">
        <v>8664</v>
      </c>
      <c r="L758" t="s">
        <v>8665</v>
      </c>
    </row>
    <row r="759" spans="1:12" x14ac:dyDescent="0.35">
      <c r="A759" t="s">
        <v>118</v>
      </c>
      <c r="B759" t="s">
        <v>473</v>
      </c>
      <c r="D759">
        <v>27000</v>
      </c>
      <c r="F759" t="s">
        <v>7496</v>
      </c>
      <c r="H759" t="s">
        <v>8576</v>
      </c>
      <c r="I759" t="s">
        <v>8660</v>
      </c>
      <c r="K759" t="s">
        <v>8664</v>
      </c>
      <c r="L759" t="s">
        <v>8665</v>
      </c>
    </row>
    <row r="760" spans="1:12" x14ac:dyDescent="0.35">
      <c r="A760" t="s">
        <v>118</v>
      </c>
      <c r="B760" t="s">
        <v>473</v>
      </c>
      <c r="D760">
        <v>49000</v>
      </c>
      <c r="F760" t="s">
        <v>7617</v>
      </c>
      <c r="H760" t="s">
        <v>8577</v>
      </c>
      <c r="I760" t="s">
        <v>8661</v>
      </c>
      <c r="K760" t="s">
        <v>8664</v>
      </c>
      <c r="L760" t="s">
        <v>8665</v>
      </c>
    </row>
    <row r="761" spans="1:12" x14ac:dyDescent="0.35">
      <c r="A761" t="s">
        <v>118</v>
      </c>
      <c r="B761" t="s">
        <v>473</v>
      </c>
      <c r="D761">
        <v>53000</v>
      </c>
      <c r="F761" t="s">
        <v>7527</v>
      </c>
      <c r="H761" t="s">
        <v>8578</v>
      </c>
      <c r="I761" t="s">
        <v>4943</v>
      </c>
      <c r="K761" t="s">
        <v>8664</v>
      </c>
      <c r="L761" t="s">
        <v>8665</v>
      </c>
    </row>
    <row r="762" spans="1:12" x14ac:dyDescent="0.35">
      <c r="A762" t="s">
        <v>118</v>
      </c>
      <c r="B762" t="s">
        <v>616</v>
      </c>
      <c r="D762">
        <v>58500</v>
      </c>
      <c r="F762" t="s">
        <v>7697</v>
      </c>
      <c r="I762" t="s">
        <v>4867</v>
      </c>
      <c r="K762" t="s">
        <v>8664</v>
      </c>
      <c r="L762" t="s">
        <v>8665</v>
      </c>
    </row>
    <row r="763" spans="1:12" x14ac:dyDescent="0.35">
      <c r="A763" t="s">
        <v>118</v>
      </c>
      <c r="B763" t="s">
        <v>616</v>
      </c>
      <c r="D763">
        <v>26200</v>
      </c>
      <c r="F763" t="s">
        <v>7829</v>
      </c>
      <c r="H763" t="s">
        <v>8579</v>
      </c>
      <c r="I763" t="s">
        <v>4867</v>
      </c>
      <c r="K763" t="s">
        <v>8664</v>
      </c>
      <c r="L763" t="s">
        <v>8665</v>
      </c>
    </row>
    <row r="764" spans="1:12" x14ac:dyDescent="0.35">
      <c r="A764" t="s">
        <v>118</v>
      </c>
      <c r="B764" t="s">
        <v>617</v>
      </c>
      <c r="D764">
        <v>28000</v>
      </c>
      <c r="F764" t="s">
        <v>7456</v>
      </c>
      <c r="H764" t="s">
        <v>8580</v>
      </c>
      <c r="I764" t="s">
        <v>4889</v>
      </c>
      <c r="K764" t="s">
        <v>8664</v>
      </c>
      <c r="L764" t="s">
        <v>8665</v>
      </c>
    </row>
    <row r="765" spans="1:12" x14ac:dyDescent="0.35">
      <c r="A765" t="s">
        <v>118</v>
      </c>
      <c r="B765" t="s">
        <v>618</v>
      </c>
      <c r="D765">
        <v>26660</v>
      </c>
      <c r="F765" t="s">
        <v>7830</v>
      </c>
      <c r="H765" t="s">
        <v>8581</v>
      </c>
      <c r="I765" t="s">
        <v>4952</v>
      </c>
      <c r="K765" t="s">
        <v>8664</v>
      </c>
      <c r="L765" t="s">
        <v>8665</v>
      </c>
    </row>
    <row r="766" spans="1:12" x14ac:dyDescent="0.35">
      <c r="A766" t="s">
        <v>118</v>
      </c>
      <c r="B766" t="s">
        <v>329</v>
      </c>
      <c r="D766">
        <v>58000</v>
      </c>
      <c r="F766" t="s">
        <v>7495</v>
      </c>
      <c r="H766" t="s">
        <v>8582</v>
      </c>
      <c r="I766" t="s">
        <v>4988</v>
      </c>
      <c r="K766" t="s">
        <v>8664</v>
      </c>
      <c r="L766" t="s">
        <v>8665</v>
      </c>
    </row>
    <row r="767" spans="1:12" x14ac:dyDescent="0.35">
      <c r="A767" t="s">
        <v>118</v>
      </c>
      <c r="B767" t="s">
        <v>358</v>
      </c>
      <c r="D767">
        <v>49500</v>
      </c>
      <c r="F767" t="s">
        <v>7831</v>
      </c>
      <c r="H767" t="s">
        <v>8583</v>
      </c>
      <c r="I767" t="s">
        <v>4877</v>
      </c>
      <c r="K767" t="s">
        <v>8664</v>
      </c>
      <c r="L767" t="s">
        <v>8665</v>
      </c>
    </row>
    <row r="768" spans="1:12" x14ac:dyDescent="0.35">
      <c r="A768" t="s">
        <v>118</v>
      </c>
      <c r="B768" t="s">
        <v>358</v>
      </c>
      <c r="D768">
        <v>24490</v>
      </c>
      <c r="F768" t="s">
        <v>7832</v>
      </c>
      <c r="I768" t="s">
        <v>5006</v>
      </c>
      <c r="K768" t="s">
        <v>8664</v>
      </c>
      <c r="L768" t="s">
        <v>8665</v>
      </c>
    </row>
    <row r="769" spans="1:12" x14ac:dyDescent="0.35">
      <c r="A769" t="s">
        <v>118</v>
      </c>
      <c r="B769" t="s">
        <v>358</v>
      </c>
      <c r="D769">
        <v>24500</v>
      </c>
      <c r="F769" t="s">
        <v>7833</v>
      </c>
      <c r="H769" t="s">
        <v>8584</v>
      </c>
      <c r="I769" t="s">
        <v>1892</v>
      </c>
      <c r="K769" t="s">
        <v>8664</v>
      </c>
      <c r="L769" t="s">
        <v>8665</v>
      </c>
    </row>
    <row r="770" spans="1:12" x14ac:dyDescent="0.35">
      <c r="A770" t="s">
        <v>118</v>
      </c>
      <c r="B770" t="s">
        <v>5044</v>
      </c>
      <c r="D770">
        <v>52000</v>
      </c>
      <c r="F770" t="s">
        <v>7536</v>
      </c>
      <c r="H770" t="s">
        <v>8585</v>
      </c>
      <c r="I770" t="s">
        <v>1969</v>
      </c>
      <c r="K770" t="s">
        <v>8664</v>
      </c>
      <c r="L770" t="s">
        <v>8665</v>
      </c>
    </row>
    <row r="771" spans="1:12" x14ac:dyDescent="0.35">
      <c r="A771" t="s">
        <v>118</v>
      </c>
      <c r="B771" t="s">
        <v>5044</v>
      </c>
      <c r="D771">
        <v>25900</v>
      </c>
      <c r="F771" t="s">
        <v>7834</v>
      </c>
      <c r="H771" t="s">
        <v>8586</v>
      </c>
      <c r="I771" t="s">
        <v>1969</v>
      </c>
      <c r="K771" t="s">
        <v>8664</v>
      </c>
      <c r="L771" t="s">
        <v>8665</v>
      </c>
    </row>
    <row r="772" spans="1:12" x14ac:dyDescent="0.35">
      <c r="A772" t="s">
        <v>118</v>
      </c>
      <c r="B772" t="s">
        <v>175</v>
      </c>
      <c r="D772">
        <v>25630</v>
      </c>
      <c r="F772" t="s">
        <v>7835</v>
      </c>
      <c r="H772" t="s">
        <v>8587</v>
      </c>
      <c r="I772" t="s">
        <v>5001</v>
      </c>
      <c r="K772" t="s">
        <v>8664</v>
      </c>
      <c r="L772" t="s">
        <v>8665</v>
      </c>
    </row>
    <row r="773" spans="1:12" x14ac:dyDescent="0.35">
      <c r="A773" t="s">
        <v>118</v>
      </c>
      <c r="B773" t="s">
        <v>623</v>
      </c>
      <c r="D773">
        <v>25100</v>
      </c>
      <c r="F773" t="s">
        <v>7836</v>
      </c>
      <c r="H773" t="s">
        <v>8588</v>
      </c>
      <c r="I773" t="s">
        <v>2407</v>
      </c>
      <c r="K773" t="s">
        <v>8664</v>
      </c>
      <c r="L773" t="s">
        <v>8665</v>
      </c>
    </row>
    <row r="774" spans="1:12" x14ac:dyDescent="0.35">
      <c r="A774" t="s">
        <v>118</v>
      </c>
      <c r="B774" t="s">
        <v>6091</v>
      </c>
      <c r="D774">
        <v>56000</v>
      </c>
      <c r="F774" t="s">
        <v>7476</v>
      </c>
      <c r="H774" t="s">
        <v>8589</v>
      </c>
      <c r="I774" t="s">
        <v>4937</v>
      </c>
      <c r="K774" t="s">
        <v>8664</v>
      </c>
      <c r="L774" t="s">
        <v>8665</v>
      </c>
    </row>
    <row r="775" spans="1:12" x14ac:dyDescent="0.35">
      <c r="A775" t="s">
        <v>118</v>
      </c>
      <c r="B775" t="s">
        <v>544</v>
      </c>
      <c r="D775">
        <v>51000</v>
      </c>
      <c r="F775" t="s">
        <v>7798</v>
      </c>
      <c r="H775" t="s">
        <v>8590</v>
      </c>
      <c r="I775" t="s">
        <v>4970</v>
      </c>
      <c r="K775" t="s">
        <v>8664</v>
      </c>
      <c r="L775" t="s">
        <v>8665</v>
      </c>
    </row>
    <row r="776" spans="1:12" x14ac:dyDescent="0.35">
      <c r="A776" t="s">
        <v>118</v>
      </c>
      <c r="B776" t="s">
        <v>6092</v>
      </c>
      <c r="D776">
        <v>65000</v>
      </c>
      <c r="F776" t="s">
        <v>7522</v>
      </c>
      <c r="H776" t="s">
        <v>8591</v>
      </c>
      <c r="I776" t="s">
        <v>7394</v>
      </c>
      <c r="K776" t="s">
        <v>8664</v>
      </c>
      <c r="L776" t="s">
        <v>8665</v>
      </c>
    </row>
    <row r="777" spans="1:12" x14ac:dyDescent="0.35">
      <c r="A777" t="s">
        <v>118</v>
      </c>
      <c r="B777" t="s">
        <v>6092</v>
      </c>
      <c r="D777">
        <v>23100</v>
      </c>
      <c r="F777" t="s">
        <v>7661</v>
      </c>
      <c r="H777" t="s">
        <v>8592</v>
      </c>
      <c r="I777" t="s">
        <v>7394</v>
      </c>
      <c r="K777" t="s">
        <v>8664</v>
      </c>
      <c r="L777" t="s">
        <v>8665</v>
      </c>
    </row>
    <row r="778" spans="1:12" x14ac:dyDescent="0.35">
      <c r="A778" t="s">
        <v>118</v>
      </c>
      <c r="B778" t="s">
        <v>466</v>
      </c>
      <c r="D778">
        <v>36000</v>
      </c>
      <c r="F778" t="s">
        <v>7491</v>
      </c>
      <c r="H778" t="s">
        <v>8593</v>
      </c>
      <c r="I778" t="s">
        <v>4867</v>
      </c>
      <c r="K778" t="s">
        <v>8664</v>
      </c>
      <c r="L778" t="s">
        <v>8665</v>
      </c>
    </row>
    <row r="779" spans="1:12" x14ac:dyDescent="0.35">
      <c r="A779" t="s">
        <v>118</v>
      </c>
      <c r="B779" t="s">
        <v>627</v>
      </c>
      <c r="D779">
        <v>23310</v>
      </c>
      <c r="F779" t="s">
        <v>7837</v>
      </c>
      <c r="H779" t="s">
        <v>8594</v>
      </c>
      <c r="I779" t="s">
        <v>5010</v>
      </c>
      <c r="K779" t="s">
        <v>8664</v>
      </c>
      <c r="L779" t="s">
        <v>8665</v>
      </c>
    </row>
    <row r="780" spans="1:12" x14ac:dyDescent="0.35">
      <c r="A780" t="s">
        <v>118</v>
      </c>
      <c r="B780" t="s">
        <v>627</v>
      </c>
      <c r="D780">
        <v>20430</v>
      </c>
      <c r="F780" t="s">
        <v>7838</v>
      </c>
      <c r="H780" t="s">
        <v>8594</v>
      </c>
      <c r="I780" t="s">
        <v>5010</v>
      </c>
      <c r="K780" t="s">
        <v>8664</v>
      </c>
      <c r="L780" t="s">
        <v>8665</v>
      </c>
    </row>
    <row r="781" spans="1:12" x14ac:dyDescent="0.35">
      <c r="A781" t="s">
        <v>118</v>
      </c>
      <c r="B781" t="s">
        <v>627</v>
      </c>
      <c r="D781">
        <v>53140</v>
      </c>
      <c r="F781" t="s">
        <v>7839</v>
      </c>
      <c r="H781" t="s">
        <v>8594</v>
      </c>
      <c r="I781" t="s">
        <v>5010</v>
      </c>
      <c r="K781" t="s">
        <v>8664</v>
      </c>
      <c r="L781" t="s">
        <v>8665</v>
      </c>
    </row>
    <row r="782" spans="1:12" x14ac:dyDescent="0.35">
      <c r="A782" t="s">
        <v>118</v>
      </c>
      <c r="B782" t="s">
        <v>627</v>
      </c>
      <c r="D782">
        <v>20130</v>
      </c>
      <c r="F782" t="s">
        <v>7840</v>
      </c>
      <c r="H782" t="s">
        <v>8594</v>
      </c>
      <c r="I782" t="s">
        <v>5010</v>
      </c>
      <c r="K782" t="s">
        <v>8664</v>
      </c>
      <c r="L782" t="s">
        <v>8665</v>
      </c>
    </row>
    <row r="783" spans="1:12" x14ac:dyDescent="0.35">
      <c r="A783" t="s">
        <v>118</v>
      </c>
      <c r="B783" t="s">
        <v>627</v>
      </c>
      <c r="D783">
        <v>50790</v>
      </c>
      <c r="F783" t="s">
        <v>7841</v>
      </c>
      <c r="H783" t="s">
        <v>8594</v>
      </c>
      <c r="I783" t="s">
        <v>5010</v>
      </c>
      <c r="K783" t="s">
        <v>8664</v>
      </c>
      <c r="L783" t="s">
        <v>8665</v>
      </c>
    </row>
    <row r="784" spans="1:12" x14ac:dyDescent="0.35">
      <c r="A784" t="s">
        <v>118</v>
      </c>
      <c r="B784" t="s">
        <v>627</v>
      </c>
      <c r="D784">
        <v>19420</v>
      </c>
      <c r="F784" t="s">
        <v>7842</v>
      </c>
      <c r="H784" t="s">
        <v>8594</v>
      </c>
      <c r="I784" t="s">
        <v>5010</v>
      </c>
      <c r="K784" t="s">
        <v>8664</v>
      </c>
      <c r="L784" t="s">
        <v>8665</v>
      </c>
    </row>
    <row r="785" spans="1:12" x14ac:dyDescent="0.35">
      <c r="A785" t="s">
        <v>118</v>
      </c>
      <c r="B785" t="s">
        <v>617</v>
      </c>
      <c r="D785">
        <v>29806</v>
      </c>
      <c r="F785" t="s">
        <v>7843</v>
      </c>
      <c r="H785" t="s">
        <v>8595</v>
      </c>
      <c r="I785" t="s">
        <v>4968</v>
      </c>
      <c r="K785" t="s">
        <v>8664</v>
      </c>
      <c r="L785" t="s">
        <v>8665</v>
      </c>
    </row>
    <row r="786" spans="1:12" x14ac:dyDescent="0.35">
      <c r="A786" t="s">
        <v>118</v>
      </c>
      <c r="B786" t="s">
        <v>617</v>
      </c>
      <c r="D786">
        <v>23338</v>
      </c>
      <c r="F786" t="s">
        <v>7844</v>
      </c>
      <c r="H786" t="s">
        <v>8596</v>
      </c>
      <c r="I786" t="s">
        <v>4968</v>
      </c>
      <c r="K786" t="s">
        <v>8664</v>
      </c>
      <c r="L786" t="s">
        <v>8665</v>
      </c>
    </row>
    <row r="787" spans="1:12" x14ac:dyDescent="0.35">
      <c r="A787" t="s">
        <v>118</v>
      </c>
      <c r="B787" t="s">
        <v>617</v>
      </c>
      <c r="D787">
        <v>24225</v>
      </c>
      <c r="F787" t="s">
        <v>7845</v>
      </c>
      <c r="H787" t="s">
        <v>8597</v>
      </c>
      <c r="I787" t="s">
        <v>4968</v>
      </c>
      <c r="K787" t="s">
        <v>8664</v>
      </c>
      <c r="L787" t="s">
        <v>8665</v>
      </c>
    </row>
    <row r="788" spans="1:12" x14ac:dyDescent="0.35">
      <c r="A788" t="s">
        <v>118</v>
      </c>
      <c r="B788" t="s">
        <v>7441</v>
      </c>
      <c r="D788">
        <v>27400</v>
      </c>
      <c r="F788" t="s">
        <v>7846</v>
      </c>
      <c r="H788" t="s">
        <v>8598</v>
      </c>
      <c r="I788" t="s">
        <v>4958</v>
      </c>
      <c r="K788" t="s">
        <v>8664</v>
      </c>
      <c r="L788" t="s">
        <v>8665</v>
      </c>
    </row>
    <row r="789" spans="1:12" x14ac:dyDescent="0.35">
      <c r="A789" t="s">
        <v>118</v>
      </c>
      <c r="B789" t="s">
        <v>7441</v>
      </c>
      <c r="D789">
        <v>26900</v>
      </c>
      <c r="F789" t="s">
        <v>7847</v>
      </c>
      <c r="H789" t="s">
        <v>8598</v>
      </c>
      <c r="I789" t="s">
        <v>4958</v>
      </c>
      <c r="K789" t="s">
        <v>8664</v>
      </c>
      <c r="L789" t="s">
        <v>8665</v>
      </c>
    </row>
    <row r="790" spans="1:12" x14ac:dyDescent="0.35">
      <c r="A790" t="s">
        <v>118</v>
      </c>
      <c r="B790" t="s">
        <v>340</v>
      </c>
      <c r="D790">
        <v>25180</v>
      </c>
      <c r="F790" t="s">
        <v>7848</v>
      </c>
      <c r="H790" t="s">
        <v>8599</v>
      </c>
      <c r="I790" t="s">
        <v>5018</v>
      </c>
      <c r="K790" t="s">
        <v>8664</v>
      </c>
      <c r="L790" t="s">
        <v>8665</v>
      </c>
    </row>
    <row r="791" spans="1:12" x14ac:dyDescent="0.35">
      <c r="A791" t="s">
        <v>118</v>
      </c>
      <c r="B791" t="s">
        <v>505</v>
      </c>
      <c r="D791">
        <v>48000</v>
      </c>
      <c r="F791" t="s">
        <v>7589</v>
      </c>
      <c r="H791" t="s">
        <v>8600</v>
      </c>
      <c r="I791" t="s">
        <v>1317</v>
      </c>
      <c r="K791" t="s">
        <v>8664</v>
      </c>
      <c r="L791" t="s">
        <v>8665</v>
      </c>
    </row>
    <row r="792" spans="1:12" x14ac:dyDescent="0.35">
      <c r="A792" t="s">
        <v>118</v>
      </c>
      <c r="B792" t="s">
        <v>505</v>
      </c>
      <c r="D792">
        <v>27500</v>
      </c>
      <c r="F792" t="s">
        <v>7849</v>
      </c>
      <c r="H792" t="s">
        <v>8601</v>
      </c>
      <c r="I792" t="s">
        <v>1317</v>
      </c>
      <c r="K792" t="s">
        <v>8664</v>
      </c>
      <c r="L792" t="s">
        <v>8665</v>
      </c>
    </row>
    <row r="793" spans="1:12" x14ac:dyDescent="0.35">
      <c r="A793" t="s">
        <v>118</v>
      </c>
      <c r="B793" t="s">
        <v>505</v>
      </c>
      <c r="D793">
        <v>29000</v>
      </c>
      <c r="F793" t="s">
        <v>7451</v>
      </c>
      <c r="H793" t="s">
        <v>8602</v>
      </c>
      <c r="I793" t="s">
        <v>1317</v>
      </c>
      <c r="K793" t="s">
        <v>8664</v>
      </c>
      <c r="L793" t="s">
        <v>8665</v>
      </c>
    </row>
    <row r="794" spans="1:12" x14ac:dyDescent="0.35">
      <c r="A794" t="s">
        <v>118</v>
      </c>
      <c r="B794" t="s">
        <v>505</v>
      </c>
      <c r="D794">
        <v>30000</v>
      </c>
      <c r="F794" t="s">
        <v>7494</v>
      </c>
      <c r="H794" t="s">
        <v>8603</v>
      </c>
      <c r="I794" t="s">
        <v>4952</v>
      </c>
      <c r="K794" t="s">
        <v>8664</v>
      </c>
      <c r="L794" t="s">
        <v>8665</v>
      </c>
    </row>
    <row r="795" spans="1:12" x14ac:dyDescent="0.35">
      <c r="A795" t="s">
        <v>118</v>
      </c>
      <c r="B795" t="s">
        <v>380</v>
      </c>
      <c r="D795">
        <v>27328</v>
      </c>
      <c r="F795" t="s">
        <v>7850</v>
      </c>
      <c r="H795" t="s">
        <v>8604</v>
      </c>
      <c r="I795" t="s">
        <v>2393</v>
      </c>
      <c r="K795" t="s">
        <v>8664</v>
      </c>
      <c r="L795" t="s">
        <v>8665</v>
      </c>
    </row>
    <row r="796" spans="1:12" x14ac:dyDescent="0.35">
      <c r="A796" t="s">
        <v>118</v>
      </c>
      <c r="B796" t="s">
        <v>376</v>
      </c>
      <c r="D796">
        <v>100000</v>
      </c>
      <c r="F796" t="s">
        <v>7468</v>
      </c>
      <c r="H796" t="s">
        <v>8605</v>
      </c>
      <c r="I796" t="s">
        <v>2286</v>
      </c>
      <c r="K796" t="s">
        <v>8664</v>
      </c>
      <c r="L796" t="s">
        <v>8665</v>
      </c>
    </row>
    <row r="797" spans="1:12" x14ac:dyDescent="0.35">
      <c r="A797" t="s">
        <v>118</v>
      </c>
      <c r="B797" t="s">
        <v>454</v>
      </c>
      <c r="D797">
        <v>25378</v>
      </c>
      <c r="F797" t="s">
        <v>7851</v>
      </c>
      <c r="I797" t="s">
        <v>5020</v>
      </c>
      <c r="K797" t="s">
        <v>8664</v>
      </c>
      <c r="L797" t="s">
        <v>8665</v>
      </c>
    </row>
    <row r="798" spans="1:12" x14ac:dyDescent="0.35">
      <c r="A798" t="s">
        <v>118</v>
      </c>
      <c r="B798" t="s">
        <v>314</v>
      </c>
      <c r="D798">
        <v>29100</v>
      </c>
      <c r="F798" t="s">
        <v>7852</v>
      </c>
      <c r="I798" t="s">
        <v>5021</v>
      </c>
      <c r="K798" t="s">
        <v>8664</v>
      </c>
      <c r="L798" t="s">
        <v>8665</v>
      </c>
    </row>
    <row r="799" spans="1:12" x14ac:dyDescent="0.35">
      <c r="A799" t="s">
        <v>118</v>
      </c>
      <c r="B799" t="s">
        <v>7442</v>
      </c>
      <c r="D799">
        <v>23300</v>
      </c>
      <c r="F799" t="s">
        <v>7853</v>
      </c>
      <c r="I799" t="s">
        <v>8662</v>
      </c>
      <c r="K799" t="s">
        <v>8664</v>
      </c>
      <c r="L799" t="s">
        <v>8665</v>
      </c>
    </row>
    <row r="800" spans="1:12" x14ac:dyDescent="0.35">
      <c r="A800" t="s">
        <v>118</v>
      </c>
      <c r="B800" t="s">
        <v>454</v>
      </c>
      <c r="D800">
        <v>25521</v>
      </c>
      <c r="F800" t="s">
        <v>7854</v>
      </c>
      <c r="I800" t="s">
        <v>5020</v>
      </c>
      <c r="K800" t="s">
        <v>8664</v>
      </c>
      <c r="L800" t="s">
        <v>8665</v>
      </c>
    </row>
    <row r="801" spans="1:12" x14ac:dyDescent="0.35">
      <c r="A801" t="s">
        <v>118</v>
      </c>
      <c r="B801" t="s">
        <v>631</v>
      </c>
      <c r="D801">
        <v>26938</v>
      </c>
      <c r="F801" t="s">
        <v>7855</v>
      </c>
      <c r="I801" t="s">
        <v>5022</v>
      </c>
      <c r="K801" t="s">
        <v>8664</v>
      </c>
      <c r="L801" t="s">
        <v>8665</v>
      </c>
    </row>
    <row r="802" spans="1:12" x14ac:dyDescent="0.35">
      <c r="A802" t="s">
        <v>118</v>
      </c>
      <c r="B802" t="s">
        <v>633</v>
      </c>
      <c r="D802">
        <v>24190</v>
      </c>
      <c r="F802" t="s">
        <v>7856</v>
      </c>
      <c r="I802" t="s">
        <v>5006</v>
      </c>
      <c r="K802" t="s">
        <v>8664</v>
      </c>
      <c r="L802" t="s">
        <v>8665</v>
      </c>
    </row>
    <row r="803" spans="1:12" x14ac:dyDescent="0.35">
      <c r="A803" t="s">
        <v>118</v>
      </c>
      <c r="B803" t="s">
        <v>314</v>
      </c>
      <c r="D803">
        <v>49850</v>
      </c>
      <c r="F803" t="s">
        <v>7857</v>
      </c>
      <c r="H803" t="s">
        <v>8606</v>
      </c>
      <c r="I803" t="s">
        <v>7399</v>
      </c>
      <c r="K803" t="s">
        <v>8664</v>
      </c>
      <c r="L803" t="s">
        <v>8665</v>
      </c>
    </row>
    <row r="804" spans="1:12" x14ac:dyDescent="0.35">
      <c r="A804" t="s">
        <v>118</v>
      </c>
      <c r="B804" t="s">
        <v>637</v>
      </c>
      <c r="D804">
        <v>59000</v>
      </c>
      <c r="F804" t="s">
        <v>7489</v>
      </c>
      <c r="H804" t="s">
        <v>8607</v>
      </c>
      <c r="I804" t="s">
        <v>5026</v>
      </c>
      <c r="K804" t="s">
        <v>8664</v>
      </c>
      <c r="L804" t="s">
        <v>8665</v>
      </c>
    </row>
    <row r="805" spans="1:12" x14ac:dyDescent="0.35">
      <c r="A805" t="s">
        <v>118</v>
      </c>
      <c r="B805" t="s">
        <v>492</v>
      </c>
      <c r="D805">
        <v>45000</v>
      </c>
      <c r="F805" t="s">
        <v>7499</v>
      </c>
      <c r="H805" t="s">
        <v>8608</v>
      </c>
      <c r="I805" t="s">
        <v>2258</v>
      </c>
      <c r="K805" t="s">
        <v>8664</v>
      </c>
      <c r="L805" t="s">
        <v>8665</v>
      </c>
    </row>
    <row r="806" spans="1:12" x14ac:dyDescent="0.35">
      <c r="A806" t="s">
        <v>118</v>
      </c>
      <c r="B806" t="s">
        <v>492</v>
      </c>
      <c r="D806">
        <v>25000</v>
      </c>
      <c r="F806" t="s">
        <v>7637</v>
      </c>
      <c r="H806" t="s">
        <v>8609</v>
      </c>
      <c r="I806" t="s">
        <v>4867</v>
      </c>
      <c r="K806" t="s">
        <v>8664</v>
      </c>
      <c r="L806" t="s">
        <v>8665</v>
      </c>
    </row>
    <row r="807" spans="1:12" x14ac:dyDescent="0.35">
      <c r="A807" t="s">
        <v>118</v>
      </c>
      <c r="B807" t="s">
        <v>377</v>
      </c>
      <c r="D807">
        <v>104000</v>
      </c>
      <c r="F807" t="s">
        <v>7636</v>
      </c>
      <c r="H807" t="s">
        <v>8610</v>
      </c>
      <c r="I807" t="s">
        <v>4993</v>
      </c>
      <c r="K807" t="s">
        <v>8664</v>
      </c>
      <c r="L807" t="s">
        <v>8665</v>
      </c>
    </row>
    <row r="808" spans="1:12" x14ac:dyDescent="0.35">
      <c r="A808" t="s">
        <v>118</v>
      </c>
      <c r="B808" t="s">
        <v>391</v>
      </c>
      <c r="D808">
        <v>48000</v>
      </c>
      <c r="F808" t="s">
        <v>7589</v>
      </c>
      <c r="H808" t="s">
        <v>8611</v>
      </c>
      <c r="I808" t="s">
        <v>8663</v>
      </c>
      <c r="K808" t="s">
        <v>8664</v>
      </c>
      <c r="L808" t="s">
        <v>8665</v>
      </c>
    </row>
    <row r="809" spans="1:12" x14ac:dyDescent="0.35">
      <c r="A809" t="s">
        <v>118</v>
      </c>
      <c r="B809" t="s">
        <v>340</v>
      </c>
      <c r="D809">
        <v>45000</v>
      </c>
      <c r="F809" t="s">
        <v>7499</v>
      </c>
      <c r="H809" t="s">
        <v>8612</v>
      </c>
      <c r="I809" t="s">
        <v>2254</v>
      </c>
      <c r="K809" t="s">
        <v>8664</v>
      </c>
      <c r="L809" t="s">
        <v>8665</v>
      </c>
    </row>
    <row r="810" spans="1:12" x14ac:dyDescent="0.35">
      <c r="A810" t="s">
        <v>118</v>
      </c>
      <c r="B810" t="s">
        <v>631</v>
      </c>
      <c r="D810">
        <v>30019</v>
      </c>
      <c r="F810" t="s">
        <v>7858</v>
      </c>
      <c r="I810" t="s">
        <v>5022</v>
      </c>
      <c r="K810" t="s">
        <v>8664</v>
      </c>
      <c r="L810" t="s">
        <v>8665</v>
      </c>
    </row>
    <row r="811" spans="1:12" x14ac:dyDescent="0.35">
      <c r="A811" t="s">
        <v>118</v>
      </c>
      <c r="B811" t="s">
        <v>649</v>
      </c>
      <c r="D811">
        <v>23400</v>
      </c>
      <c r="F811" t="s">
        <v>7859</v>
      </c>
      <c r="H811" t="s">
        <v>8613</v>
      </c>
      <c r="I811" t="s">
        <v>4943</v>
      </c>
      <c r="K811" t="s">
        <v>8664</v>
      </c>
      <c r="L811" t="s">
        <v>8665</v>
      </c>
    </row>
    <row r="812" spans="1:12" x14ac:dyDescent="0.35">
      <c r="A812" t="s">
        <v>118</v>
      </c>
      <c r="B812" t="s">
        <v>6099</v>
      </c>
      <c r="D812">
        <v>23548</v>
      </c>
      <c r="F812" t="s">
        <v>7860</v>
      </c>
      <c r="H812" t="s">
        <v>8614</v>
      </c>
      <c r="I812" t="s">
        <v>4918</v>
      </c>
      <c r="K812" t="s">
        <v>8664</v>
      </c>
      <c r="L812" t="s">
        <v>8665</v>
      </c>
    </row>
    <row r="813" spans="1:12" x14ac:dyDescent="0.35">
      <c r="A813" t="s">
        <v>118</v>
      </c>
      <c r="B813" t="s">
        <v>6099</v>
      </c>
      <c r="D813">
        <v>26027</v>
      </c>
      <c r="F813" t="s">
        <v>7861</v>
      </c>
      <c r="H813" t="s">
        <v>8614</v>
      </c>
      <c r="I813" t="s">
        <v>4918</v>
      </c>
      <c r="K813" t="s">
        <v>8664</v>
      </c>
      <c r="L813" t="s">
        <v>8665</v>
      </c>
    </row>
    <row r="814" spans="1:12" x14ac:dyDescent="0.35">
      <c r="A814" t="s">
        <v>118</v>
      </c>
      <c r="B814" t="s">
        <v>326</v>
      </c>
      <c r="D814">
        <v>26500</v>
      </c>
      <c r="F814" t="s">
        <v>7862</v>
      </c>
      <c r="H814" t="s">
        <v>8615</v>
      </c>
      <c r="I814" t="s">
        <v>4916</v>
      </c>
      <c r="K814" t="s">
        <v>8664</v>
      </c>
      <c r="L814" t="s">
        <v>8665</v>
      </c>
    </row>
    <row r="815" spans="1:12" x14ac:dyDescent="0.35">
      <c r="A815" t="s">
        <v>118</v>
      </c>
      <c r="B815" t="s">
        <v>6100</v>
      </c>
      <c r="D815">
        <v>45000</v>
      </c>
      <c r="F815" t="s">
        <v>7499</v>
      </c>
      <c r="I815" t="s">
        <v>1943</v>
      </c>
      <c r="K815" t="s">
        <v>8664</v>
      </c>
      <c r="L815" t="s">
        <v>8665</v>
      </c>
    </row>
    <row r="816" spans="1:12" x14ac:dyDescent="0.35">
      <c r="A816" t="s">
        <v>118</v>
      </c>
      <c r="B816" t="s">
        <v>6100</v>
      </c>
      <c r="D816">
        <v>22800</v>
      </c>
      <c r="F816" t="s">
        <v>7863</v>
      </c>
      <c r="H816" t="s">
        <v>8616</v>
      </c>
      <c r="I816" t="s">
        <v>1943</v>
      </c>
      <c r="K816" t="s">
        <v>8664</v>
      </c>
      <c r="L816" t="s">
        <v>8665</v>
      </c>
    </row>
    <row r="817" spans="1:12" x14ac:dyDescent="0.35">
      <c r="A817" t="s">
        <v>118</v>
      </c>
      <c r="B817" t="s">
        <v>6100</v>
      </c>
      <c r="D817">
        <v>24600</v>
      </c>
      <c r="F817" t="s">
        <v>7764</v>
      </c>
      <c r="H817" t="s">
        <v>8617</v>
      </c>
      <c r="I817" t="s">
        <v>1943</v>
      </c>
      <c r="K817" t="s">
        <v>8664</v>
      </c>
      <c r="L817" t="s">
        <v>8665</v>
      </c>
    </row>
    <row r="818" spans="1:12" x14ac:dyDescent="0.35">
      <c r="A818" t="s">
        <v>118</v>
      </c>
      <c r="B818" t="s">
        <v>7443</v>
      </c>
      <c r="D818">
        <v>25705</v>
      </c>
      <c r="F818" t="s">
        <v>7864</v>
      </c>
      <c r="H818" t="s">
        <v>8618</v>
      </c>
      <c r="I818" t="s">
        <v>2360</v>
      </c>
      <c r="K818" t="s">
        <v>8664</v>
      </c>
      <c r="L818" t="s">
        <v>8665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81"/>
  <sheetViews>
    <sheetView workbookViewId="0"/>
  </sheetViews>
  <sheetFormatPr defaultRowHeight="14.5" x14ac:dyDescent="0.35"/>
  <cols>
    <col min="1" max="1" width="6" customWidth="1"/>
    <col min="2" max="2" width="5.81640625" customWidth="1"/>
    <col min="3" max="3" width="10.1796875" customWidth="1"/>
    <col min="4" max="4" width="19.453125" customWidth="1"/>
    <col min="5" max="5" width="11.54296875" customWidth="1"/>
    <col min="6" max="6" width="58.54296875" customWidth="1"/>
    <col min="7" max="7" width="66.1796875" customWidth="1"/>
    <col min="8" max="8" width="14" customWidth="1"/>
    <col min="9" max="9" width="13.453125" customWidth="1"/>
    <col min="10" max="10" width="9.26953125" customWidth="1"/>
    <col min="11" max="11" width="16.26953125" customWidth="1"/>
    <col min="12" max="12" width="233.1796875" customWidth="1"/>
    <col min="13" max="13" width="11.7265625" customWidth="1"/>
    <col min="14" max="14" width="13.54296875" customWidth="1"/>
    <col min="15" max="15" width="25.26953125" customWidth="1"/>
    <col min="16" max="16" width="287.54296875" customWidth="1"/>
  </cols>
  <sheetData>
    <row r="1" spans="1:16" x14ac:dyDescent="0.35">
      <c r="A1" t="s">
        <v>8666</v>
      </c>
      <c r="B1" t="s">
        <v>8667</v>
      </c>
      <c r="C1" t="s">
        <v>51</v>
      </c>
      <c r="D1" t="s">
        <v>8668</v>
      </c>
      <c r="E1" t="s">
        <v>8670</v>
      </c>
      <c r="F1" t="s">
        <v>8671</v>
      </c>
      <c r="G1" t="s">
        <v>8672</v>
      </c>
      <c r="H1" t="s">
        <v>306</v>
      </c>
      <c r="I1" t="s">
        <v>8676</v>
      </c>
      <c r="J1" t="s">
        <v>8677</v>
      </c>
      <c r="K1" t="s">
        <v>8678</v>
      </c>
      <c r="L1" t="s">
        <v>8679</v>
      </c>
      <c r="M1" t="s">
        <v>8707</v>
      </c>
      <c r="N1" t="s">
        <v>8708</v>
      </c>
      <c r="O1" t="s">
        <v>8709</v>
      </c>
      <c r="P1" t="s">
        <v>8714</v>
      </c>
    </row>
    <row r="2" spans="1:16" x14ac:dyDescent="0.35">
      <c r="A2">
        <v>1</v>
      </c>
      <c r="B2">
        <v>0</v>
      </c>
      <c r="C2" t="s">
        <v>52</v>
      </c>
      <c r="E2" t="s">
        <v>210</v>
      </c>
      <c r="F2" t="s">
        <v>71</v>
      </c>
      <c r="H2" t="s">
        <v>98</v>
      </c>
      <c r="J2">
        <v>1</v>
      </c>
      <c r="L2" t="s">
        <v>8680</v>
      </c>
      <c r="O2" t="s">
        <v>8710</v>
      </c>
    </row>
    <row r="3" spans="1:16" x14ac:dyDescent="0.35">
      <c r="A3">
        <v>1</v>
      </c>
      <c r="B3">
        <v>0</v>
      </c>
      <c r="C3" t="s">
        <v>53</v>
      </c>
      <c r="E3" t="s">
        <v>211</v>
      </c>
      <c r="F3" t="s">
        <v>72</v>
      </c>
      <c r="H3" t="s">
        <v>99</v>
      </c>
      <c r="J3">
        <v>1</v>
      </c>
      <c r="L3" t="s">
        <v>8681</v>
      </c>
      <c r="O3" t="s">
        <v>8711</v>
      </c>
      <c r="P3" t="s">
        <v>8715</v>
      </c>
    </row>
    <row r="4" spans="1:16" x14ac:dyDescent="0.35">
      <c r="A4">
        <v>1</v>
      </c>
      <c r="B4">
        <v>0</v>
      </c>
      <c r="C4" t="s">
        <v>54</v>
      </c>
      <c r="E4" t="s">
        <v>212</v>
      </c>
      <c r="F4" t="s">
        <v>73</v>
      </c>
      <c r="H4" t="s">
        <v>100</v>
      </c>
      <c r="J4">
        <v>1</v>
      </c>
      <c r="L4" t="s">
        <v>8682</v>
      </c>
      <c r="O4" t="s">
        <v>8710</v>
      </c>
    </row>
    <row r="5" spans="1:16" x14ac:dyDescent="0.35">
      <c r="A5">
        <v>1</v>
      </c>
      <c r="B5">
        <v>1</v>
      </c>
      <c r="C5" t="s">
        <v>55</v>
      </c>
      <c r="E5" t="s">
        <v>213</v>
      </c>
      <c r="F5" t="s">
        <v>74</v>
      </c>
      <c r="G5" t="s">
        <v>8673</v>
      </c>
      <c r="H5" t="s">
        <v>101</v>
      </c>
      <c r="J5">
        <v>1</v>
      </c>
      <c r="L5" t="s">
        <v>8683</v>
      </c>
      <c r="O5" t="s">
        <v>8710</v>
      </c>
    </row>
    <row r="6" spans="1:16" x14ac:dyDescent="0.35">
      <c r="A6">
        <v>1</v>
      </c>
      <c r="B6">
        <v>1</v>
      </c>
      <c r="C6" t="s">
        <v>56</v>
      </c>
      <c r="E6" t="s">
        <v>214</v>
      </c>
      <c r="F6" t="s">
        <v>75</v>
      </c>
      <c r="H6" t="s">
        <v>101</v>
      </c>
      <c r="J6">
        <v>1</v>
      </c>
      <c r="L6" t="s">
        <v>8684</v>
      </c>
      <c r="O6" t="s">
        <v>8710</v>
      </c>
    </row>
    <row r="7" spans="1:16" x14ac:dyDescent="0.35">
      <c r="A7">
        <v>1</v>
      </c>
      <c r="B7">
        <v>1</v>
      </c>
      <c r="C7" t="s">
        <v>57</v>
      </c>
      <c r="E7" t="s">
        <v>215</v>
      </c>
      <c r="F7" t="s">
        <v>76</v>
      </c>
      <c r="G7" t="s">
        <v>8674</v>
      </c>
      <c r="H7" t="s">
        <v>102</v>
      </c>
      <c r="J7">
        <v>1</v>
      </c>
      <c r="L7" t="s">
        <v>8685</v>
      </c>
      <c r="O7" t="s">
        <v>8710</v>
      </c>
    </row>
    <row r="8" spans="1:16" x14ac:dyDescent="0.35">
      <c r="A8">
        <v>1</v>
      </c>
      <c r="B8">
        <v>1</v>
      </c>
      <c r="C8" t="s">
        <v>58</v>
      </c>
      <c r="E8" t="s">
        <v>216</v>
      </c>
      <c r="F8" t="s">
        <v>77</v>
      </c>
      <c r="G8" t="s">
        <v>8673</v>
      </c>
      <c r="H8" t="s">
        <v>101</v>
      </c>
      <c r="J8">
        <v>1</v>
      </c>
      <c r="L8" t="s">
        <v>8686</v>
      </c>
      <c r="O8" t="s">
        <v>8710</v>
      </c>
    </row>
    <row r="9" spans="1:16" x14ac:dyDescent="0.35">
      <c r="A9">
        <v>1</v>
      </c>
      <c r="B9">
        <v>1</v>
      </c>
      <c r="C9" t="s">
        <v>59</v>
      </c>
      <c r="E9" t="s">
        <v>217</v>
      </c>
      <c r="F9" t="s">
        <v>78</v>
      </c>
      <c r="H9" t="s">
        <v>103</v>
      </c>
      <c r="J9">
        <v>1</v>
      </c>
      <c r="L9" t="s">
        <v>8687</v>
      </c>
      <c r="O9" t="s">
        <v>8712</v>
      </c>
      <c r="P9" t="s">
        <v>8716</v>
      </c>
    </row>
    <row r="10" spans="1:16" x14ac:dyDescent="0.35">
      <c r="A10">
        <v>1</v>
      </c>
      <c r="B10">
        <v>1</v>
      </c>
      <c r="C10" t="s">
        <v>60</v>
      </c>
      <c r="E10" t="s">
        <v>218</v>
      </c>
      <c r="F10" t="s">
        <v>79</v>
      </c>
      <c r="G10" t="s">
        <v>8675</v>
      </c>
      <c r="H10" t="s">
        <v>104</v>
      </c>
      <c r="J10">
        <v>1</v>
      </c>
      <c r="L10" t="s">
        <v>8688</v>
      </c>
      <c r="O10" t="s">
        <v>8711</v>
      </c>
      <c r="P10" t="s">
        <v>8717</v>
      </c>
    </row>
    <row r="11" spans="1:16" x14ac:dyDescent="0.35">
      <c r="A11">
        <v>1</v>
      </c>
      <c r="B11">
        <v>1</v>
      </c>
      <c r="C11" t="s">
        <v>61</v>
      </c>
      <c r="E11" t="s">
        <v>219</v>
      </c>
      <c r="F11" t="s">
        <v>80</v>
      </c>
      <c r="H11" t="s">
        <v>105</v>
      </c>
      <c r="J11">
        <v>1</v>
      </c>
      <c r="L11" t="s">
        <v>8689</v>
      </c>
      <c r="O11" t="s">
        <v>8713</v>
      </c>
      <c r="P11" t="s">
        <v>8718</v>
      </c>
    </row>
    <row r="12" spans="1:16" x14ac:dyDescent="0.35">
      <c r="A12">
        <v>1</v>
      </c>
      <c r="B12">
        <v>2</v>
      </c>
      <c r="C12" t="s">
        <v>62</v>
      </c>
      <c r="D12" t="s">
        <v>8669</v>
      </c>
      <c r="E12" t="s">
        <v>280</v>
      </c>
      <c r="F12" t="s">
        <v>81</v>
      </c>
      <c r="J12">
        <v>1</v>
      </c>
      <c r="L12" t="s">
        <v>8690</v>
      </c>
      <c r="O12" t="s">
        <v>8710</v>
      </c>
      <c r="P12" t="s">
        <v>8719</v>
      </c>
    </row>
    <row r="13" spans="1:16" x14ac:dyDescent="0.35">
      <c r="A13">
        <v>1</v>
      </c>
      <c r="B13">
        <v>2</v>
      </c>
      <c r="C13" t="s">
        <v>63</v>
      </c>
      <c r="E13" t="s">
        <v>220</v>
      </c>
      <c r="F13" t="s">
        <v>82</v>
      </c>
      <c r="H13" t="s">
        <v>106</v>
      </c>
      <c r="J13">
        <v>1</v>
      </c>
      <c r="L13" t="s">
        <v>8691</v>
      </c>
      <c r="O13" t="s">
        <v>8710</v>
      </c>
    </row>
    <row r="14" spans="1:16" x14ac:dyDescent="0.35">
      <c r="A14">
        <v>1</v>
      </c>
      <c r="B14">
        <v>3</v>
      </c>
      <c r="C14" t="s">
        <v>64</v>
      </c>
      <c r="E14" t="s">
        <v>221</v>
      </c>
      <c r="F14" t="s">
        <v>83</v>
      </c>
      <c r="H14" t="s">
        <v>107</v>
      </c>
      <c r="J14">
        <v>1</v>
      </c>
      <c r="L14" t="s">
        <v>8692</v>
      </c>
      <c r="O14" t="s">
        <v>8712</v>
      </c>
      <c r="P14" t="s">
        <v>8720</v>
      </c>
    </row>
    <row r="15" spans="1:16" x14ac:dyDescent="0.35">
      <c r="A15">
        <v>1</v>
      </c>
      <c r="B15">
        <v>3</v>
      </c>
      <c r="C15" t="s">
        <v>65</v>
      </c>
      <c r="E15" t="s">
        <v>222</v>
      </c>
      <c r="F15" t="s">
        <v>84</v>
      </c>
      <c r="H15" t="s">
        <v>108</v>
      </c>
      <c r="J15">
        <v>1</v>
      </c>
      <c r="L15" t="s">
        <v>8693</v>
      </c>
      <c r="O15" t="s">
        <v>8712</v>
      </c>
      <c r="P15" t="s">
        <v>8721</v>
      </c>
    </row>
    <row r="16" spans="1:16" x14ac:dyDescent="0.35">
      <c r="A16">
        <v>1</v>
      </c>
      <c r="B16">
        <v>3</v>
      </c>
      <c r="C16" t="s">
        <v>66</v>
      </c>
      <c r="E16" t="s">
        <v>223</v>
      </c>
      <c r="F16" t="s">
        <v>85</v>
      </c>
      <c r="H16" t="s">
        <v>109</v>
      </c>
      <c r="J16">
        <v>1</v>
      </c>
      <c r="L16" t="s">
        <v>8694</v>
      </c>
      <c r="O16" t="s">
        <v>8710</v>
      </c>
    </row>
    <row r="17" spans="1:16" x14ac:dyDescent="0.35">
      <c r="A17">
        <v>1</v>
      </c>
      <c r="B17">
        <v>4</v>
      </c>
      <c r="C17" t="s">
        <v>67</v>
      </c>
      <c r="E17" t="s">
        <v>224</v>
      </c>
      <c r="F17" t="s">
        <v>85</v>
      </c>
      <c r="H17" t="s">
        <v>110</v>
      </c>
      <c r="J17">
        <v>1</v>
      </c>
      <c r="L17" t="s">
        <v>8695</v>
      </c>
      <c r="O17" t="s">
        <v>8710</v>
      </c>
    </row>
    <row r="18" spans="1:16" x14ac:dyDescent="0.35">
      <c r="A18">
        <v>1</v>
      </c>
      <c r="B18">
        <v>4</v>
      </c>
      <c r="C18" t="s">
        <v>68</v>
      </c>
      <c r="E18" t="s">
        <v>225</v>
      </c>
      <c r="F18" t="s">
        <v>86</v>
      </c>
      <c r="H18" t="s">
        <v>111</v>
      </c>
      <c r="J18">
        <v>1</v>
      </c>
      <c r="L18" t="s">
        <v>8696</v>
      </c>
      <c r="O18" t="s">
        <v>8710</v>
      </c>
    </row>
    <row r="19" spans="1:16" x14ac:dyDescent="0.35">
      <c r="A19">
        <v>1</v>
      </c>
      <c r="B19">
        <v>4</v>
      </c>
      <c r="C19" t="s">
        <v>69</v>
      </c>
      <c r="E19" t="s">
        <v>87</v>
      </c>
      <c r="F19" t="s">
        <v>87</v>
      </c>
      <c r="H19" t="s">
        <v>112</v>
      </c>
      <c r="J19">
        <v>1</v>
      </c>
      <c r="L19" t="s">
        <v>8697</v>
      </c>
      <c r="O19" t="s">
        <v>8710</v>
      </c>
    </row>
    <row r="20" spans="1:16" x14ac:dyDescent="0.35">
      <c r="A20">
        <v>2</v>
      </c>
      <c r="B20">
        <v>0</v>
      </c>
      <c r="C20" t="s">
        <v>52</v>
      </c>
      <c r="E20" t="s">
        <v>210</v>
      </c>
      <c r="F20" t="s">
        <v>71</v>
      </c>
      <c r="H20" t="s">
        <v>98</v>
      </c>
      <c r="J20">
        <v>1</v>
      </c>
      <c r="L20" t="s">
        <v>8680</v>
      </c>
      <c r="O20" t="s">
        <v>8710</v>
      </c>
    </row>
    <row r="21" spans="1:16" x14ac:dyDescent="0.35">
      <c r="A21">
        <v>2</v>
      </c>
      <c r="B21">
        <v>0</v>
      </c>
      <c r="C21" t="s">
        <v>53</v>
      </c>
      <c r="E21" t="s">
        <v>211</v>
      </c>
      <c r="F21" t="s">
        <v>72</v>
      </c>
      <c r="H21" t="s">
        <v>99</v>
      </c>
      <c r="J21">
        <v>1</v>
      </c>
      <c r="L21" t="s">
        <v>8681</v>
      </c>
      <c r="O21" t="s">
        <v>8711</v>
      </c>
      <c r="P21" t="s">
        <v>8715</v>
      </c>
    </row>
    <row r="22" spans="1:16" x14ac:dyDescent="0.35">
      <c r="A22">
        <v>2</v>
      </c>
      <c r="B22">
        <v>0</v>
      </c>
      <c r="C22" t="s">
        <v>54</v>
      </c>
      <c r="E22" t="s">
        <v>212</v>
      </c>
      <c r="F22" t="s">
        <v>73</v>
      </c>
      <c r="H22" t="s">
        <v>100</v>
      </c>
      <c r="J22">
        <v>1</v>
      </c>
      <c r="L22" t="s">
        <v>8682</v>
      </c>
      <c r="O22" t="s">
        <v>8710</v>
      </c>
    </row>
    <row r="23" spans="1:16" x14ac:dyDescent="0.35">
      <c r="A23">
        <v>2</v>
      </c>
      <c r="B23">
        <v>1</v>
      </c>
      <c r="C23" t="s">
        <v>55</v>
      </c>
      <c r="E23" t="s">
        <v>213</v>
      </c>
      <c r="F23" t="s">
        <v>74</v>
      </c>
      <c r="G23" t="s">
        <v>8673</v>
      </c>
      <c r="H23" t="s">
        <v>101</v>
      </c>
      <c r="J23">
        <v>1</v>
      </c>
      <c r="L23" t="s">
        <v>8683</v>
      </c>
      <c r="O23" t="s">
        <v>8710</v>
      </c>
    </row>
    <row r="24" spans="1:16" x14ac:dyDescent="0.35">
      <c r="A24">
        <v>2</v>
      </c>
      <c r="B24">
        <v>1</v>
      </c>
      <c r="C24" t="s">
        <v>56</v>
      </c>
      <c r="E24" t="s">
        <v>214</v>
      </c>
      <c r="F24" t="s">
        <v>75</v>
      </c>
      <c r="H24" t="s">
        <v>101</v>
      </c>
      <c r="J24">
        <v>1</v>
      </c>
      <c r="L24" t="s">
        <v>8684</v>
      </c>
      <c r="O24" t="s">
        <v>8710</v>
      </c>
    </row>
    <row r="25" spans="1:16" x14ac:dyDescent="0.35">
      <c r="A25">
        <v>2</v>
      </c>
      <c r="B25">
        <v>1</v>
      </c>
      <c r="C25" t="s">
        <v>57</v>
      </c>
      <c r="E25" t="s">
        <v>215</v>
      </c>
      <c r="F25" t="s">
        <v>76</v>
      </c>
      <c r="G25" t="s">
        <v>8674</v>
      </c>
      <c r="H25" t="s">
        <v>102</v>
      </c>
      <c r="J25">
        <v>1</v>
      </c>
      <c r="L25" t="s">
        <v>8685</v>
      </c>
      <c r="O25" t="s">
        <v>8710</v>
      </c>
    </row>
    <row r="26" spans="1:16" x14ac:dyDescent="0.35">
      <c r="A26">
        <v>2</v>
      </c>
      <c r="B26">
        <v>1</v>
      </c>
      <c r="C26" t="s">
        <v>58</v>
      </c>
      <c r="E26" t="s">
        <v>216</v>
      </c>
      <c r="F26" t="s">
        <v>77</v>
      </c>
      <c r="G26" t="s">
        <v>8673</v>
      </c>
      <c r="H26" t="s">
        <v>101</v>
      </c>
      <c r="J26">
        <v>1</v>
      </c>
      <c r="L26" t="s">
        <v>8686</v>
      </c>
      <c r="O26" t="s">
        <v>8710</v>
      </c>
    </row>
    <row r="27" spans="1:16" x14ac:dyDescent="0.35">
      <c r="A27">
        <v>2</v>
      </c>
      <c r="B27">
        <v>1</v>
      </c>
      <c r="C27" t="s">
        <v>59</v>
      </c>
      <c r="E27" t="s">
        <v>217</v>
      </c>
      <c r="F27" t="s">
        <v>78</v>
      </c>
      <c r="H27" t="s">
        <v>103</v>
      </c>
      <c r="J27">
        <v>1</v>
      </c>
      <c r="L27" t="s">
        <v>8687</v>
      </c>
      <c r="O27" t="s">
        <v>8712</v>
      </c>
      <c r="P27" t="s">
        <v>8716</v>
      </c>
    </row>
    <row r="28" spans="1:16" x14ac:dyDescent="0.35">
      <c r="A28">
        <v>2</v>
      </c>
      <c r="B28">
        <v>1</v>
      </c>
      <c r="C28" t="s">
        <v>60</v>
      </c>
      <c r="E28" t="s">
        <v>218</v>
      </c>
      <c r="F28" t="s">
        <v>79</v>
      </c>
      <c r="G28" t="s">
        <v>8675</v>
      </c>
      <c r="H28" t="s">
        <v>104</v>
      </c>
      <c r="J28">
        <v>1</v>
      </c>
      <c r="L28" t="s">
        <v>8688</v>
      </c>
      <c r="O28" t="s">
        <v>8711</v>
      </c>
      <c r="P28" t="s">
        <v>8717</v>
      </c>
    </row>
    <row r="29" spans="1:16" x14ac:dyDescent="0.35">
      <c r="A29">
        <v>2</v>
      </c>
      <c r="B29">
        <v>1</v>
      </c>
      <c r="C29" t="s">
        <v>61</v>
      </c>
      <c r="E29" t="s">
        <v>219</v>
      </c>
      <c r="F29" t="s">
        <v>80</v>
      </c>
      <c r="H29" t="s">
        <v>105</v>
      </c>
      <c r="J29">
        <v>1</v>
      </c>
      <c r="L29" t="s">
        <v>8689</v>
      </c>
      <c r="O29" t="s">
        <v>8713</v>
      </c>
      <c r="P29" t="s">
        <v>8718</v>
      </c>
    </row>
    <row r="30" spans="1:16" x14ac:dyDescent="0.35">
      <c r="A30">
        <v>2</v>
      </c>
      <c r="B30">
        <v>2</v>
      </c>
      <c r="C30" t="s">
        <v>62</v>
      </c>
      <c r="D30" t="s">
        <v>8669</v>
      </c>
      <c r="E30" t="s">
        <v>280</v>
      </c>
      <c r="F30" t="s">
        <v>81</v>
      </c>
      <c r="J30">
        <v>1</v>
      </c>
      <c r="L30" t="s">
        <v>8690</v>
      </c>
      <c r="O30" t="s">
        <v>8710</v>
      </c>
      <c r="P30" t="s">
        <v>8719</v>
      </c>
    </row>
    <row r="31" spans="1:16" x14ac:dyDescent="0.35">
      <c r="A31">
        <v>2</v>
      </c>
      <c r="B31">
        <v>2</v>
      </c>
      <c r="C31" t="s">
        <v>63</v>
      </c>
      <c r="E31" t="s">
        <v>220</v>
      </c>
      <c r="F31" t="s">
        <v>82</v>
      </c>
      <c r="H31" t="s">
        <v>106</v>
      </c>
      <c r="J31">
        <v>1</v>
      </c>
      <c r="L31" t="s">
        <v>8691</v>
      </c>
      <c r="O31" t="s">
        <v>8710</v>
      </c>
    </row>
    <row r="32" spans="1:16" x14ac:dyDescent="0.35">
      <c r="A32">
        <v>2</v>
      </c>
      <c r="B32">
        <v>3</v>
      </c>
      <c r="C32" t="s">
        <v>64</v>
      </c>
      <c r="E32" t="s">
        <v>221</v>
      </c>
      <c r="F32" t="s">
        <v>83</v>
      </c>
      <c r="H32" t="s">
        <v>107</v>
      </c>
      <c r="J32">
        <v>1</v>
      </c>
      <c r="L32" t="s">
        <v>8692</v>
      </c>
      <c r="O32" t="s">
        <v>8712</v>
      </c>
      <c r="P32" t="s">
        <v>8720</v>
      </c>
    </row>
    <row r="33" spans="1:16" x14ac:dyDescent="0.35">
      <c r="A33">
        <v>2</v>
      </c>
      <c r="B33">
        <v>3</v>
      </c>
      <c r="C33" t="s">
        <v>65</v>
      </c>
      <c r="E33" t="s">
        <v>222</v>
      </c>
      <c r="F33" t="s">
        <v>84</v>
      </c>
      <c r="H33" t="s">
        <v>108</v>
      </c>
      <c r="J33">
        <v>1</v>
      </c>
      <c r="L33" t="s">
        <v>8693</v>
      </c>
      <c r="O33" t="s">
        <v>8712</v>
      </c>
      <c r="P33" t="s">
        <v>8721</v>
      </c>
    </row>
    <row r="34" spans="1:16" x14ac:dyDescent="0.35">
      <c r="A34">
        <v>2</v>
      </c>
      <c r="B34">
        <v>3</v>
      </c>
      <c r="C34" t="s">
        <v>66</v>
      </c>
      <c r="E34" t="s">
        <v>226</v>
      </c>
      <c r="F34" t="s">
        <v>88</v>
      </c>
      <c r="H34" t="s">
        <v>113</v>
      </c>
      <c r="J34">
        <v>1</v>
      </c>
      <c r="L34" t="s">
        <v>8698</v>
      </c>
      <c r="O34" t="s">
        <v>8710</v>
      </c>
    </row>
    <row r="35" spans="1:16" x14ac:dyDescent="0.35">
      <c r="A35">
        <v>2</v>
      </c>
      <c r="B35">
        <v>4</v>
      </c>
      <c r="C35" t="s">
        <v>67</v>
      </c>
      <c r="E35" t="s">
        <v>224</v>
      </c>
      <c r="F35" t="s">
        <v>85</v>
      </c>
      <c r="H35" t="s">
        <v>110</v>
      </c>
      <c r="J35">
        <v>1</v>
      </c>
      <c r="L35" t="s">
        <v>8695</v>
      </c>
      <c r="O35" t="s">
        <v>8710</v>
      </c>
    </row>
    <row r="36" spans="1:16" x14ac:dyDescent="0.35">
      <c r="A36">
        <v>2</v>
      </c>
      <c r="B36">
        <v>4</v>
      </c>
      <c r="C36" t="s">
        <v>68</v>
      </c>
      <c r="E36" t="s">
        <v>225</v>
      </c>
      <c r="F36" t="s">
        <v>86</v>
      </c>
      <c r="H36" t="s">
        <v>111</v>
      </c>
      <c r="J36">
        <v>1</v>
      </c>
      <c r="L36" t="s">
        <v>8696</v>
      </c>
      <c r="O36" t="s">
        <v>8710</v>
      </c>
    </row>
    <row r="37" spans="1:16" x14ac:dyDescent="0.35">
      <c r="A37">
        <v>2</v>
      </c>
      <c r="B37">
        <v>4</v>
      </c>
      <c r="C37" t="s">
        <v>69</v>
      </c>
      <c r="E37" t="s">
        <v>87</v>
      </c>
      <c r="F37" t="s">
        <v>87</v>
      </c>
      <c r="H37" t="s">
        <v>112</v>
      </c>
      <c r="J37">
        <v>1</v>
      </c>
      <c r="L37" t="s">
        <v>8697</v>
      </c>
      <c r="O37" t="s">
        <v>8710</v>
      </c>
    </row>
    <row r="38" spans="1:16" x14ac:dyDescent="0.35">
      <c r="A38">
        <v>3</v>
      </c>
      <c r="B38">
        <v>0</v>
      </c>
      <c r="C38" t="s">
        <v>52</v>
      </c>
      <c r="E38" t="s">
        <v>210</v>
      </c>
      <c r="F38" t="s">
        <v>71</v>
      </c>
      <c r="H38" t="s">
        <v>98</v>
      </c>
      <c r="J38">
        <v>1</v>
      </c>
      <c r="L38" t="s">
        <v>8680</v>
      </c>
      <c r="O38" t="s">
        <v>8710</v>
      </c>
    </row>
    <row r="39" spans="1:16" x14ac:dyDescent="0.35">
      <c r="A39">
        <v>3</v>
      </c>
      <c r="B39">
        <v>0</v>
      </c>
      <c r="C39" t="s">
        <v>53</v>
      </c>
      <c r="E39" t="s">
        <v>211</v>
      </c>
      <c r="F39" t="s">
        <v>72</v>
      </c>
      <c r="H39" t="s">
        <v>99</v>
      </c>
      <c r="J39">
        <v>1</v>
      </c>
      <c r="L39" t="s">
        <v>8681</v>
      </c>
      <c r="O39" t="s">
        <v>8711</v>
      </c>
      <c r="P39" t="s">
        <v>8715</v>
      </c>
    </row>
    <row r="40" spans="1:16" x14ac:dyDescent="0.35">
      <c r="A40">
        <v>3</v>
      </c>
      <c r="B40">
        <v>0</v>
      </c>
      <c r="C40" t="s">
        <v>54</v>
      </c>
      <c r="E40" t="s">
        <v>212</v>
      </c>
      <c r="F40" t="s">
        <v>73</v>
      </c>
      <c r="H40" t="s">
        <v>100</v>
      </c>
      <c r="J40">
        <v>1</v>
      </c>
      <c r="L40" t="s">
        <v>8682</v>
      </c>
      <c r="O40" t="s">
        <v>8710</v>
      </c>
    </row>
    <row r="41" spans="1:16" x14ac:dyDescent="0.35">
      <c r="A41">
        <v>3</v>
      </c>
      <c r="B41">
        <v>1</v>
      </c>
      <c r="C41" t="s">
        <v>55</v>
      </c>
      <c r="E41" t="s">
        <v>213</v>
      </c>
      <c r="F41" t="s">
        <v>74</v>
      </c>
      <c r="G41" t="s">
        <v>8673</v>
      </c>
      <c r="H41" t="s">
        <v>101</v>
      </c>
      <c r="J41">
        <v>1</v>
      </c>
      <c r="L41" t="s">
        <v>8683</v>
      </c>
      <c r="O41" t="s">
        <v>8710</v>
      </c>
    </row>
    <row r="42" spans="1:16" x14ac:dyDescent="0.35">
      <c r="A42">
        <v>3</v>
      </c>
      <c r="B42">
        <v>1</v>
      </c>
      <c r="C42" t="s">
        <v>56</v>
      </c>
      <c r="E42" t="s">
        <v>214</v>
      </c>
      <c r="F42" t="s">
        <v>75</v>
      </c>
      <c r="H42" t="s">
        <v>101</v>
      </c>
      <c r="J42">
        <v>1</v>
      </c>
      <c r="L42" t="s">
        <v>8684</v>
      </c>
      <c r="O42" t="s">
        <v>8710</v>
      </c>
    </row>
    <row r="43" spans="1:16" x14ac:dyDescent="0.35">
      <c r="A43">
        <v>3</v>
      </c>
      <c r="B43">
        <v>1</v>
      </c>
      <c r="C43" t="s">
        <v>57</v>
      </c>
      <c r="E43" t="s">
        <v>215</v>
      </c>
      <c r="F43" t="s">
        <v>76</v>
      </c>
      <c r="G43" t="s">
        <v>8674</v>
      </c>
      <c r="H43" t="s">
        <v>102</v>
      </c>
      <c r="J43">
        <v>1</v>
      </c>
      <c r="L43" t="s">
        <v>8685</v>
      </c>
      <c r="O43" t="s">
        <v>8710</v>
      </c>
    </row>
    <row r="44" spans="1:16" x14ac:dyDescent="0.35">
      <c r="A44">
        <v>3</v>
      </c>
      <c r="B44">
        <v>1</v>
      </c>
      <c r="C44" t="s">
        <v>58</v>
      </c>
      <c r="E44" t="s">
        <v>216</v>
      </c>
      <c r="F44" t="s">
        <v>77</v>
      </c>
      <c r="G44" t="s">
        <v>8673</v>
      </c>
      <c r="H44" t="s">
        <v>101</v>
      </c>
      <c r="J44">
        <v>1</v>
      </c>
      <c r="L44" t="s">
        <v>8686</v>
      </c>
      <c r="O44" t="s">
        <v>8710</v>
      </c>
    </row>
    <row r="45" spans="1:16" x14ac:dyDescent="0.35">
      <c r="A45">
        <v>3</v>
      </c>
      <c r="B45">
        <v>1</v>
      </c>
      <c r="C45" t="s">
        <v>59</v>
      </c>
      <c r="E45" t="s">
        <v>217</v>
      </c>
      <c r="F45" t="s">
        <v>78</v>
      </c>
      <c r="H45" t="s">
        <v>103</v>
      </c>
      <c r="J45">
        <v>1</v>
      </c>
      <c r="L45" t="s">
        <v>8687</v>
      </c>
      <c r="O45" t="s">
        <v>8712</v>
      </c>
      <c r="P45" t="s">
        <v>8716</v>
      </c>
    </row>
    <row r="46" spans="1:16" x14ac:dyDescent="0.35">
      <c r="A46">
        <v>3</v>
      </c>
      <c r="B46">
        <v>1</v>
      </c>
      <c r="C46" t="s">
        <v>60</v>
      </c>
      <c r="E46" t="s">
        <v>218</v>
      </c>
      <c r="F46" t="s">
        <v>79</v>
      </c>
      <c r="G46" t="s">
        <v>8675</v>
      </c>
      <c r="H46" t="s">
        <v>104</v>
      </c>
      <c r="J46">
        <v>1</v>
      </c>
      <c r="L46" t="s">
        <v>8688</v>
      </c>
      <c r="O46" t="s">
        <v>8711</v>
      </c>
      <c r="P46" t="s">
        <v>8717</v>
      </c>
    </row>
    <row r="47" spans="1:16" x14ac:dyDescent="0.35">
      <c r="A47">
        <v>3</v>
      </c>
      <c r="B47">
        <v>1</v>
      </c>
      <c r="C47" t="s">
        <v>61</v>
      </c>
      <c r="E47" t="s">
        <v>219</v>
      </c>
      <c r="F47" t="s">
        <v>80</v>
      </c>
      <c r="H47" t="s">
        <v>105</v>
      </c>
      <c r="J47">
        <v>1</v>
      </c>
      <c r="L47" t="s">
        <v>8689</v>
      </c>
      <c r="O47" t="s">
        <v>8713</v>
      </c>
      <c r="P47" t="s">
        <v>8718</v>
      </c>
    </row>
    <row r="48" spans="1:16" x14ac:dyDescent="0.35">
      <c r="A48">
        <v>3</v>
      </c>
      <c r="B48">
        <v>2</v>
      </c>
      <c r="C48" t="s">
        <v>62</v>
      </c>
      <c r="D48" t="s">
        <v>8669</v>
      </c>
      <c r="E48" t="s">
        <v>280</v>
      </c>
      <c r="F48" t="s">
        <v>81</v>
      </c>
      <c r="J48">
        <v>1</v>
      </c>
      <c r="L48" t="s">
        <v>8690</v>
      </c>
      <c r="O48" t="s">
        <v>8710</v>
      </c>
      <c r="P48" t="s">
        <v>8719</v>
      </c>
    </row>
    <row r="49" spans="1:16" x14ac:dyDescent="0.35">
      <c r="A49">
        <v>3</v>
      </c>
      <c r="B49">
        <v>2</v>
      </c>
      <c r="C49" t="s">
        <v>63</v>
      </c>
      <c r="E49" t="s">
        <v>220</v>
      </c>
      <c r="F49" t="s">
        <v>82</v>
      </c>
      <c r="H49" t="s">
        <v>106</v>
      </c>
      <c r="J49">
        <v>1</v>
      </c>
      <c r="L49" t="s">
        <v>8691</v>
      </c>
      <c r="O49" t="s">
        <v>8710</v>
      </c>
    </row>
    <row r="50" spans="1:16" x14ac:dyDescent="0.35">
      <c r="A50">
        <v>3</v>
      </c>
      <c r="B50">
        <v>3</v>
      </c>
      <c r="C50" t="s">
        <v>64</v>
      </c>
      <c r="E50" t="s">
        <v>221</v>
      </c>
      <c r="F50" t="s">
        <v>83</v>
      </c>
      <c r="H50" t="s">
        <v>107</v>
      </c>
      <c r="J50">
        <v>1</v>
      </c>
      <c r="L50" t="s">
        <v>8692</v>
      </c>
      <c r="O50" t="s">
        <v>8712</v>
      </c>
      <c r="P50" t="s">
        <v>8720</v>
      </c>
    </row>
    <row r="51" spans="1:16" x14ac:dyDescent="0.35">
      <c r="A51">
        <v>3</v>
      </c>
      <c r="B51">
        <v>3</v>
      </c>
      <c r="C51" t="s">
        <v>65</v>
      </c>
      <c r="E51" t="s">
        <v>222</v>
      </c>
      <c r="F51" t="s">
        <v>84</v>
      </c>
      <c r="H51" t="s">
        <v>108</v>
      </c>
      <c r="J51">
        <v>1</v>
      </c>
      <c r="L51" t="s">
        <v>8693</v>
      </c>
      <c r="O51" t="s">
        <v>8712</v>
      </c>
      <c r="P51" t="s">
        <v>8721</v>
      </c>
    </row>
    <row r="52" spans="1:16" x14ac:dyDescent="0.35">
      <c r="A52">
        <v>3</v>
      </c>
      <c r="B52">
        <v>3</v>
      </c>
      <c r="C52" t="s">
        <v>66</v>
      </c>
      <c r="E52" t="s">
        <v>227</v>
      </c>
      <c r="F52" t="s">
        <v>89</v>
      </c>
      <c r="H52" t="s">
        <v>114</v>
      </c>
      <c r="J52">
        <v>1</v>
      </c>
      <c r="L52" t="s">
        <v>8699</v>
      </c>
      <c r="O52" t="s">
        <v>8710</v>
      </c>
    </row>
    <row r="53" spans="1:16" x14ac:dyDescent="0.35">
      <c r="A53">
        <v>3</v>
      </c>
      <c r="B53">
        <v>4</v>
      </c>
      <c r="C53" t="s">
        <v>67</v>
      </c>
      <c r="E53" t="s">
        <v>224</v>
      </c>
      <c r="F53" t="s">
        <v>85</v>
      </c>
      <c r="H53" t="s">
        <v>110</v>
      </c>
      <c r="J53">
        <v>1</v>
      </c>
      <c r="L53" t="s">
        <v>8695</v>
      </c>
      <c r="O53" t="s">
        <v>8710</v>
      </c>
    </row>
    <row r="54" spans="1:16" x14ac:dyDescent="0.35">
      <c r="A54">
        <v>3</v>
      </c>
      <c r="B54">
        <v>4</v>
      </c>
      <c r="C54" t="s">
        <v>68</v>
      </c>
      <c r="E54" t="s">
        <v>225</v>
      </c>
      <c r="F54" t="s">
        <v>86</v>
      </c>
      <c r="H54" t="s">
        <v>111</v>
      </c>
      <c r="J54">
        <v>1</v>
      </c>
      <c r="L54" t="s">
        <v>8696</v>
      </c>
      <c r="O54" t="s">
        <v>8710</v>
      </c>
    </row>
    <row r="55" spans="1:16" x14ac:dyDescent="0.35">
      <c r="A55">
        <v>3</v>
      </c>
      <c r="B55">
        <v>4</v>
      </c>
      <c r="C55" t="s">
        <v>69</v>
      </c>
      <c r="E55" t="s">
        <v>87</v>
      </c>
      <c r="F55" t="s">
        <v>87</v>
      </c>
      <c r="H55" t="s">
        <v>112</v>
      </c>
      <c r="J55">
        <v>1</v>
      </c>
      <c r="L55" t="s">
        <v>8697</v>
      </c>
      <c r="O55" t="s">
        <v>8710</v>
      </c>
    </row>
    <row r="56" spans="1:16" x14ac:dyDescent="0.35">
      <c r="A56">
        <v>4</v>
      </c>
      <c r="B56">
        <v>0</v>
      </c>
      <c r="C56" t="s">
        <v>52</v>
      </c>
      <c r="E56" t="s">
        <v>210</v>
      </c>
      <c r="F56" t="s">
        <v>71</v>
      </c>
      <c r="H56" t="s">
        <v>98</v>
      </c>
      <c r="J56">
        <v>1</v>
      </c>
      <c r="L56" t="s">
        <v>8680</v>
      </c>
      <c r="O56" t="s">
        <v>8710</v>
      </c>
    </row>
    <row r="57" spans="1:16" x14ac:dyDescent="0.35">
      <c r="A57">
        <v>4</v>
      </c>
      <c r="B57">
        <v>0</v>
      </c>
      <c r="C57" t="s">
        <v>53</v>
      </c>
      <c r="E57" t="s">
        <v>211</v>
      </c>
      <c r="F57" t="s">
        <v>72</v>
      </c>
      <c r="H57" t="s">
        <v>99</v>
      </c>
      <c r="J57">
        <v>1</v>
      </c>
      <c r="L57" t="s">
        <v>8681</v>
      </c>
      <c r="O57" t="s">
        <v>8711</v>
      </c>
      <c r="P57" t="s">
        <v>8715</v>
      </c>
    </row>
    <row r="58" spans="1:16" x14ac:dyDescent="0.35">
      <c r="A58">
        <v>4</v>
      </c>
      <c r="B58">
        <v>0</v>
      </c>
      <c r="C58" t="s">
        <v>54</v>
      </c>
      <c r="E58" t="s">
        <v>212</v>
      </c>
      <c r="F58" t="s">
        <v>73</v>
      </c>
      <c r="H58" t="s">
        <v>100</v>
      </c>
      <c r="J58">
        <v>1</v>
      </c>
      <c r="L58" t="s">
        <v>8682</v>
      </c>
      <c r="O58" t="s">
        <v>8710</v>
      </c>
    </row>
    <row r="59" spans="1:16" x14ac:dyDescent="0.35">
      <c r="A59">
        <v>4</v>
      </c>
      <c r="B59">
        <v>1</v>
      </c>
      <c r="C59" t="s">
        <v>55</v>
      </c>
      <c r="E59" t="s">
        <v>213</v>
      </c>
      <c r="F59" t="s">
        <v>74</v>
      </c>
      <c r="G59" t="s">
        <v>8673</v>
      </c>
      <c r="H59" t="s">
        <v>101</v>
      </c>
      <c r="J59">
        <v>1</v>
      </c>
      <c r="L59" t="s">
        <v>8683</v>
      </c>
      <c r="O59" t="s">
        <v>8710</v>
      </c>
    </row>
    <row r="60" spans="1:16" x14ac:dyDescent="0.35">
      <c r="A60">
        <v>4</v>
      </c>
      <c r="B60">
        <v>1</v>
      </c>
      <c r="C60" t="s">
        <v>56</v>
      </c>
      <c r="E60" t="s">
        <v>214</v>
      </c>
      <c r="F60" t="s">
        <v>75</v>
      </c>
      <c r="H60" t="s">
        <v>101</v>
      </c>
      <c r="J60">
        <v>1</v>
      </c>
      <c r="L60" t="s">
        <v>8684</v>
      </c>
      <c r="O60" t="s">
        <v>8710</v>
      </c>
    </row>
    <row r="61" spans="1:16" x14ac:dyDescent="0.35">
      <c r="A61">
        <v>4</v>
      </c>
      <c r="B61">
        <v>1</v>
      </c>
      <c r="C61" t="s">
        <v>57</v>
      </c>
      <c r="E61" t="s">
        <v>215</v>
      </c>
      <c r="F61" t="s">
        <v>76</v>
      </c>
      <c r="G61" t="s">
        <v>8674</v>
      </c>
      <c r="H61" t="s">
        <v>102</v>
      </c>
      <c r="J61">
        <v>1</v>
      </c>
      <c r="L61" t="s">
        <v>8685</v>
      </c>
      <c r="O61" t="s">
        <v>8710</v>
      </c>
    </row>
    <row r="62" spans="1:16" x14ac:dyDescent="0.35">
      <c r="A62">
        <v>4</v>
      </c>
      <c r="B62">
        <v>1</v>
      </c>
      <c r="C62" t="s">
        <v>58</v>
      </c>
      <c r="E62" t="s">
        <v>216</v>
      </c>
      <c r="F62" t="s">
        <v>77</v>
      </c>
      <c r="G62" t="s">
        <v>8673</v>
      </c>
      <c r="H62" t="s">
        <v>101</v>
      </c>
      <c r="J62">
        <v>1</v>
      </c>
      <c r="L62" t="s">
        <v>8686</v>
      </c>
      <c r="O62" t="s">
        <v>8710</v>
      </c>
    </row>
    <row r="63" spans="1:16" x14ac:dyDescent="0.35">
      <c r="A63">
        <v>4</v>
      </c>
      <c r="B63">
        <v>1</v>
      </c>
      <c r="C63" t="s">
        <v>59</v>
      </c>
      <c r="E63" t="s">
        <v>217</v>
      </c>
      <c r="F63" t="s">
        <v>78</v>
      </c>
      <c r="H63" t="s">
        <v>103</v>
      </c>
      <c r="J63">
        <v>1</v>
      </c>
      <c r="L63" t="s">
        <v>8687</v>
      </c>
      <c r="O63" t="s">
        <v>8712</v>
      </c>
      <c r="P63" t="s">
        <v>8716</v>
      </c>
    </row>
    <row r="64" spans="1:16" x14ac:dyDescent="0.35">
      <c r="A64">
        <v>4</v>
      </c>
      <c r="B64">
        <v>1</v>
      </c>
      <c r="C64" t="s">
        <v>60</v>
      </c>
      <c r="E64" t="s">
        <v>218</v>
      </c>
      <c r="F64" t="s">
        <v>79</v>
      </c>
      <c r="G64" t="s">
        <v>8675</v>
      </c>
      <c r="H64" t="s">
        <v>104</v>
      </c>
      <c r="J64">
        <v>1</v>
      </c>
      <c r="L64" t="s">
        <v>8688</v>
      </c>
      <c r="O64" t="s">
        <v>8711</v>
      </c>
      <c r="P64" t="s">
        <v>8717</v>
      </c>
    </row>
    <row r="65" spans="1:16" x14ac:dyDescent="0.35">
      <c r="A65">
        <v>4</v>
      </c>
      <c r="B65">
        <v>1</v>
      </c>
      <c r="C65" t="s">
        <v>61</v>
      </c>
      <c r="E65" t="s">
        <v>219</v>
      </c>
      <c r="F65" t="s">
        <v>80</v>
      </c>
      <c r="H65" t="s">
        <v>105</v>
      </c>
      <c r="J65">
        <v>1</v>
      </c>
      <c r="L65" t="s">
        <v>8689</v>
      </c>
      <c r="O65" t="s">
        <v>8713</v>
      </c>
      <c r="P65" t="s">
        <v>8718</v>
      </c>
    </row>
    <row r="66" spans="1:16" x14ac:dyDescent="0.35">
      <c r="A66">
        <v>4</v>
      </c>
      <c r="B66">
        <v>2</v>
      </c>
      <c r="C66" t="s">
        <v>62</v>
      </c>
      <c r="D66" t="s">
        <v>8669</v>
      </c>
      <c r="E66" t="s">
        <v>280</v>
      </c>
      <c r="F66" t="s">
        <v>81</v>
      </c>
      <c r="J66">
        <v>1</v>
      </c>
      <c r="L66" t="s">
        <v>8690</v>
      </c>
      <c r="O66" t="s">
        <v>8710</v>
      </c>
      <c r="P66" t="s">
        <v>8719</v>
      </c>
    </row>
    <row r="67" spans="1:16" x14ac:dyDescent="0.35">
      <c r="A67">
        <v>4</v>
      </c>
      <c r="B67">
        <v>2</v>
      </c>
      <c r="C67" t="s">
        <v>63</v>
      </c>
      <c r="E67" t="s">
        <v>220</v>
      </c>
      <c r="F67" t="s">
        <v>82</v>
      </c>
      <c r="H67" t="s">
        <v>106</v>
      </c>
      <c r="J67">
        <v>1</v>
      </c>
      <c r="L67" t="s">
        <v>8691</v>
      </c>
      <c r="O67" t="s">
        <v>8710</v>
      </c>
    </row>
    <row r="68" spans="1:16" x14ac:dyDescent="0.35">
      <c r="A68">
        <v>4</v>
      </c>
      <c r="B68">
        <v>3</v>
      </c>
      <c r="C68" t="s">
        <v>64</v>
      </c>
      <c r="E68" t="s">
        <v>221</v>
      </c>
      <c r="F68" t="s">
        <v>83</v>
      </c>
      <c r="H68" t="s">
        <v>107</v>
      </c>
      <c r="J68">
        <v>1</v>
      </c>
      <c r="L68" t="s">
        <v>8692</v>
      </c>
      <c r="O68" t="s">
        <v>8712</v>
      </c>
      <c r="P68" t="s">
        <v>8720</v>
      </c>
    </row>
    <row r="69" spans="1:16" x14ac:dyDescent="0.35">
      <c r="A69">
        <v>4</v>
      </c>
      <c r="B69">
        <v>3</v>
      </c>
      <c r="C69" t="s">
        <v>65</v>
      </c>
      <c r="E69" t="s">
        <v>222</v>
      </c>
      <c r="F69" t="s">
        <v>84</v>
      </c>
      <c r="H69" t="s">
        <v>108</v>
      </c>
      <c r="J69">
        <v>1</v>
      </c>
      <c r="L69" t="s">
        <v>8693</v>
      </c>
      <c r="O69" t="s">
        <v>8712</v>
      </c>
      <c r="P69" t="s">
        <v>8721</v>
      </c>
    </row>
    <row r="70" spans="1:16" x14ac:dyDescent="0.35">
      <c r="A70">
        <v>4</v>
      </c>
      <c r="B70">
        <v>3</v>
      </c>
      <c r="C70" t="s">
        <v>66</v>
      </c>
      <c r="E70" t="s">
        <v>281</v>
      </c>
      <c r="F70" t="s">
        <v>90</v>
      </c>
      <c r="J70">
        <v>1</v>
      </c>
      <c r="L70" t="s">
        <v>8700</v>
      </c>
      <c r="O70" t="s">
        <v>8710</v>
      </c>
      <c r="P70" t="s">
        <v>8722</v>
      </c>
    </row>
    <row r="71" spans="1:16" x14ac:dyDescent="0.35">
      <c r="A71">
        <v>4</v>
      </c>
      <c r="B71">
        <v>4</v>
      </c>
      <c r="C71" t="s">
        <v>67</v>
      </c>
      <c r="E71" t="s">
        <v>224</v>
      </c>
      <c r="F71" t="s">
        <v>85</v>
      </c>
      <c r="H71" t="s">
        <v>110</v>
      </c>
      <c r="J71">
        <v>1</v>
      </c>
      <c r="L71" t="s">
        <v>8695</v>
      </c>
      <c r="O71" t="s">
        <v>8710</v>
      </c>
    </row>
    <row r="72" spans="1:16" x14ac:dyDescent="0.35">
      <c r="A72">
        <v>4</v>
      </c>
      <c r="B72">
        <v>4</v>
      </c>
      <c r="C72" t="s">
        <v>68</v>
      </c>
      <c r="E72" t="s">
        <v>225</v>
      </c>
      <c r="F72" t="s">
        <v>86</v>
      </c>
      <c r="H72" t="s">
        <v>111</v>
      </c>
      <c r="J72">
        <v>1</v>
      </c>
      <c r="L72" t="s">
        <v>8696</v>
      </c>
      <c r="O72" t="s">
        <v>8710</v>
      </c>
    </row>
    <row r="73" spans="1:16" x14ac:dyDescent="0.35">
      <c r="A73">
        <v>4</v>
      </c>
      <c r="B73">
        <v>4</v>
      </c>
      <c r="C73" t="s">
        <v>69</v>
      </c>
      <c r="E73" t="s">
        <v>87</v>
      </c>
      <c r="F73" t="s">
        <v>87</v>
      </c>
      <c r="H73" t="s">
        <v>112</v>
      </c>
      <c r="J73">
        <v>1</v>
      </c>
      <c r="L73" t="s">
        <v>8697</v>
      </c>
      <c r="O73" t="s">
        <v>8710</v>
      </c>
    </row>
    <row r="74" spans="1:16" x14ac:dyDescent="0.35">
      <c r="A74">
        <v>5</v>
      </c>
      <c r="B74">
        <v>0</v>
      </c>
      <c r="C74" t="s">
        <v>52</v>
      </c>
      <c r="E74" t="s">
        <v>210</v>
      </c>
      <c r="F74" t="s">
        <v>71</v>
      </c>
      <c r="H74" t="s">
        <v>98</v>
      </c>
      <c r="J74">
        <v>1</v>
      </c>
      <c r="L74" t="s">
        <v>8680</v>
      </c>
      <c r="O74" t="s">
        <v>8710</v>
      </c>
    </row>
    <row r="75" spans="1:16" x14ac:dyDescent="0.35">
      <c r="A75">
        <v>5</v>
      </c>
      <c r="B75">
        <v>0</v>
      </c>
      <c r="C75" t="s">
        <v>53</v>
      </c>
      <c r="E75" t="s">
        <v>211</v>
      </c>
      <c r="F75" t="s">
        <v>72</v>
      </c>
      <c r="H75" t="s">
        <v>99</v>
      </c>
      <c r="J75">
        <v>1</v>
      </c>
      <c r="L75" t="s">
        <v>8681</v>
      </c>
      <c r="O75" t="s">
        <v>8711</v>
      </c>
      <c r="P75" t="s">
        <v>8715</v>
      </c>
    </row>
    <row r="76" spans="1:16" x14ac:dyDescent="0.35">
      <c r="A76">
        <v>5</v>
      </c>
      <c r="B76">
        <v>0</v>
      </c>
      <c r="C76" t="s">
        <v>54</v>
      </c>
      <c r="E76" t="s">
        <v>212</v>
      </c>
      <c r="F76" t="s">
        <v>73</v>
      </c>
      <c r="H76" t="s">
        <v>100</v>
      </c>
      <c r="J76">
        <v>1</v>
      </c>
      <c r="L76" t="s">
        <v>8682</v>
      </c>
      <c r="O76" t="s">
        <v>8710</v>
      </c>
    </row>
    <row r="77" spans="1:16" x14ac:dyDescent="0.35">
      <c r="A77">
        <v>5</v>
      </c>
      <c r="B77">
        <v>1</v>
      </c>
      <c r="C77" t="s">
        <v>55</v>
      </c>
      <c r="E77" t="s">
        <v>213</v>
      </c>
      <c r="F77" t="s">
        <v>74</v>
      </c>
      <c r="G77" t="s">
        <v>8673</v>
      </c>
      <c r="H77" t="s">
        <v>101</v>
      </c>
      <c r="J77">
        <v>1</v>
      </c>
      <c r="L77" t="s">
        <v>8683</v>
      </c>
      <c r="O77" t="s">
        <v>8710</v>
      </c>
    </row>
    <row r="78" spans="1:16" x14ac:dyDescent="0.35">
      <c r="A78">
        <v>5</v>
      </c>
      <c r="B78">
        <v>1</v>
      </c>
      <c r="C78" t="s">
        <v>56</v>
      </c>
      <c r="E78" t="s">
        <v>214</v>
      </c>
      <c r="F78" t="s">
        <v>75</v>
      </c>
      <c r="H78" t="s">
        <v>101</v>
      </c>
      <c r="J78">
        <v>1</v>
      </c>
      <c r="L78" t="s">
        <v>8684</v>
      </c>
      <c r="O78" t="s">
        <v>8710</v>
      </c>
    </row>
    <row r="79" spans="1:16" x14ac:dyDescent="0.35">
      <c r="A79">
        <v>5</v>
      </c>
      <c r="B79">
        <v>1</v>
      </c>
      <c r="C79" t="s">
        <v>57</v>
      </c>
      <c r="E79" t="s">
        <v>215</v>
      </c>
      <c r="F79" t="s">
        <v>76</v>
      </c>
      <c r="G79" t="s">
        <v>8674</v>
      </c>
      <c r="H79" t="s">
        <v>102</v>
      </c>
      <c r="J79">
        <v>1</v>
      </c>
      <c r="L79" t="s">
        <v>8685</v>
      </c>
      <c r="O79" t="s">
        <v>8710</v>
      </c>
    </row>
    <row r="80" spans="1:16" x14ac:dyDescent="0.35">
      <c r="A80">
        <v>5</v>
      </c>
      <c r="B80">
        <v>1</v>
      </c>
      <c r="C80" t="s">
        <v>58</v>
      </c>
      <c r="E80" t="s">
        <v>216</v>
      </c>
      <c r="F80" t="s">
        <v>77</v>
      </c>
      <c r="G80" t="s">
        <v>8673</v>
      </c>
      <c r="H80" t="s">
        <v>101</v>
      </c>
      <c r="J80">
        <v>1</v>
      </c>
      <c r="L80" t="s">
        <v>8686</v>
      </c>
      <c r="O80" t="s">
        <v>8710</v>
      </c>
    </row>
    <row r="81" spans="1:16" x14ac:dyDescent="0.35">
      <c r="A81">
        <v>5</v>
      </c>
      <c r="B81">
        <v>1</v>
      </c>
      <c r="C81" t="s">
        <v>59</v>
      </c>
      <c r="E81" t="s">
        <v>217</v>
      </c>
      <c r="F81" t="s">
        <v>78</v>
      </c>
      <c r="H81" t="s">
        <v>103</v>
      </c>
      <c r="J81">
        <v>1</v>
      </c>
      <c r="L81" t="s">
        <v>8687</v>
      </c>
      <c r="O81" t="s">
        <v>8712</v>
      </c>
      <c r="P81" t="s">
        <v>8716</v>
      </c>
    </row>
    <row r="82" spans="1:16" x14ac:dyDescent="0.35">
      <c r="A82">
        <v>5</v>
      </c>
      <c r="B82">
        <v>1</v>
      </c>
      <c r="C82" t="s">
        <v>60</v>
      </c>
      <c r="E82" t="s">
        <v>218</v>
      </c>
      <c r="F82" t="s">
        <v>79</v>
      </c>
      <c r="G82" t="s">
        <v>8675</v>
      </c>
      <c r="H82" t="s">
        <v>104</v>
      </c>
      <c r="J82">
        <v>1</v>
      </c>
      <c r="L82" t="s">
        <v>8688</v>
      </c>
      <c r="O82" t="s">
        <v>8711</v>
      </c>
      <c r="P82" t="s">
        <v>8717</v>
      </c>
    </row>
    <row r="83" spans="1:16" x14ac:dyDescent="0.35">
      <c r="A83">
        <v>5</v>
      </c>
      <c r="B83">
        <v>1</v>
      </c>
      <c r="C83" t="s">
        <v>61</v>
      </c>
      <c r="E83" t="s">
        <v>219</v>
      </c>
      <c r="F83" t="s">
        <v>80</v>
      </c>
      <c r="H83" t="s">
        <v>105</v>
      </c>
      <c r="J83">
        <v>1</v>
      </c>
      <c r="L83" t="s">
        <v>8689</v>
      </c>
      <c r="O83" t="s">
        <v>8713</v>
      </c>
      <c r="P83" t="s">
        <v>8718</v>
      </c>
    </row>
    <row r="84" spans="1:16" x14ac:dyDescent="0.35">
      <c r="A84">
        <v>5</v>
      </c>
      <c r="B84">
        <v>2</v>
      </c>
      <c r="C84" t="s">
        <v>62</v>
      </c>
      <c r="D84" t="s">
        <v>8669</v>
      </c>
      <c r="E84" t="s">
        <v>280</v>
      </c>
      <c r="F84" t="s">
        <v>81</v>
      </c>
      <c r="J84">
        <v>1</v>
      </c>
      <c r="L84" t="s">
        <v>8690</v>
      </c>
      <c r="O84" t="s">
        <v>8710</v>
      </c>
      <c r="P84" t="s">
        <v>8719</v>
      </c>
    </row>
    <row r="85" spans="1:16" x14ac:dyDescent="0.35">
      <c r="A85">
        <v>5</v>
      </c>
      <c r="B85">
        <v>2</v>
      </c>
      <c r="C85" t="s">
        <v>63</v>
      </c>
      <c r="E85" t="s">
        <v>220</v>
      </c>
      <c r="F85" t="s">
        <v>82</v>
      </c>
      <c r="H85" t="s">
        <v>106</v>
      </c>
      <c r="J85">
        <v>1</v>
      </c>
      <c r="L85" t="s">
        <v>8691</v>
      </c>
      <c r="O85" t="s">
        <v>8710</v>
      </c>
    </row>
    <row r="86" spans="1:16" x14ac:dyDescent="0.35">
      <c r="A86">
        <v>5</v>
      </c>
      <c r="B86">
        <v>3</v>
      </c>
      <c r="C86" t="s">
        <v>64</v>
      </c>
      <c r="E86" t="s">
        <v>221</v>
      </c>
      <c r="F86" t="s">
        <v>83</v>
      </c>
      <c r="H86" t="s">
        <v>107</v>
      </c>
      <c r="J86">
        <v>1</v>
      </c>
      <c r="L86" t="s">
        <v>8692</v>
      </c>
      <c r="O86" t="s">
        <v>8712</v>
      </c>
      <c r="P86" t="s">
        <v>8720</v>
      </c>
    </row>
    <row r="87" spans="1:16" x14ac:dyDescent="0.35">
      <c r="A87">
        <v>5</v>
      </c>
      <c r="B87">
        <v>3</v>
      </c>
      <c r="C87" t="s">
        <v>65</v>
      </c>
      <c r="E87" t="s">
        <v>222</v>
      </c>
      <c r="F87" t="s">
        <v>84</v>
      </c>
      <c r="H87" t="s">
        <v>108</v>
      </c>
      <c r="J87">
        <v>1</v>
      </c>
      <c r="L87" t="s">
        <v>8693</v>
      </c>
      <c r="O87" t="s">
        <v>8712</v>
      </c>
      <c r="P87" t="s">
        <v>8721</v>
      </c>
    </row>
    <row r="88" spans="1:16" x14ac:dyDescent="0.35">
      <c r="A88">
        <v>5</v>
      </c>
      <c r="B88">
        <v>3</v>
      </c>
      <c r="C88" t="s">
        <v>66</v>
      </c>
      <c r="E88" t="s">
        <v>228</v>
      </c>
      <c r="F88" t="s">
        <v>91</v>
      </c>
      <c r="H88" t="s">
        <v>115</v>
      </c>
      <c r="J88">
        <v>1</v>
      </c>
      <c r="L88" t="s">
        <v>8701</v>
      </c>
      <c r="O88" t="s">
        <v>8710</v>
      </c>
    </row>
    <row r="89" spans="1:16" x14ac:dyDescent="0.35">
      <c r="A89">
        <v>5</v>
      </c>
      <c r="B89">
        <v>4</v>
      </c>
      <c r="C89" t="s">
        <v>67</v>
      </c>
      <c r="E89" t="s">
        <v>224</v>
      </c>
      <c r="F89" t="s">
        <v>85</v>
      </c>
      <c r="H89" t="s">
        <v>110</v>
      </c>
      <c r="J89">
        <v>1</v>
      </c>
      <c r="L89" t="s">
        <v>8695</v>
      </c>
      <c r="O89" t="s">
        <v>8710</v>
      </c>
    </row>
    <row r="90" spans="1:16" x14ac:dyDescent="0.35">
      <c r="A90">
        <v>5</v>
      </c>
      <c r="B90">
        <v>4</v>
      </c>
      <c r="C90" t="s">
        <v>68</v>
      </c>
      <c r="E90" t="s">
        <v>225</v>
      </c>
      <c r="F90" t="s">
        <v>86</v>
      </c>
      <c r="H90" t="s">
        <v>111</v>
      </c>
      <c r="J90">
        <v>1</v>
      </c>
      <c r="L90" t="s">
        <v>8696</v>
      </c>
      <c r="O90" t="s">
        <v>8710</v>
      </c>
    </row>
    <row r="91" spans="1:16" x14ac:dyDescent="0.35">
      <c r="A91">
        <v>5</v>
      </c>
      <c r="B91">
        <v>4</v>
      </c>
      <c r="C91" t="s">
        <v>69</v>
      </c>
      <c r="E91" t="s">
        <v>87</v>
      </c>
      <c r="F91" t="s">
        <v>87</v>
      </c>
      <c r="H91" t="s">
        <v>112</v>
      </c>
      <c r="J91">
        <v>1</v>
      </c>
      <c r="L91" t="s">
        <v>8697</v>
      </c>
      <c r="O91" t="s">
        <v>8710</v>
      </c>
    </row>
    <row r="92" spans="1:16" x14ac:dyDescent="0.35">
      <c r="A92">
        <v>6</v>
      </c>
      <c r="B92">
        <v>0</v>
      </c>
      <c r="C92" t="s">
        <v>52</v>
      </c>
      <c r="E92" t="s">
        <v>210</v>
      </c>
      <c r="F92" t="s">
        <v>71</v>
      </c>
      <c r="H92" t="s">
        <v>98</v>
      </c>
      <c r="J92">
        <v>1</v>
      </c>
      <c r="L92" t="s">
        <v>8680</v>
      </c>
      <c r="O92" t="s">
        <v>8710</v>
      </c>
    </row>
    <row r="93" spans="1:16" x14ac:dyDescent="0.35">
      <c r="A93">
        <v>6</v>
      </c>
      <c r="B93">
        <v>0</v>
      </c>
      <c r="C93" t="s">
        <v>53</v>
      </c>
      <c r="E93" t="s">
        <v>211</v>
      </c>
      <c r="F93" t="s">
        <v>72</v>
      </c>
      <c r="H93" t="s">
        <v>99</v>
      </c>
      <c r="J93">
        <v>1</v>
      </c>
      <c r="L93" t="s">
        <v>8681</v>
      </c>
      <c r="O93" t="s">
        <v>8711</v>
      </c>
      <c r="P93" t="s">
        <v>8715</v>
      </c>
    </row>
    <row r="94" spans="1:16" x14ac:dyDescent="0.35">
      <c r="A94">
        <v>6</v>
      </c>
      <c r="B94">
        <v>0</v>
      </c>
      <c r="C94" t="s">
        <v>54</v>
      </c>
      <c r="E94" t="s">
        <v>212</v>
      </c>
      <c r="F94" t="s">
        <v>73</v>
      </c>
      <c r="H94" t="s">
        <v>100</v>
      </c>
      <c r="J94">
        <v>1</v>
      </c>
      <c r="L94" t="s">
        <v>8682</v>
      </c>
      <c r="O94" t="s">
        <v>8710</v>
      </c>
    </row>
    <row r="95" spans="1:16" x14ac:dyDescent="0.35">
      <c r="A95">
        <v>6</v>
      </c>
      <c r="B95">
        <v>1</v>
      </c>
      <c r="C95" t="s">
        <v>55</v>
      </c>
      <c r="E95" t="s">
        <v>213</v>
      </c>
      <c r="F95" t="s">
        <v>74</v>
      </c>
      <c r="G95" t="s">
        <v>8673</v>
      </c>
      <c r="H95" t="s">
        <v>101</v>
      </c>
      <c r="J95">
        <v>1</v>
      </c>
      <c r="L95" t="s">
        <v>8683</v>
      </c>
      <c r="O95" t="s">
        <v>8710</v>
      </c>
    </row>
    <row r="96" spans="1:16" x14ac:dyDescent="0.35">
      <c r="A96">
        <v>6</v>
      </c>
      <c r="B96">
        <v>1</v>
      </c>
      <c r="C96" t="s">
        <v>56</v>
      </c>
      <c r="E96" t="s">
        <v>214</v>
      </c>
      <c r="F96" t="s">
        <v>75</v>
      </c>
      <c r="H96" t="s">
        <v>101</v>
      </c>
      <c r="J96">
        <v>1</v>
      </c>
      <c r="L96" t="s">
        <v>8684</v>
      </c>
      <c r="O96" t="s">
        <v>8710</v>
      </c>
    </row>
    <row r="97" spans="1:16" x14ac:dyDescent="0.35">
      <c r="A97">
        <v>6</v>
      </c>
      <c r="B97">
        <v>1</v>
      </c>
      <c r="C97" t="s">
        <v>57</v>
      </c>
      <c r="E97" t="s">
        <v>215</v>
      </c>
      <c r="F97" t="s">
        <v>76</v>
      </c>
      <c r="G97" t="s">
        <v>8674</v>
      </c>
      <c r="H97" t="s">
        <v>102</v>
      </c>
      <c r="J97">
        <v>1</v>
      </c>
      <c r="L97" t="s">
        <v>8685</v>
      </c>
      <c r="O97" t="s">
        <v>8710</v>
      </c>
    </row>
    <row r="98" spans="1:16" x14ac:dyDescent="0.35">
      <c r="A98">
        <v>6</v>
      </c>
      <c r="B98">
        <v>1</v>
      </c>
      <c r="C98" t="s">
        <v>58</v>
      </c>
      <c r="E98" t="s">
        <v>216</v>
      </c>
      <c r="F98" t="s">
        <v>77</v>
      </c>
      <c r="G98" t="s">
        <v>8673</v>
      </c>
      <c r="H98" t="s">
        <v>101</v>
      </c>
      <c r="J98">
        <v>1</v>
      </c>
      <c r="L98" t="s">
        <v>8686</v>
      </c>
      <c r="O98" t="s">
        <v>8710</v>
      </c>
    </row>
    <row r="99" spans="1:16" x14ac:dyDescent="0.35">
      <c r="A99">
        <v>6</v>
      </c>
      <c r="B99">
        <v>1</v>
      </c>
      <c r="C99" t="s">
        <v>59</v>
      </c>
      <c r="E99" t="s">
        <v>217</v>
      </c>
      <c r="F99" t="s">
        <v>78</v>
      </c>
      <c r="H99" t="s">
        <v>103</v>
      </c>
      <c r="J99">
        <v>1</v>
      </c>
      <c r="L99" t="s">
        <v>8687</v>
      </c>
      <c r="O99" t="s">
        <v>8712</v>
      </c>
      <c r="P99" t="s">
        <v>8716</v>
      </c>
    </row>
    <row r="100" spans="1:16" x14ac:dyDescent="0.35">
      <c r="A100">
        <v>6</v>
      </c>
      <c r="B100">
        <v>1</v>
      </c>
      <c r="C100" t="s">
        <v>60</v>
      </c>
      <c r="E100" t="s">
        <v>218</v>
      </c>
      <c r="F100" t="s">
        <v>79</v>
      </c>
      <c r="G100" t="s">
        <v>8675</v>
      </c>
      <c r="H100" t="s">
        <v>104</v>
      </c>
      <c r="J100">
        <v>1</v>
      </c>
      <c r="L100" t="s">
        <v>8688</v>
      </c>
      <c r="O100" t="s">
        <v>8711</v>
      </c>
      <c r="P100" t="s">
        <v>8717</v>
      </c>
    </row>
    <row r="101" spans="1:16" x14ac:dyDescent="0.35">
      <c r="A101">
        <v>6</v>
      </c>
      <c r="B101">
        <v>1</v>
      </c>
      <c r="C101" t="s">
        <v>61</v>
      </c>
      <c r="E101" t="s">
        <v>219</v>
      </c>
      <c r="F101" t="s">
        <v>80</v>
      </c>
      <c r="H101" t="s">
        <v>105</v>
      </c>
      <c r="J101">
        <v>1</v>
      </c>
      <c r="L101" t="s">
        <v>8689</v>
      </c>
      <c r="O101" t="s">
        <v>8713</v>
      </c>
      <c r="P101" t="s">
        <v>8718</v>
      </c>
    </row>
    <row r="102" spans="1:16" x14ac:dyDescent="0.35">
      <c r="A102">
        <v>6</v>
      </c>
      <c r="B102">
        <v>2</v>
      </c>
      <c r="C102" t="s">
        <v>62</v>
      </c>
      <c r="D102" t="s">
        <v>8669</v>
      </c>
      <c r="E102" t="s">
        <v>280</v>
      </c>
      <c r="F102" t="s">
        <v>81</v>
      </c>
      <c r="J102">
        <v>1</v>
      </c>
      <c r="L102" t="s">
        <v>8690</v>
      </c>
      <c r="O102" t="s">
        <v>8710</v>
      </c>
      <c r="P102" t="s">
        <v>8719</v>
      </c>
    </row>
    <row r="103" spans="1:16" x14ac:dyDescent="0.35">
      <c r="A103">
        <v>6</v>
      </c>
      <c r="B103">
        <v>2</v>
      </c>
      <c r="C103" t="s">
        <v>63</v>
      </c>
      <c r="E103" t="s">
        <v>220</v>
      </c>
      <c r="F103" t="s">
        <v>82</v>
      </c>
      <c r="H103" t="s">
        <v>106</v>
      </c>
      <c r="J103">
        <v>1</v>
      </c>
      <c r="L103" t="s">
        <v>8691</v>
      </c>
      <c r="O103" t="s">
        <v>8710</v>
      </c>
    </row>
    <row r="104" spans="1:16" x14ac:dyDescent="0.35">
      <c r="A104">
        <v>6</v>
      </c>
      <c r="B104">
        <v>3</v>
      </c>
      <c r="C104" t="s">
        <v>64</v>
      </c>
      <c r="E104" t="s">
        <v>221</v>
      </c>
      <c r="F104" t="s">
        <v>83</v>
      </c>
      <c r="H104" t="s">
        <v>107</v>
      </c>
      <c r="J104">
        <v>1</v>
      </c>
      <c r="L104" t="s">
        <v>8692</v>
      </c>
      <c r="O104" t="s">
        <v>8712</v>
      </c>
      <c r="P104" t="s">
        <v>8720</v>
      </c>
    </row>
    <row r="105" spans="1:16" x14ac:dyDescent="0.35">
      <c r="A105">
        <v>6</v>
      </c>
      <c r="B105">
        <v>3</v>
      </c>
      <c r="C105" t="s">
        <v>65</v>
      </c>
      <c r="E105" t="s">
        <v>222</v>
      </c>
      <c r="F105" t="s">
        <v>84</v>
      </c>
      <c r="H105" t="s">
        <v>108</v>
      </c>
      <c r="J105">
        <v>1</v>
      </c>
      <c r="L105" t="s">
        <v>8693</v>
      </c>
      <c r="O105" t="s">
        <v>8712</v>
      </c>
      <c r="P105" t="s">
        <v>8721</v>
      </c>
    </row>
    <row r="106" spans="1:16" x14ac:dyDescent="0.35">
      <c r="A106">
        <v>6</v>
      </c>
      <c r="B106">
        <v>3</v>
      </c>
      <c r="C106" t="s">
        <v>66</v>
      </c>
      <c r="E106" t="s">
        <v>229</v>
      </c>
      <c r="F106" t="s">
        <v>92</v>
      </c>
      <c r="H106" t="s">
        <v>116</v>
      </c>
      <c r="J106">
        <v>1</v>
      </c>
      <c r="L106" t="s">
        <v>8702</v>
      </c>
      <c r="O106" t="s">
        <v>8710</v>
      </c>
    </row>
    <row r="107" spans="1:16" x14ac:dyDescent="0.35">
      <c r="A107">
        <v>6</v>
      </c>
      <c r="B107">
        <v>4</v>
      </c>
      <c r="C107" t="s">
        <v>67</v>
      </c>
      <c r="E107" t="s">
        <v>224</v>
      </c>
      <c r="F107" t="s">
        <v>85</v>
      </c>
      <c r="H107" t="s">
        <v>110</v>
      </c>
      <c r="J107">
        <v>1</v>
      </c>
      <c r="L107" t="s">
        <v>8695</v>
      </c>
      <c r="O107" t="s">
        <v>8710</v>
      </c>
    </row>
    <row r="108" spans="1:16" x14ac:dyDescent="0.35">
      <c r="A108">
        <v>6</v>
      </c>
      <c r="B108">
        <v>4</v>
      </c>
      <c r="C108" t="s">
        <v>68</v>
      </c>
      <c r="E108" t="s">
        <v>225</v>
      </c>
      <c r="F108" t="s">
        <v>86</v>
      </c>
      <c r="H108" t="s">
        <v>111</v>
      </c>
      <c r="J108">
        <v>1</v>
      </c>
      <c r="L108" t="s">
        <v>8696</v>
      </c>
      <c r="O108" t="s">
        <v>8710</v>
      </c>
    </row>
    <row r="109" spans="1:16" x14ac:dyDescent="0.35">
      <c r="A109">
        <v>6</v>
      </c>
      <c r="B109">
        <v>4</v>
      </c>
      <c r="C109" t="s">
        <v>69</v>
      </c>
      <c r="E109" t="s">
        <v>87</v>
      </c>
      <c r="F109" t="s">
        <v>87</v>
      </c>
      <c r="H109" t="s">
        <v>112</v>
      </c>
      <c r="J109">
        <v>1</v>
      </c>
      <c r="L109" t="s">
        <v>8697</v>
      </c>
      <c r="O109" t="s">
        <v>8710</v>
      </c>
    </row>
    <row r="110" spans="1:16" x14ac:dyDescent="0.35">
      <c r="A110">
        <v>7</v>
      </c>
      <c r="B110">
        <v>0</v>
      </c>
      <c r="C110" t="s">
        <v>52</v>
      </c>
      <c r="E110" t="s">
        <v>210</v>
      </c>
      <c r="F110" t="s">
        <v>71</v>
      </c>
      <c r="H110" t="s">
        <v>98</v>
      </c>
      <c r="J110">
        <v>1</v>
      </c>
      <c r="L110" t="s">
        <v>8680</v>
      </c>
      <c r="O110" t="s">
        <v>8710</v>
      </c>
    </row>
    <row r="111" spans="1:16" x14ac:dyDescent="0.35">
      <c r="A111">
        <v>7</v>
      </c>
      <c r="B111">
        <v>0</v>
      </c>
      <c r="C111" t="s">
        <v>53</v>
      </c>
      <c r="E111" t="s">
        <v>211</v>
      </c>
      <c r="F111" t="s">
        <v>72</v>
      </c>
      <c r="H111" t="s">
        <v>99</v>
      </c>
      <c r="J111">
        <v>1</v>
      </c>
      <c r="L111" t="s">
        <v>8681</v>
      </c>
      <c r="O111" t="s">
        <v>8711</v>
      </c>
      <c r="P111" t="s">
        <v>8715</v>
      </c>
    </row>
    <row r="112" spans="1:16" x14ac:dyDescent="0.35">
      <c r="A112">
        <v>7</v>
      </c>
      <c r="B112">
        <v>0</v>
      </c>
      <c r="C112" t="s">
        <v>54</v>
      </c>
      <c r="E112" t="s">
        <v>212</v>
      </c>
      <c r="F112" t="s">
        <v>73</v>
      </c>
      <c r="H112" t="s">
        <v>100</v>
      </c>
      <c r="J112">
        <v>1</v>
      </c>
      <c r="L112" t="s">
        <v>8682</v>
      </c>
      <c r="O112" t="s">
        <v>8710</v>
      </c>
    </row>
    <row r="113" spans="1:16" x14ac:dyDescent="0.35">
      <c r="A113">
        <v>7</v>
      </c>
      <c r="B113">
        <v>1</v>
      </c>
      <c r="C113" t="s">
        <v>55</v>
      </c>
      <c r="E113" t="s">
        <v>213</v>
      </c>
      <c r="F113" t="s">
        <v>74</v>
      </c>
      <c r="G113" t="s">
        <v>8673</v>
      </c>
      <c r="H113" t="s">
        <v>101</v>
      </c>
      <c r="J113">
        <v>1</v>
      </c>
      <c r="L113" t="s">
        <v>8683</v>
      </c>
      <c r="O113" t="s">
        <v>8710</v>
      </c>
    </row>
    <row r="114" spans="1:16" x14ac:dyDescent="0.35">
      <c r="A114">
        <v>7</v>
      </c>
      <c r="B114">
        <v>1</v>
      </c>
      <c r="C114" t="s">
        <v>56</v>
      </c>
      <c r="E114" t="s">
        <v>214</v>
      </c>
      <c r="F114" t="s">
        <v>75</v>
      </c>
      <c r="H114" t="s">
        <v>101</v>
      </c>
      <c r="J114">
        <v>1</v>
      </c>
      <c r="L114" t="s">
        <v>8684</v>
      </c>
      <c r="O114" t="s">
        <v>8710</v>
      </c>
    </row>
    <row r="115" spans="1:16" x14ac:dyDescent="0.35">
      <c r="A115">
        <v>7</v>
      </c>
      <c r="B115">
        <v>1</v>
      </c>
      <c r="C115" t="s">
        <v>57</v>
      </c>
      <c r="E115" t="s">
        <v>215</v>
      </c>
      <c r="F115" t="s">
        <v>76</v>
      </c>
      <c r="G115" t="s">
        <v>8674</v>
      </c>
      <c r="H115" t="s">
        <v>102</v>
      </c>
      <c r="J115">
        <v>1</v>
      </c>
      <c r="L115" t="s">
        <v>8685</v>
      </c>
      <c r="O115" t="s">
        <v>8710</v>
      </c>
    </row>
    <row r="116" spans="1:16" x14ac:dyDescent="0.35">
      <c r="A116">
        <v>7</v>
      </c>
      <c r="B116">
        <v>1</v>
      </c>
      <c r="C116" t="s">
        <v>58</v>
      </c>
      <c r="E116" t="s">
        <v>216</v>
      </c>
      <c r="F116" t="s">
        <v>77</v>
      </c>
      <c r="G116" t="s">
        <v>8673</v>
      </c>
      <c r="H116" t="s">
        <v>101</v>
      </c>
      <c r="J116">
        <v>1</v>
      </c>
      <c r="L116" t="s">
        <v>8686</v>
      </c>
      <c r="O116" t="s">
        <v>8710</v>
      </c>
    </row>
    <row r="117" spans="1:16" x14ac:dyDescent="0.35">
      <c r="A117">
        <v>7</v>
      </c>
      <c r="B117">
        <v>1</v>
      </c>
      <c r="C117" t="s">
        <v>59</v>
      </c>
      <c r="E117" t="s">
        <v>217</v>
      </c>
      <c r="F117" t="s">
        <v>78</v>
      </c>
      <c r="H117" t="s">
        <v>103</v>
      </c>
      <c r="J117">
        <v>1</v>
      </c>
      <c r="L117" t="s">
        <v>8687</v>
      </c>
      <c r="O117" t="s">
        <v>8712</v>
      </c>
      <c r="P117" t="s">
        <v>8716</v>
      </c>
    </row>
    <row r="118" spans="1:16" x14ac:dyDescent="0.35">
      <c r="A118">
        <v>7</v>
      </c>
      <c r="B118">
        <v>1</v>
      </c>
      <c r="C118" t="s">
        <v>60</v>
      </c>
      <c r="E118" t="s">
        <v>218</v>
      </c>
      <c r="F118" t="s">
        <v>79</v>
      </c>
      <c r="G118" t="s">
        <v>8675</v>
      </c>
      <c r="H118" t="s">
        <v>104</v>
      </c>
      <c r="J118">
        <v>1</v>
      </c>
      <c r="L118" t="s">
        <v>8688</v>
      </c>
      <c r="O118" t="s">
        <v>8711</v>
      </c>
      <c r="P118" t="s">
        <v>8717</v>
      </c>
    </row>
    <row r="119" spans="1:16" x14ac:dyDescent="0.35">
      <c r="A119">
        <v>7</v>
      </c>
      <c r="B119">
        <v>1</v>
      </c>
      <c r="C119" t="s">
        <v>61</v>
      </c>
      <c r="E119" t="s">
        <v>219</v>
      </c>
      <c r="F119" t="s">
        <v>80</v>
      </c>
      <c r="H119" t="s">
        <v>105</v>
      </c>
      <c r="J119">
        <v>1</v>
      </c>
      <c r="L119" t="s">
        <v>8689</v>
      </c>
      <c r="O119" t="s">
        <v>8713</v>
      </c>
      <c r="P119" t="s">
        <v>8718</v>
      </c>
    </row>
    <row r="120" spans="1:16" x14ac:dyDescent="0.35">
      <c r="A120">
        <v>7</v>
      </c>
      <c r="B120">
        <v>2</v>
      </c>
      <c r="C120" t="s">
        <v>62</v>
      </c>
      <c r="D120" t="s">
        <v>8669</v>
      </c>
      <c r="E120" t="s">
        <v>280</v>
      </c>
      <c r="F120" t="s">
        <v>81</v>
      </c>
      <c r="J120">
        <v>1</v>
      </c>
      <c r="L120" t="s">
        <v>8690</v>
      </c>
      <c r="O120" t="s">
        <v>8710</v>
      </c>
      <c r="P120" t="s">
        <v>8719</v>
      </c>
    </row>
    <row r="121" spans="1:16" x14ac:dyDescent="0.35">
      <c r="A121">
        <v>7</v>
      </c>
      <c r="B121">
        <v>2</v>
      </c>
      <c r="C121" t="s">
        <v>63</v>
      </c>
      <c r="E121" t="s">
        <v>220</v>
      </c>
      <c r="F121" t="s">
        <v>82</v>
      </c>
      <c r="H121" t="s">
        <v>106</v>
      </c>
      <c r="J121">
        <v>1</v>
      </c>
      <c r="L121" t="s">
        <v>8691</v>
      </c>
      <c r="O121" t="s">
        <v>8710</v>
      </c>
    </row>
    <row r="122" spans="1:16" x14ac:dyDescent="0.35">
      <c r="A122">
        <v>7</v>
      </c>
      <c r="B122">
        <v>3</v>
      </c>
      <c r="C122" t="s">
        <v>64</v>
      </c>
      <c r="E122" t="s">
        <v>221</v>
      </c>
      <c r="F122" t="s">
        <v>83</v>
      </c>
      <c r="H122" t="s">
        <v>107</v>
      </c>
      <c r="J122">
        <v>1</v>
      </c>
      <c r="L122" t="s">
        <v>8692</v>
      </c>
      <c r="O122" t="s">
        <v>8712</v>
      </c>
      <c r="P122" t="s">
        <v>8720</v>
      </c>
    </row>
    <row r="123" spans="1:16" x14ac:dyDescent="0.35">
      <c r="A123">
        <v>7</v>
      </c>
      <c r="B123">
        <v>3</v>
      </c>
      <c r="C123" t="s">
        <v>65</v>
      </c>
      <c r="E123" t="s">
        <v>222</v>
      </c>
      <c r="F123" t="s">
        <v>84</v>
      </c>
      <c r="H123" t="s">
        <v>108</v>
      </c>
      <c r="J123">
        <v>1</v>
      </c>
      <c r="L123" t="s">
        <v>8693</v>
      </c>
      <c r="O123" t="s">
        <v>8712</v>
      </c>
      <c r="P123" t="s">
        <v>8721</v>
      </c>
    </row>
    <row r="124" spans="1:16" x14ac:dyDescent="0.35">
      <c r="A124">
        <v>7</v>
      </c>
      <c r="B124">
        <v>3</v>
      </c>
      <c r="C124" t="s">
        <v>66</v>
      </c>
      <c r="E124" t="s">
        <v>230</v>
      </c>
      <c r="F124" t="s">
        <v>93</v>
      </c>
      <c r="H124" t="s">
        <v>117</v>
      </c>
      <c r="J124">
        <v>1</v>
      </c>
      <c r="L124" t="s">
        <v>8703</v>
      </c>
      <c r="O124" t="s">
        <v>8710</v>
      </c>
    </row>
    <row r="125" spans="1:16" x14ac:dyDescent="0.35">
      <c r="A125">
        <v>7</v>
      </c>
      <c r="B125">
        <v>4</v>
      </c>
      <c r="C125" t="s">
        <v>67</v>
      </c>
      <c r="E125" t="s">
        <v>224</v>
      </c>
      <c r="F125" t="s">
        <v>85</v>
      </c>
      <c r="H125" t="s">
        <v>110</v>
      </c>
      <c r="J125">
        <v>1</v>
      </c>
      <c r="L125" t="s">
        <v>8695</v>
      </c>
      <c r="O125" t="s">
        <v>8710</v>
      </c>
    </row>
    <row r="126" spans="1:16" x14ac:dyDescent="0.35">
      <c r="A126">
        <v>7</v>
      </c>
      <c r="B126">
        <v>4</v>
      </c>
      <c r="C126" t="s">
        <v>68</v>
      </c>
      <c r="E126" t="s">
        <v>225</v>
      </c>
      <c r="F126" t="s">
        <v>86</v>
      </c>
      <c r="H126" t="s">
        <v>111</v>
      </c>
      <c r="J126">
        <v>1</v>
      </c>
      <c r="L126" t="s">
        <v>8696</v>
      </c>
      <c r="O126" t="s">
        <v>8710</v>
      </c>
    </row>
    <row r="127" spans="1:16" x14ac:dyDescent="0.35">
      <c r="A127">
        <v>7</v>
      </c>
      <c r="B127">
        <v>4</v>
      </c>
      <c r="C127" t="s">
        <v>69</v>
      </c>
      <c r="E127" t="s">
        <v>87</v>
      </c>
      <c r="F127" t="s">
        <v>87</v>
      </c>
      <c r="H127" t="s">
        <v>112</v>
      </c>
      <c r="J127">
        <v>1</v>
      </c>
      <c r="L127" t="s">
        <v>8697</v>
      </c>
      <c r="O127" t="s">
        <v>8710</v>
      </c>
    </row>
    <row r="128" spans="1:16" x14ac:dyDescent="0.35">
      <c r="A128">
        <v>8</v>
      </c>
      <c r="B128">
        <v>0</v>
      </c>
      <c r="C128" t="s">
        <v>52</v>
      </c>
      <c r="E128" t="s">
        <v>210</v>
      </c>
      <c r="F128" t="s">
        <v>71</v>
      </c>
      <c r="H128" t="s">
        <v>98</v>
      </c>
      <c r="J128">
        <v>1</v>
      </c>
      <c r="L128" t="s">
        <v>8680</v>
      </c>
      <c r="O128" t="s">
        <v>8710</v>
      </c>
    </row>
    <row r="129" spans="1:16" x14ac:dyDescent="0.35">
      <c r="A129">
        <v>8</v>
      </c>
      <c r="B129">
        <v>0</v>
      </c>
      <c r="C129" t="s">
        <v>53</v>
      </c>
      <c r="E129" t="s">
        <v>211</v>
      </c>
      <c r="F129" t="s">
        <v>72</v>
      </c>
      <c r="H129" t="s">
        <v>99</v>
      </c>
      <c r="J129">
        <v>1</v>
      </c>
      <c r="L129" t="s">
        <v>8681</v>
      </c>
      <c r="O129" t="s">
        <v>8711</v>
      </c>
      <c r="P129" t="s">
        <v>8715</v>
      </c>
    </row>
    <row r="130" spans="1:16" x14ac:dyDescent="0.35">
      <c r="A130">
        <v>8</v>
      </c>
      <c r="B130">
        <v>0</v>
      </c>
      <c r="C130" t="s">
        <v>54</v>
      </c>
      <c r="E130" t="s">
        <v>212</v>
      </c>
      <c r="F130" t="s">
        <v>73</v>
      </c>
      <c r="H130" t="s">
        <v>100</v>
      </c>
      <c r="J130">
        <v>1</v>
      </c>
      <c r="L130" t="s">
        <v>8682</v>
      </c>
      <c r="O130" t="s">
        <v>8710</v>
      </c>
    </row>
    <row r="131" spans="1:16" x14ac:dyDescent="0.35">
      <c r="A131">
        <v>8</v>
      </c>
      <c r="B131">
        <v>1</v>
      </c>
      <c r="C131" t="s">
        <v>55</v>
      </c>
      <c r="E131" t="s">
        <v>213</v>
      </c>
      <c r="F131" t="s">
        <v>74</v>
      </c>
      <c r="G131" t="s">
        <v>8673</v>
      </c>
      <c r="H131" t="s">
        <v>101</v>
      </c>
      <c r="J131">
        <v>1</v>
      </c>
      <c r="L131" t="s">
        <v>8683</v>
      </c>
      <c r="O131" t="s">
        <v>8710</v>
      </c>
    </row>
    <row r="132" spans="1:16" x14ac:dyDescent="0.35">
      <c r="A132">
        <v>8</v>
      </c>
      <c r="B132">
        <v>1</v>
      </c>
      <c r="C132" t="s">
        <v>56</v>
      </c>
      <c r="E132" t="s">
        <v>214</v>
      </c>
      <c r="F132" t="s">
        <v>75</v>
      </c>
      <c r="H132" t="s">
        <v>101</v>
      </c>
      <c r="J132">
        <v>1</v>
      </c>
      <c r="L132" t="s">
        <v>8684</v>
      </c>
      <c r="O132" t="s">
        <v>8710</v>
      </c>
    </row>
    <row r="133" spans="1:16" x14ac:dyDescent="0.35">
      <c r="A133">
        <v>8</v>
      </c>
      <c r="B133">
        <v>1</v>
      </c>
      <c r="C133" t="s">
        <v>57</v>
      </c>
      <c r="E133" t="s">
        <v>215</v>
      </c>
      <c r="F133" t="s">
        <v>76</v>
      </c>
      <c r="G133" t="s">
        <v>8674</v>
      </c>
      <c r="H133" t="s">
        <v>102</v>
      </c>
      <c r="J133">
        <v>1</v>
      </c>
      <c r="L133" t="s">
        <v>8685</v>
      </c>
      <c r="O133" t="s">
        <v>8710</v>
      </c>
    </row>
    <row r="134" spans="1:16" x14ac:dyDescent="0.35">
      <c r="A134">
        <v>8</v>
      </c>
      <c r="B134">
        <v>1</v>
      </c>
      <c r="C134" t="s">
        <v>58</v>
      </c>
      <c r="E134" t="s">
        <v>216</v>
      </c>
      <c r="F134" t="s">
        <v>77</v>
      </c>
      <c r="G134" t="s">
        <v>8673</v>
      </c>
      <c r="H134" t="s">
        <v>101</v>
      </c>
      <c r="J134">
        <v>1</v>
      </c>
      <c r="L134" t="s">
        <v>8686</v>
      </c>
      <c r="O134" t="s">
        <v>8710</v>
      </c>
    </row>
    <row r="135" spans="1:16" x14ac:dyDescent="0.35">
      <c r="A135">
        <v>8</v>
      </c>
      <c r="B135">
        <v>1</v>
      </c>
      <c r="C135" t="s">
        <v>59</v>
      </c>
      <c r="E135" t="s">
        <v>217</v>
      </c>
      <c r="F135" t="s">
        <v>78</v>
      </c>
      <c r="H135" t="s">
        <v>103</v>
      </c>
      <c r="J135">
        <v>1</v>
      </c>
      <c r="L135" t="s">
        <v>8687</v>
      </c>
      <c r="O135" t="s">
        <v>8712</v>
      </c>
      <c r="P135" t="s">
        <v>8716</v>
      </c>
    </row>
    <row r="136" spans="1:16" x14ac:dyDescent="0.35">
      <c r="A136">
        <v>8</v>
      </c>
      <c r="B136">
        <v>1</v>
      </c>
      <c r="C136" t="s">
        <v>60</v>
      </c>
      <c r="E136" t="s">
        <v>218</v>
      </c>
      <c r="F136" t="s">
        <v>79</v>
      </c>
      <c r="G136" t="s">
        <v>8675</v>
      </c>
      <c r="H136" t="s">
        <v>104</v>
      </c>
      <c r="J136">
        <v>1</v>
      </c>
      <c r="L136" t="s">
        <v>8688</v>
      </c>
      <c r="O136" t="s">
        <v>8711</v>
      </c>
      <c r="P136" t="s">
        <v>8717</v>
      </c>
    </row>
    <row r="137" spans="1:16" x14ac:dyDescent="0.35">
      <c r="A137">
        <v>8</v>
      </c>
      <c r="B137">
        <v>1</v>
      </c>
      <c r="C137" t="s">
        <v>61</v>
      </c>
      <c r="E137" t="s">
        <v>219</v>
      </c>
      <c r="F137" t="s">
        <v>80</v>
      </c>
      <c r="H137" t="s">
        <v>105</v>
      </c>
      <c r="J137">
        <v>1</v>
      </c>
      <c r="L137" t="s">
        <v>8689</v>
      </c>
      <c r="O137" t="s">
        <v>8713</v>
      </c>
      <c r="P137" t="s">
        <v>8718</v>
      </c>
    </row>
    <row r="138" spans="1:16" x14ac:dyDescent="0.35">
      <c r="A138">
        <v>8</v>
      </c>
      <c r="B138">
        <v>2</v>
      </c>
      <c r="C138" t="s">
        <v>62</v>
      </c>
      <c r="D138" t="s">
        <v>8669</v>
      </c>
      <c r="E138" t="s">
        <v>280</v>
      </c>
      <c r="F138" t="s">
        <v>81</v>
      </c>
      <c r="J138">
        <v>1</v>
      </c>
      <c r="L138" t="s">
        <v>8690</v>
      </c>
      <c r="O138" t="s">
        <v>8710</v>
      </c>
      <c r="P138" t="s">
        <v>8719</v>
      </c>
    </row>
    <row r="139" spans="1:16" x14ac:dyDescent="0.35">
      <c r="A139">
        <v>8</v>
      </c>
      <c r="B139">
        <v>2</v>
      </c>
      <c r="C139" t="s">
        <v>63</v>
      </c>
      <c r="E139" t="s">
        <v>220</v>
      </c>
      <c r="F139" t="s">
        <v>82</v>
      </c>
      <c r="H139" t="s">
        <v>106</v>
      </c>
      <c r="J139">
        <v>1</v>
      </c>
      <c r="L139" t="s">
        <v>8691</v>
      </c>
      <c r="O139" t="s">
        <v>8710</v>
      </c>
    </row>
    <row r="140" spans="1:16" x14ac:dyDescent="0.35">
      <c r="A140">
        <v>8</v>
      </c>
      <c r="B140">
        <v>3</v>
      </c>
      <c r="C140" t="s">
        <v>64</v>
      </c>
      <c r="E140" t="s">
        <v>221</v>
      </c>
      <c r="F140" t="s">
        <v>83</v>
      </c>
      <c r="H140" t="s">
        <v>107</v>
      </c>
      <c r="J140">
        <v>1</v>
      </c>
      <c r="L140" t="s">
        <v>8692</v>
      </c>
      <c r="O140" t="s">
        <v>8712</v>
      </c>
      <c r="P140" t="s">
        <v>8720</v>
      </c>
    </row>
    <row r="141" spans="1:16" x14ac:dyDescent="0.35">
      <c r="A141">
        <v>8</v>
      </c>
      <c r="B141">
        <v>3</v>
      </c>
      <c r="C141" t="s">
        <v>65</v>
      </c>
      <c r="E141" t="s">
        <v>222</v>
      </c>
      <c r="F141" t="s">
        <v>84</v>
      </c>
      <c r="H141" t="s">
        <v>108</v>
      </c>
      <c r="J141">
        <v>1</v>
      </c>
      <c r="L141" t="s">
        <v>8693</v>
      </c>
      <c r="O141" t="s">
        <v>8712</v>
      </c>
      <c r="P141" t="s">
        <v>8721</v>
      </c>
    </row>
    <row r="142" spans="1:16" x14ac:dyDescent="0.35">
      <c r="A142">
        <v>8</v>
      </c>
      <c r="B142">
        <v>3</v>
      </c>
      <c r="C142" t="s">
        <v>66</v>
      </c>
      <c r="E142" t="s">
        <v>231</v>
      </c>
      <c r="F142" t="s">
        <v>94</v>
      </c>
      <c r="H142" t="s">
        <v>118</v>
      </c>
      <c r="J142">
        <v>1</v>
      </c>
      <c r="L142" t="s">
        <v>8704</v>
      </c>
      <c r="O142" t="s">
        <v>8710</v>
      </c>
    </row>
    <row r="143" spans="1:16" x14ac:dyDescent="0.35">
      <c r="A143">
        <v>8</v>
      </c>
      <c r="B143">
        <v>4</v>
      </c>
      <c r="C143" t="s">
        <v>67</v>
      </c>
      <c r="E143" t="s">
        <v>224</v>
      </c>
      <c r="F143" t="s">
        <v>85</v>
      </c>
      <c r="H143" t="s">
        <v>110</v>
      </c>
      <c r="J143">
        <v>1</v>
      </c>
      <c r="L143" t="s">
        <v>8695</v>
      </c>
      <c r="O143" t="s">
        <v>8710</v>
      </c>
    </row>
    <row r="144" spans="1:16" x14ac:dyDescent="0.35">
      <c r="A144">
        <v>8</v>
      </c>
      <c r="B144">
        <v>4</v>
      </c>
      <c r="C144" t="s">
        <v>68</v>
      </c>
      <c r="E144" t="s">
        <v>225</v>
      </c>
      <c r="F144" t="s">
        <v>86</v>
      </c>
      <c r="H144" t="s">
        <v>111</v>
      </c>
      <c r="J144">
        <v>1</v>
      </c>
      <c r="L144" t="s">
        <v>8696</v>
      </c>
      <c r="O144" t="s">
        <v>8710</v>
      </c>
    </row>
    <row r="145" spans="1:16" x14ac:dyDescent="0.35">
      <c r="A145">
        <v>8</v>
      </c>
      <c r="B145">
        <v>4</v>
      </c>
      <c r="C145" t="s">
        <v>69</v>
      </c>
      <c r="E145" t="s">
        <v>87</v>
      </c>
      <c r="F145" t="s">
        <v>87</v>
      </c>
      <c r="H145" t="s">
        <v>112</v>
      </c>
      <c r="J145">
        <v>1</v>
      </c>
      <c r="L145" t="s">
        <v>8697</v>
      </c>
      <c r="O145" t="s">
        <v>8710</v>
      </c>
    </row>
    <row r="146" spans="1:16" x14ac:dyDescent="0.35">
      <c r="A146">
        <v>9</v>
      </c>
      <c r="B146">
        <v>0</v>
      </c>
      <c r="C146" t="s">
        <v>52</v>
      </c>
      <c r="E146" t="s">
        <v>210</v>
      </c>
      <c r="F146" t="s">
        <v>71</v>
      </c>
      <c r="H146" t="s">
        <v>98</v>
      </c>
      <c r="J146">
        <v>1</v>
      </c>
      <c r="L146" t="s">
        <v>8680</v>
      </c>
      <c r="O146" t="s">
        <v>8710</v>
      </c>
    </row>
    <row r="147" spans="1:16" x14ac:dyDescent="0.35">
      <c r="A147">
        <v>9</v>
      </c>
      <c r="B147">
        <v>0</v>
      </c>
      <c r="C147" t="s">
        <v>53</v>
      </c>
      <c r="E147" t="s">
        <v>211</v>
      </c>
      <c r="F147" t="s">
        <v>72</v>
      </c>
      <c r="H147" t="s">
        <v>99</v>
      </c>
      <c r="J147">
        <v>1</v>
      </c>
      <c r="L147" t="s">
        <v>8681</v>
      </c>
      <c r="O147" t="s">
        <v>8711</v>
      </c>
      <c r="P147" t="s">
        <v>8715</v>
      </c>
    </row>
    <row r="148" spans="1:16" x14ac:dyDescent="0.35">
      <c r="A148">
        <v>9</v>
      </c>
      <c r="B148">
        <v>0</v>
      </c>
      <c r="C148" t="s">
        <v>54</v>
      </c>
      <c r="E148" t="s">
        <v>212</v>
      </c>
      <c r="F148" t="s">
        <v>73</v>
      </c>
      <c r="H148" t="s">
        <v>100</v>
      </c>
      <c r="J148">
        <v>1</v>
      </c>
      <c r="L148" t="s">
        <v>8682</v>
      </c>
      <c r="O148" t="s">
        <v>8710</v>
      </c>
    </row>
    <row r="149" spans="1:16" x14ac:dyDescent="0.35">
      <c r="A149">
        <v>9</v>
      </c>
      <c r="B149">
        <v>1</v>
      </c>
      <c r="C149" t="s">
        <v>55</v>
      </c>
      <c r="E149" t="s">
        <v>213</v>
      </c>
      <c r="F149" t="s">
        <v>74</v>
      </c>
      <c r="G149" t="s">
        <v>8673</v>
      </c>
      <c r="H149" t="s">
        <v>101</v>
      </c>
      <c r="J149">
        <v>1</v>
      </c>
      <c r="L149" t="s">
        <v>8683</v>
      </c>
      <c r="O149" t="s">
        <v>8710</v>
      </c>
    </row>
    <row r="150" spans="1:16" x14ac:dyDescent="0.35">
      <c r="A150">
        <v>9</v>
      </c>
      <c r="B150">
        <v>1</v>
      </c>
      <c r="C150" t="s">
        <v>56</v>
      </c>
      <c r="E150" t="s">
        <v>214</v>
      </c>
      <c r="F150" t="s">
        <v>75</v>
      </c>
      <c r="H150" t="s">
        <v>101</v>
      </c>
      <c r="J150">
        <v>1</v>
      </c>
      <c r="L150" t="s">
        <v>8684</v>
      </c>
      <c r="O150" t="s">
        <v>8710</v>
      </c>
    </row>
    <row r="151" spans="1:16" x14ac:dyDescent="0.35">
      <c r="A151">
        <v>9</v>
      </c>
      <c r="B151">
        <v>1</v>
      </c>
      <c r="C151" t="s">
        <v>57</v>
      </c>
      <c r="E151" t="s">
        <v>215</v>
      </c>
      <c r="F151" t="s">
        <v>76</v>
      </c>
      <c r="G151" t="s">
        <v>8674</v>
      </c>
      <c r="H151" t="s">
        <v>102</v>
      </c>
      <c r="J151">
        <v>1</v>
      </c>
      <c r="L151" t="s">
        <v>8685</v>
      </c>
      <c r="O151" t="s">
        <v>8710</v>
      </c>
    </row>
    <row r="152" spans="1:16" x14ac:dyDescent="0.35">
      <c r="A152">
        <v>9</v>
      </c>
      <c r="B152">
        <v>1</v>
      </c>
      <c r="C152" t="s">
        <v>58</v>
      </c>
      <c r="E152" t="s">
        <v>216</v>
      </c>
      <c r="F152" t="s">
        <v>77</v>
      </c>
      <c r="G152" t="s">
        <v>8673</v>
      </c>
      <c r="H152" t="s">
        <v>101</v>
      </c>
      <c r="J152">
        <v>1</v>
      </c>
      <c r="L152" t="s">
        <v>8686</v>
      </c>
      <c r="O152" t="s">
        <v>8710</v>
      </c>
    </row>
    <row r="153" spans="1:16" x14ac:dyDescent="0.35">
      <c r="A153">
        <v>9</v>
      </c>
      <c r="B153">
        <v>1</v>
      </c>
      <c r="C153" t="s">
        <v>59</v>
      </c>
      <c r="E153" t="s">
        <v>217</v>
      </c>
      <c r="F153" t="s">
        <v>78</v>
      </c>
      <c r="H153" t="s">
        <v>103</v>
      </c>
      <c r="J153">
        <v>1</v>
      </c>
      <c r="L153" t="s">
        <v>8687</v>
      </c>
      <c r="O153" t="s">
        <v>8712</v>
      </c>
      <c r="P153" t="s">
        <v>8716</v>
      </c>
    </row>
    <row r="154" spans="1:16" x14ac:dyDescent="0.35">
      <c r="A154">
        <v>9</v>
      </c>
      <c r="B154">
        <v>1</v>
      </c>
      <c r="C154" t="s">
        <v>60</v>
      </c>
      <c r="E154" t="s">
        <v>218</v>
      </c>
      <c r="F154" t="s">
        <v>79</v>
      </c>
      <c r="G154" t="s">
        <v>8675</v>
      </c>
      <c r="H154" t="s">
        <v>104</v>
      </c>
      <c r="J154">
        <v>1</v>
      </c>
      <c r="L154" t="s">
        <v>8688</v>
      </c>
      <c r="O154" t="s">
        <v>8711</v>
      </c>
      <c r="P154" t="s">
        <v>8717</v>
      </c>
    </row>
    <row r="155" spans="1:16" x14ac:dyDescent="0.35">
      <c r="A155">
        <v>9</v>
      </c>
      <c r="B155">
        <v>1</v>
      </c>
      <c r="C155" t="s">
        <v>61</v>
      </c>
      <c r="E155" t="s">
        <v>219</v>
      </c>
      <c r="F155" t="s">
        <v>80</v>
      </c>
      <c r="H155" t="s">
        <v>105</v>
      </c>
      <c r="J155">
        <v>1</v>
      </c>
      <c r="L155" t="s">
        <v>8689</v>
      </c>
      <c r="O155" t="s">
        <v>8713</v>
      </c>
      <c r="P155" t="s">
        <v>8718</v>
      </c>
    </row>
    <row r="156" spans="1:16" x14ac:dyDescent="0.35">
      <c r="A156">
        <v>9</v>
      </c>
      <c r="B156">
        <v>2</v>
      </c>
      <c r="C156" t="s">
        <v>62</v>
      </c>
      <c r="D156" t="s">
        <v>8669</v>
      </c>
      <c r="E156" t="s">
        <v>280</v>
      </c>
      <c r="F156" t="s">
        <v>81</v>
      </c>
      <c r="J156">
        <v>1</v>
      </c>
      <c r="L156" t="s">
        <v>8690</v>
      </c>
      <c r="O156" t="s">
        <v>8710</v>
      </c>
      <c r="P156" t="s">
        <v>8719</v>
      </c>
    </row>
    <row r="157" spans="1:16" x14ac:dyDescent="0.35">
      <c r="A157">
        <v>9</v>
      </c>
      <c r="B157">
        <v>2</v>
      </c>
      <c r="C157" t="s">
        <v>63</v>
      </c>
      <c r="E157" t="s">
        <v>220</v>
      </c>
      <c r="F157" t="s">
        <v>82</v>
      </c>
      <c r="H157" t="s">
        <v>106</v>
      </c>
      <c r="J157">
        <v>1</v>
      </c>
      <c r="L157" t="s">
        <v>8691</v>
      </c>
      <c r="O157" t="s">
        <v>8710</v>
      </c>
    </row>
    <row r="158" spans="1:16" x14ac:dyDescent="0.35">
      <c r="A158">
        <v>9</v>
      </c>
      <c r="B158">
        <v>3</v>
      </c>
      <c r="C158" t="s">
        <v>64</v>
      </c>
      <c r="E158" t="s">
        <v>221</v>
      </c>
      <c r="F158" t="s">
        <v>83</v>
      </c>
      <c r="H158" t="s">
        <v>107</v>
      </c>
      <c r="J158">
        <v>1</v>
      </c>
      <c r="L158" t="s">
        <v>8692</v>
      </c>
      <c r="O158" t="s">
        <v>8712</v>
      </c>
      <c r="P158" t="s">
        <v>8720</v>
      </c>
    </row>
    <row r="159" spans="1:16" x14ac:dyDescent="0.35">
      <c r="A159">
        <v>9</v>
      </c>
      <c r="B159">
        <v>3</v>
      </c>
      <c r="C159" t="s">
        <v>65</v>
      </c>
      <c r="E159" t="s">
        <v>222</v>
      </c>
      <c r="F159" t="s">
        <v>84</v>
      </c>
      <c r="H159" t="s">
        <v>108</v>
      </c>
      <c r="J159">
        <v>1</v>
      </c>
      <c r="L159" t="s">
        <v>8693</v>
      </c>
      <c r="O159" t="s">
        <v>8712</v>
      </c>
      <c r="P159" t="s">
        <v>8721</v>
      </c>
    </row>
    <row r="160" spans="1:16" x14ac:dyDescent="0.35">
      <c r="A160">
        <v>9</v>
      </c>
      <c r="B160">
        <v>3</v>
      </c>
      <c r="C160" t="s">
        <v>66</v>
      </c>
      <c r="E160" t="s">
        <v>232</v>
      </c>
      <c r="F160" t="s">
        <v>95</v>
      </c>
      <c r="H160" t="s">
        <v>119</v>
      </c>
      <c r="J160">
        <v>1</v>
      </c>
      <c r="L160" t="s">
        <v>8705</v>
      </c>
      <c r="O160" t="s">
        <v>8710</v>
      </c>
    </row>
    <row r="161" spans="1:16" x14ac:dyDescent="0.35">
      <c r="A161">
        <v>9</v>
      </c>
      <c r="B161">
        <v>4</v>
      </c>
      <c r="C161" t="s">
        <v>67</v>
      </c>
      <c r="E161" t="s">
        <v>224</v>
      </c>
      <c r="F161" t="s">
        <v>85</v>
      </c>
      <c r="H161" t="s">
        <v>110</v>
      </c>
      <c r="J161">
        <v>1</v>
      </c>
      <c r="L161" t="s">
        <v>8695</v>
      </c>
      <c r="O161" t="s">
        <v>8710</v>
      </c>
    </row>
    <row r="162" spans="1:16" x14ac:dyDescent="0.35">
      <c r="A162">
        <v>9</v>
      </c>
      <c r="B162">
        <v>4</v>
      </c>
      <c r="C162" t="s">
        <v>68</v>
      </c>
      <c r="E162" t="s">
        <v>225</v>
      </c>
      <c r="F162" t="s">
        <v>86</v>
      </c>
      <c r="H162" t="s">
        <v>111</v>
      </c>
      <c r="J162">
        <v>1</v>
      </c>
      <c r="L162" t="s">
        <v>8696</v>
      </c>
      <c r="O162" t="s">
        <v>8710</v>
      </c>
    </row>
    <row r="163" spans="1:16" x14ac:dyDescent="0.35">
      <c r="A163">
        <v>9</v>
      </c>
      <c r="B163">
        <v>4</v>
      </c>
      <c r="C163" t="s">
        <v>69</v>
      </c>
      <c r="E163" t="s">
        <v>87</v>
      </c>
      <c r="F163" t="s">
        <v>87</v>
      </c>
      <c r="H163" t="s">
        <v>112</v>
      </c>
      <c r="J163">
        <v>1</v>
      </c>
      <c r="L163" t="s">
        <v>8697</v>
      </c>
      <c r="O163" t="s">
        <v>8710</v>
      </c>
    </row>
    <row r="164" spans="1:16" x14ac:dyDescent="0.35">
      <c r="A164">
        <v>10</v>
      </c>
      <c r="B164">
        <v>0</v>
      </c>
      <c r="C164" t="s">
        <v>52</v>
      </c>
      <c r="E164" t="s">
        <v>210</v>
      </c>
      <c r="F164" t="s">
        <v>71</v>
      </c>
      <c r="H164" t="s">
        <v>98</v>
      </c>
      <c r="J164">
        <v>1</v>
      </c>
      <c r="L164" t="s">
        <v>8680</v>
      </c>
      <c r="O164" t="s">
        <v>8710</v>
      </c>
    </row>
    <row r="165" spans="1:16" x14ac:dyDescent="0.35">
      <c r="A165">
        <v>10</v>
      </c>
      <c r="B165">
        <v>0</v>
      </c>
      <c r="C165" t="s">
        <v>53</v>
      </c>
      <c r="E165" t="s">
        <v>211</v>
      </c>
      <c r="F165" t="s">
        <v>72</v>
      </c>
      <c r="H165" t="s">
        <v>99</v>
      </c>
      <c r="J165">
        <v>1</v>
      </c>
      <c r="L165" t="s">
        <v>8681</v>
      </c>
      <c r="O165" t="s">
        <v>8711</v>
      </c>
      <c r="P165" t="s">
        <v>8715</v>
      </c>
    </row>
    <row r="166" spans="1:16" x14ac:dyDescent="0.35">
      <c r="A166">
        <v>10</v>
      </c>
      <c r="B166">
        <v>0</v>
      </c>
      <c r="C166" t="s">
        <v>54</v>
      </c>
      <c r="E166" t="s">
        <v>212</v>
      </c>
      <c r="F166" t="s">
        <v>73</v>
      </c>
      <c r="H166" t="s">
        <v>100</v>
      </c>
      <c r="J166">
        <v>1</v>
      </c>
      <c r="L166" t="s">
        <v>8682</v>
      </c>
      <c r="O166" t="s">
        <v>8710</v>
      </c>
    </row>
    <row r="167" spans="1:16" x14ac:dyDescent="0.35">
      <c r="A167">
        <v>10</v>
      </c>
      <c r="B167">
        <v>1</v>
      </c>
      <c r="C167" t="s">
        <v>55</v>
      </c>
      <c r="E167" t="s">
        <v>213</v>
      </c>
      <c r="F167" t="s">
        <v>74</v>
      </c>
      <c r="G167" t="s">
        <v>8673</v>
      </c>
      <c r="H167" t="s">
        <v>101</v>
      </c>
      <c r="J167">
        <v>1</v>
      </c>
      <c r="L167" t="s">
        <v>8683</v>
      </c>
      <c r="O167" t="s">
        <v>8710</v>
      </c>
    </row>
    <row r="168" spans="1:16" x14ac:dyDescent="0.35">
      <c r="A168">
        <v>10</v>
      </c>
      <c r="B168">
        <v>1</v>
      </c>
      <c r="C168" t="s">
        <v>56</v>
      </c>
      <c r="E168" t="s">
        <v>214</v>
      </c>
      <c r="F168" t="s">
        <v>75</v>
      </c>
      <c r="H168" t="s">
        <v>101</v>
      </c>
      <c r="J168">
        <v>1</v>
      </c>
      <c r="L168" t="s">
        <v>8684</v>
      </c>
      <c r="O168" t="s">
        <v>8710</v>
      </c>
    </row>
    <row r="169" spans="1:16" x14ac:dyDescent="0.35">
      <c r="A169">
        <v>10</v>
      </c>
      <c r="B169">
        <v>1</v>
      </c>
      <c r="C169" t="s">
        <v>57</v>
      </c>
      <c r="E169" t="s">
        <v>215</v>
      </c>
      <c r="F169" t="s">
        <v>76</v>
      </c>
      <c r="G169" t="s">
        <v>8674</v>
      </c>
      <c r="H169" t="s">
        <v>102</v>
      </c>
      <c r="J169">
        <v>1</v>
      </c>
      <c r="L169" t="s">
        <v>8685</v>
      </c>
      <c r="O169" t="s">
        <v>8710</v>
      </c>
    </row>
    <row r="170" spans="1:16" x14ac:dyDescent="0.35">
      <c r="A170">
        <v>10</v>
      </c>
      <c r="B170">
        <v>1</v>
      </c>
      <c r="C170" t="s">
        <v>58</v>
      </c>
      <c r="E170" t="s">
        <v>216</v>
      </c>
      <c r="F170" t="s">
        <v>77</v>
      </c>
      <c r="G170" t="s">
        <v>8673</v>
      </c>
      <c r="H170" t="s">
        <v>101</v>
      </c>
      <c r="J170">
        <v>1</v>
      </c>
      <c r="L170" t="s">
        <v>8686</v>
      </c>
      <c r="O170" t="s">
        <v>8710</v>
      </c>
    </row>
    <row r="171" spans="1:16" x14ac:dyDescent="0.35">
      <c r="A171">
        <v>10</v>
      </c>
      <c r="B171">
        <v>1</v>
      </c>
      <c r="C171" t="s">
        <v>59</v>
      </c>
      <c r="E171" t="s">
        <v>217</v>
      </c>
      <c r="F171" t="s">
        <v>78</v>
      </c>
      <c r="H171" t="s">
        <v>103</v>
      </c>
      <c r="J171">
        <v>1</v>
      </c>
      <c r="L171" t="s">
        <v>8687</v>
      </c>
      <c r="O171" t="s">
        <v>8712</v>
      </c>
      <c r="P171" t="s">
        <v>8716</v>
      </c>
    </row>
    <row r="172" spans="1:16" x14ac:dyDescent="0.35">
      <c r="A172">
        <v>10</v>
      </c>
      <c r="B172">
        <v>1</v>
      </c>
      <c r="C172" t="s">
        <v>60</v>
      </c>
      <c r="E172" t="s">
        <v>218</v>
      </c>
      <c r="F172" t="s">
        <v>79</v>
      </c>
      <c r="G172" t="s">
        <v>8675</v>
      </c>
      <c r="H172" t="s">
        <v>104</v>
      </c>
      <c r="J172">
        <v>1</v>
      </c>
      <c r="L172" t="s">
        <v>8688</v>
      </c>
      <c r="O172" t="s">
        <v>8711</v>
      </c>
      <c r="P172" t="s">
        <v>8717</v>
      </c>
    </row>
    <row r="173" spans="1:16" x14ac:dyDescent="0.35">
      <c r="A173">
        <v>10</v>
      </c>
      <c r="B173">
        <v>1</v>
      </c>
      <c r="C173" t="s">
        <v>61</v>
      </c>
      <c r="E173" t="s">
        <v>219</v>
      </c>
      <c r="F173" t="s">
        <v>80</v>
      </c>
      <c r="H173" t="s">
        <v>105</v>
      </c>
      <c r="J173">
        <v>1</v>
      </c>
      <c r="L173" t="s">
        <v>8689</v>
      </c>
      <c r="O173" t="s">
        <v>8713</v>
      </c>
      <c r="P173" t="s">
        <v>8718</v>
      </c>
    </row>
    <row r="174" spans="1:16" x14ac:dyDescent="0.35">
      <c r="A174">
        <v>10</v>
      </c>
      <c r="B174">
        <v>2</v>
      </c>
      <c r="C174" t="s">
        <v>62</v>
      </c>
      <c r="D174" t="s">
        <v>8669</v>
      </c>
      <c r="E174" t="s">
        <v>280</v>
      </c>
      <c r="F174" t="s">
        <v>81</v>
      </c>
      <c r="J174">
        <v>1</v>
      </c>
      <c r="L174" t="s">
        <v>8690</v>
      </c>
      <c r="O174" t="s">
        <v>8710</v>
      </c>
      <c r="P174" t="s">
        <v>8719</v>
      </c>
    </row>
    <row r="175" spans="1:16" x14ac:dyDescent="0.35">
      <c r="A175">
        <v>10</v>
      </c>
      <c r="B175">
        <v>2</v>
      </c>
      <c r="C175" t="s">
        <v>63</v>
      </c>
      <c r="E175" t="s">
        <v>220</v>
      </c>
      <c r="F175" t="s">
        <v>82</v>
      </c>
      <c r="H175" t="s">
        <v>106</v>
      </c>
      <c r="J175">
        <v>1</v>
      </c>
      <c r="L175" t="s">
        <v>8691</v>
      </c>
      <c r="O175" t="s">
        <v>8710</v>
      </c>
    </row>
    <row r="176" spans="1:16" x14ac:dyDescent="0.35">
      <c r="A176">
        <v>10</v>
      </c>
      <c r="B176">
        <v>3</v>
      </c>
      <c r="C176" t="s">
        <v>64</v>
      </c>
      <c r="E176" t="s">
        <v>221</v>
      </c>
      <c r="F176" t="s">
        <v>83</v>
      </c>
      <c r="H176" t="s">
        <v>107</v>
      </c>
      <c r="J176">
        <v>1</v>
      </c>
      <c r="L176" t="s">
        <v>8692</v>
      </c>
      <c r="O176" t="s">
        <v>8712</v>
      </c>
      <c r="P176" t="s">
        <v>8720</v>
      </c>
    </row>
    <row r="177" spans="1:16" x14ac:dyDescent="0.35">
      <c r="A177">
        <v>10</v>
      </c>
      <c r="B177">
        <v>3</v>
      </c>
      <c r="C177" t="s">
        <v>65</v>
      </c>
      <c r="E177" t="s">
        <v>222</v>
      </c>
      <c r="F177" t="s">
        <v>84</v>
      </c>
      <c r="H177" t="s">
        <v>108</v>
      </c>
      <c r="J177">
        <v>1</v>
      </c>
      <c r="L177" t="s">
        <v>8693</v>
      </c>
      <c r="O177" t="s">
        <v>8712</v>
      </c>
      <c r="P177" t="s">
        <v>8721</v>
      </c>
    </row>
    <row r="178" spans="1:16" x14ac:dyDescent="0.35">
      <c r="A178">
        <v>10</v>
      </c>
      <c r="B178">
        <v>3</v>
      </c>
      <c r="C178" t="s">
        <v>66</v>
      </c>
      <c r="E178" t="s">
        <v>233</v>
      </c>
      <c r="F178" t="s">
        <v>96</v>
      </c>
      <c r="H178" t="s">
        <v>118</v>
      </c>
      <c r="J178">
        <v>1</v>
      </c>
      <c r="L178" t="s">
        <v>8706</v>
      </c>
      <c r="O178" t="s">
        <v>8710</v>
      </c>
    </row>
    <row r="179" spans="1:16" x14ac:dyDescent="0.35">
      <c r="A179">
        <v>10</v>
      </c>
      <c r="B179">
        <v>4</v>
      </c>
      <c r="C179" t="s">
        <v>67</v>
      </c>
      <c r="E179" t="s">
        <v>224</v>
      </c>
      <c r="F179" t="s">
        <v>85</v>
      </c>
      <c r="H179" t="s">
        <v>110</v>
      </c>
      <c r="J179">
        <v>1</v>
      </c>
      <c r="L179" t="s">
        <v>8695</v>
      </c>
      <c r="O179" t="s">
        <v>8710</v>
      </c>
    </row>
    <row r="180" spans="1:16" x14ac:dyDescent="0.35">
      <c r="A180">
        <v>10</v>
      </c>
      <c r="B180">
        <v>4</v>
      </c>
      <c r="C180" t="s">
        <v>68</v>
      </c>
      <c r="E180" t="s">
        <v>225</v>
      </c>
      <c r="F180" t="s">
        <v>86</v>
      </c>
      <c r="H180" t="s">
        <v>111</v>
      </c>
      <c r="J180">
        <v>1</v>
      </c>
      <c r="L180" t="s">
        <v>8696</v>
      </c>
      <c r="O180" t="s">
        <v>8710</v>
      </c>
    </row>
    <row r="181" spans="1:16" x14ac:dyDescent="0.35">
      <c r="A181">
        <v>10</v>
      </c>
      <c r="B181">
        <v>4</v>
      </c>
      <c r="C181" t="s">
        <v>69</v>
      </c>
      <c r="E181" t="s">
        <v>87</v>
      </c>
      <c r="F181" t="s">
        <v>87</v>
      </c>
      <c r="H181" t="s">
        <v>112</v>
      </c>
      <c r="J181">
        <v>1</v>
      </c>
      <c r="L181" t="s">
        <v>8697</v>
      </c>
      <c r="O181" t="s">
        <v>8710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workbookViewId="0"/>
  </sheetViews>
  <sheetFormatPr defaultRowHeight="14.5" x14ac:dyDescent="0.35"/>
  <cols>
    <col min="1" max="1" width="14.1796875" customWidth="1"/>
    <col min="2" max="2" width="18" customWidth="1"/>
    <col min="3" max="3" width="34.26953125" customWidth="1"/>
    <col min="4" max="4" width="19.1796875" customWidth="1"/>
    <col min="5" max="5" width="67" customWidth="1"/>
    <col min="6" max="6" width="67.7265625" customWidth="1"/>
    <col min="7" max="7" width="66.453125" customWidth="1"/>
    <col min="8" max="8" width="67.7265625" customWidth="1"/>
  </cols>
  <sheetData>
    <row r="1" spans="1:8" x14ac:dyDescent="0.35">
      <c r="A1" t="s">
        <v>8723</v>
      </c>
      <c r="B1" t="s">
        <v>8724</v>
      </c>
      <c r="C1" t="s">
        <v>8725</v>
      </c>
      <c r="D1" t="s">
        <v>8728</v>
      </c>
      <c r="E1" t="s">
        <v>8729</v>
      </c>
      <c r="F1" t="s">
        <v>8748</v>
      </c>
      <c r="G1" t="s">
        <v>8766</v>
      </c>
      <c r="H1" t="s">
        <v>8782</v>
      </c>
    </row>
    <row r="2" spans="1:8" x14ac:dyDescent="0.35">
      <c r="A2" t="s">
        <v>98</v>
      </c>
      <c r="B2" t="s">
        <v>98</v>
      </c>
      <c r="C2" t="s">
        <v>8726</v>
      </c>
      <c r="D2" t="s">
        <v>175</v>
      </c>
      <c r="E2" t="s">
        <v>8730</v>
      </c>
      <c r="F2" t="s">
        <v>8749</v>
      </c>
      <c r="G2" t="s">
        <v>8767</v>
      </c>
      <c r="H2" t="s">
        <v>8783</v>
      </c>
    </row>
    <row r="3" spans="1:8" x14ac:dyDescent="0.35">
      <c r="A3" t="s">
        <v>99</v>
      </c>
      <c r="B3" t="s">
        <v>99</v>
      </c>
      <c r="C3" t="s">
        <v>8727</v>
      </c>
      <c r="D3" t="s">
        <v>175</v>
      </c>
      <c r="E3" t="s">
        <v>8731</v>
      </c>
      <c r="F3" t="s">
        <v>8750</v>
      </c>
      <c r="G3" t="s">
        <v>8768</v>
      </c>
      <c r="H3" t="s">
        <v>8784</v>
      </c>
    </row>
    <row r="4" spans="1:8" x14ac:dyDescent="0.35">
      <c r="A4" t="s">
        <v>100</v>
      </c>
      <c r="B4" t="s">
        <v>100</v>
      </c>
      <c r="C4" t="s">
        <v>8726</v>
      </c>
      <c r="D4" t="s">
        <v>175</v>
      </c>
      <c r="E4" t="s">
        <v>8732</v>
      </c>
      <c r="F4" t="s">
        <v>8751</v>
      </c>
      <c r="G4" t="s">
        <v>8769</v>
      </c>
      <c r="H4" t="s">
        <v>8785</v>
      </c>
    </row>
    <row r="5" spans="1:8" x14ac:dyDescent="0.35">
      <c r="A5" t="s">
        <v>101</v>
      </c>
      <c r="B5" t="s">
        <v>101</v>
      </c>
      <c r="C5" t="s">
        <v>8726</v>
      </c>
      <c r="D5" t="s">
        <v>175</v>
      </c>
      <c r="E5" t="s">
        <v>8733</v>
      </c>
      <c r="F5" t="s">
        <v>8752</v>
      </c>
      <c r="G5" t="s">
        <v>8770</v>
      </c>
      <c r="H5" t="s">
        <v>8771</v>
      </c>
    </row>
    <row r="6" spans="1:8" x14ac:dyDescent="0.35">
      <c r="A6" t="s">
        <v>102</v>
      </c>
      <c r="B6" t="s">
        <v>102</v>
      </c>
      <c r="C6" t="s">
        <v>8726</v>
      </c>
      <c r="D6" t="s">
        <v>175</v>
      </c>
      <c r="E6" t="s">
        <v>8734</v>
      </c>
      <c r="F6" t="s">
        <v>8753</v>
      </c>
      <c r="G6" t="s">
        <v>8771</v>
      </c>
      <c r="H6" t="s">
        <v>8786</v>
      </c>
    </row>
    <row r="7" spans="1:8" x14ac:dyDescent="0.35">
      <c r="A7" t="s">
        <v>156</v>
      </c>
      <c r="B7" t="s">
        <v>156</v>
      </c>
      <c r="C7" t="s">
        <v>8726</v>
      </c>
      <c r="D7" t="s">
        <v>175</v>
      </c>
      <c r="E7" t="s">
        <v>8735</v>
      </c>
      <c r="F7" t="s">
        <v>8754</v>
      </c>
      <c r="G7" t="s">
        <v>8772</v>
      </c>
      <c r="H7" t="s">
        <v>8787</v>
      </c>
    </row>
    <row r="8" spans="1:8" x14ac:dyDescent="0.35">
      <c r="A8" t="s">
        <v>235</v>
      </c>
      <c r="B8" t="s">
        <v>235</v>
      </c>
      <c r="C8" t="s">
        <v>8726</v>
      </c>
      <c r="D8" t="s">
        <v>175</v>
      </c>
      <c r="E8" t="s">
        <v>8736</v>
      </c>
      <c r="F8" t="s">
        <v>8755</v>
      </c>
      <c r="G8" t="s">
        <v>8773</v>
      </c>
      <c r="H8" t="s">
        <v>8788</v>
      </c>
    </row>
    <row r="9" spans="1:8" x14ac:dyDescent="0.35">
      <c r="A9" t="s">
        <v>104</v>
      </c>
      <c r="B9" t="s">
        <v>104</v>
      </c>
      <c r="C9" t="s">
        <v>8726</v>
      </c>
      <c r="D9" t="s">
        <v>175</v>
      </c>
      <c r="E9" t="s">
        <v>8737</v>
      </c>
      <c r="F9" t="s">
        <v>8756</v>
      </c>
      <c r="G9" t="s">
        <v>8764</v>
      </c>
      <c r="H9" t="s">
        <v>8789</v>
      </c>
    </row>
    <row r="10" spans="1:8" x14ac:dyDescent="0.35">
      <c r="A10" t="s">
        <v>105</v>
      </c>
      <c r="B10" t="s">
        <v>105</v>
      </c>
      <c r="C10" t="s">
        <v>8726</v>
      </c>
      <c r="D10" t="s">
        <v>175</v>
      </c>
      <c r="E10" t="s">
        <v>8738</v>
      </c>
      <c r="F10" t="s">
        <v>8750</v>
      </c>
      <c r="G10" t="s">
        <v>8739</v>
      </c>
      <c r="H10" t="s">
        <v>8790</v>
      </c>
    </row>
    <row r="11" spans="1:8" x14ac:dyDescent="0.35">
      <c r="A11" t="s">
        <v>106</v>
      </c>
      <c r="B11" t="s">
        <v>106</v>
      </c>
      <c r="C11" t="s">
        <v>8726</v>
      </c>
      <c r="D11" t="s">
        <v>175</v>
      </c>
      <c r="E11" t="s">
        <v>8739</v>
      </c>
      <c r="F11" t="s">
        <v>8750</v>
      </c>
      <c r="G11" t="s">
        <v>8774</v>
      </c>
      <c r="H11" t="s">
        <v>8790</v>
      </c>
    </row>
    <row r="12" spans="1:8" x14ac:dyDescent="0.35">
      <c r="A12" t="s">
        <v>107</v>
      </c>
      <c r="B12" t="s">
        <v>107</v>
      </c>
      <c r="C12" t="s">
        <v>8726</v>
      </c>
      <c r="D12" t="s">
        <v>175</v>
      </c>
      <c r="E12" t="s">
        <v>8740</v>
      </c>
      <c r="F12" t="s">
        <v>8757</v>
      </c>
      <c r="G12" t="s">
        <v>8775</v>
      </c>
      <c r="H12" t="s">
        <v>8791</v>
      </c>
    </row>
    <row r="13" spans="1:8" x14ac:dyDescent="0.35">
      <c r="A13" t="s">
        <v>108</v>
      </c>
      <c r="B13" t="s">
        <v>108</v>
      </c>
      <c r="C13" t="s">
        <v>8726</v>
      </c>
      <c r="D13" t="s">
        <v>175</v>
      </c>
      <c r="E13" t="s">
        <v>8741</v>
      </c>
      <c r="F13" t="s">
        <v>8758</v>
      </c>
      <c r="G13" t="s">
        <v>8776</v>
      </c>
      <c r="H13" t="s">
        <v>8792</v>
      </c>
    </row>
    <row r="14" spans="1:8" x14ac:dyDescent="0.35">
      <c r="A14" t="s">
        <v>109</v>
      </c>
      <c r="B14" t="s">
        <v>109</v>
      </c>
      <c r="C14" t="s">
        <v>8726</v>
      </c>
      <c r="D14" t="s">
        <v>175</v>
      </c>
      <c r="E14" t="s">
        <v>8742</v>
      </c>
      <c r="F14" t="s">
        <v>8759</v>
      </c>
      <c r="G14" t="s">
        <v>8764</v>
      </c>
      <c r="H14" t="s">
        <v>8786</v>
      </c>
    </row>
    <row r="15" spans="1:8" x14ac:dyDescent="0.35">
      <c r="A15" t="s">
        <v>111</v>
      </c>
      <c r="B15" t="s">
        <v>111</v>
      </c>
      <c r="C15" t="s">
        <v>8726</v>
      </c>
      <c r="D15" t="s">
        <v>175</v>
      </c>
      <c r="E15" t="s">
        <v>8743</v>
      </c>
      <c r="F15" t="s">
        <v>8760</v>
      </c>
      <c r="G15" t="s">
        <v>8777</v>
      </c>
      <c r="H15" t="s">
        <v>8793</v>
      </c>
    </row>
    <row r="16" spans="1:8" x14ac:dyDescent="0.35">
      <c r="A16" t="s">
        <v>236</v>
      </c>
      <c r="B16" t="s">
        <v>236</v>
      </c>
      <c r="C16" t="s">
        <v>8726</v>
      </c>
      <c r="D16" t="s">
        <v>175</v>
      </c>
      <c r="E16" t="s">
        <v>8744</v>
      </c>
      <c r="F16" t="s">
        <v>8761</v>
      </c>
      <c r="G16" t="s">
        <v>8778</v>
      </c>
      <c r="H16" t="s">
        <v>8794</v>
      </c>
    </row>
    <row r="17" spans="1:8" x14ac:dyDescent="0.35">
      <c r="A17" t="s">
        <v>113</v>
      </c>
      <c r="B17" t="s">
        <v>113</v>
      </c>
      <c r="C17" t="s">
        <v>8726</v>
      </c>
      <c r="D17" t="s">
        <v>175</v>
      </c>
      <c r="E17" t="s">
        <v>8741</v>
      </c>
      <c r="F17" t="s">
        <v>8762</v>
      </c>
      <c r="G17" t="s">
        <v>8779</v>
      </c>
      <c r="H17" t="s">
        <v>8795</v>
      </c>
    </row>
    <row r="18" spans="1:8" x14ac:dyDescent="0.35">
      <c r="A18" t="s">
        <v>114</v>
      </c>
      <c r="B18" t="s">
        <v>114</v>
      </c>
      <c r="C18" t="s">
        <v>8726</v>
      </c>
      <c r="D18" t="s">
        <v>175</v>
      </c>
      <c r="E18" t="s">
        <v>8739</v>
      </c>
      <c r="F18" t="s">
        <v>8750</v>
      </c>
      <c r="G18" t="s">
        <v>8774</v>
      </c>
      <c r="H18" t="s">
        <v>8774</v>
      </c>
    </row>
    <row r="19" spans="1:8" x14ac:dyDescent="0.35">
      <c r="A19" t="s">
        <v>115</v>
      </c>
      <c r="B19" t="s">
        <v>115</v>
      </c>
      <c r="C19" t="s">
        <v>8726</v>
      </c>
      <c r="D19" t="s">
        <v>175</v>
      </c>
      <c r="E19" t="s">
        <v>8731</v>
      </c>
      <c r="F19" t="s">
        <v>8750</v>
      </c>
      <c r="G19" t="s">
        <v>8774</v>
      </c>
      <c r="H19" t="s">
        <v>8774</v>
      </c>
    </row>
    <row r="20" spans="1:8" x14ac:dyDescent="0.35">
      <c r="A20" t="s">
        <v>116</v>
      </c>
      <c r="B20" t="s">
        <v>116</v>
      </c>
      <c r="C20" t="s">
        <v>8726</v>
      </c>
      <c r="D20" t="s">
        <v>175</v>
      </c>
      <c r="E20" t="s">
        <v>8745</v>
      </c>
      <c r="F20" t="s">
        <v>8763</v>
      </c>
      <c r="G20" t="s">
        <v>8746</v>
      </c>
      <c r="H20" t="s">
        <v>8735</v>
      </c>
    </row>
    <row r="21" spans="1:8" x14ac:dyDescent="0.35">
      <c r="A21" t="s">
        <v>117</v>
      </c>
      <c r="B21" t="s">
        <v>117</v>
      </c>
      <c r="C21" t="s">
        <v>8726</v>
      </c>
      <c r="D21" t="s">
        <v>175</v>
      </c>
      <c r="E21" t="s">
        <v>8746</v>
      </c>
      <c r="F21" t="s">
        <v>8764</v>
      </c>
      <c r="G21" t="s">
        <v>8780</v>
      </c>
      <c r="H21" t="s">
        <v>8796</v>
      </c>
    </row>
    <row r="22" spans="1:8" x14ac:dyDescent="0.35">
      <c r="A22" t="s">
        <v>118</v>
      </c>
      <c r="B22" t="s">
        <v>118</v>
      </c>
      <c r="C22" t="s">
        <v>8726</v>
      </c>
      <c r="D22" t="s">
        <v>175</v>
      </c>
      <c r="E22" t="s">
        <v>8747</v>
      </c>
      <c r="F22" t="s">
        <v>8765</v>
      </c>
      <c r="G22" t="s">
        <v>8781</v>
      </c>
      <c r="H22" t="s">
        <v>8730</v>
      </c>
    </row>
    <row r="23" spans="1:8" x14ac:dyDescent="0.35">
      <c r="A23" t="s">
        <v>119</v>
      </c>
      <c r="B23" t="s">
        <v>119</v>
      </c>
      <c r="C23" t="s">
        <v>8727</v>
      </c>
      <c r="D23" t="s">
        <v>175</v>
      </c>
      <c r="E23" t="s">
        <v>8731</v>
      </c>
      <c r="F23" t="s">
        <v>8750</v>
      </c>
      <c r="G23" t="s">
        <v>8768</v>
      </c>
      <c r="H23" t="s">
        <v>8784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/>
  </sheetViews>
  <sheetFormatPr defaultRowHeight="14.5" x14ac:dyDescent="0.35"/>
  <cols>
    <col min="1" max="1" width="14.1796875" customWidth="1"/>
    <col min="2" max="2" width="18" customWidth="1"/>
    <col min="3" max="3" width="34.26953125" customWidth="1"/>
    <col min="4" max="4" width="5" customWidth="1"/>
    <col min="5" max="5" width="34.54296875" customWidth="1"/>
    <col min="6" max="6" width="33" customWidth="1"/>
    <col min="7" max="7" width="29.453125" customWidth="1"/>
  </cols>
  <sheetData>
    <row r="1" spans="1:7" x14ac:dyDescent="0.35">
      <c r="A1" t="s">
        <v>8723</v>
      </c>
      <c r="B1" t="s">
        <v>8724</v>
      </c>
      <c r="C1" t="s">
        <v>8797</v>
      </c>
      <c r="D1" t="s">
        <v>8798</v>
      </c>
      <c r="E1" t="s">
        <v>8799</v>
      </c>
      <c r="F1" t="s">
        <v>8800</v>
      </c>
      <c r="G1" t="s">
        <v>8801</v>
      </c>
    </row>
    <row r="2" spans="1:7" x14ac:dyDescent="0.35">
      <c r="A2" t="s">
        <v>98</v>
      </c>
      <c r="B2" t="s">
        <v>98</v>
      </c>
      <c r="C2" t="s">
        <v>8726</v>
      </c>
      <c r="E2">
        <v>187</v>
      </c>
      <c r="F2">
        <v>0</v>
      </c>
    </row>
    <row r="3" spans="1:7" x14ac:dyDescent="0.35">
      <c r="A3" t="s">
        <v>99</v>
      </c>
      <c r="B3" t="s">
        <v>99</v>
      </c>
      <c r="C3" t="s">
        <v>8727</v>
      </c>
      <c r="E3">
        <v>0</v>
      </c>
      <c r="F3">
        <v>0</v>
      </c>
    </row>
    <row r="4" spans="1:7" x14ac:dyDescent="0.35">
      <c r="A4" t="s">
        <v>100</v>
      </c>
      <c r="B4" t="s">
        <v>100</v>
      </c>
      <c r="C4" t="s">
        <v>8726</v>
      </c>
      <c r="E4">
        <v>98</v>
      </c>
      <c r="F4">
        <v>0</v>
      </c>
    </row>
    <row r="5" spans="1:7" x14ac:dyDescent="0.35">
      <c r="A5" t="s">
        <v>101</v>
      </c>
      <c r="B5" t="s">
        <v>101</v>
      </c>
      <c r="C5" t="s">
        <v>8726</v>
      </c>
      <c r="E5">
        <v>423</v>
      </c>
      <c r="F5">
        <v>0</v>
      </c>
    </row>
    <row r="6" spans="1:7" x14ac:dyDescent="0.35">
      <c r="A6" t="s">
        <v>102</v>
      </c>
      <c r="B6" t="s">
        <v>102</v>
      </c>
      <c r="C6" t="s">
        <v>8726</v>
      </c>
      <c r="E6">
        <v>436</v>
      </c>
      <c r="F6">
        <v>0</v>
      </c>
    </row>
    <row r="7" spans="1:7" x14ac:dyDescent="0.35">
      <c r="A7" t="s">
        <v>156</v>
      </c>
      <c r="B7" t="s">
        <v>156</v>
      </c>
      <c r="C7" t="s">
        <v>8726</v>
      </c>
      <c r="E7">
        <v>251</v>
      </c>
      <c r="F7">
        <v>0</v>
      </c>
    </row>
    <row r="8" spans="1:7" x14ac:dyDescent="0.35">
      <c r="A8" t="s">
        <v>235</v>
      </c>
      <c r="B8" t="s">
        <v>235</v>
      </c>
      <c r="C8" t="s">
        <v>8726</v>
      </c>
      <c r="E8">
        <v>251</v>
      </c>
      <c r="F8">
        <v>0</v>
      </c>
    </row>
    <row r="9" spans="1:7" x14ac:dyDescent="0.35">
      <c r="A9" t="s">
        <v>104</v>
      </c>
      <c r="B9" t="s">
        <v>104</v>
      </c>
      <c r="C9" t="s">
        <v>8726</v>
      </c>
      <c r="E9">
        <v>569</v>
      </c>
      <c r="F9">
        <v>0</v>
      </c>
    </row>
    <row r="10" spans="1:7" x14ac:dyDescent="0.35">
      <c r="A10" t="s">
        <v>105</v>
      </c>
      <c r="B10" t="s">
        <v>105</v>
      </c>
      <c r="C10" t="s">
        <v>8726</v>
      </c>
      <c r="E10">
        <v>18</v>
      </c>
      <c r="F10">
        <v>0</v>
      </c>
    </row>
    <row r="11" spans="1:7" x14ac:dyDescent="0.35">
      <c r="A11" t="s">
        <v>106</v>
      </c>
      <c r="B11" t="s">
        <v>106</v>
      </c>
      <c r="C11" t="s">
        <v>8726</v>
      </c>
      <c r="E11">
        <v>6</v>
      </c>
      <c r="F11">
        <v>0</v>
      </c>
    </row>
    <row r="12" spans="1:7" x14ac:dyDescent="0.35">
      <c r="A12" t="s">
        <v>107</v>
      </c>
      <c r="B12" t="s">
        <v>107</v>
      </c>
      <c r="C12" t="s">
        <v>8726</v>
      </c>
      <c r="E12">
        <v>501</v>
      </c>
      <c r="F12">
        <v>0</v>
      </c>
    </row>
    <row r="13" spans="1:7" x14ac:dyDescent="0.35">
      <c r="A13" t="s">
        <v>108</v>
      </c>
      <c r="B13" t="s">
        <v>108</v>
      </c>
      <c r="C13" t="s">
        <v>8726</v>
      </c>
      <c r="E13">
        <v>349</v>
      </c>
      <c r="F13">
        <v>0</v>
      </c>
    </row>
    <row r="14" spans="1:7" x14ac:dyDescent="0.35">
      <c r="A14" t="s">
        <v>109</v>
      </c>
      <c r="B14" t="s">
        <v>109</v>
      </c>
      <c r="C14" t="s">
        <v>8726</v>
      </c>
      <c r="E14">
        <v>162</v>
      </c>
      <c r="F14">
        <v>0</v>
      </c>
    </row>
    <row r="15" spans="1:7" x14ac:dyDescent="0.35">
      <c r="A15" t="s">
        <v>111</v>
      </c>
      <c r="B15" t="s">
        <v>111</v>
      </c>
      <c r="C15" t="s">
        <v>8726</v>
      </c>
      <c r="E15">
        <v>706</v>
      </c>
      <c r="F15">
        <v>0</v>
      </c>
    </row>
    <row r="16" spans="1:7" x14ac:dyDescent="0.35">
      <c r="A16" t="s">
        <v>236</v>
      </c>
      <c r="B16" t="s">
        <v>236</v>
      </c>
      <c r="C16" t="s">
        <v>8726</v>
      </c>
      <c r="E16">
        <v>148</v>
      </c>
      <c r="F16">
        <v>0</v>
      </c>
    </row>
    <row r="17" spans="1:6" x14ac:dyDescent="0.35">
      <c r="A17" t="s">
        <v>113</v>
      </c>
      <c r="B17" t="s">
        <v>113</v>
      </c>
      <c r="C17" t="s">
        <v>8726</v>
      </c>
      <c r="E17">
        <v>419</v>
      </c>
      <c r="F17">
        <v>0</v>
      </c>
    </row>
    <row r="18" spans="1:6" x14ac:dyDescent="0.35">
      <c r="A18" t="s">
        <v>114</v>
      </c>
      <c r="B18" t="s">
        <v>114</v>
      </c>
      <c r="C18" t="s">
        <v>8726</v>
      </c>
      <c r="E18">
        <v>4</v>
      </c>
      <c r="F18">
        <v>0</v>
      </c>
    </row>
    <row r="19" spans="1:6" x14ac:dyDescent="0.35">
      <c r="A19" t="s">
        <v>115</v>
      </c>
      <c r="B19" t="s">
        <v>115</v>
      </c>
      <c r="C19" t="s">
        <v>8726</v>
      </c>
      <c r="E19">
        <v>2</v>
      </c>
      <c r="F19">
        <v>0</v>
      </c>
    </row>
    <row r="20" spans="1:6" x14ac:dyDescent="0.35">
      <c r="A20" t="s">
        <v>116</v>
      </c>
      <c r="B20" t="s">
        <v>116</v>
      </c>
      <c r="C20" t="s">
        <v>8726</v>
      </c>
      <c r="E20">
        <v>1732</v>
      </c>
      <c r="F20">
        <v>0</v>
      </c>
    </row>
    <row r="21" spans="1:6" x14ac:dyDescent="0.35">
      <c r="A21" t="s">
        <v>117</v>
      </c>
      <c r="B21" t="s">
        <v>117</v>
      </c>
      <c r="C21" t="s">
        <v>8726</v>
      </c>
      <c r="E21">
        <v>283</v>
      </c>
      <c r="F21">
        <v>0</v>
      </c>
    </row>
    <row r="22" spans="1:6" x14ac:dyDescent="0.35">
      <c r="A22" t="s">
        <v>118</v>
      </c>
      <c r="B22" t="s">
        <v>118</v>
      </c>
      <c r="C22" t="s">
        <v>8726</v>
      </c>
      <c r="E22">
        <v>1670</v>
      </c>
      <c r="F22">
        <v>0</v>
      </c>
    </row>
    <row r="23" spans="1:6" x14ac:dyDescent="0.35">
      <c r="A23" t="s">
        <v>119</v>
      </c>
      <c r="B23" t="s">
        <v>119</v>
      </c>
      <c r="C23" t="s">
        <v>8727</v>
      </c>
      <c r="E23">
        <v>0</v>
      </c>
      <c r="F2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"/>
  <sheetViews>
    <sheetView workbookViewId="0"/>
  </sheetViews>
  <sheetFormatPr defaultRowHeight="14.5" x14ac:dyDescent="0.35"/>
  <cols>
    <col min="1" max="1" width="8.81640625" customWidth="1"/>
    <col min="2" max="2" width="11.1796875" customWidth="1"/>
    <col min="3" max="3" width="8" customWidth="1"/>
    <col min="4" max="4" width="10.26953125" customWidth="1"/>
    <col min="5" max="5" width="11.1796875" customWidth="1"/>
    <col min="6" max="6" width="12.7265625" customWidth="1"/>
    <col min="7" max="7" width="13.453125" customWidth="1"/>
    <col min="8" max="8" width="12.54296875" customWidth="1"/>
    <col min="9" max="9" width="13.26953125" customWidth="1"/>
    <col min="10" max="10" width="12.81640625" customWidth="1"/>
    <col min="11" max="11" width="13.54296875" customWidth="1"/>
    <col min="12" max="12" width="11.453125" customWidth="1"/>
    <col min="13" max="13" width="12.1796875" customWidth="1"/>
    <col min="14" max="14" width="5.54296875" customWidth="1"/>
    <col min="15" max="15" width="6.26953125" customWidth="1"/>
    <col min="16" max="16" width="9.1796875" customWidth="1"/>
    <col min="17" max="17" width="9.81640625" customWidth="1"/>
    <col min="18" max="18" width="10.26953125" customWidth="1"/>
    <col min="19" max="19" width="11" customWidth="1"/>
    <col min="20" max="20" width="12.54296875" customWidth="1"/>
    <col min="21" max="21" width="13.26953125" customWidth="1"/>
  </cols>
  <sheetData>
    <row r="1" spans="1:21" x14ac:dyDescent="0.35">
      <c r="A1" t="s">
        <v>51</v>
      </c>
      <c r="B1" t="s">
        <v>209</v>
      </c>
      <c r="C1" t="s">
        <v>234</v>
      </c>
      <c r="D1" t="s">
        <v>120</v>
      </c>
      <c r="E1" t="s">
        <v>123</v>
      </c>
      <c r="F1" t="s">
        <v>8802</v>
      </c>
      <c r="G1" t="s">
        <v>8803</v>
      </c>
      <c r="H1" t="s">
        <v>8804</v>
      </c>
      <c r="I1" t="s">
        <v>8805</v>
      </c>
      <c r="J1" t="s">
        <v>8806</v>
      </c>
      <c r="K1" t="s">
        <v>8807</v>
      </c>
      <c r="L1" t="s">
        <v>8808</v>
      </c>
      <c r="M1" t="s">
        <v>8809</v>
      </c>
      <c r="N1" t="s">
        <v>8810</v>
      </c>
      <c r="O1" t="s">
        <v>8811</v>
      </c>
      <c r="P1" t="s">
        <v>8812</v>
      </c>
      <c r="Q1" t="s">
        <v>8813</v>
      </c>
      <c r="R1" t="s">
        <v>8814</v>
      </c>
      <c r="S1" t="s">
        <v>8815</v>
      </c>
      <c r="T1" t="s">
        <v>8816</v>
      </c>
      <c r="U1" t="s">
        <v>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values</vt:lpstr>
      <vt:lpstr>KM details</vt:lpstr>
      <vt:lpstr>SA MW details</vt:lpstr>
      <vt:lpstr>Km records</vt:lpstr>
      <vt:lpstr>kcat records</vt:lpstr>
      <vt:lpstr>SA records</vt:lpstr>
      <vt:lpstr>MW records</vt:lpstr>
      <vt:lpstr>Reaction mapping</vt:lpstr>
      <vt:lpstr>Query status</vt:lpstr>
      <vt:lpstr>EC resolution</vt:lpstr>
      <vt:lpstr>Reference 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TU-Pseudonym 7504255944999905</cp:lastModifiedBy>
  <dcterms:created xsi:type="dcterms:W3CDTF">2026-10-30T06:48:40Z</dcterms:created>
  <dcterms:modified xsi:type="dcterms:W3CDTF">2026-10-30T07:26:05Z</dcterms:modified>
</cp:coreProperties>
</file>